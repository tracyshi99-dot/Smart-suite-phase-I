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yujiashi\Desktop\"/>
    </mc:Choice>
  </mc:AlternateContent>
  <xr:revisionPtr revIDLastSave="0" documentId="8_{0E419C36-5FA6-4768-86AF-240B4ED27CC5}" xr6:coauthVersionLast="47" xr6:coauthVersionMax="47" xr10:uidLastSave="{00000000-0000-0000-0000-000000000000}"/>
  <bookViews>
    <workbookView xWindow="28680" yWindow="-120" windowWidth="38640" windowHeight="21120" activeTab="3" xr2:uid="{00000000-000D-0000-FFFF-FFFF00000000}"/>
  </bookViews>
  <sheets>
    <sheet name="1.GEO MAU" sheetId="1" r:id="rId1"/>
    <sheet name="2.信源分析" sheetId="2" r:id="rId2"/>
    <sheet name="3.GEO效果追踪" sheetId="4" r:id="rId3"/>
    <sheet name="4.类别提及分析" sheetId="5" r:id="rId4"/>
    <sheet name="5.新增度检索短语" sheetId="6" r:id="rId5"/>
    <sheet name="GEO Search volumn-Gemi 3.0" sheetId="10" r:id="rId6"/>
    <sheet name="6.SEO核心关键词" sheetId="3" r:id="rId7"/>
    <sheet name="GEO input Total" sheetId="8" r:id="rId8"/>
    <sheet name="GEO Performance by platform" sheetId="9" r:id="rId9"/>
  </sheets>
  <externalReferences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</externalReferences>
  <definedNames>
    <definedName name="____________________________________________________________________bla2" localSheetId="8" hidden="1">{"'vert'!$A$1:$T$117"}</definedName>
    <definedName name="____________________________________________________________________bla2" localSheetId="5" hidden="1">{"'vert'!$A$1:$T$117"}</definedName>
    <definedName name="____________________________________________________________________bla2" hidden="1">{"'vert'!$A$1:$T$117"}</definedName>
    <definedName name="____________________________________________________________________bla3" localSheetId="8" hidden="1">{"'vert'!$A$1:$T$117"}</definedName>
    <definedName name="____________________________________________________________________bla3" localSheetId="5" hidden="1">{"'vert'!$A$1:$T$117"}</definedName>
    <definedName name="____________________________________________________________________bla3" hidden="1">{"'vert'!$A$1:$T$117"}</definedName>
    <definedName name="____________________________________________________________________DE2" localSheetId="8" hidden="1">{"'vert'!$A$1:$T$117"}</definedName>
    <definedName name="____________________________________________________________________DE2" localSheetId="5" hidden="1">{"'vert'!$A$1:$T$117"}</definedName>
    <definedName name="____________________________________________________________________DE2" hidden="1">{"'vert'!$A$1:$T$117"}</definedName>
    <definedName name="___________________________________________________________________bla2" localSheetId="8" hidden="1">{"'vert'!$A$1:$T$117"}</definedName>
    <definedName name="___________________________________________________________________bla2" localSheetId="5" hidden="1">{"'vert'!$A$1:$T$117"}</definedName>
    <definedName name="___________________________________________________________________bla2" hidden="1">{"'vert'!$A$1:$T$117"}</definedName>
    <definedName name="___________________________________________________________________bla3" localSheetId="8" hidden="1">{"'vert'!$A$1:$T$117"}</definedName>
    <definedName name="___________________________________________________________________bla3" localSheetId="5" hidden="1">{"'vert'!$A$1:$T$117"}</definedName>
    <definedName name="___________________________________________________________________bla3" hidden="1">{"'vert'!$A$1:$T$117"}</definedName>
    <definedName name="___________________________________________________________________DE2" localSheetId="8" hidden="1">{"'vert'!$A$1:$T$117"}</definedName>
    <definedName name="___________________________________________________________________DE2" localSheetId="5" hidden="1">{"'vert'!$A$1:$T$117"}</definedName>
    <definedName name="___________________________________________________________________DE2" hidden="1">{"'vert'!$A$1:$T$117"}</definedName>
    <definedName name="__________________________________________________________________bla2" localSheetId="8" hidden="1">{"'vert'!$A$1:$T$117"}</definedName>
    <definedName name="__________________________________________________________________bla2" localSheetId="5" hidden="1">{"'vert'!$A$1:$T$117"}</definedName>
    <definedName name="__________________________________________________________________bla2" hidden="1">{"'vert'!$A$1:$T$117"}</definedName>
    <definedName name="__________________________________________________________________bla3" localSheetId="8" hidden="1">{"'vert'!$A$1:$T$117"}</definedName>
    <definedName name="__________________________________________________________________bla3" localSheetId="5" hidden="1">{"'vert'!$A$1:$T$117"}</definedName>
    <definedName name="__________________________________________________________________bla3" hidden="1">{"'vert'!$A$1:$T$117"}</definedName>
    <definedName name="__________________________________________________________________DE2" localSheetId="8" hidden="1">{"'vert'!$A$1:$T$117"}</definedName>
    <definedName name="__________________________________________________________________DE2" localSheetId="5" hidden="1">{"'vert'!$A$1:$T$117"}</definedName>
    <definedName name="__________________________________________________________________DE2" hidden="1">{"'vert'!$A$1:$T$117"}</definedName>
    <definedName name="_________________________________________________________________bla2" localSheetId="8" hidden="1">{"'vert'!$A$1:$T$117"}</definedName>
    <definedName name="_________________________________________________________________bla2" localSheetId="5" hidden="1">{"'vert'!$A$1:$T$117"}</definedName>
    <definedName name="_________________________________________________________________bla2" hidden="1">{"'vert'!$A$1:$T$117"}</definedName>
    <definedName name="_________________________________________________________________bla3" localSheetId="8" hidden="1">{"'vert'!$A$1:$T$117"}</definedName>
    <definedName name="_________________________________________________________________bla3" localSheetId="5" hidden="1">{"'vert'!$A$1:$T$117"}</definedName>
    <definedName name="_________________________________________________________________bla3" hidden="1">{"'vert'!$A$1:$T$117"}</definedName>
    <definedName name="_________________________________________________________________DE2" localSheetId="8" hidden="1">{"'vert'!$A$1:$T$117"}</definedName>
    <definedName name="_________________________________________________________________DE2" localSheetId="5" hidden="1">{"'vert'!$A$1:$T$117"}</definedName>
    <definedName name="_________________________________________________________________DE2" hidden="1">{"'vert'!$A$1:$T$117"}</definedName>
    <definedName name="________________________________________________________________bla2" localSheetId="8" hidden="1">{"'vert'!$A$1:$T$117"}</definedName>
    <definedName name="________________________________________________________________bla2" localSheetId="5" hidden="1">{"'vert'!$A$1:$T$117"}</definedName>
    <definedName name="________________________________________________________________bla2" hidden="1">{"'vert'!$A$1:$T$117"}</definedName>
    <definedName name="________________________________________________________________bla3" localSheetId="8" hidden="1">{"'vert'!$A$1:$T$117"}</definedName>
    <definedName name="________________________________________________________________bla3" localSheetId="5" hidden="1">{"'vert'!$A$1:$T$117"}</definedName>
    <definedName name="________________________________________________________________bla3" hidden="1">{"'vert'!$A$1:$T$117"}</definedName>
    <definedName name="________________________________________________________________DE2" localSheetId="8" hidden="1">{"'vert'!$A$1:$T$117"}</definedName>
    <definedName name="________________________________________________________________DE2" localSheetId="5" hidden="1">{"'vert'!$A$1:$T$117"}</definedName>
    <definedName name="________________________________________________________________DE2" hidden="1">{"'vert'!$A$1:$T$117"}</definedName>
    <definedName name="_______________________________________________________________bla2" localSheetId="8" hidden="1">{"'vert'!$A$1:$T$117"}</definedName>
    <definedName name="_______________________________________________________________bla2" localSheetId="5" hidden="1">{"'vert'!$A$1:$T$117"}</definedName>
    <definedName name="_______________________________________________________________bla2" hidden="1">{"'vert'!$A$1:$T$117"}</definedName>
    <definedName name="_______________________________________________________________bla3" localSheetId="8" hidden="1">{"'vert'!$A$1:$T$117"}</definedName>
    <definedName name="_______________________________________________________________bla3" localSheetId="5" hidden="1">{"'vert'!$A$1:$T$117"}</definedName>
    <definedName name="_______________________________________________________________bla3" hidden="1">{"'vert'!$A$1:$T$117"}</definedName>
    <definedName name="_______________________________________________________________DE2" localSheetId="8" hidden="1">{"'vert'!$A$1:$T$117"}</definedName>
    <definedName name="_______________________________________________________________DE2" localSheetId="5" hidden="1">{"'vert'!$A$1:$T$117"}</definedName>
    <definedName name="_______________________________________________________________DE2" hidden="1">{"'vert'!$A$1:$T$117"}</definedName>
    <definedName name="______________________________________________________________bla2" localSheetId="8" hidden="1">{"'vert'!$A$1:$T$117"}</definedName>
    <definedName name="______________________________________________________________bla2" localSheetId="5" hidden="1">{"'vert'!$A$1:$T$117"}</definedName>
    <definedName name="______________________________________________________________bla2" hidden="1">{"'vert'!$A$1:$T$117"}</definedName>
    <definedName name="______________________________________________________________bla3" localSheetId="8" hidden="1">{"'vert'!$A$1:$T$117"}</definedName>
    <definedName name="______________________________________________________________bla3" localSheetId="5" hidden="1">{"'vert'!$A$1:$T$117"}</definedName>
    <definedName name="______________________________________________________________bla3" hidden="1">{"'vert'!$A$1:$T$117"}</definedName>
    <definedName name="______________________________________________________________DE2" localSheetId="8" hidden="1">{"'vert'!$A$1:$T$117"}</definedName>
    <definedName name="______________________________________________________________DE2" localSheetId="5" hidden="1">{"'vert'!$A$1:$T$117"}</definedName>
    <definedName name="______________________________________________________________DE2" hidden="1">{"'vert'!$A$1:$T$117"}</definedName>
    <definedName name="_____________________________________________________________bla2" localSheetId="8" hidden="1">{"'vert'!$A$1:$T$117"}</definedName>
    <definedName name="_____________________________________________________________bla2" localSheetId="5" hidden="1">{"'vert'!$A$1:$T$117"}</definedName>
    <definedName name="_____________________________________________________________bla2" hidden="1">{"'vert'!$A$1:$T$117"}</definedName>
    <definedName name="_____________________________________________________________bla3" localSheetId="8" hidden="1">{"'vert'!$A$1:$T$117"}</definedName>
    <definedName name="_____________________________________________________________bla3" localSheetId="5" hidden="1">{"'vert'!$A$1:$T$117"}</definedName>
    <definedName name="_____________________________________________________________bla3" hidden="1">{"'vert'!$A$1:$T$117"}</definedName>
    <definedName name="_____________________________________________________________DE2" localSheetId="8" hidden="1">{"'vert'!$A$1:$T$117"}</definedName>
    <definedName name="_____________________________________________________________DE2" localSheetId="5" hidden="1">{"'vert'!$A$1:$T$117"}</definedName>
    <definedName name="_____________________________________________________________DE2" hidden="1">{"'vert'!$A$1:$T$117"}</definedName>
    <definedName name="____________________________________________________________bla2" localSheetId="8" hidden="1">{"'vert'!$A$1:$T$117"}</definedName>
    <definedName name="____________________________________________________________bla2" localSheetId="5" hidden="1">{"'vert'!$A$1:$T$117"}</definedName>
    <definedName name="____________________________________________________________bla2" hidden="1">{"'vert'!$A$1:$T$117"}</definedName>
    <definedName name="____________________________________________________________bla3" localSheetId="8" hidden="1">{"'vert'!$A$1:$T$117"}</definedName>
    <definedName name="____________________________________________________________bla3" localSheetId="5" hidden="1">{"'vert'!$A$1:$T$117"}</definedName>
    <definedName name="____________________________________________________________bla3" hidden="1">{"'vert'!$A$1:$T$117"}</definedName>
    <definedName name="____________________________________________________________DE2" localSheetId="8" hidden="1">{"'vert'!$A$1:$T$117"}</definedName>
    <definedName name="____________________________________________________________DE2" localSheetId="5" hidden="1">{"'vert'!$A$1:$T$117"}</definedName>
    <definedName name="____________________________________________________________DE2" hidden="1">{"'vert'!$A$1:$T$117"}</definedName>
    <definedName name="___________________________________________________________bla2" localSheetId="8" hidden="1">{"'vert'!$A$1:$T$117"}</definedName>
    <definedName name="___________________________________________________________bla2" localSheetId="5" hidden="1">{"'vert'!$A$1:$T$117"}</definedName>
    <definedName name="___________________________________________________________bla2" hidden="1">{"'vert'!$A$1:$T$117"}</definedName>
    <definedName name="___________________________________________________________bla3" localSheetId="8" hidden="1">{"'vert'!$A$1:$T$117"}</definedName>
    <definedName name="___________________________________________________________bla3" localSheetId="5" hidden="1">{"'vert'!$A$1:$T$117"}</definedName>
    <definedName name="___________________________________________________________bla3" hidden="1">{"'vert'!$A$1:$T$117"}</definedName>
    <definedName name="___________________________________________________________DE2" localSheetId="8" hidden="1">{"'vert'!$A$1:$T$117"}</definedName>
    <definedName name="___________________________________________________________DE2" localSheetId="5" hidden="1">{"'vert'!$A$1:$T$117"}</definedName>
    <definedName name="___________________________________________________________DE2" hidden="1">{"'vert'!$A$1:$T$117"}</definedName>
    <definedName name="__________________________________________________________bla2" localSheetId="8" hidden="1">{"'vert'!$A$1:$T$117"}</definedName>
    <definedName name="__________________________________________________________bla2" localSheetId="5" hidden="1">{"'vert'!$A$1:$T$117"}</definedName>
    <definedName name="__________________________________________________________bla2" hidden="1">{"'vert'!$A$1:$T$117"}</definedName>
    <definedName name="__________________________________________________________bla3" localSheetId="8" hidden="1">{"'vert'!$A$1:$T$117"}</definedName>
    <definedName name="__________________________________________________________bla3" localSheetId="5" hidden="1">{"'vert'!$A$1:$T$117"}</definedName>
    <definedName name="__________________________________________________________bla3" hidden="1">{"'vert'!$A$1:$T$117"}</definedName>
    <definedName name="__________________________________________________________DE2" localSheetId="8" hidden="1">{"'vert'!$A$1:$T$117"}</definedName>
    <definedName name="__________________________________________________________DE2" localSheetId="5" hidden="1">{"'vert'!$A$1:$T$117"}</definedName>
    <definedName name="__________________________________________________________DE2" hidden="1">{"'vert'!$A$1:$T$117"}</definedName>
    <definedName name="_________________________________________________________bla2" localSheetId="8" hidden="1">{"'vert'!$A$1:$T$117"}</definedName>
    <definedName name="_________________________________________________________bla2" localSheetId="5" hidden="1">{"'vert'!$A$1:$T$117"}</definedName>
    <definedName name="_________________________________________________________bla2" hidden="1">{"'vert'!$A$1:$T$117"}</definedName>
    <definedName name="_________________________________________________________bla3" localSheetId="8" hidden="1">{"'vert'!$A$1:$T$117"}</definedName>
    <definedName name="_________________________________________________________bla3" localSheetId="5" hidden="1">{"'vert'!$A$1:$T$117"}</definedName>
    <definedName name="_________________________________________________________bla3" hidden="1">{"'vert'!$A$1:$T$117"}</definedName>
    <definedName name="_________________________________________________________DE2" localSheetId="8" hidden="1">{"'vert'!$A$1:$T$117"}</definedName>
    <definedName name="_________________________________________________________DE2" localSheetId="5" hidden="1">{"'vert'!$A$1:$T$117"}</definedName>
    <definedName name="_________________________________________________________DE2" hidden="1">{"'vert'!$A$1:$T$117"}</definedName>
    <definedName name="________________________________________________________bla2" localSheetId="8" hidden="1">{"'vert'!$A$1:$T$117"}</definedName>
    <definedName name="________________________________________________________bla2" localSheetId="5" hidden="1">{"'vert'!$A$1:$T$117"}</definedName>
    <definedName name="________________________________________________________bla2" hidden="1">{"'vert'!$A$1:$T$117"}</definedName>
    <definedName name="________________________________________________________bla3" localSheetId="8" hidden="1">{"'vert'!$A$1:$T$117"}</definedName>
    <definedName name="________________________________________________________bla3" localSheetId="5" hidden="1">{"'vert'!$A$1:$T$117"}</definedName>
    <definedName name="________________________________________________________bla3" hidden="1">{"'vert'!$A$1:$T$117"}</definedName>
    <definedName name="________________________________________________________DE2" localSheetId="8" hidden="1">{"'vert'!$A$1:$T$117"}</definedName>
    <definedName name="________________________________________________________DE2" localSheetId="5" hidden="1">{"'vert'!$A$1:$T$117"}</definedName>
    <definedName name="________________________________________________________DE2" hidden="1">{"'vert'!$A$1:$T$117"}</definedName>
    <definedName name="_______________________________________________________bla2" localSheetId="8" hidden="1">{"'vert'!$A$1:$T$117"}</definedName>
    <definedName name="_______________________________________________________bla2" localSheetId="5" hidden="1">{"'vert'!$A$1:$T$117"}</definedName>
    <definedName name="_______________________________________________________bla2" hidden="1">{"'vert'!$A$1:$T$117"}</definedName>
    <definedName name="_______________________________________________________bla3" localSheetId="8" hidden="1">{"'vert'!$A$1:$T$117"}</definedName>
    <definedName name="_______________________________________________________bla3" localSheetId="5" hidden="1">{"'vert'!$A$1:$T$117"}</definedName>
    <definedName name="_______________________________________________________bla3" hidden="1">{"'vert'!$A$1:$T$117"}</definedName>
    <definedName name="_______________________________________________________DE2" localSheetId="8" hidden="1">{"'vert'!$A$1:$T$117"}</definedName>
    <definedName name="_______________________________________________________DE2" localSheetId="5" hidden="1">{"'vert'!$A$1:$T$117"}</definedName>
    <definedName name="_______________________________________________________DE2" hidden="1">{"'vert'!$A$1:$T$117"}</definedName>
    <definedName name="______________________________________________________bla2" localSheetId="8" hidden="1">{"'vert'!$A$1:$T$117"}</definedName>
    <definedName name="______________________________________________________bla2" localSheetId="5" hidden="1">{"'vert'!$A$1:$T$117"}</definedName>
    <definedName name="______________________________________________________bla2" hidden="1">{"'vert'!$A$1:$T$117"}</definedName>
    <definedName name="______________________________________________________bla3" localSheetId="8" hidden="1">{"'vert'!$A$1:$T$117"}</definedName>
    <definedName name="______________________________________________________bla3" localSheetId="5" hidden="1">{"'vert'!$A$1:$T$117"}</definedName>
    <definedName name="______________________________________________________bla3" hidden="1">{"'vert'!$A$1:$T$117"}</definedName>
    <definedName name="______________________________________________________DE2" localSheetId="8" hidden="1">{"'vert'!$A$1:$T$117"}</definedName>
    <definedName name="______________________________________________________DE2" localSheetId="5" hidden="1">{"'vert'!$A$1:$T$117"}</definedName>
    <definedName name="______________________________________________________DE2" hidden="1">{"'vert'!$A$1:$T$117"}</definedName>
    <definedName name="_____________________________________________________bla2" localSheetId="8" hidden="1">{"'vert'!$A$1:$T$117"}</definedName>
    <definedName name="_____________________________________________________bla2" localSheetId="5" hidden="1">{"'vert'!$A$1:$T$117"}</definedName>
    <definedName name="_____________________________________________________bla2" hidden="1">{"'vert'!$A$1:$T$117"}</definedName>
    <definedName name="_____________________________________________________bla3" localSheetId="8" hidden="1">{"'vert'!$A$1:$T$117"}</definedName>
    <definedName name="_____________________________________________________bla3" localSheetId="5" hidden="1">{"'vert'!$A$1:$T$117"}</definedName>
    <definedName name="_____________________________________________________bla3" hidden="1">{"'vert'!$A$1:$T$117"}</definedName>
    <definedName name="_____________________________________________________DE2" localSheetId="8" hidden="1">{"'vert'!$A$1:$T$117"}</definedName>
    <definedName name="_____________________________________________________DE2" localSheetId="5" hidden="1">{"'vert'!$A$1:$T$117"}</definedName>
    <definedName name="_____________________________________________________DE2" hidden="1">{"'vert'!$A$1:$T$117"}</definedName>
    <definedName name="____________________________________________________bla2" localSheetId="8" hidden="1">{"'vert'!$A$1:$T$117"}</definedName>
    <definedName name="____________________________________________________bla2" localSheetId="5" hidden="1">{"'vert'!$A$1:$T$117"}</definedName>
    <definedName name="____________________________________________________bla2" hidden="1">{"'vert'!$A$1:$T$117"}</definedName>
    <definedName name="____________________________________________________bla3" localSheetId="8" hidden="1">{"'vert'!$A$1:$T$117"}</definedName>
    <definedName name="____________________________________________________bla3" localSheetId="5" hidden="1">{"'vert'!$A$1:$T$117"}</definedName>
    <definedName name="____________________________________________________bla3" hidden="1">{"'vert'!$A$1:$T$117"}</definedName>
    <definedName name="____________________________________________________DE2" localSheetId="8" hidden="1">{"'vert'!$A$1:$T$117"}</definedName>
    <definedName name="____________________________________________________DE2" localSheetId="5" hidden="1">{"'vert'!$A$1:$T$117"}</definedName>
    <definedName name="____________________________________________________DE2" hidden="1">{"'vert'!$A$1:$T$117"}</definedName>
    <definedName name="___________________________________________________bla2" localSheetId="8" hidden="1">{"'vert'!$A$1:$T$117"}</definedName>
    <definedName name="___________________________________________________bla2" localSheetId="5" hidden="1">{"'vert'!$A$1:$T$117"}</definedName>
    <definedName name="___________________________________________________bla2" hidden="1">{"'vert'!$A$1:$T$117"}</definedName>
    <definedName name="___________________________________________________bla3" localSheetId="8" hidden="1">{"'vert'!$A$1:$T$117"}</definedName>
    <definedName name="___________________________________________________bla3" localSheetId="5" hidden="1">{"'vert'!$A$1:$T$117"}</definedName>
    <definedName name="___________________________________________________bla3" hidden="1">{"'vert'!$A$1:$T$117"}</definedName>
    <definedName name="___________________________________________________DE2" localSheetId="8" hidden="1">{"'vert'!$A$1:$T$117"}</definedName>
    <definedName name="___________________________________________________DE2" localSheetId="5" hidden="1">{"'vert'!$A$1:$T$117"}</definedName>
    <definedName name="___________________________________________________DE2" hidden="1">{"'vert'!$A$1:$T$117"}</definedName>
    <definedName name="__________________________________________________bla2" localSheetId="8" hidden="1">{"'vert'!$A$1:$T$117"}</definedName>
    <definedName name="__________________________________________________bla2" localSheetId="5" hidden="1">{"'vert'!$A$1:$T$117"}</definedName>
    <definedName name="__________________________________________________bla2" hidden="1">{"'vert'!$A$1:$T$117"}</definedName>
    <definedName name="__________________________________________________bla3" localSheetId="8" hidden="1">{"'vert'!$A$1:$T$117"}</definedName>
    <definedName name="__________________________________________________bla3" localSheetId="5" hidden="1">{"'vert'!$A$1:$T$117"}</definedName>
    <definedName name="__________________________________________________bla3" hidden="1">{"'vert'!$A$1:$T$117"}</definedName>
    <definedName name="__________________________________________________DE2" localSheetId="8" hidden="1">{"'vert'!$A$1:$T$117"}</definedName>
    <definedName name="__________________________________________________DE2" localSheetId="5" hidden="1">{"'vert'!$A$1:$T$117"}</definedName>
    <definedName name="__________________________________________________DE2" hidden="1">{"'vert'!$A$1:$T$117"}</definedName>
    <definedName name="_________________________________________________bla2" localSheetId="8" hidden="1">{"'vert'!$A$1:$T$117"}</definedName>
    <definedName name="_________________________________________________bla2" localSheetId="5" hidden="1">{"'vert'!$A$1:$T$117"}</definedName>
    <definedName name="_________________________________________________bla2" hidden="1">{"'vert'!$A$1:$T$117"}</definedName>
    <definedName name="_________________________________________________bla3" localSheetId="8" hidden="1">{"'vert'!$A$1:$T$117"}</definedName>
    <definedName name="_________________________________________________bla3" localSheetId="5" hidden="1">{"'vert'!$A$1:$T$117"}</definedName>
    <definedName name="_________________________________________________bla3" hidden="1">{"'vert'!$A$1:$T$117"}</definedName>
    <definedName name="_________________________________________________DE2" localSheetId="8" hidden="1">{"'vert'!$A$1:$T$117"}</definedName>
    <definedName name="_________________________________________________DE2" localSheetId="5" hidden="1">{"'vert'!$A$1:$T$117"}</definedName>
    <definedName name="_________________________________________________DE2" hidden="1">{"'vert'!$A$1:$T$117"}</definedName>
    <definedName name="________________________________________________bla2" localSheetId="8" hidden="1">{"'vert'!$A$1:$T$117"}</definedName>
    <definedName name="________________________________________________bla2" localSheetId="5" hidden="1">{"'vert'!$A$1:$T$117"}</definedName>
    <definedName name="________________________________________________bla2" hidden="1">{"'vert'!$A$1:$T$117"}</definedName>
    <definedName name="________________________________________________bla3" localSheetId="8" hidden="1">{"'vert'!$A$1:$T$117"}</definedName>
    <definedName name="________________________________________________bla3" localSheetId="5" hidden="1">{"'vert'!$A$1:$T$117"}</definedName>
    <definedName name="________________________________________________bla3" hidden="1">{"'vert'!$A$1:$T$117"}</definedName>
    <definedName name="________________________________________________DE2" localSheetId="8" hidden="1">{"'vert'!$A$1:$T$117"}</definedName>
    <definedName name="________________________________________________DE2" localSheetId="5" hidden="1">{"'vert'!$A$1:$T$117"}</definedName>
    <definedName name="________________________________________________DE2" hidden="1">{"'vert'!$A$1:$T$117"}</definedName>
    <definedName name="_______________________________________________bla2" localSheetId="8" hidden="1">{"'vert'!$A$1:$T$117"}</definedName>
    <definedName name="_______________________________________________bla2" localSheetId="5" hidden="1">{"'vert'!$A$1:$T$117"}</definedName>
    <definedName name="_______________________________________________bla2" hidden="1">{"'vert'!$A$1:$T$117"}</definedName>
    <definedName name="_______________________________________________bla3" localSheetId="8" hidden="1">{"'vert'!$A$1:$T$117"}</definedName>
    <definedName name="_______________________________________________bla3" localSheetId="5" hidden="1">{"'vert'!$A$1:$T$117"}</definedName>
    <definedName name="_______________________________________________bla3" hidden="1">{"'vert'!$A$1:$T$117"}</definedName>
    <definedName name="_______________________________________________DE2" localSheetId="8" hidden="1">{"'vert'!$A$1:$T$117"}</definedName>
    <definedName name="_______________________________________________DE2" localSheetId="5" hidden="1">{"'vert'!$A$1:$T$117"}</definedName>
    <definedName name="_______________________________________________DE2" hidden="1">{"'vert'!$A$1:$T$117"}</definedName>
    <definedName name="______________________________________________bla2" localSheetId="8" hidden="1">{"'vert'!$A$1:$T$117"}</definedName>
    <definedName name="______________________________________________bla2" localSheetId="5" hidden="1">{"'vert'!$A$1:$T$117"}</definedName>
    <definedName name="______________________________________________bla2" hidden="1">{"'vert'!$A$1:$T$117"}</definedName>
    <definedName name="______________________________________________bla3" localSheetId="8" hidden="1">{"'vert'!$A$1:$T$117"}</definedName>
    <definedName name="______________________________________________bla3" localSheetId="5" hidden="1">{"'vert'!$A$1:$T$117"}</definedName>
    <definedName name="______________________________________________bla3" hidden="1">{"'vert'!$A$1:$T$117"}</definedName>
    <definedName name="______________________________________________DE2" localSheetId="8" hidden="1">{"'vert'!$A$1:$T$117"}</definedName>
    <definedName name="______________________________________________DE2" localSheetId="5" hidden="1">{"'vert'!$A$1:$T$117"}</definedName>
    <definedName name="______________________________________________DE2" hidden="1">{"'vert'!$A$1:$T$117"}</definedName>
    <definedName name="_____________________________________________bla2" localSheetId="8" hidden="1">{"'vert'!$A$1:$T$117"}</definedName>
    <definedName name="_____________________________________________bla2" localSheetId="5" hidden="1">{"'vert'!$A$1:$T$117"}</definedName>
    <definedName name="_____________________________________________bla2" hidden="1">{"'vert'!$A$1:$T$117"}</definedName>
    <definedName name="_____________________________________________bla3" localSheetId="8" hidden="1">{"'vert'!$A$1:$T$117"}</definedName>
    <definedName name="_____________________________________________bla3" localSheetId="5" hidden="1">{"'vert'!$A$1:$T$117"}</definedName>
    <definedName name="_____________________________________________bla3" hidden="1">{"'vert'!$A$1:$T$117"}</definedName>
    <definedName name="_____________________________________________DE2" localSheetId="8" hidden="1">{"'vert'!$A$1:$T$117"}</definedName>
    <definedName name="_____________________________________________DE2" localSheetId="5" hidden="1">{"'vert'!$A$1:$T$117"}</definedName>
    <definedName name="_____________________________________________DE2" hidden="1">{"'vert'!$A$1:$T$117"}</definedName>
    <definedName name="____________________________________________bla2" localSheetId="8" hidden="1">{"'vert'!$A$1:$T$117"}</definedName>
    <definedName name="____________________________________________bla2" localSheetId="5" hidden="1">{"'vert'!$A$1:$T$117"}</definedName>
    <definedName name="____________________________________________bla2" hidden="1">{"'vert'!$A$1:$T$117"}</definedName>
    <definedName name="____________________________________________bla3" localSheetId="8" hidden="1">{"'vert'!$A$1:$T$117"}</definedName>
    <definedName name="____________________________________________bla3" localSheetId="5" hidden="1">{"'vert'!$A$1:$T$117"}</definedName>
    <definedName name="____________________________________________bla3" hidden="1">{"'vert'!$A$1:$T$117"}</definedName>
    <definedName name="____________________________________________DE2" localSheetId="8" hidden="1">{"'vert'!$A$1:$T$117"}</definedName>
    <definedName name="____________________________________________DE2" localSheetId="5" hidden="1">{"'vert'!$A$1:$T$117"}</definedName>
    <definedName name="____________________________________________DE2" hidden="1">{"'vert'!$A$1:$T$117"}</definedName>
    <definedName name="___________________________________________bla2" localSheetId="8" hidden="1">{"'vert'!$A$1:$T$117"}</definedName>
    <definedName name="___________________________________________bla2" localSheetId="5" hidden="1">{"'vert'!$A$1:$T$117"}</definedName>
    <definedName name="___________________________________________bla2" hidden="1">{"'vert'!$A$1:$T$117"}</definedName>
    <definedName name="___________________________________________bla3" localSheetId="8" hidden="1">{"'vert'!$A$1:$T$117"}</definedName>
    <definedName name="___________________________________________bla3" localSheetId="5" hidden="1">{"'vert'!$A$1:$T$117"}</definedName>
    <definedName name="___________________________________________bla3" hidden="1">{"'vert'!$A$1:$T$117"}</definedName>
    <definedName name="___________________________________________DE2" localSheetId="8" hidden="1">{"'vert'!$A$1:$T$117"}</definedName>
    <definedName name="___________________________________________DE2" localSheetId="5" hidden="1">{"'vert'!$A$1:$T$117"}</definedName>
    <definedName name="___________________________________________DE2" hidden="1">{"'vert'!$A$1:$T$117"}</definedName>
    <definedName name="__________________________________________bla2" localSheetId="8" hidden="1">{"'vert'!$A$1:$T$117"}</definedName>
    <definedName name="__________________________________________bla2" localSheetId="5" hidden="1">{"'vert'!$A$1:$T$117"}</definedName>
    <definedName name="__________________________________________bla2" hidden="1">{"'vert'!$A$1:$T$117"}</definedName>
    <definedName name="__________________________________________bla3" localSheetId="8" hidden="1">{"'vert'!$A$1:$T$117"}</definedName>
    <definedName name="__________________________________________bla3" localSheetId="5" hidden="1">{"'vert'!$A$1:$T$117"}</definedName>
    <definedName name="__________________________________________bla3" hidden="1">{"'vert'!$A$1:$T$117"}</definedName>
    <definedName name="__________________________________________DE2" localSheetId="8" hidden="1">{"'vert'!$A$1:$T$117"}</definedName>
    <definedName name="__________________________________________DE2" localSheetId="5" hidden="1">{"'vert'!$A$1:$T$117"}</definedName>
    <definedName name="__________________________________________DE2" hidden="1">{"'vert'!$A$1:$T$117"}</definedName>
    <definedName name="_________________________________________bla2" localSheetId="8" hidden="1">{"'vert'!$A$1:$T$117"}</definedName>
    <definedName name="_________________________________________bla2" localSheetId="5" hidden="1">{"'vert'!$A$1:$T$117"}</definedName>
    <definedName name="_________________________________________bla2" hidden="1">{"'vert'!$A$1:$T$117"}</definedName>
    <definedName name="_________________________________________bla3" localSheetId="8" hidden="1">{"'vert'!$A$1:$T$117"}</definedName>
    <definedName name="_________________________________________bla3" localSheetId="5" hidden="1">{"'vert'!$A$1:$T$117"}</definedName>
    <definedName name="_________________________________________bla3" hidden="1">{"'vert'!$A$1:$T$117"}</definedName>
    <definedName name="_________________________________________DE2" localSheetId="8" hidden="1">{"'vert'!$A$1:$T$117"}</definedName>
    <definedName name="_________________________________________DE2" localSheetId="5" hidden="1">{"'vert'!$A$1:$T$117"}</definedName>
    <definedName name="_________________________________________DE2" hidden="1">{"'vert'!$A$1:$T$117"}</definedName>
    <definedName name="________________________________________bla2" localSheetId="8" hidden="1">{"'vert'!$A$1:$T$117"}</definedName>
    <definedName name="________________________________________bla2" localSheetId="5" hidden="1">{"'vert'!$A$1:$T$117"}</definedName>
    <definedName name="________________________________________bla2" hidden="1">{"'vert'!$A$1:$T$117"}</definedName>
    <definedName name="________________________________________bla3" localSheetId="8" hidden="1">{"'vert'!$A$1:$T$117"}</definedName>
    <definedName name="________________________________________bla3" localSheetId="5" hidden="1">{"'vert'!$A$1:$T$117"}</definedName>
    <definedName name="________________________________________bla3" hidden="1">{"'vert'!$A$1:$T$117"}</definedName>
    <definedName name="________________________________________DE2" localSheetId="8" hidden="1">{"'vert'!$A$1:$T$117"}</definedName>
    <definedName name="________________________________________DE2" localSheetId="5" hidden="1">{"'vert'!$A$1:$T$117"}</definedName>
    <definedName name="________________________________________DE2" hidden="1">{"'vert'!$A$1:$T$117"}</definedName>
    <definedName name="_______________________________________bla2" localSheetId="8" hidden="1">{"'vert'!$A$1:$T$117"}</definedName>
    <definedName name="_______________________________________bla2" localSheetId="5" hidden="1">{"'vert'!$A$1:$T$117"}</definedName>
    <definedName name="_______________________________________bla2" hidden="1">{"'vert'!$A$1:$T$117"}</definedName>
    <definedName name="_______________________________________bla3" localSheetId="8" hidden="1">{"'vert'!$A$1:$T$117"}</definedName>
    <definedName name="_______________________________________bla3" localSheetId="5" hidden="1">{"'vert'!$A$1:$T$117"}</definedName>
    <definedName name="_______________________________________bla3" hidden="1">{"'vert'!$A$1:$T$117"}</definedName>
    <definedName name="_______________________________________DE2" localSheetId="8" hidden="1">{"'vert'!$A$1:$T$117"}</definedName>
    <definedName name="_______________________________________DE2" localSheetId="5" hidden="1">{"'vert'!$A$1:$T$117"}</definedName>
    <definedName name="_______________________________________DE2" hidden="1">{"'vert'!$A$1:$T$117"}</definedName>
    <definedName name="______________________________________bla2" localSheetId="8" hidden="1">{"'vert'!$A$1:$T$117"}</definedName>
    <definedName name="______________________________________bla2" localSheetId="5" hidden="1">{"'vert'!$A$1:$T$117"}</definedName>
    <definedName name="______________________________________bla2" hidden="1">{"'vert'!$A$1:$T$117"}</definedName>
    <definedName name="______________________________________bla2_2" localSheetId="8" hidden="1">{"'vert'!$A$1:$T$117"}</definedName>
    <definedName name="______________________________________bla2_2" localSheetId="5" hidden="1">{"'vert'!$A$1:$T$117"}</definedName>
    <definedName name="______________________________________bla2_2" hidden="1">{"'vert'!$A$1:$T$117"}</definedName>
    <definedName name="______________________________________bla3" localSheetId="8" hidden="1">{"'vert'!$A$1:$T$117"}</definedName>
    <definedName name="______________________________________bla3" localSheetId="5" hidden="1">{"'vert'!$A$1:$T$117"}</definedName>
    <definedName name="______________________________________bla3" hidden="1">{"'vert'!$A$1:$T$117"}</definedName>
    <definedName name="______________________________________bla3_2" localSheetId="8" hidden="1">{"'vert'!$A$1:$T$117"}</definedName>
    <definedName name="______________________________________bla3_2" localSheetId="5" hidden="1">{"'vert'!$A$1:$T$117"}</definedName>
    <definedName name="______________________________________bla3_2" hidden="1">{"'vert'!$A$1:$T$117"}</definedName>
    <definedName name="______________________________________DE2" localSheetId="8" hidden="1">{"'vert'!$A$1:$T$117"}</definedName>
    <definedName name="______________________________________DE2" localSheetId="5" hidden="1">{"'vert'!$A$1:$T$117"}</definedName>
    <definedName name="______________________________________DE2" hidden="1">{"'vert'!$A$1:$T$117"}</definedName>
    <definedName name="______________________________________DE2_2" localSheetId="8" hidden="1">{"'vert'!$A$1:$T$117"}</definedName>
    <definedName name="______________________________________DE2_2" localSheetId="5" hidden="1">{"'vert'!$A$1:$T$117"}</definedName>
    <definedName name="______________________________________DE2_2" hidden="1">{"'vert'!$A$1:$T$117"}</definedName>
    <definedName name="_____________________________________bla2" localSheetId="8" hidden="1">{"'vert'!$A$1:$T$117"}</definedName>
    <definedName name="_____________________________________bla2" localSheetId="5" hidden="1">{"'vert'!$A$1:$T$117"}</definedName>
    <definedName name="_____________________________________bla2" hidden="1">{"'vert'!$A$1:$T$117"}</definedName>
    <definedName name="_____________________________________bla3" localSheetId="8" hidden="1">{"'vert'!$A$1:$T$117"}</definedName>
    <definedName name="_____________________________________bla3" localSheetId="5" hidden="1">{"'vert'!$A$1:$T$117"}</definedName>
    <definedName name="_____________________________________bla3" hidden="1">{"'vert'!$A$1:$T$117"}</definedName>
    <definedName name="_____________________________________DE2" localSheetId="8" hidden="1">{"'vert'!$A$1:$T$117"}</definedName>
    <definedName name="_____________________________________DE2" localSheetId="5" hidden="1">{"'vert'!$A$1:$T$117"}</definedName>
    <definedName name="_____________________________________DE2" hidden="1">{"'vert'!$A$1:$T$117"}</definedName>
    <definedName name="____________________________________bla2" localSheetId="8" hidden="1">{"'vert'!$A$1:$T$117"}</definedName>
    <definedName name="____________________________________bla2" localSheetId="5" hidden="1">{"'vert'!$A$1:$T$117"}</definedName>
    <definedName name="____________________________________bla2" hidden="1">{"'vert'!$A$1:$T$117"}</definedName>
    <definedName name="____________________________________bla3" localSheetId="8" hidden="1">{"'vert'!$A$1:$T$117"}</definedName>
    <definedName name="____________________________________bla3" localSheetId="5" hidden="1">{"'vert'!$A$1:$T$117"}</definedName>
    <definedName name="____________________________________bla3" hidden="1">{"'vert'!$A$1:$T$117"}</definedName>
    <definedName name="____________________________________DE2" localSheetId="8" hidden="1">{"'vert'!$A$1:$T$117"}</definedName>
    <definedName name="____________________________________DE2" localSheetId="5" hidden="1">{"'vert'!$A$1:$T$117"}</definedName>
    <definedName name="____________________________________DE2" hidden="1">{"'vert'!$A$1:$T$117"}</definedName>
    <definedName name="___________________________________bla2" localSheetId="8" hidden="1">{"'vert'!$A$1:$T$117"}</definedName>
    <definedName name="___________________________________bla2" localSheetId="5" hidden="1">{"'vert'!$A$1:$T$117"}</definedName>
    <definedName name="___________________________________bla2" hidden="1">{"'vert'!$A$1:$T$117"}</definedName>
    <definedName name="___________________________________bla3" localSheetId="8" hidden="1">{"'vert'!$A$1:$T$117"}</definedName>
    <definedName name="___________________________________bla3" localSheetId="5" hidden="1">{"'vert'!$A$1:$T$117"}</definedName>
    <definedName name="___________________________________bla3" hidden="1">{"'vert'!$A$1:$T$117"}</definedName>
    <definedName name="___________________________________DE2" localSheetId="8" hidden="1">{"'vert'!$A$1:$T$117"}</definedName>
    <definedName name="___________________________________DE2" localSheetId="5" hidden="1">{"'vert'!$A$1:$T$117"}</definedName>
    <definedName name="___________________________________DE2" hidden="1">{"'vert'!$A$1:$T$117"}</definedName>
    <definedName name="__________________________________bla2" localSheetId="8" hidden="1">{"'vert'!$A$1:$T$117"}</definedName>
    <definedName name="__________________________________bla2" localSheetId="5" hidden="1">{"'vert'!$A$1:$T$117"}</definedName>
    <definedName name="__________________________________bla2" hidden="1">{"'vert'!$A$1:$T$117"}</definedName>
    <definedName name="__________________________________bla3" localSheetId="8" hidden="1">{"'vert'!$A$1:$T$117"}</definedName>
    <definedName name="__________________________________bla3" localSheetId="5" hidden="1">{"'vert'!$A$1:$T$117"}</definedName>
    <definedName name="__________________________________bla3" hidden="1">{"'vert'!$A$1:$T$117"}</definedName>
    <definedName name="__________________________________DE2" localSheetId="8" hidden="1">{"'vert'!$A$1:$T$117"}</definedName>
    <definedName name="__________________________________DE2" localSheetId="5" hidden="1">{"'vert'!$A$1:$T$117"}</definedName>
    <definedName name="__________________________________DE2" hidden="1">{"'vert'!$A$1:$T$117"}</definedName>
    <definedName name="_________________________________bla2" localSheetId="8" hidden="1">{"'vert'!$A$1:$T$117"}</definedName>
    <definedName name="_________________________________bla2" localSheetId="5" hidden="1">{"'vert'!$A$1:$T$117"}</definedName>
    <definedName name="_________________________________bla2" hidden="1">{"'vert'!$A$1:$T$117"}</definedName>
    <definedName name="_________________________________bla3" localSheetId="8" hidden="1">{"'vert'!$A$1:$T$117"}</definedName>
    <definedName name="_________________________________bla3" localSheetId="5" hidden="1">{"'vert'!$A$1:$T$117"}</definedName>
    <definedName name="_________________________________bla3" hidden="1">{"'vert'!$A$1:$T$117"}</definedName>
    <definedName name="_________________________________DE2" localSheetId="8" hidden="1">{"'vert'!$A$1:$T$117"}</definedName>
    <definedName name="_________________________________DE2" localSheetId="5" hidden="1">{"'vert'!$A$1:$T$117"}</definedName>
    <definedName name="_________________________________DE2" hidden="1">{"'vert'!$A$1:$T$117"}</definedName>
    <definedName name="________________________________bla2" localSheetId="8" hidden="1">{"'vert'!$A$1:$T$117"}</definedName>
    <definedName name="________________________________bla2" localSheetId="5" hidden="1">{"'vert'!$A$1:$T$117"}</definedName>
    <definedName name="________________________________bla2" hidden="1">{"'vert'!$A$1:$T$117"}</definedName>
    <definedName name="________________________________bla3" localSheetId="8" hidden="1">{"'vert'!$A$1:$T$117"}</definedName>
    <definedName name="________________________________bla3" localSheetId="5" hidden="1">{"'vert'!$A$1:$T$117"}</definedName>
    <definedName name="________________________________bla3" hidden="1">{"'vert'!$A$1:$T$117"}</definedName>
    <definedName name="________________________________DE2" localSheetId="8" hidden="1">{"'vert'!$A$1:$T$117"}</definedName>
    <definedName name="________________________________DE2" localSheetId="5" hidden="1">{"'vert'!$A$1:$T$117"}</definedName>
    <definedName name="________________________________DE2" hidden="1">{"'vert'!$A$1:$T$117"}</definedName>
    <definedName name="_______________________________bla2" localSheetId="8" hidden="1">{"'vert'!$A$1:$T$117"}</definedName>
    <definedName name="_______________________________bla2" localSheetId="5" hidden="1">{"'vert'!$A$1:$T$117"}</definedName>
    <definedName name="_______________________________bla2" hidden="1">{"'vert'!$A$1:$T$117"}</definedName>
    <definedName name="_______________________________bla3" localSheetId="8" hidden="1">{"'vert'!$A$1:$T$117"}</definedName>
    <definedName name="_______________________________bla3" localSheetId="5" hidden="1">{"'vert'!$A$1:$T$117"}</definedName>
    <definedName name="_______________________________bla3" hidden="1">{"'vert'!$A$1:$T$117"}</definedName>
    <definedName name="_______________________________DE2" localSheetId="8" hidden="1">{"'vert'!$A$1:$T$117"}</definedName>
    <definedName name="_______________________________DE2" localSheetId="5" hidden="1">{"'vert'!$A$1:$T$117"}</definedName>
    <definedName name="_______________________________DE2" hidden="1">{"'vert'!$A$1:$T$117"}</definedName>
    <definedName name="______________________________bla2" localSheetId="8" hidden="1">{"'vert'!$A$1:$T$117"}</definedName>
    <definedName name="______________________________bla2" localSheetId="5" hidden="1">{"'vert'!$A$1:$T$117"}</definedName>
    <definedName name="______________________________bla2" hidden="1">{"'vert'!$A$1:$T$117"}</definedName>
    <definedName name="______________________________bla3" localSheetId="8" hidden="1">{"'vert'!$A$1:$T$117"}</definedName>
    <definedName name="______________________________bla3" localSheetId="5" hidden="1">{"'vert'!$A$1:$T$117"}</definedName>
    <definedName name="______________________________bla3" hidden="1">{"'vert'!$A$1:$T$117"}</definedName>
    <definedName name="______________________________DE2" localSheetId="8" hidden="1">{"'vert'!$A$1:$T$117"}</definedName>
    <definedName name="______________________________DE2" localSheetId="5" hidden="1">{"'vert'!$A$1:$T$117"}</definedName>
    <definedName name="______________________________DE2" hidden="1">{"'vert'!$A$1:$T$117"}</definedName>
    <definedName name="_____________________________bla2" localSheetId="8" hidden="1">{"'vert'!$A$1:$T$117"}</definedName>
    <definedName name="_____________________________bla2" localSheetId="5" hidden="1">{"'vert'!$A$1:$T$117"}</definedName>
    <definedName name="_____________________________bla2" hidden="1">{"'vert'!$A$1:$T$117"}</definedName>
    <definedName name="_____________________________bla3" localSheetId="8" hidden="1">{"'vert'!$A$1:$T$117"}</definedName>
    <definedName name="_____________________________bla3" localSheetId="5" hidden="1">{"'vert'!$A$1:$T$117"}</definedName>
    <definedName name="_____________________________bla3" hidden="1">{"'vert'!$A$1:$T$117"}</definedName>
    <definedName name="_____________________________DE2" localSheetId="8" hidden="1">{"'vert'!$A$1:$T$117"}</definedName>
    <definedName name="_____________________________DE2" localSheetId="5" hidden="1">{"'vert'!$A$1:$T$117"}</definedName>
    <definedName name="_____________________________DE2" hidden="1">{"'vert'!$A$1:$T$117"}</definedName>
    <definedName name="____________________________bla2" localSheetId="8" hidden="1">{"'vert'!$A$1:$T$117"}</definedName>
    <definedName name="____________________________bla2" localSheetId="5" hidden="1">{"'vert'!$A$1:$T$117"}</definedName>
    <definedName name="____________________________bla2" hidden="1">{"'vert'!$A$1:$T$117"}</definedName>
    <definedName name="____________________________bla3" localSheetId="8" hidden="1">{"'vert'!$A$1:$T$117"}</definedName>
    <definedName name="____________________________bla3" localSheetId="5" hidden="1">{"'vert'!$A$1:$T$117"}</definedName>
    <definedName name="____________________________bla3" hidden="1">{"'vert'!$A$1:$T$117"}</definedName>
    <definedName name="____________________________DE2" localSheetId="8" hidden="1">{"'vert'!$A$1:$T$117"}</definedName>
    <definedName name="____________________________DE2" localSheetId="5" hidden="1">{"'vert'!$A$1:$T$117"}</definedName>
    <definedName name="____________________________DE2" hidden="1">{"'vert'!$A$1:$T$117"}</definedName>
    <definedName name="___________________________bla2" localSheetId="8" hidden="1">{"'vert'!$A$1:$T$117"}</definedName>
    <definedName name="___________________________bla2" localSheetId="5" hidden="1">{"'vert'!$A$1:$T$117"}</definedName>
    <definedName name="___________________________bla2" hidden="1">{"'vert'!$A$1:$T$117"}</definedName>
    <definedName name="___________________________bla3" localSheetId="8" hidden="1">{"'vert'!$A$1:$T$117"}</definedName>
    <definedName name="___________________________bla3" localSheetId="5" hidden="1">{"'vert'!$A$1:$T$117"}</definedName>
    <definedName name="___________________________bla3" hidden="1">{"'vert'!$A$1:$T$117"}</definedName>
    <definedName name="___________________________DE2" localSheetId="8" hidden="1">{"'vert'!$A$1:$T$117"}</definedName>
    <definedName name="___________________________DE2" localSheetId="5" hidden="1">{"'vert'!$A$1:$T$117"}</definedName>
    <definedName name="___________________________DE2" hidden="1">{"'vert'!$A$1:$T$117"}</definedName>
    <definedName name="__________________________bla2" localSheetId="8" hidden="1">{"'vert'!$A$1:$T$117"}</definedName>
    <definedName name="__________________________bla2" localSheetId="5" hidden="1">{"'vert'!$A$1:$T$117"}</definedName>
    <definedName name="__________________________bla2" hidden="1">{"'vert'!$A$1:$T$117"}</definedName>
    <definedName name="__________________________bla3" localSheetId="8" hidden="1">{"'vert'!$A$1:$T$117"}</definedName>
    <definedName name="__________________________bla3" localSheetId="5" hidden="1">{"'vert'!$A$1:$T$117"}</definedName>
    <definedName name="__________________________bla3" hidden="1">{"'vert'!$A$1:$T$117"}</definedName>
    <definedName name="__________________________DE2" localSheetId="8" hidden="1">{"'vert'!$A$1:$T$117"}</definedName>
    <definedName name="__________________________DE2" localSheetId="5" hidden="1">{"'vert'!$A$1:$T$117"}</definedName>
    <definedName name="__________________________DE2" hidden="1">{"'vert'!$A$1:$T$117"}</definedName>
    <definedName name="_________________________bla2" localSheetId="8" hidden="1">{"'vert'!$A$1:$T$117"}</definedName>
    <definedName name="_________________________bla2" localSheetId="5" hidden="1">{"'vert'!$A$1:$T$117"}</definedName>
    <definedName name="_________________________bla2" hidden="1">{"'vert'!$A$1:$T$117"}</definedName>
    <definedName name="_________________________bla3" localSheetId="8" hidden="1">{"'vert'!$A$1:$T$117"}</definedName>
    <definedName name="_________________________bla3" localSheetId="5" hidden="1">{"'vert'!$A$1:$T$117"}</definedName>
    <definedName name="_________________________bla3" hidden="1">{"'vert'!$A$1:$T$117"}</definedName>
    <definedName name="_________________________DE2" localSheetId="8" hidden="1">{"'vert'!$A$1:$T$117"}</definedName>
    <definedName name="_________________________DE2" localSheetId="5" hidden="1">{"'vert'!$A$1:$T$117"}</definedName>
    <definedName name="_________________________DE2" hidden="1">{"'vert'!$A$1:$T$117"}</definedName>
    <definedName name="________________________bla2" localSheetId="8" hidden="1">{"'vert'!$A$1:$T$117"}</definedName>
    <definedName name="________________________bla2" localSheetId="5" hidden="1">{"'vert'!$A$1:$T$117"}</definedName>
    <definedName name="________________________bla2" hidden="1">{"'vert'!$A$1:$T$117"}</definedName>
    <definedName name="________________________bla3" localSheetId="8" hidden="1">{"'vert'!$A$1:$T$117"}</definedName>
    <definedName name="________________________bla3" localSheetId="5" hidden="1">{"'vert'!$A$1:$T$117"}</definedName>
    <definedName name="________________________bla3" hidden="1">{"'vert'!$A$1:$T$117"}</definedName>
    <definedName name="________________________DE2" localSheetId="8" hidden="1">{"'vert'!$A$1:$T$117"}</definedName>
    <definedName name="________________________DE2" localSheetId="5" hidden="1">{"'vert'!$A$1:$T$117"}</definedName>
    <definedName name="________________________DE2" hidden="1">{"'vert'!$A$1:$T$117"}</definedName>
    <definedName name="_______________________bla2" localSheetId="8" hidden="1">{"'vert'!$A$1:$T$117"}</definedName>
    <definedName name="_______________________bla2" localSheetId="5" hidden="1">{"'vert'!$A$1:$T$117"}</definedName>
    <definedName name="_______________________bla2" hidden="1">{"'vert'!$A$1:$T$117"}</definedName>
    <definedName name="_______________________bla3" localSheetId="8" hidden="1">{"'vert'!$A$1:$T$117"}</definedName>
    <definedName name="_______________________bla3" localSheetId="5" hidden="1">{"'vert'!$A$1:$T$117"}</definedName>
    <definedName name="_______________________bla3" hidden="1">{"'vert'!$A$1:$T$117"}</definedName>
    <definedName name="_______________________DE2" localSheetId="8" hidden="1">{"'vert'!$A$1:$T$117"}</definedName>
    <definedName name="_______________________DE2" localSheetId="5" hidden="1">{"'vert'!$A$1:$T$117"}</definedName>
    <definedName name="_______________________DE2" hidden="1">{"'vert'!$A$1:$T$117"}</definedName>
    <definedName name="______________________bla2" localSheetId="8" hidden="1">{"'vert'!$A$1:$T$117"}</definedName>
    <definedName name="______________________bla2" localSheetId="5" hidden="1">{"'vert'!$A$1:$T$117"}</definedName>
    <definedName name="______________________bla2" hidden="1">{"'vert'!$A$1:$T$117"}</definedName>
    <definedName name="______________________bla3" localSheetId="8" hidden="1">{"'vert'!$A$1:$T$117"}</definedName>
    <definedName name="______________________bla3" localSheetId="5" hidden="1">{"'vert'!$A$1:$T$117"}</definedName>
    <definedName name="______________________bla3" hidden="1">{"'vert'!$A$1:$T$117"}</definedName>
    <definedName name="______________________DE2" localSheetId="8" hidden="1">{"'vert'!$A$1:$T$117"}</definedName>
    <definedName name="______________________DE2" localSheetId="5" hidden="1">{"'vert'!$A$1:$T$117"}</definedName>
    <definedName name="______________________DE2" hidden="1">{"'vert'!$A$1:$T$117"}</definedName>
    <definedName name="_____________________bla2" localSheetId="8" hidden="1">{"'vert'!$A$1:$T$117"}</definedName>
    <definedName name="_____________________bla2" localSheetId="5" hidden="1">{"'vert'!$A$1:$T$117"}</definedName>
    <definedName name="_____________________bla2" hidden="1">{"'vert'!$A$1:$T$117"}</definedName>
    <definedName name="_____________________bla3" localSheetId="8" hidden="1">{"'vert'!$A$1:$T$117"}</definedName>
    <definedName name="_____________________bla3" localSheetId="5" hidden="1">{"'vert'!$A$1:$T$117"}</definedName>
    <definedName name="_____________________bla3" hidden="1">{"'vert'!$A$1:$T$117"}</definedName>
    <definedName name="_____________________DE2" localSheetId="8" hidden="1">{"'vert'!$A$1:$T$117"}</definedName>
    <definedName name="_____________________DE2" localSheetId="5" hidden="1">{"'vert'!$A$1:$T$117"}</definedName>
    <definedName name="_____________________DE2" hidden="1">{"'vert'!$A$1:$T$117"}</definedName>
    <definedName name="____________________bla2" localSheetId="8" hidden="1">{"'vert'!$A$1:$T$117"}</definedName>
    <definedName name="____________________bla2" localSheetId="5" hidden="1">{"'vert'!$A$1:$T$117"}</definedName>
    <definedName name="____________________bla2" hidden="1">{"'vert'!$A$1:$T$117"}</definedName>
    <definedName name="____________________bla3" localSheetId="8" hidden="1">{"'vert'!$A$1:$T$117"}</definedName>
    <definedName name="____________________bla3" localSheetId="5" hidden="1">{"'vert'!$A$1:$T$117"}</definedName>
    <definedName name="____________________bla3" hidden="1">{"'vert'!$A$1:$T$117"}</definedName>
    <definedName name="____________________DE2" localSheetId="8" hidden="1">{"'vert'!$A$1:$T$117"}</definedName>
    <definedName name="____________________DE2" localSheetId="5" hidden="1">{"'vert'!$A$1:$T$117"}</definedName>
    <definedName name="____________________DE2" hidden="1">{"'vert'!$A$1:$T$117"}</definedName>
    <definedName name="___________________bla2" localSheetId="8" hidden="1">{"'vert'!$A$1:$T$117"}</definedName>
    <definedName name="___________________bla2" localSheetId="5" hidden="1">{"'vert'!$A$1:$T$117"}</definedName>
    <definedName name="___________________bla2" hidden="1">{"'vert'!$A$1:$T$117"}</definedName>
    <definedName name="___________________bla3" localSheetId="8" hidden="1">{"'vert'!$A$1:$T$117"}</definedName>
    <definedName name="___________________bla3" localSheetId="5" hidden="1">{"'vert'!$A$1:$T$117"}</definedName>
    <definedName name="___________________bla3" hidden="1">{"'vert'!$A$1:$T$117"}</definedName>
    <definedName name="___________________DE2" localSheetId="8" hidden="1">{"'vert'!$A$1:$T$117"}</definedName>
    <definedName name="___________________DE2" localSheetId="5" hidden="1">{"'vert'!$A$1:$T$117"}</definedName>
    <definedName name="___________________DE2" hidden="1">{"'vert'!$A$1:$T$117"}</definedName>
    <definedName name="__________________bla2" localSheetId="8" hidden="1">{"'vert'!$A$1:$T$117"}</definedName>
    <definedName name="__________________bla2" localSheetId="5" hidden="1">{"'vert'!$A$1:$T$117"}</definedName>
    <definedName name="__________________bla2" hidden="1">{"'vert'!$A$1:$T$117"}</definedName>
    <definedName name="__________________bla3" localSheetId="8" hidden="1">{"'vert'!$A$1:$T$117"}</definedName>
    <definedName name="__________________bla3" localSheetId="5" hidden="1">{"'vert'!$A$1:$T$117"}</definedName>
    <definedName name="__________________bla3" hidden="1">{"'vert'!$A$1:$T$117"}</definedName>
    <definedName name="__________________DE2" localSheetId="8" hidden="1">{"'vert'!$A$1:$T$117"}</definedName>
    <definedName name="__________________DE2" localSheetId="5" hidden="1">{"'vert'!$A$1:$T$117"}</definedName>
    <definedName name="__________________DE2" hidden="1">{"'vert'!$A$1:$T$117"}</definedName>
    <definedName name="_________________bla2" localSheetId="8" hidden="1">{"'vert'!$A$1:$T$117"}</definedName>
    <definedName name="_________________bla2" localSheetId="5" hidden="1">{"'vert'!$A$1:$T$117"}</definedName>
    <definedName name="_________________bla2" hidden="1">{"'vert'!$A$1:$T$117"}</definedName>
    <definedName name="_________________bla3" localSheetId="8" hidden="1">{"'vert'!$A$1:$T$117"}</definedName>
    <definedName name="_________________bla3" localSheetId="5" hidden="1">{"'vert'!$A$1:$T$117"}</definedName>
    <definedName name="_________________bla3" hidden="1">{"'vert'!$A$1:$T$117"}</definedName>
    <definedName name="_________________DE2" localSheetId="8" hidden="1">{"'vert'!$A$1:$T$117"}</definedName>
    <definedName name="_________________DE2" localSheetId="5" hidden="1">{"'vert'!$A$1:$T$117"}</definedName>
    <definedName name="_________________DE2" hidden="1">{"'vert'!$A$1:$T$117"}</definedName>
    <definedName name="________________bla2" localSheetId="8" hidden="1">{"'vert'!$A$1:$T$117"}</definedName>
    <definedName name="________________bla2" localSheetId="5" hidden="1">{"'vert'!$A$1:$T$117"}</definedName>
    <definedName name="________________bla2" hidden="1">{"'vert'!$A$1:$T$117"}</definedName>
    <definedName name="________________bla3" localSheetId="8" hidden="1">{"'vert'!$A$1:$T$117"}</definedName>
    <definedName name="________________bla3" localSheetId="5" hidden="1">{"'vert'!$A$1:$T$117"}</definedName>
    <definedName name="________________bla3" hidden="1">{"'vert'!$A$1:$T$117"}</definedName>
    <definedName name="________________DE2" localSheetId="8" hidden="1">{"'vert'!$A$1:$T$117"}</definedName>
    <definedName name="________________DE2" localSheetId="5" hidden="1">{"'vert'!$A$1:$T$117"}</definedName>
    <definedName name="________________DE2" hidden="1">{"'vert'!$A$1:$T$117"}</definedName>
    <definedName name="_______________bla2" localSheetId="8" hidden="1">{"'vert'!$A$1:$T$117"}</definedName>
    <definedName name="_______________bla2" localSheetId="5" hidden="1">{"'vert'!$A$1:$T$117"}</definedName>
    <definedName name="_______________bla2" hidden="1">{"'vert'!$A$1:$T$117"}</definedName>
    <definedName name="_______________bla3" localSheetId="8" hidden="1">{"'vert'!$A$1:$T$117"}</definedName>
    <definedName name="_______________bla3" localSheetId="5" hidden="1">{"'vert'!$A$1:$T$117"}</definedName>
    <definedName name="_______________bla3" hidden="1">{"'vert'!$A$1:$T$117"}</definedName>
    <definedName name="_______________DE2" localSheetId="8" hidden="1">{"'vert'!$A$1:$T$117"}</definedName>
    <definedName name="_______________DE2" localSheetId="5" hidden="1">{"'vert'!$A$1:$T$117"}</definedName>
    <definedName name="_______________DE2" hidden="1">{"'vert'!$A$1:$T$117"}</definedName>
    <definedName name="______________bla2" localSheetId="8" hidden="1">{"'vert'!$A$1:$T$117"}</definedName>
    <definedName name="______________bla2" localSheetId="5" hidden="1">{"'vert'!$A$1:$T$117"}</definedName>
    <definedName name="______________bla2" hidden="1">{"'vert'!$A$1:$T$117"}</definedName>
    <definedName name="______________bla3" localSheetId="8" hidden="1">{"'vert'!$A$1:$T$117"}</definedName>
    <definedName name="______________bla3" localSheetId="5" hidden="1">{"'vert'!$A$1:$T$117"}</definedName>
    <definedName name="______________bla3" hidden="1">{"'vert'!$A$1:$T$117"}</definedName>
    <definedName name="______________DE2" localSheetId="8" hidden="1">{"'vert'!$A$1:$T$117"}</definedName>
    <definedName name="______________DE2" localSheetId="5" hidden="1">{"'vert'!$A$1:$T$117"}</definedName>
    <definedName name="______________DE2" hidden="1">{"'vert'!$A$1:$T$117"}</definedName>
    <definedName name="_____________bla2" localSheetId="8" hidden="1">{"'vert'!$A$1:$T$117"}</definedName>
    <definedName name="_____________bla2" localSheetId="5" hidden="1">{"'vert'!$A$1:$T$117"}</definedName>
    <definedName name="_____________bla2" hidden="1">{"'vert'!$A$1:$T$117"}</definedName>
    <definedName name="_____________bla3" localSheetId="8" hidden="1">{"'vert'!$A$1:$T$117"}</definedName>
    <definedName name="_____________bla3" localSheetId="5" hidden="1">{"'vert'!$A$1:$T$117"}</definedName>
    <definedName name="_____________bla3" hidden="1">{"'vert'!$A$1:$T$117"}</definedName>
    <definedName name="_____________DE2" localSheetId="8" hidden="1">{"'vert'!$A$1:$T$117"}</definedName>
    <definedName name="_____________DE2" localSheetId="5" hidden="1">{"'vert'!$A$1:$T$117"}</definedName>
    <definedName name="_____________DE2" hidden="1">{"'vert'!$A$1:$T$117"}</definedName>
    <definedName name="____________bla2" localSheetId="8" hidden="1">{"'vert'!$A$1:$T$117"}</definedName>
    <definedName name="____________bla2" localSheetId="5" hidden="1">{"'vert'!$A$1:$T$117"}</definedName>
    <definedName name="____________bla2" hidden="1">{"'vert'!$A$1:$T$117"}</definedName>
    <definedName name="____________bla3" localSheetId="8" hidden="1">{"'vert'!$A$1:$T$117"}</definedName>
    <definedName name="____________bla3" localSheetId="5" hidden="1">{"'vert'!$A$1:$T$117"}</definedName>
    <definedName name="____________bla3" hidden="1">{"'vert'!$A$1:$T$117"}</definedName>
    <definedName name="____________DE2" localSheetId="8" hidden="1">{"'vert'!$A$1:$T$117"}</definedName>
    <definedName name="____________DE2" localSheetId="5" hidden="1">{"'vert'!$A$1:$T$117"}</definedName>
    <definedName name="____________DE2" hidden="1">{"'vert'!$A$1:$T$117"}</definedName>
    <definedName name="___________bla2" localSheetId="8" hidden="1">{"'vert'!$A$1:$T$117"}</definedName>
    <definedName name="___________bla2" localSheetId="5" hidden="1">{"'vert'!$A$1:$T$117"}</definedName>
    <definedName name="___________bla2" hidden="1">{"'vert'!$A$1:$T$117"}</definedName>
    <definedName name="___________bla3" localSheetId="8" hidden="1">{"'vert'!$A$1:$T$117"}</definedName>
    <definedName name="___________bla3" localSheetId="5" hidden="1">{"'vert'!$A$1:$T$117"}</definedName>
    <definedName name="___________bla3" hidden="1">{"'vert'!$A$1:$T$117"}</definedName>
    <definedName name="___________DE2" localSheetId="8" hidden="1">{"'vert'!$A$1:$T$117"}</definedName>
    <definedName name="___________DE2" localSheetId="5" hidden="1">{"'vert'!$A$1:$T$117"}</definedName>
    <definedName name="___________DE2" hidden="1">{"'vert'!$A$1:$T$117"}</definedName>
    <definedName name="__________bla2" localSheetId="8" hidden="1">{"'vert'!$A$1:$T$117"}</definedName>
    <definedName name="__________bla2" localSheetId="5" hidden="1">{"'vert'!$A$1:$T$117"}</definedName>
    <definedName name="__________bla2" hidden="1">{"'vert'!$A$1:$T$117"}</definedName>
    <definedName name="__________bla3" localSheetId="8" hidden="1">{"'vert'!$A$1:$T$117"}</definedName>
    <definedName name="__________bla3" localSheetId="5" hidden="1">{"'vert'!$A$1:$T$117"}</definedName>
    <definedName name="__________bla3" hidden="1">{"'vert'!$A$1:$T$117"}</definedName>
    <definedName name="__________DE2" localSheetId="8" hidden="1">{"'vert'!$A$1:$T$117"}</definedName>
    <definedName name="__________DE2" localSheetId="5" hidden="1">{"'vert'!$A$1:$T$117"}</definedName>
    <definedName name="__________DE2" hidden="1">{"'vert'!$A$1:$T$117"}</definedName>
    <definedName name="__________huh3" localSheetId="8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________huh3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________huh3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_______bla2" localSheetId="8" hidden="1">{"'vert'!$A$1:$T$117"}</definedName>
    <definedName name="_________bla2" localSheetId="5" hidden="1">{"'vert'!$A$1:$T$117"}</definedName>
    <definedName name="_________bla2" hidden="1">{"'vert'!$A$1:$T$117"}</definedName>
    <definedName name="_________bla3" localSheetId="8" hidden="1">{"'vert'!$A$1:$T$117"}</definedName>
    <definedName name="_________bla3" localSheetId="5" hidden="1">{"'vert'!$A$1:$T$117"}</definedName>
    <definedName name="_________bla3" hidden="1">{"'vert'!$A$1:$T$117"}</definedName>
    <definedName name="_________DE2" localSheetId="8" hidden="1">{"'vert'!$A$1:$T$117"}</definedName>
    <definedName name="_________DE2" localSheetId="5" hidden="1">{"'vert'!$A$1:$T$117"}</definedName>
    <definedName name="_________DE2" hidden="1">{"'vert'!$A$1:$T$117"}</definedName>
    <definedName name="_________huh3" localSheetId="8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_______huh3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_______huh3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______bla2" localSheetId="8" hidden="1">{"'vert'!$A$1:$T$117"}</definedName>
    <definedName name="________bla2" localSheetId="5" hidden="1">{"'vert'!$A$1:$T$117"}</definedName>
    <definedName name="________bla2" hidden="1">{"'vert'!$A$1:$T$117"}</definedName>
    <definedName name="________bla3" localSheetId="8" hidden="1">{"'vert'!$A$1:$T$117"}</definedName>
    <definedName name="________bla3" localSheetId="5" hidden="1">{"'vert'!$A$1:$T$117"}</definedName>
    <definedName name="________bla3" hidden="1">{"'vert'!$A$1:$T$117"}</definedName>
    <definedName name="________DE2" localSheetId="8" hidden="1">{"'vert'!$A$1:$T$117"}</definedName>
    <definedName name="________DE2" localSheetId="5" hidden="1">{"'vert'!$A$1:$T$117"}</definedName>
    <definedName name="________DE2" hidden="1">{"'vert'!$A$1:$T$117"}</definedName>
    <definedName name="________huh3" localSheetId="8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______huh3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______huh3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_____bla2" localSheetId="8" hidden="1">{"'vert'!$A$1:$T$117"}</definedName>
    <definedName name="_______bla2" localSheetId="5" hidden="1">{"'vert'!$A$1:$T$117"}</definedName>
    <definedName name="_______bla2" hidden="1">{"'vert'!$A$1:$T$117"}</definedName>
    <definedName name="_______bla3" localSheetId="8" hidden="1">{"'vert'!$A$1:$T$117"}</definedName>
    <definedName name="_______bla3" localSheetId="5" hidden="1">{"'vert'!$A$1:$T$117"}</definedName>
    <definedName name="_______bla3" hidden="1">{"'vert'!$A$1:$T$117"}</definedName>
    <definedName name="_______DE2" localSheetId="8" hidden="1">{"'vert'!$A$1:$T$117"}</definedName>
    <definedName name="_______DE2" localSheetId="5" hidden="1">{"'vert'!$A$1:$T$117"}</definedName>
    <definedName name="_______DE2" hidden="1">{"'vert'!$A$1:$T$117"}</definedName>
    <definedName name="______bla2" localSheetId="8" hidden="1">{"'vert'!$A$1:$T$117"}</definedName>
    <definedName name="______bla2" localSheetId="5" hidden="1">{"'vert'!$A$1:$T$117"}</definedName>
    <definedName name="______bla2" hidden="1">{"'vert'!$A$1:$T$117"}</definedName>
    <definedName name="______bla2_1" localSheetId="8" hidden="1">{"'vert'!$A$1:$T$117"}</definedName>
    <definedName name="______bla2_1" localSheetId="5" hidden="1">{"'vert'!$A$1:$T$117"}</definedName>
    <definedName name="______bla2_1" hidden="1">{"'vert'!$A$1:$T$117"}</definedName>
    <definedName name="______bla2_1_1" localSheetId="8" hidden="1">{"'vert'!$A$1:$T$117"}</definedName>
    <definedName name="______bla2_1_1" localSheetId="5" hidden="1">{"'vert'!$A$1:$T$117"}</definedName>
    <definedName name="______bla2_1_1" hidden="1">{"'vert'!$A$1:$T$117"}</definedName>
    <definedName name="______bla2_1_2" localSheetId="8" hidden="1">{"'vert'!$A$1:$T$117"}</definedName>
    <definedName name="______bla2_1_2" localSheetId="5" hidden="1">{"'vert'!$A$1:$T$117"}</definedName>
    <definedName name="______bla2_1_2" hidden="1">{"'vert'!$A$1:$T$117"}</definedName>
    <definedName name="______bla2_2" localSheetId="8" hidden="1">{"'vert'!$A$1:$T$117"}</definedName>
    <definedName name="______bla2_2" localSheetId="5" hidden="1">{"'vert'!$A$1:$T$117"}</definedName>
    <definedName name="______bla2_2" hidden="1">{"'vert'!$A$1:$T$117"}</definedName>
    <definedName name="______bla2_3" localSheetId="8" hidden="1">{"'vert'!$A$1:$T$117"}</definedName>
    <definedName name="______bla2_3" localSheetId="5" hidden="1">{"'vert'!$A$1:$T$117"}</definedName>
    <definedName name="______bla2_3" hidden="1">{"'vert'!$A$1:$T$117"}</definedName>
    <definedName name="______bla3" localSheetId="8" hidden="1">{"'vert'!$A$1:$T$117"}</definedName>
    <definedName name="______bla3" localSheetId="5" hidden="1">{"'vert'!$A$1:$T$117"}</definedName>
    <definedName name="______bla3" hidden="1">{"'vert'!$A$1:$T$117"}</definedName>
    <definedName name="______bla3_1" localSheetId="8" hidden="1">{"'vert'!$A$1:$T$117"}</definedName>
    <definedName name="______bla3_1" localSheetId="5" hidden="1">{"'vert'!$A$1:$T$117"}</definedName>
    <definedName name="______bla3_1" hidden="1">{"'vert'!$A$1:$T$117"}</definedName>
    <definedName name="______bla3_1_1" localSheetId="8" hidden="1">{"'vert'!$A$1:$T$117"}</definedName>
    <definedName name="______bla3_1_1" localSheetId="5" hidden="1">{"'vert'!$A$1:$T$117"}</definedName>
    <definedName name="______bla3_1_1" hidden="1">{"'vert'!$A$1:$T$117"}</definedName>
    <definedName name="______bla3_1_2" localSheetId="8" hidden="1">{"'vert'!$A$1:$T$117"}</definedName>
    <definedName name="______bla3_1_2" localSheetId="5" hidden="1">{"'vert'!$A$1:$T$117"}</definedName>
    <definedName name="______bla3_1_2" hidden="1">{"'vert'!$A$1:$T$117"}</definedName>
    <definedName name="______bla3_2" localSheetId="8" hidden="1">{"'vert'!$A$1:$T$117"}</definedName>
    <definedName name="______bla3_2" localSheetId="5" hidden="1">{"'vert'!$A$1:$T$117"}</definedName>
    <definedName name="______bla3_2" hidden="1">{"'vert'!$A$1:$T$117"}</definedName>
    <definedName name="______bla3_3" localSheetId="8" hidden="1">{"'vert'!$A$1:$T$117"}</definedName>
    <definedName name="______bla3_3" localSheetId="5" hidden="1">{"'vert'!$A$1:$T$117"}</definedName>
    <definedName name="______bla3_3" hidden="1">{"'vert'!$A$1:$T$117"}</definedName>
    <definedName name="______DE2" localSheetId="8" hidden="1">{"'vert'!$A$1:$T$117"}</definedName>
    <definedName name="______DE2" localSheetId="5" hidden="1">{"'vert'!$A$1:$T$117"}</definedName>
    <definedName name="______DE2" hidden="1">{"'vert'!$A$1:$T$117"}</definedName>
    <definedName name="______DE2_1" localSheetId="8" hidden="1">{"'vert'!$A$1:$T$117"}</definedName>
    <definedName name="______DE2_1" localSheetId="5" hidden="1">{"'vert'!$A$1:$T$117"}</definedName>
    <definedName name="______DE2_1" hidden="1">{"'vert'!$A$1:$T$117"}</definedName>
    <definedName name="______DE2_1_1" localSheetId="8" hidden="1">{"'vert'!$A$1:$T$117"}</definedName>
    <definedName name="______DE2_1_1" localSheetId="5" hidden="1">{"'vert'!$A$1:$T$117"}</definedName>
    <definedName name="______DE2_1_1" hidden="1">{"'vert'!$A$1:$T$117"}</definedName>
    <definedName name="______DE2_1_2" localSheetId="8" hidden="1">{"'vert'!$A$1:$T$117"}</definedName>
    <definedName name="______DE2_1_2" localSheetId="5" hidden="1">{"'vert'!$A$1:$T$117"}</definedName>
    <definedName name="______DE2_1_2" hidden="1">{"'vert'!$A$1:$T$117"}</definedName>
    <definedName name="______DE2_2" localSheetId="8" hidden="1">{"'vert'!$A$1:$T$117"}</definedName>
    <definedName name="______DE2_2" localSheetId="5" hidden="1">{"'vert'!$A$1:$T$117"}</definedName>
    <definedName name="______DE2_2" hidden="1">{"'vert'!$A$1:$T$117"}</definedName>
    <definedName name="______DE2_3" localSheetId="8" hidden="1">{"'vert'!$A$1:$T$117"}</definedName>
    <definedName name="______DE2_3" localSheetId="5" hidden="1">{"'vert'!$A$1:$T$117"}</definedName>
    <definedName name="______DE2_3" hidden="1">{"'vert'!$A$1:$T$117"}</definedName>
    <definedName name="______huh3" localSheetId="8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____huh3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____huh3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___a1" localSheetId="8" hidden="1">{"'vert'!$A$1:$T$117"}</definedName>
    <definedName name="_____a1" localSheetId="5" hidden="1">{"'vert'!$A$1:$T$117"}</definedName>
    <definedName name="_____a1" hidden="1">{"'vert'!$A$1:$T$117"}</definedName>
    <definedName name="_____a1_1" localSheetId="8" hidden="1">{"'vert'!$A$1:$T$117"}</definedName>
    <definedName name="_____a1_1" localSheetId="5" hidden="1">{"'vert'!$A$1:$T$117"}</definedName>
    <definedName name="_____a1_1" hidden="1">{"'vert'!$A$1:$T$117"}</definedName>
    <definedName name="_____a1_1_1" localSheetId="8" hidden="1">{"'vert'!$A$1:$T$117"}</definedName>
    <definedName name="_____a1_1_1" localSheetId="5" hidden="1">{"'vert'!$A$1:$T$117"}</definedName>
    <definedName name="_____a1_1_1" hidden="1">{"'vert'!$A$1:$T$117"}</definedName>
    <definedName name="_____a1_1_2" localSheetId="8" hidden="1">{"'vert'!$A$1:$T$117"}</definedName>
    <definedName name="_____a1_1_2" localSheetId="5" hidden="1">{"'vert'!$A$1:$T$117"}</definedName>
    <definedName name="_____a1_1_2" hidden="1">{"'vert'!$A$1:$T$117"}</definedName>
    <definedName name="_____a1_2" localSheetId="8" hidden="1">{"'vert'!$A$1:$T$117"}</definedName>
    <definedName name="_____a1_2" localSheetId="5" hidden="1">{"'vert'!$A$1:$T$117"}</definedName>
    <definedName name="_____a1_2" hidden="1">{"'vert'!$A$1:$T$117"}</definedName>
    <definedName name="_____a1_3" localSheetId="8" hidden="1">{"'vert'!$A$1:$T$117"}</definedName>
    <definedName name="_____a1_3" localSheetId="5" hidden="1">{"'vert'!$A$1:$T$117"}</definedName>
    <definedName name="_____a1_3" hidden="1">{"'vert'!$A$1:$T$117"}</definedName>
    <definedName name="_____a101" localSheetId="8" hidden="1">{"'vert'!$A$1:$T$117"}</definedName>
    <definedName name="_____a101" localSheetId="5" hidden="1">{"'vert'!$A$1:$T$117"}</definedName>
    <definedName name="_____a101" hidden="1">{"'vert'!$A$1:$T$117"}</definedName>
    <definedName name="_____a101_1" localSheetId="8" hidden="1">{"'vert'!$A$1:$T$117"}</definedName>
    <definedName name="_____a101_1" localSheetId="5" hidden="1">{"'vert'!$A$1:$T$117"}</definedName>
    <definedName name="_____a101_1" hidden="1">{"'vert'!$A$1:$T$117"}</definedName>
    <definedName name="_____a101_1_1" localSheetId="8" hidden="1">{"'vert'!$A$1:$T$117"}</definedName>
    <definedName name="_____a101_1_1" localSheetId="5" hidden="1">{"'vert'!$A$1:$T$117"}</definedName>
    <definedName name="_____a101_1_1" hidden="1">{"'vert'!$A$1:$T$117"}</definedName>
    <definedName name="_____a101_1_2" localSheetId="8" hidden="1">{"'vert'!$A$1:$T$117"}</definedName>
    <definedName name="_____a101_1_2" localSheetId="5" hidden="1">{"'vert'!$A$1:$T$117"}</definedName>
    <definedName name="_____a101_1_2" hidden="1">{"'vert'!$A$1:$T$117"}</definedName>
    <definedName name="_____a101_2" localSheetId="8" hidden="1">{"'vert'!$A$1:$T$117"}</definedName>
    <definedName name="_____a101_2" localSheetId="5" hidden="1">{"'vert'!$A$1:$T$117"}</definedName>
    <definedName name="_____a101_2" hidden="1">{"'vert'!$A$1:$T$117"}</definedName>
    <definedName name="_____a101_3" localSheetId="8" hidden="1">{"'vert'!$A$1:$T$117"}</definedName>
    <definedName name="_____a101_3" localSheetId="5" hidden="1">{"'vert'!$A$1:$T$117"}</definedName>
    <definedName name="_____a101_3" hidden="1">{"'vert'!$A$1:$T$117"}</definedName>
    <definedName name="_____a102" localSheetId="8" hidden="1">{"'vert'!$A$1:$T$117"}</definedName>
    <definedName name="_____a102" localSheetId="5" hidden="1">{"'vert'!$A$1:$T$117"}</definedName>
    <definedName name="_____a102" hidden="1">{"'vert'!$A$1:$T$117"}</definedName>
    <definedName name="_____a102_1" localSheetId="8" hidden="1">{"'vert'!$A$1:$T$117"}</definedName>
    <definedName name="_____a102_1" localSheetId="5" hidden="1">{"'vert'!$A$1:$T$117"}</definedName>
    <definedName name="_____a102_1" hidden="1">{"'vert'!$A$1:$T$117"}</definedName>
    <definedName name="_____a102_1_1" localSheetId="8" hidden="1">{"'vert'!$A$1:$T$117"}</definedName>
    <definedName name="_____a102_1_1" localSheetId="5" hidden="1">{"'vert'!$A$1:$T$117"}</definedName>
    <definedName name="_____a102_1_1" hidden="1">{"'vert'!$A$1:$T$117"}</definedName>
    <definedName name="_____a102_1_2" localSheetId="8" hidden="1">{"'vert'!$A$1:$T$117"}</definedName>
    <definedName name="_____a102_1_2" localSheetId="5" hidden="1">{"'vert'!$A$1:$T$117"}</definedName>
    <definedName name="_____a102_1_2" hidden="1">{"'vert'!$A$1:$T$117"}</definedName>
    <definedName name="_____a102_2" localSheetId="8" hidden="1">{"'vert'!$A$1:$T$117"}</definedName>
    <definedName name="_____a102_2" localSheetId="5" hidden="1">{"'vert'!$A$1:$T$117"}</definedName>
    <definedName name="_____a102_2" hidden="1">{"'vert'!$A$1:$T$117"}</definedName>
    <definedName name="_____a102_3" localSheetId="8" hidden="1">{"'vert'!$A$1:$T$117"}</definedName>
    <definedName name="_____a102_3" localSheetId="5" hidden="1">{"'vert'!$A$1:$T$117"}</definedName>
    <definedName name="_____a102_3" hidden="1">{"'vert'!$A$1:$T$117"}</definedName>
    <definedName name="_____a103" localSheetId="8" hidden="1">{"'vert'!$A$1:$T$117"}</definedName>
    <definedName name="_____a103" localSheetId="5" hidden="1">{"'vert'!$A$1:$T$117"}</definedName>
    <definedName name="_____a103" hidden="1">{"'vert'!$A$1:$T$117"}</definedName>
    <definedName name="_____a103_1" localSheetId="8" hidden="1">{"'vert'!$A$1:$T$117"}</definedName>
    <definedName name="_____a103_1" localSheetId="5" hidden="1">{"'vert'!$A$1:$T$117"}</definedName>
    <definedName name="_____a103_1" hidden="1">{"'vert'!$A$1:$T$117"}</definedName>
    <definedName name="_____a103_1_1" localSheetId="8" hidden="1">{"'vert'!$A$1:$T$117"}</definedName>
    <definedName name="_____a103_1_1" localSheetId="5" hidden="1">{"'vert'!$A$1:$T$117"}</definedName>
    <definedName name="_____a103_1_1" hidden="1">{"'vert'!$A$1:$T$117"}</definedName>
    <definedName name="_____a103_1_2" localSheetId="8" hidden="1">{"'vert'!$A$1:$T$117"}</definedName>
    <definedName name="_____a103_1_2" localSheetId="5" hidden="1">{"'vert'!$A$1:$T$117"}</definedName>
    <definedName name="_____a103_1_2" hidden="1">{"'vert'!$A$1:$T$117"}</definedName>
    <definedName name="_____a103_2" localSheetId="8" hidden="1">{"'vert'!$A$1:$T$117"}</definedName>
    <definedName name="_____a103_2" localSheetId="5" hidden="1">{"'vert'!$A$1:$T$117"}</definedName>
    <definedName name="_____a103_2" hidden="1">{"'vert'!$A$1:$T$117"}</definedName>
    <definedName name="_____a103_3" localSheetId="8" hidden="1">{"'vert'!$A$1:$T$117"}</definedName>
    <definedName name="_____a103_3" localSheetId="5" hidden="1">{"'vert'!$A$1:$T$117"}</definedName>
    <definedName name="_____a103_3" hidden="1">{"'vert'!$A$1:$T$117"}</definedName>
    <definedName name="_____a104" localSheetId="8" hidden="1">{"'vert'!$A$1:$T$117"}</definedName>
    <definedName name="_____a104" localSheetId="5" hidden="1">{"'vert'!$A$1:$T$117"}</definedName>
    <definedName name="_____a104" hidden="1">{"'vert'!$A$1:$T$117"}</definedName>
    <definedName name="_____a104_1" localSheetId="8" hidden="1">{"'vert'!$A$1:$T$117"}</definedName>
    <definedName name="_____a104_1" localSheetId="5" hidden="1">{"'vert'!$A$1:$T$117"}</definedName>
    <definedName name="_____a104_1" hidden="1">{"'vert'!$A$1:$T$117"}</definedName>
    <definedName name="_____a104_1_1" localSheetId="8" hidden="1">{"'vert'!$A$1:$T$117"}</definedName>
    <definedName name="_____a104_1_1" localSheetId="5" hidden="1">{"'vert'!$A$1:$T$117"}</definedName>
    <definedName name="_____a104_1_1" hidden="1">{"'vert'!$A$1:$T$117"}</definedName>
    <definedName name="_____a104_1_2" localSheetId="8" hidden="1">{"'vert'!$A$1:$T$117"}</definedName>
    <definedName name="_____a104_1_2" localSheetId="5" hidden="1">{"'vert'!$A$1:$T$117"}</definedName>
    <definedName name="_____a104_1_2" hidden="1">{"'vert'!$A$1:$T$117"}</definedName>
    <definedName name="_____a104_2" localSheetId="8" hidden="1">{"'vert'!$A$1:$T$117"}</definedName>
    <definedName name="_____a104_2" localSheetId="5" hidden="1">{"'vert'!$A$1:$T$117"}</definedName>
    <definedName name="_____a104_2" hidden="1">{"'vert'!$A$1:$T$117"}</definedName>
    <definedName name="_____a104_3" localSheetId="8" hidden="1">{"'vert'!$A$1:$T$117"}</definedName>
    <definedName name="_____a104_3" localSheetId="5" hidden="1">{"'vert'!$A$1:$T$117"}</definedName>
    <definedName name="_____a104_3" hidden="1">{"'vert'!$A$1:$T$117"}</definedName>
    <definedName name="_____a105" localSheetId="8" hidden="1">{"'vert'!$A$1:$T$117"}</definedName>
    <definedName name="_____a105" localSheetId="5" hidden="1">{"'vert'!$A$1:$T$117"}</definedName>
    <definedName name="_____a105" hidden="1">{"'vert'!$A$1:$T$117"}</definedName>
    <definedName name="_____a105_1" localSheetId="8" hidden="1">{"'vert'!$A$1:$T$117"}</definedName>
    <definedName name="_____a105_1" localSheetId="5" hidden="1">{"'vert'!$A$1:$T$117"}</definedName>
    <definedName name="_____a105_1" hidden="1">{"'vert'!$A$1:$T$117"}</definedName>
    <definedName name="_____a105_1_1" localSheetId="8" hidden="1">{"'vert'!$A$1:$T$117"}</definedName>
    <definedName name="_____a105_1_1" localSheetId="5" hidden="1">{"'vert'!$A$1:$T$117"}</definedName>
    <definedName name="_____a105_1_1" hidden="1">{"'vert'!$A$1:$T$117"}</definedName>
    <definedName name="_____a105_1_2" localSheetId="8" hidden="1">{"'vert'!$A$1:$T$117"}</definedName>
    <definedName name="_____a105_1_2" localSheetId="5" hidden="1">{"'vert'!$A$1:$T$117"}</definedName>
    <definedName name="_____a105_1_2" hidden="1">{"'vert'!$A$1:$T$117"}</definedName>
    <definedName name="_____a105_2" localSheetId="8" hidden="1">{"'vert'!$A$1:$T$117"}</definedName>
    <definedName name="_____a105_2" localSheetId="5" hidden="1">{"'vert'!$A$1:$T$117"}</definedName>
    <definedName name="_____a105_2" hidden="1">{"'vert'!$A$1:$T$117"}</definedName>
    <definedName name="_____a105_3" localSheetId="8" hidden="1">{"'vert'!$A$1:$T$117"}</definedName>
    <definedName name="_____a105_3" localSheetId="5" hidden="1">{"'vert'!$A$1:$T$117"}</definedName>
    <definedName name="_____a105_3" hidden="1">{"'vert'!$A$1:$T$117"}</definedName>
    <definedName name="_____a106" localSheetId="8" hidden="1">{"'vert'!$A$1:$T$117"}</definedName>
    <definedName name="_____a106" localSheetId="5" hidden="1">{"'vert'!$A$1:$T$117"}</definedName>
    <definedName name="_____a106" hidden="1">{"'vert'!$A$1:$T$117"}</definedName>
    <definedName name="_____a106_1" localSheetId="8" hidden="1">{"'vert'!$A$1:$T$117"}</definedName>
    <definedName name="_____a106_1" localSheetId="5" hidden="1">{"'vert'!$A$1:$T$117"}</definedName>
    <definedName name="_____a106_1" hidden="1">{"'vert'!$A$1:$T$117"}</definedName>
    <definedName name="_____a106_1_1" localSheetId="8" hidden="1">{"'vert'!$A$1:$T$117"}</definedName>
    <definedName name="_____a106_1_1" localSheetId="5" hidden="1">{"'vert'!$A$1:$T$117"}</definedName>
    <definedName name="_____a106_1_1" hidden="1">{"'vert'!$A$1:$T$117"}</definedName>
    <definedName name="_____a106_1_2" localSheetId="8" hidden="1">{"'vert'!$A$1:$T$117"}</definedName>
    <definedName name="_____a106_1_2" localSheetId="5" hidden="1">{"'vert'!$A$1:$T$117"}</definedName>
    <definedName name="_____a106_1_2" hidden="1">{"'vert'!$A$1:$T$117"}</definedName>
    <definedName name="_____a106_2" localSheetId="8" hidden="1">{"'vert'!$A$1:$T$117"}</definedName>
    <definedName name="_____a106_2" localSheetId="5" hidden="1">{"'vert'!$A$1:$T$117"}</definedName>
    <definedName name="_____a106_2" hidden="1">{"'vert'!$A$1:$T$117"}</definedName>
    <definedName name="_____a106_3" localSheetId="8" hidden="1">{"'vert'!$A$1:$T$117"}</definedName>
    <definedName name="_____a106_3" localSheetId="5" hidden="1">{"'vert'!$A$1:$T$117"}</definedName>
    <definedName name="_____a106_3" hidden="1">{"'vert'!$A$1:$T$117"}</definedName>
    <definedName name="_____a107" localSheetId="8" hidden="1">{"'vert'!$A$1:$T$117"}</definedName>
    <definedName name="_____a107" localSheetId="5" hidden="1">{"'vert'!$A$1:$T$117"}</definedName>
    <definedName name="_____a107" hidden="1">{"'vert'!$A$1:$T$117"}</definedName>
    <definedName name="_____a107_1" localSheetId="8" hidden="1">{"'vert'!$A$1:$T$117"}</definedName>
    <definedName name="_____a107_1" localSheetId="5" hidden="1">{"'vert'!$A$1:$T$117"}</definedName>
    <definedName name="_____a107_1" hidden="1">{"'vert'!$A$1:$T$117"}</definedName>
    <definedName name="_____a107_1_1" localSheetId="8" hidden="1">{"'vert'!$A$1:$T$117"}</definedName>
    <definedName name="_____a107_1_1" localSheetId="5" hidden="1">{"'vert'!$A$1:$T$117"}</definedName>
    <definedName name="_____a107_1_1" hidden="1">{"'vert'!$A$1:$T$117"}</definedName>
    <definedName name="_____a107_1_2" localSheetId="8" hidden="1">{"'vert'!$A$1:$T$117"}</definedName>
    <definedName name="_____a107_1_2" localSheetId="5" hidden="1">{"'vert'!$A$1:$T$117"}</definedName>
    <definedName name="_____a107_1_2" hidden="1">{"'vert'!$A$1:$T$117"}</definedName>
    <definedName name="_____a107_2" localSheetId="8" hidden="1">{"'vert'!$A$1:$T$117"}</definedName>
    <definedName name="_____a107_2" localSheetId="5" hidden="1">{"'vert'!$A$1:$T$117"}</definedName>
    <definedName name="_____a107_2" hidden="1">{"'vert'!$A$1:$T$117"}</definedName>
    <definedName name="_____a107_3" localSheetId="8" hidden="1">{"'vert'!$A$1:$T$117"}</definedName>
    <definedName name="_____a107_3" localSheetId="5" hidden="1">{"'vert'!$A$1:$T$117"}</definedName>
    <definedName name="_____a107_3" hidden="1">{"'vert'!$A$1:$T$117"}</definedName>
    <definedName name="_____a108" localSheetId="8" hidden="1">{"'vert'!$A$1:$T$117"}</definedName>
    <definedName name="_____a108" localSheetId="5" hidden="1">{"'vert'!$A$1:$T$117"}</definedName>
    <definedName name="_____a108" hidden="1">{"'vert'!$A$1:$T$117"}</definedName>
    <definedName name="_____a108_1" localSheetId="8" hidden="1">{"'vert'!$A$1:$T$117"}</definedName>
    <definedName name="_____a108_1" localSheetId="5" hidden="1">{"'vert'!$A$1:$T$117"}</definedName>
    <definedName name="_____a108_1" hidden="1">{"'vert'!$A$1:$T$117"}</definedName>
    <definedName name="_____a108_1_1" localSheetId="8" hidden="1">{"'vert'!$A$1:$T$117"}</definedName>
    <definedName name="_____a108_1_1" localSheetId="5" hidden="1">{"'vert'!$A$1:$T$117"}</definedName>
    <definedName name="_____a108_1_1" hidden="1">{"'vert'!$A$1:$T$117"}</definedName>
    <definedName name="_____a108_1_2" localSheetId="8" hidden="1">{"'vert'!$A$1:$T$117"}</definedName>
    <definedName name="_____a108_1_2" localSheetId="5" hidden="1">{"'vert'!$A$1:$T$117"}</definedName>
    <definedName name="_____a108_1_2" hidden="1">{"'vert'!$A$1:$T$117"}</definedName>
    <definedName name="_____a108_2" localSheetId="8" hidden="1">{"'vert'!$A$1:$T$117"}</definedName>
    <definedName name="_____a108_2" localSheetId="5" hidden="1">{"'vert'!$A$1:$T$117"}</definedName>
    <definedName name="_____a108_2" hidden="1">{"'vert'!$A$1:$T$117"}</definedName>
    <definedName name="_____a108_3" localSheetId="8" hidden="1">{"'vert'!$A$1:$T$117"}</definedName>
    <definedName name="_____a108_3" localSheetId="5" hidden="1">{"'vert'!$A$1:$T$117"}</definedName>
    <definedName name="_____a108_3" hidden="1">{"'vert'!$A$1:$T$117"}</definedName>
    <definedName name="_____a109" localSheetId="8" hidden="1">{"'vert'!$A$1:$T$117"}</definedName>
    <definedName name="_____a109" localSheetId="5" hidden="1">{"'vert'!$A$1:$T$117"}</definedName>
    <definedName name="_____a109" hidden="1">{"'vert'!$A$1:$T$117"}</definedName>
    <definedName name="_____a109_1" localSheetId="8" hidden="1">{"'vert'!$A$1:$T$117"}</definedName>
    <definedName name="_____a109_1" localSheetId="5" hidden="1">{"'vert'!$A$1:$T$117"}</definedName>
    <definedName name="_____a109_1" hidden="1">{"'vert'!$A$1:$T$117"}</definedName>
    <definedName name="_____a109_1_1" localSheetId="8" hidden="1">{"'vert'!$A$1:$T$117"}</definedName>
    <definedName name="_____a109_1_1" localSheetId="5" hidden="1">{"'vert'!$A$1:$T$117"}</definedName>
    <definedName name="_____a109_1_1" hidden="1">{"'vert'!$A$1:$T$117"}</definedName>
    <definedName name="_____a109_1_2" localSheetId="8" hidden="1">{"'vert'!$A$1:$T$117"}</definedName>
    <definedName name="_____a109_1_2" localSheetId="5" hidden="1">{"'vert'!$A$1:$T$117"}</definedName>
    <definedName name="_____a109_1_2" hidden="1">{"'vert'!$A$1:$T$117"}</definedName>
    <definedName name="_____a109_2" localSheetId="8" hidden="1">{"'vert'!$A$1:$T$117"}</definedName>
    <definedName name="_____a109_2" localSheetId="5" hidden="1">{"'vert'!$A$1:$T$117"}</definedName>
    <definedName name="_____a109_2" hidden="1">{"'vert'!$A$1:$T$117"}</definedName>
    <definedName name="_____a109_3" localSheetId="8" hidden="1">{"'vert'!$A$1:$T$117"}</definedName>
    <definedName name="_____a109_3" localSheetId="5" hidden="1">{"'vert'!$A$1:$T$117"}</definedName>
    <definedName name="_____a109_3" hidden="1">{"'vert'!$A$1:$T$117"}</definedName>
    <definedName name="_____a11" localSheetId="8" hidden="1">{"'vert'!$A$1:$T$117"}</definedName>
    <definedName name="_____a11" localSheetId="5" hidden="1">{"'vert'!$A$1:$T$117"}</definedName>
    <definedName name="_____a11" hidden="1">{"'vert'!$A$1:$T$117"}</definedName>
    <definedName name="_____a11_1" localSheetId="8" hidden="1">{"'vert'!$A$1:$T$117"}</definedName>
    <definedName name="_____a11_1" localSheetId="5" hidden="1">{"'vert'!$A$1:$T$117"}</definedName>
    <definedName name="_____a11_1" hidden="1">{"'vert'!$A$1:$T$117"}</definedName>
    <definedName name="_____a11_1_1" localSheetId="8" hidden="1">{"'vert'!$A$1:$T$117"}</definedName>
    <definedName name="_____a11_1_1" localSheetId="5" hidden="1">{"'vert'!$A$1:$T$117"}</definedName>
    <definedName name="_____a11_1_1" hidden="1">{"'vert'!$A$1:$T$117"}</definedName>
    <definedName name="_____a11_1_2" localSheetId="8" hidden="1">{"'vert'!$A$1:$T$117"}</definedName>
    <definedName name="_____a11_1_2" localSheetId="5" hidden="1">{"'vert'!$A$1:$T$117"}</definedName>
    <definedName name="_____a11_1_2" hidden="1">{"'vert'!$A$1:$T$117"}</definedName>
    <definedName name="_____a11_2" localSheetId="8" hidden="1">{"'vert'!$A$1:$T$117"}</definedName>
    <definedName name="_____a11_2" localSheetId="5" hidden="1">{"'vert'!$A$1:$T$117"}</definedName>
    <definedName name="_____a11_2" hidden="1">{"'vert'!$A$1:$T$117"}</definedName>
    <definedName name="_____a11_3" localSheetId="8" hidden="1">{"'vert'!$A$1:$T$117"}</definedName>
    <definedName name="_____a11_3" localSheetId="5" hidden="1">{"'vert'!$A$1:$T$117"}</definedName>
    <definedName name="_____a11_3" hidden="1">{"'vert'!$A$1:$T$117"}</definedName>
    <definedName name="_____a110" localSheetId="8" hidden="1">{"'vert'!$A$1:$T$117"}</definedName>
    <definedName name="_____a110" localSheetId="5" hidden="1">{"'vert'!$A$1:$T$117"}</definedName>
    <definedName name="_____a110" hidden="1">{"'vert'!$A$1:$T$117"}</definedName>
    <definedName name="_____a110_1" localSheetId="8" hidden="1">{"'vert'!$A$1:$T$117"}</definedName>
    <definedName name="_____a110_1" localSheetId="5" hidden="1">{"'vert'!$A$1:$T$117"}</definedName>
    <definedName name="_____a110_1" hidden="1">{"'vert'!$A$1:$T$117"}</definedName>
    <definedName name="_____a110_1_1" localSheetId="8" hidden="1">{"'vert'!$A$1:$T$117"}</definedName>
    <definedName name="_____a110_1_1" localSheetId="5" hidden="1">{"'vert'!$A$1:$T$117"}</definedName>
    <definedName name="_____a110_1_1" hidden="1">{"'vert'!$A$1:$T$117"}</definedName>
    <definedName name="_____a110_1_2" localSheetId="8" hidden="1">{"'vert'!$A$1:$T$117"}</definedName>
    <definedName name="_____a110_1_2" localSheetId="5" hidden="1">{"'vert'!$A$1:$T$117"}</definedName>
    <definedName name="_____a110_1_2" hidden="1">{"'vert'!$A$1:$T$117"}</definedName>
    <definedName name="_____a110_2" localSheetId="8" hidden="1">{"'vert'!$A$1:$T$117"}</definedName>
    <definedName name="_____a110_2" localSheetId="5" hidden="1">{"'vert'!$A$1:$T$117"}</definedName>
    <definedName name="_____a110_2" hidden="1">{"'vert'!$A$1:$T$117"}</definedName>
    <definedName name="_____a110_3" localSheetId="8" hidden="1">{"'vert'!$A$1:$T$117"}</definedName>
    <definedName name="_____a110_3" localSheetId="5" hidden="1">{"'vert'!$A$1:$T$117"}</definedName>
    <definedName name="_____a110_3" hidden="1">{"'vert'!$A$1:$T$117"}</definedName>
    <definedName name="_____a111" localSheetId="8" hidden="1">{"'vert'!$A$1:$T$117"}</definedName>
    <definedName name="_____a111" localSheetId="5" hidden="1">{"'vert'!$A$1:$T$117"}</definedName>
    <definedName name="_____a111" hidden="1">{"'vert'!$A$1:$T$117"}</definedName>
    <definedName name="_____a111_1" localSheetId="8" hidden="1">{"'vert'!$A$1:$T$117"}</definedName>
    <definedName name="_____a111_1" localSheetId="5" hidden="1">{"'vert'!$A$1:$T$117"}</definedName>
    <definedName name="_____a111_1" hidden="1">{"'vert'!$A$1:$T$117"}</definedName>
    <definedName name="_____a111_1_1" localSheetId="8" hidden="1">{"'vert'!$A$1:$T$117"}</definedName>
    <definedName name="_____a111_1_1" localSheetId="5" hidden="1">{"'vert'!$A$1:$T$117"}</definedName>
    <definedName name="_____a111_1_1" hidden="1">{"'vert'!$A$1:$T$117"}</definedName>
    <definedName name="_____a111_1_2" localSheetId="8" hidden="1">{"'vert'!$A$1:$T$117"}</definedName>
    <definedName name="_____a111_1_2" localSheetId="5" hidden="1">{"'vert'!$A$1:$T$117"}</definedName>
    <definedName name="_____a111_1_2" hidden="1">{"'vert'!$A$1:$T$117"}</definedName>
    <definedName name="_____a111_2" localSheetId="8" hidden="1">{"'vert'!$A$1:$T$117"}</definedName>
    <definedName name="_____a111_2" localSheetId="5" hidden="1">{"'vert'!$A$1:$T$117"}</definedName>
    <definedName name="_____a111_2" hidden="1">{"'vert'!$A$1:$T$117"}</definedName>
    <definedName name="_____a111_3" localSheetId="8" hidden="1">{"'vert'!$A$1:$T$117"}</definedName>
    <definedName name="_____a111_3" localSheetId="5" hidden="1">{"'vert'!$A$1:$T$117"}</definedName>
    <definedName name="_____a111_3" hidden="1">{"'vert'!$A$1:$T$117"}</definedName>
    <definedName name="_____a112" localSheetId="8" hidden="1">{"'vert'!$A$1:$T$117"}</definedName>
    <definedName name="_____a112" localSheetId="5" hidden="1">{"'vert'!$A$1:$T$117"}</definedName>
    <definedName name="_____a112" hidden="1">{"'vert'!$A$1:$T$117"}</definedName>
    <definedName name="_____a112_1" localSheetId="8" hidden="1">{"'vert'!$A$1:$T$117"}</definedName>
    <definedName name="_____a112_1" localSheetId="5" hidden="1">{"'vert'!$A$1:$T$117"}</definedName>
    <definedName name="_____a112_1" hidden="1">{"'vert'!$A$1:$T$117"}</definedName>
    <definedName name="_____a112_1_1" localSheetId="8" hidden="1">{"'vert'!$A$1:$T$117"}</definedName>
    <definedName name="_____a112_1_1" localSheetId="5" hidden="1">{"'vert'!$A$1:$T$117"}</definedName>
    <definedName name="_____a112_1_1" hidden="1">{"'vert'!$A$1:$T$117"}</definedName>
    <definedName name="_____a112_1_2" localSheetId="8" hidden="1">{"'vert'!$A$1:$T$117"}</definedName>
    <definedName name="_____a112_1_2" localSheetId="5" hidden="1">{"'vert'!$A$1:$T$117"}</definedName>
    <definedName name="_____a112_1_2" hidden="1">{"'vert'!$A$1:$T$117"}</definedName>
    <definedName name="_____a112_2" localSheetId="8" hidden="1">{"'vert'!$A$1:$T$117"}</definedName>
    <definedName name="_____a112_2" localSheetId="5" hidden="1">{"'vert'!$A$1:$T$117"}</definedName>
    <definedName name="_____a112_2" hidden="1">{"'vert'!$A$1:$T$117"}</definedName>
    <definedName name="_____a112_3" localSheetId="8" hidden="1">{"'vert'!$A$1:$T$117"}</definedName>
    <definedName name="_____a112_3" localSheetId="5" hidden="1">{"'vert'!$A$1:$T$117"}</definedName>
    <definedName name="_____a112_3" hidden="1">{"'vert'!$A$1:$T$117"}</definedName>
    <definedName name="_____a113" localSheetId="8" hidden="1">{"'vert'!$A$1:$T$117"}</definedName>
    <definedName name="_____a113" localSheetId="5" hidden="1">{"'vert'!$A$1:$T$117"}</definedName>
    <definedName name="_____a113" hidden="1">{"'vert'!$A$1:$T$117"}</definedName>
    <definedName name="_____a113_1" localSheetId="8" hidden="1">{"'vert'!$A$1:$T$117"}</definedName>
    <definedName name="_____a113_1" localSheetId="5" hidden="1">{"'vert'!$A$1:$T$117"}</definedName>
    <definedName name="_____a113_1" hidden="1">{"'vert'!$A$1:$T$117"}</definedName>
    <definedName name="_____a113_1_1" localSheetId="8" hidden="1">{"'vert'!$A$1:$T$117"}</definedName>
    <definedName name="_____a113_1_1" localSheetId="5" hidden="1">{"'vert'!$A$1:$T$117"}</definedName>
    <definedName name="_____a113_1_1" hidden="1">{"'vert'!$A$1:$T$117"}</definedName>
    <definedName name="_____a113_1_2" localSheetId="8" hidden="1">{"'vert'!$A$1:$T$117"}</definedName>
    <definedName name="_____a113_1_2" localSheetId="5" hidden="1">{"'vert'!$A$1:$T$117"}</definedName>
    <definedName name="_____a113_1_2" hidden="1">{"'vert'!$A$1:$T$117"}</definedName>
    <definedName name="_____a113_2" localSheetId="8" hidden="1">{"'vert'!$A$1:$T$117"}</definedName>
    <definedName name="_____a113_2" localSheetId="5" hidden="1">{"'vert'!$A$1:$T$117"}</definedName>
    <definedName name="_____a113_2" hidden="1">{"'vert'!$A$1:$T$117"}</definedName>
    <definedName name="_____a113_3" localSheetId="8" hidden="1">{"'vert'!$A$1:$T$117"}</definedName>
    <definedName name="_____a113_3" localSheetId="5" hidden="1">{"'vert'!$A$1:$T$117"}</definedName>
    <definedName name="_____a113_3" hidden="1">{"'vert'!$A$1:$T$117"}</definedName>
    <definedName name="_____a114" localSheetId="8" hidden="1">{"'vert'!$A$1:$T$117"}</definedName>
    <definedName name="_____a114" localSheetId="5" hidden="1">{"'vert'!$A$1:$T$117"}</definedName>
    <definedName name="_____a114" hidden="1">{"'vert'!$A$1:$T$117"}</definedName>
    <definedName name="_____a114_1" localSheetId="8" hidden="1">{"'vert'!$A$1:$T$117"}</definedName>
    <definedName name="_____a114_1" localSheetId="5" hidden="1">{"'vert'!$A$1:$T$117"}</definedName>
    <definedName name="_____a114_1" hidden="1">{"'vert'!$A$1:$T$117"}</definedName>
    <definedName name="_____a114_1_1" localSheetId="8" hidden="1">{"'vert'!$A$1:$T$117"}</definedName>
    <definedName name="_____a114_1_1" localSheetId="5" hidden="1">{"'vert'!$A$1:$T$117"}</definedName>
    <definedName name="_____a114_1_1" hidden="1">{"'vert'!$A$1:$T$117"}</definedName>
    <definedName name="_____a114_1_2" localSheetId="8" hidden="1">{"'vert'!$A$1:$T$117"}</definedName>
    <definedName name="_____a114_1_2" localSheetId="5" hidden="1">{"'vert'!$A$1:$T$117"}</definedName>
    <definedName name="_____a114_1_2" hidden="1">{"'vert'!$A$1:$T$117"}</definedName>
    <definedName name="_____a114_2" localSheetId="8" hidden="1">{"'vert'!$A$1:$T$117"}</definedName>
    <definedName name="_____a114_2" localSheetId="5" hidden="1">{"'vert'!$A$1:$T$117"}</definedName>
    <definedName name="_____a114_2" hidden="1">{"'vert'!$A$1:$T$117"}</definedName>
    <definedName name="_____a114_3" localSheetId="8" hidden="1">{"'vert'!$A$1:$T$117"}</definedName>
    <definedName name="_____a114_3" localSheetId="5" hidden="1">{"'vert'!$A$1:$T$117"}</definedName>
    <definedName name="_____a114_3" hidden="1">{"'vert'!$A$1:$T$117"}</definedName>
    <definedName name="_____a115" localSheetId="8" hidden="1">{"'vert'!$A$1:$T$117"}</definedName>
    <definedName name="_____a115" localSheetId="5" hidden="1">{"'vert'!$A$1:$T$117"}</definedName>
    <definedName name="_____a115" hidden="1">{"'vert'!$A$1:$T$117"}</definedName>
    <definedName name="_____a115_1" localSheetId="8" hidden="1">{"'vert'!$A$1:$T$117"}</definedName>
    <definedName name="_____a115_1" localSheetId="5" hidden="1">{"'vert'!$A$1:$T$117"}</definedName>
    <definedName name="_____a115_1" hidden="1">{"'vert'!$A$1:$T$117"}</definedName>
    <definedName name="_____a115_1_1" localSheetId="8" hidden="1">{"'vert'!$A$1:$T$117"}</definedName>
    <definedName name="_____a115_1_1" localSheetId="5" hidden="1">{"'vert'!$A$1:$T$117"}</definedName>
    <definedName name="_____a115_1_1" hidden="1">{"'vert'!$A$1:$T$117"}</definedName>
    <definedName name="_____a115_1_2" localSheetId="8" hidden="1">{"'vert'!$A$1:$T$117"}</definedName>
    <definedName name="_____a115_1_2" localSheetId="5" hidden="1">{"'vert'!$A$1:$T$117"}</definedName>
    <definedName name="_____a115_1_2" hidden="1">{"'vert'!$A$1:$T$117"}</definedName>
    <definedName name="_____a115_2" localSheetId="8" hidden="1">{"'vert'!$A$1:$T$117"}</definedName>
    <definedName name="_____a115_2" localSheetId="5" hidden="1">{"'vert'!$A$1:$T$117"}</definedName>
    <definedName name="_____a115_2" hidden="1">{"'vert'!$A$1:$T$117"}</definedName>
    <definedName name="_____a115_3" localSheetId="8" hidden="1">{"'vert'!$A$1:$T$117"}</definedName>
    <definedName name="_____a115_3" localSheetId="5" hidden="1">{"'vert'!$A$1:$T$117"}</definedName>
    <definedName name="_____a115_3" hidden="1">{"'vert'!$A$1:$T$117"}</definedName>
    <definedName name="_____a116" localSheetId="8" hidden="1">{"'vert'!$A$1:$T$117"}</definedName>
    <definedName name="_____a116" localSheetId="5" hidden="1">{"'vert'!$A$1:$T$117"}</definedName>
    <definedName name="_____a116" hidden="1">{"'vert'!$A$1:$T$117"}</definedName>
    <definedName name="_____a116_1" localSheetId="8" hidden="1">{"'vert'!$A$1:$T$117"}</definedName>
    <definedName name="_____a116_1" localSheetId="5" hidden="1">{"'vert'!$A$1:$T$117"}</definedName>
    <definedName name="_____a116_1" hidden="1">{"'vert'!$A$1:$T$117"}</definedName>
    <definedName name="_____a116_1_1" localSheetId="8" hidden="1">{"'vert'!$A$1:$T$117"}</definedName>
    <definedName name="_____a116_1_1" localSheetId="5" hidden="1">{"'vert'!$A$1:$T$117"}</definedName>
    <definedName name="_____a116_1_1" hidden="1">{"'vert'!$A$1:$T$117"}</definedName>
    <definedName name="_____a116_1_2" localSheetId="8" hidden="1">{"'vert'!$A$1:$T$117"}</definedName>
    <definedName name="_____a116_1_2" localSheetId="5" hidden="1">{"'vert'!$A$1:$T$117"}</definedName>
    <definedName name="_____a116_1_2" hidden="1">{"'vert'!$A$1:$T$117"}</definedName>
    <definedName name="_____a116_2" localSheetId="8" hidden="1">{"'vert'!$A$1:$T$117"}</definedName>
    <definedName name="_____a116_2" localSheetId="5" hidden="1">{"'vert'!$A$1:$T$117"}</definedName>
    <definedName name="_____a116_2" hidden="1">{"'vert'!$A$1:$T$117"}</definedName>
    <definedName name="_____a116_3" localSheetId="8" hidden="1">{"'vert'!$A$1:$T$117"}</definedName>
    <definedName name="_____a116_3" localSheetId="5" hidden="1">{"'vert'!$A$1:$T$117"}</definedName>
    <definedName name="_____a116_3" hidden="1">{"'vert'!$A$1:$T$117"}</definedName>
    <definedName name="_____a117" localSheetId="8" hidden="1">{"'vert'!$A$1:$T$117"}</definedName>
    <definedName name="_____a117" localSheetId="5" hidden="1">{"'vert'!$A$1:$T$117"}</definedName>
    <definedName name="_____a117" hidden="1">{"'vert'!$A$1:$T$117"}</definedName>
    <definedName name="_____a117_1" localSheetId="8" hidden="1">{"'vert'!$A$1:$T$117"}</definedName>
    <definedName name="_____a117_1" localSheetId="5" hidden="1">{"'vert'!$A$1:$T$117"}</definedName>
    <definedName name="_____a117_1" hidden="1">{"'vert'!$A$1:$T$117"}</definedName>
    <definedName name="_____a117_1_1" localSheetId="8" hidden="1">{"'vert'!$A$1:$T$117"}</definedName>
    <definedName name="_____a117_1_1" localSheetId="5" hidden="1">{"'vert'!$A$1:$T$117"}</definedName>
    <definedName name="_____a117_1_1" hidden="1">{"'vert'!$A$1:$T$117"}</definedName>
    <definedName name="_____a117_1_2" localSheetId="8" hidden="1">{"'vert'!$A$1:$T$117"}</definedName>
    <definedName name="_____a117_1_2" localSheetId="5" hidden="1">{"'vert'!$A$1:$T$117"}</definedName>
    <definedName name="_____a117_1_2" hidden="1">{"'vert'!$A$1:$T$117"}</definedName>
    <definedName name="_____a117_2" localSheetId="8" hidden="1">{"'vert'!$A$1:$T$117"}</definedName>
    <definedName name="_____a117_2" localSheetId="5" hidden="1">{"'vert'!$A$1:$T$117"}</definedName>
    <definedName name="_____a117_2" hidden="1">{"'vert'!$A$1:$T$117"}</definedName>
    <definedName name="_____a117_3" localSheetId="8" hidden="1">{"'vert'!$A$1:$T$117"}</definedName>
    <definedName name="_____a117_3" localSheetId="5" hidden="1">{"'vert'!$A$1:$T$117"}</definedName>
    <definedName name="_____a117_3" hidden="1">{"'vert'!$A$1:$T$117"}</definedName>
    <definedName name="_____a118" localSheetId="8" hidden="1">{"'vert'!$A$1:$T$117"}</definedName>
    <definedName name="_____a118" localSheetId="5" hidden="1">{"'vert'!$A$1:$T$117"}</definedName>
    <definedName name="_____a118" hidden="1">{"'vert'!$A$1:$T$117"}</definedName>
    <definedName name="_____a118_1" localSheetId="8" hidden="1">{"'vert'!$A$1:$T$117"}</definedName>
    <definedName name="_____a118_1" localSheetId="5" hidden="1">{"'vert'!$A$1:$T$117"}</definedName>
    <definedName name="_____a118_1" hidden="1">{"'vert'!$A$1:$T$117"}</definedName>
    <definedName name="_____a118_1_1" localSheetId="8" hidden="1">{"'vert'!$A$1:$T$117"}</definedName>
    <definedName name="_____a118_1_1" localSheetId="5" hidden="1">{"'vert'!$A$1:$T$117"}</definedName>
    <definedName name="_____a118_1_1" hidden="1">{"'vert'!$A$1:$T$117"}</definedName>
    <definedName name="_____a118_1_2" localSheetId="8" hidden="1">{"'vert'!$A$1:$T$117"}</definedName>
    <definedName name="_____a118_1_2" localSheetId="5" hidden="1">{"'vert'!$A$1:$T$117"}</definedName>
    <definedName name="_____a118_1_2" hidden="1">{"'vert'!$A$1:$T$117"}</definedName>
    <definedName name="_____a118_2" localSheetId="8" hidden="1">{"'vert'!$A$1:$T$117"}</definedName>
    <definedName name="_____a118_2" localSheetId="5" hidden="1">{"'vert'!$A$1:$T$117"}</definedName>
    <definedName name="_____a118_2" hidden="1">{"'vert'!$A$1:$T$117"}</definedName>
    <definedName name="_____a118_3" localSheetId="8" hidden="1">{"'vert'!$A$1:$T$117"}</definedName>
    <definedName name="_____a118_3" localSheetId="5" hidden="1">{"'vert'!$A$1:$T$117"}</definedName>
    <definedName name="_____a118_3" hidden="1">{"'vert'!$A$1:$T$117"}</definedName>
    <definedName name="_____a119" localSheetId="8" hidden="1">{"'vert'!$A$1:$T$117"}</definedName>
    <definedName name="_____a119" localSheetId="5" hidden="1">{"'vert'!$A$1:$T$117"}</definedName>
    <definedName name="_____a119" hidden="1">{"'vert'!$A$1:$T$117"}</definedName>
    <definedName name="_____a119_1" localSheetId="8" hidden="1">{"'vert'!$A$1:$T$117"}</definedName>
    <definedName name="_____a119_1" localSheetId="5" hidden="1">{"'vert'!$A$1:$T$117"}</definedName>
    <definedName name="_____a119_1" hidden="1">{"'vert'!$A$1:$T$117"}</definedName>
    <definedName name="_____a119_1_1" localSheetId="8" hidden="1">{"'vert'!$A$1:$T$117"}</definedName>
    <definedName name="_____a119_1_1" localSheetId="5" hidden="1">{"'vert'!$A$1:$T$117"}</definedName>
    <definedName name="_____a119_1_1" hidden="1">{"'vert'!$A$1:$T$117"}</definedName>
    <definedName name="_____a119_1_2" localSheetId="8" hidden="1">{"'vert'!$A$1:$T$117"}</definedName>
    <definedName name="_____a119_1_2" localSheetId="5" hidden="1">{"'vert'!$A$1:$T$117"}</definedName>
    <definedName name="_____a119_1_2" hidden="1">{"'vert'!$A$1:$T$117"}</definedName>
    <definedName name="_____a119_2" localSheetId="8" hidden="1">{"'vert'!$A$1:$T$117"}</definedName>
    <definedName name="_____a119_2" localSheetId="5" hidden="1">{"'vert'!$A$1:$T$117"}</definedName>
    <definedName name="_____a119_2" hidden="1">{"'vert'!$A$1:$T$117"}</definedName>
    <definedName name="_____a119_3" localSheetId="8" hidden="1">{"'vert'!$A$1:$T$117"}</definedName>
    <definedName name="_____a119_3" localSheetId="5" hidden="1">{"'vert'!$A$1:$T$117"}</definedName>
    <definedName name="_____a119_3" hidden="1">{"'vert'!$A$1:$T$117"}</definedName>
    <definedName name="_____a120" localSheetId="8" hidden="1">{"'vert'!$A$1:$T$117"}</definedName>
    <definedName name="_____a120" localSheetId="5" hidden="1">{"'vert'!$A$1:$T$117"}</definedName>
    <definedName name="_____a120" hidden="1">{"'vert'!$A$1:$T$117"}</definedName>
    <definedName name="_____a120_1" localSheetId="8" hidden="1">{"'vert'!$A$1:$T$117"}</definedName>
    <definedName name="_____a120_1" localSheetId="5" hidden="1">{"'vert'!$A$1:$T$117"}</definedName>
    <definedName name="_____a120_1" hidden="1">{"'vert'!$A$1:$T$117"}</definedName>
    <definedName name="_____a120_1_1" localSheetId="8" hidden="1">{"'vert'!$A$1:$T$117"}</definedName>
    <definedName name="_____a120_1_1" localSheetId="5" hidden="1">{"'vert'!$A$1:$T$117"}</definedName>
    <definedName name="_____a120_1_1" hidden="1">{"'vert'!$A$1:$T$117"}</definedName>
    <definedName name="_____a120_1_2" localSheetId="8" hidden="1">{"'vert'!$A$1:$T$117"}</definedName>
    <definedName name="_____a120_1_2" localSheetId="5" hidden="1">{"'vert'!$A$1:$T$117"}</definedName>
    <definedName name="_____a120_1_2" hidden="1">{"'vert'!$A$1:$T$117"}</definedName>
    <definedName name="_____a120_2" localSheetId="8" hidden="1">{"'vert'!$A$1:$T$117"}</definedName>
    <definedName name="_____a120_2" localSheetId="5" hidden="1">{"'vert'!$A$1:$T$117"}</definedName>
    <definedName name="_____a120_2" hidden="1">{"'vert'!$A$1:$T$117"}</definedName>
    <definedName name="_____a120_3" localSheetId="8" hidden="1">{"'vert'!$A$1:$T$117"}</definedName>
    <definedName name="_____a120_3" localSheetId="5" hidden="1">{"'vert'!$A$1:$T$117"}</definedName>
    <definedName name="_____a120_3" hidden="1">{"'vert'!$A$1:$T$117"}</definedName>
    <definedName name="_____a121" localSheetId="8" hidden="1">{"'vert'!$A$1:$T$117"}</definedName>
    <definedName name="_____a121" localSheetId="5" hidden="1">{"'vert'!$A$1:$T$117"}</definedName>
    <definedName name="_____a121" hidden="1">{"'vert'!$A$1:$T$117"}</definedName>
    <definedName name="_____a121_1" localSheetId="8" hidden="1">{"'vert'!$A$1:$T$117"}</definedName>
    <definedName name="_____a121_1" localSheetId="5" hidden="1">{"'vert'!$A$1:$T$117"}</definedName>
    <definedName name="_____a121_1" hidden="1">{"'vert'!$A$1:$T$117"}</definedName>
    <definedName name="_____a121_1_1" localSheetId="8" hidden="1">{"'vert'!$A$1:$T$117"}</definedName>
    <definedName name="_____a121_1_1" localSheetId="5" hidden="1">{"'vert'!$A$1:$T$117"}</definedName>
    <definedName name="_____a121_1_1" hidden="1">{"'vert'!$A$1:$T$117"}</definedName>
    <definedName name="_____a121_1_2" localSheetId="8" hidden="1">{"'vert'!$A$1:$T$117"}</definedName>
    <definedName name="_____a121_1_2" localSheetId="5" hidden="1">{"'vert'!$A$1:$T$117"}</definedName>
    <definedName name="_____a121_1_2" hidden="1">{"'vert'!$A$1:$T$117"}</definedName>
    <definedName name="_____a121_2" localSheetId="8" hidden="1">{"'vert'!$A$1:$T$117"}</definedName>
    <definedName name="_____a121_2" localSheetId="5" hidden="1">{"'vert'!$A$1:$T$117"}</definedName>
    <definedName name="_____a121_2" hidden="1">{"'vert'!$A$1:$T$117"}</definedName>
    <definedName name="_____a121_3" localSheetId="8" hidden="1">{"'vert'!$A$1:$T$117"}</definedName>
    <definedName name="_____a121_3" localSheetId="5" hidden="1">{"'vert'!$A$1:$T$117"}</definedName>
    <definedName name="_____a121_3" hidden="1">{"'vert'!$A$1:$T$117"}</definedName>
    <definedName name="_____a122" localSheetId="8" hidden="1">{"'vert'!$A$1:$T$117"}</definedName>
    <definedName name="_____a122" localSheetId="5" hidden="1">{"'vert'!$A$1:$T$117"}</definedName>
    <definedName name="_____a122" hidden="1">{"'vert'!$A$1:$T$117"}</definedName>
    <definedName name="_____a122_1" localSheetId="8" hidden="1">{"'vert'!$A$1:$T$117"}</definedName>
    <definedName name="_____a122_1" localSheetId="5" hidden="1">{"'vert'!$A$1:$T$117"}</definedName>
    <definedName name="_____a122_1" hidden="1">{"'vert'!$A$1:$T$117"}</definedName>
    <definedName name="_____a122_1_1" localSheetId="8" hidden="1">{"'vert'!$A$1:$T$117"}</definedName>
    <definedName name="_____a122_1_1" localSheetId="5" hidden="1">{"'vert'!$A$1:$T$117"}</definedName>
    <definedName name="_____a122_1_1" hidden="1">{"'vert'!$A$1:$T$117"}</definedName>
    <definedName name="_____a122_1_2" localSheetId="8" hidden="1">{"'vert'!$A$1:$T$117"}</definedName>
    <definedName name="_____a122_1_2" localSheetId="5" hidden="1">{"'vert'!$A$1:$T$117"}</definedName>
    <definedName name="_____a122_1_2" hidden="1">{"'vert'!$A$1:$T$117"}</definedName>
    <definedName name="_____a122_2" localSheetId="8" hidden="1">{"'vert'!$A$1:$T$117"}</definedName>
    <definedName name="_____a122_2" localSheetId="5" hidden="1">{"'vert'!$A$1:$T$117"}</definedName>
    <definedName name="_____a122_2" hidden="1">{"'vert'!$A$1:$T$117"}</definedName>
    <definedName name="_____a122_3" localSheetId="8" hidden="1">{"'vert'!$A$1:$T$117"}</definedName>
    <definedName name="_____a122_3" localSheetId="5" hidden="1">{"'vert'!$A$1:$T$117"}</definedName>
    <definedName name="_____a122_3" hidden="1">{"'vert'!$A$1:$T$117"}</definedName>
    <definedName name="_____a123" localSheetId="8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___a123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___a123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___a123_1" localSheetId="8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___a123_1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___a123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___a123_1_1" localSheetId="8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___a123_1_1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___a123_1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___a123_1_2" localSheetId="8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___a123_1_2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___a123_1_2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___a123_2" localSheetId="8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___a123_2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___a123_2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___a123_3" localSheetId="8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___a123_3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___a123_3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___a22" localSheetId="8" hidden="1">{"'vert'!$A$1:$T$117"}</definedName>
    <definedName name="_____a22" localSheetId="5" hidden="1">{"'vert'!$A$1:$T$117"}</definedName>
    <definedName name="_____a22" hidden="1">{"'vert'!$A$1:$T$117"}</definedName>
    <definedName name="_____a22_1" localSheetId="8" hidden="1">{"'vert'!$A$1:$T$117"}</definedName>
    <definedName name="_____a22_1" localSheetId="5" hidden="1">{"'vert'!$A$1:$T$117"}</definedName>
    <definedName name="_____a22_1" hidden="1">{"'vert'!$A$1:$T$117"}</definedName>
    <definedName name="_____a22_1_1" localSheetId="8" hidden="1">{"'vert'!$A$1:$T$117"}</definedName>
    <definedName name="_____a22_1_1" localSheetId="5" hidden="1">{"'vert'!$A$1:$T$117"}</definedName>
    <definedName name="_____a22_1_1" hidden="1">{"'vert'!$A$1:$T$117"}</definedName>
    <definedName name="_____a22_1_2" localSheetId="8" hidden="1">{"'vert'!$A$1:$T$117"}</definedName>
    <definedName name="_____a22_1_2" localSheetId="5" hidden="1">{"'vert'!$A$1:$T$117"}</definedName>
    <definedName name="_____a22_1_2" hidden="1">{"'vert'!$A$1:$T$117"}</definedName>
    <definedName name="_____a22_2" localSheetId="8" hidden="1">{"'vert'!$A$1:$T$117"}</definedName>
    <definedName name="_____a22_2" localSheetId="5" hidden="1">{"'vert'!$A$1:$T$117"}</definedName>
    <definedName name="_____a22_2" hidden="1">{"'vert'!$A$1:$T$117"}</definedName>
    <definedName name="_____a22_3" localSheetId="8" hidden="1">{"'vert'!$A$1:$T$117"}</definedName>
    <definedName name="_____a22_3" localSheetId="5" hidden="1">{"'vert'!$A$1:$T$117"}</definedName>
    <definedName name="_____a22_3" hidden="1">{"'vert'!$A$1:$T$117"}</definedName>
    <definedName name="_____a33" localSheetId="8" hidden="1">{"'vert'!$A$1:$T$117"}</definedName>
    <definedName name="_____a33" localSheetId="5" hidden="1">{"'vert'!$A$1:$T$117"}</definedName>
    <definedName name="_____a33" hidden="1">{"'vert'!$A$1:$T$117"}</definedName>
    <definedName name="_____a33_1" localSheetId="8" hidden="1">{"'vert'!$A$1:$T$117"}</definedName>
    <definedName name="_____a33_1" localSheetId="5" hidden="1">{"'vert'!$A$1:$T$117"}</definedName>
    <definedName name="_____a33_1" hidden="1">{"'vert'!$A$1:$T$117"}</definedName>
    <definedName name="_____a33_1_1" localSheetId="8" hidden="1">{"'vert'!$A$1:$T$117"}</definedName>
    <definedName name="_____a33_1_1" localSheetId="5" hidden="1">{"'vert'!$A$1:$T$117"}</definedName>
    <definedName name="_____a33_1_1" hidden="1">{"'vert'!$A$1:$T$117"}</definedName>
    <definedName name="_____a33_1_2" localSheetId="8" hidden="1">{"'vert'!$A$1:$T$117"}</definedName>
    <definedName name="_____a33_1_2" localSheetId="5" hidden="1">{"'vert'!$A$1:$T$117"}</definedName>
    <definedName name="_____a33_1_2" hidden="1">{"'vert'!$A$1:$T$117"}</definedName>
    <definedName name="_____a33_2" localSheetId="8" hidden="1">{"'vert'!$A$1:$T$117"}</definedName>
    <definedName name="_____a33_2" localSheetId="5" hidden="1">{"'vert'!$A$1:$T$117"}</definedName>
    <definedName name="_____a33_2" hidden="1">{"'vert'!$A$1:$T$117"}</definedName>
    <definedName name="_____a33_3" localSheetId="8" hidden="1">{"'vert'!$A$1:$T$117"}</definedName>
    <definedName name="_____a33_3" localSheetId="5" hidden="1">{"'vert'!$A$1:$T$117"}</definedName>
    <definedName name="_____a33_3" hidden="1">{"'vert'!$A$1:$T$117"}</definedName>
    <definedName name="_____a44" localSheetId="8" hidden="1">{"'vert'!$A$1:$T$117"}</definedName>
    <definedName name="_____a44" localSheetId="5" hidden="1">{"'vert'!$A$1:$T$117"}</definedName>
    <definedName name="_____a44" hidden="1">{"'vert'!$A$1:$T$117"}</definedName>
    <definedName name="_____a44_1" localSheetId="8" hidden="1">{"'vert'!$A$1:$T$117"}</definedName>
    <definedName name="_____a44_1" localSheetId="5" hidden="1">{"'vert'!$A$1:$T$117"}</definedName>
    <definedName name="_____a44_1" hidden="1">{"'vert'!$A$1:$T$117"}</definedName>
    <definedName name="_____a44_1_1" localSheetId="8" hidden="1">{"'vert'!$A$1:$T$117"}</definedName>
    <definedName name="_____a44_1_1" localSheetId="5" hidden="1">{"'vert'!$A$1:$T$117"}</definedName>
    <definedName name="_____a44_1_1" hidden="1">{"'vert'!$A$1:$T$117"}</definedName>
    <definedName name="_____a44_1_2" localSheetId="8" hidden="1">{"'vert'!$A$1:$T$117"}</definedName>
    <definedName name="_____a44_1_2" localSheetId="5" hidden="1">{"'vert'!$A$1:$T$117"}</definedName>
    <definedName name="_____a44_1_2" hidden="1">{"'vert'!$A$1:$T$117"}</definedName>
    <definedName name="_____a44_2" localSheetId="8" hidden="1">{"'vert'!$A$1:$T$117"}</definedName>
    <definedName name="_____a44_2" localSheetId="5" hidden="1">{"'vert'!$A$1:$T$117"}</definedName>
    <definedName name="_____a44_2" hidden="1">{"'vert'!$A$1:$T$117"}</definedName>
    <definedName name="_____a44_3" localSheetId="8" hidden="1">{"'vert'!$A$1:$T$117"}</definedName>
    <definedName name="_____a44_3" localSheetId="5" hidden="1">{"'vert'!$A$1:$T$117"}</definedName>
    <definedName name="_____a44_3" hidden="1">{"'vert'!$A$1:$T$117"}</definedName>
    <definedName name="_____a55" localSheetId="8" hidden="1">{"'vert'!$A$1:$T$117"}</definedName>
    <definedName name="_____a55" localSheetId="5" hidden="1">{"'vert'!$A$1:$T$117"}</definedName>
    <definedName name="_____a55" hidden="1">{"'vert'!$A$1:$T$117"}</definedName>
    <definedName name="_____a55_1" localSheetId="8" hidden="1">{"'vert'!$A$1:$T$117"}</definedName>
    <definedName name="_____a55_1" localSheetId="5" hidden="1">{"'vert'!$A$1:$T$117"}</definedName>
    <definedName name="_____a55_1" hidden="1">{"'vert'!$A$1:$T$117"}</definedName>
    <definedName name="_____a55_1_1" localSheetId="8" hidden="1">{"'vert'!$A$1:$T$117"}</definedName>
    <definedName name="_____a55_1_1" localSheetId="5" hidden="1">{"'vert'!$A$1:$T$117"}</definedName>
    <definedName name="_____a55_1_1" hidden="1">{"'vert'!$A$1:$T$117"}</definedName>
    <definedName name="_____a55_1_2" localSheetId="8" hidden="1">{"'vert'!$A$1:$T$117"}</definedName>
    <definedName name="_____a55_1_2" localSheetId="5" hidden="1">{"'vert'!$A$1:$T$117"}</definedName>
    <definedName name="_____a55_1_2" hidden="1">{"'vert'!$A$1:$T$117"}</definedName>
    <definedName name="_____a55_2" localSheetId="8" hidden="1">{"'vert'!$A$1:$T$117"}</definedName>
    <definedName name="_____a55_2" localSheetId="5" hidden="1">{"'vert'!$A$1:$T$117"}</definedName>
    <definedName name="_____a55_2" hidden="1">{"'vert'!$A$1:$T$117"}</definedName>
    <definedName name="_____a55_3" localSheetId="8" hidden="1">{"'vert'!$A$1:$T$117"}</definedName>
    <definedName name="_____a55_3" localSheetId="5" hidden="1">{"'vert'!$A$1:$T$117"}</definedName>
    <definedName name="_____a55_3" hidden="1">{"'vert'!$A$1:$T$117"}</definedName>
    <definedName name="_____a66" localSheetId="8" hidden="1">{"'vert'!$A$1:$T$117"}</definedName>
    <definedName name="_____a66" localSheetId="5" hidden="1">{"'vert'!$A$1:$T$117"}</definedName>
    <definedName name="_____a66" hidden="1">{"'vert'!$A$1:$T$117"}</definedName>
    <definedName name="_____a66_1" localSheetId="8" hidden="1">{"'vert'!$A$1:$T$117"}</definedName>
    <definedName name="_____a66_1" localSheetId="5" hidden="1">{"'vert'!$A$1:$T$117"}</definedName>
    <definedName name="_____a66_1" hidden="1">{"'vert'!$A$1:$T$117"}</definedName>
    <definedName name="_____a66_1_1" localSheetId="8" hidden="1">{"'vert'!$A$1:$T$117"}</definedName>
    <definedName name="_____a66_1_1" localSheetId="5" hidden="1">{"'vert'!$A$1:$T$117"}</definedName>
    <definedName name="_____a66_1_1" hidden="1">{"'vert'!$A$1:$T$117"}</definedName>
    <definedName name="_____a66_1_2" localSheetId="8" hidden="1">{"'vert'!$A$1:$T$117"}</definedName>
    <definedName name="_____a66_1_2" localSheetId="5" hidden="1">{"'vert'!$A$1:$T$117"}</definedName>
    <definedName name="_____a66_1_2" hidden="1">{"'vert'!$A$1:$T$117"}</definedName>
    <definedName name="_____a66_2" localSheetId="8" hidden="1">{"'vert'!$A$1:$T$117"}</definedName>
    <definedName name="_____a66_2" localSheetId="5" hidden="1">{"'vert'!$A$1:$T$117"}</definedName>
    <definedName name="_____a66_2" hidden="1">{"'vert'!$A$1:$T$117"}</definedName>
    <definedName name="_____a66_3" localSheetId="8" hidden="1">{"'vert'!$A$1:$T$117"}</definedName>
    <definedName name="_____a66_3" localSheetId="5" hidden="1">{"'vert'!$A$1:$T$117"}</definedName>
    <definedName name="_____a66_3" hidden="1">{"'vert'!$A$1:$T$117"}</definedName>
    <definedName name="_____a77" localSheetId="8" hidden="1">{"'vert'!$A$1:$T$117"}</definedName>
    <definedName name="_____a77" localSheetId="5" hidden="1">{"'vert'!$A$1:$T$117"}</definedName>
    <definedName name="_____a77" hidden="1">{"'vert'!$A$1:$T$117"}</definedName>
    <definedName name="_____a77_1" localSheetId="8" hidden="1">{"'vert'!$A$1:$T$117"}</definedName>
    <definedName name="_____a77_1" localSheetId="5" hidden="1">{"'vert'!$A$1:$T$117"}</definedName>
    <definedName name="_____a77_1" hidden="1">{"'vert'!$A$1:$T$117"}</definedName>
    <definedName name="_____a77_1_1" localSheetId="8" hidden="1">{"'vert'!$A$1:$T$117"}</definedName>
    <definedName name="_____a77_1_1" localSheetId="5" hidden="1">{"'vert'!$A$1:$T$117"}</definedName>
    <definedName name="_____a77_1_1" hidden="1">{"'vert'!$A$1:$T$117"}</definedName>
    <definedName name="_____a77_1_2" localSheetId="8" hidden="1">{"'vert'!$A$1:$T$117"}</definedName>
    <definedName name="_____a77_1_2" localSheetId="5" hidden="1">{"'vert'!$A$1:$T$117"}</definedName>
    <definedName name="_____a77_1_2" hidden="1">{"'vert'!$A$1:$T$117"}</definedName>
    <definedName name="_____a77_2" localSheetId="8" hidden="1">{"'vert'!$A$1:$T$117"}</definedName>
    <definedName name="_____a77_2" localSheetId="5" hidden="1">{"'vert'!$A$1:$T$117"}</definedName>
    <definedName name="_____a77_2" hidden="1">{"'vert'!$A$1:$T$117"}</definedName>
    <definedName name="_____a77_3" localSheetId="8" hidden="1">{"'vert'!$A$1:$T$117"}</definedName>
    <definedName name="_____a77_3" localSheetId="5" hidden="1">{"'vert'!$A$1:$T$117"}</definedName>
    <definedName name="_____a77_3" hidden="1">{"'vert'!$A$1:$T$117"}</definedName>
    <definedName name="_____a88" localSheetId="8" hidden="1">{"'vert'!$A$1:$T$117"}</definedName>
    <definedName name="_____a88" localSheetId="5" hidden="1">{"'vert'!$A$1:$T$117"}</definedName>
    <definedName name="_____a88" hidden="1">{"'vert'!$A$1:$T$117"}</definedName>
    <definedName name="_____a88_1" localSheetId="8" hidden="1">{"'vert'!$A$1:$T$117"}</definedName>
    <definedName name="_____a88_1" localSheetId="5" hidden="1">{"'vert'!$A$1:$T$117"}</definedName>
    <definedName name="_____a88_1" hidden="1">{"'vert'!$A$1:$T$117"}</definedName>
    <definedName name="_____a88_1_1" localSheetId="8" hidden="1">{"'vert'!$A$1:$T$117"}</definedName>
    <definedName name="_____a88_1_1" localSheetId="5" hidden="1">{"'vert'!$A$1:$T$117"}</definedName>
    <definedName name="_____a88_1_1" hidden="1">{"'vert'!$A$1:$T$117"}</definedName>
    <definedName name="_____a88_1_2" localSheetId="8" hidden="1">{"'vert'!$A$1:$T$117"}</definedName>
    <definedName name="_____a88_1_2" localSheetId="5" hidden="1">{"'vert'!$A$1:$T$117"}</definedName>
    <definedName name="_____a88_1_2" hidden="1">{"'vert'!$A$1:$T$117"}</definedName>
    <definedName name="_____a88_2" localSheetId="8" hidden="1">{"'vert'!$A$1:$T$117"}</definedName>
    <definedName name="_____a88_2" localSheetId="5" hidden="1">{"'vert'!$A$1:$T$117"}</definedName>
    <definedName name="_____a88_2" hidden="1">{"'vert'!$A$1:$T$117"}</definedName>
    <definedName name="_____a88_3" localSheetId="8" hidden="1">{"'vert'!$A$1:$T$117"}</definedName>
    <definedName name="_____a88_3" localSheetId="5" hidden="1">{"'vert'!$A$1:$T$117"}</definedName>
    <definedName name="_____a88_3" hidden="1">{"'vert'!$A$1:$T$117"}</definedName>
    <definedName name="_____a99" localSheetId="8" hidden="1">{"'vert'!$A$1:$T$117"}</definedName>
    <definedName name="_____a99" localSheetId="5" hidden="1">{"'vert'!$A$1:$T$117"}</definedName>
    <definedName name="_____a99" hidden="1">{"'vert'!$A$1:$T$117"}</definedName>
    <definedName name="_____a99_1" localSheetId="8" hidden="1">{"'vert'!$A$1:$T$117"}</definedName>
    <definedName name="_____a99_1" localSheetId="5" hidden="1">{"'vert'!$A$1:$T$117"}</definedName>
    <definedName name="_____a99_1" hidden="1">{"'vert'!$A$1:$T$117"}</definedName>
    <definedName name="_____a99_1_1" localSheetId="8" hidden="1">{"'vert'!$A$1:$T$117"}</definedName>
    <definedName name="_____a99_1_1" localSheetId="5" hidden="1">{"'vert'!$A$1:$T$117"}</definedName>
    <definedName name="_____a99_1_1" hidden="1">{"'vert'!$A$1:$T$117"}</definedName>
    <definedName name="_____a99_1_2" localSheetId="8" hidden="1">{"'vert'!$A$1:$T$117"}</definedName>
    <definedName name="_____a99_1_2" localSheetId="5" hidden="1">{"'vert'!$A$1:$T$117"}</definedName>
    <definedName name="_____a99_1_2" hidden="1">{"'vert'!$A$1:$T$117"}</definedName>
    <definedName name="_____a99_2" localSheetId="8" hidden="1">{"'vert'!$A$1:$T$117"}</definedName>
    <definedName name="_____a99_2" localSheetId="5" hidden="1">{"'vert'!$A$1:$T$117"}</definedName>
    <definedName name="_____a99_2" hidden="1">{"'vert'!$A$1:$T$117"}</definedName>
    <definedName name="_____a99_3" localSheetId="8" hidden="1">{"'vert'!$A$1:$T$117"}</definedName>
    <definedName name="_____a99_3" localSheetId="5" hidden="1">{"'vert'!$A$1:$T$117"}</definedName>
    <definedName name="_____a99_3" hidden="1">{"'vert'!$A$1:$T$117"}</definedName>
    <definedName name="_____bla2" localSheetId="8" hidden="1">{"'vert'!$A$1:$T$117"}</definedName>
    <definedName name="_____bla2" localSheetId="5" hidden="1">{"'vert'!$A$1:$T$117"}</definedName>
    <definedName name="_____bla2" hidden="1">{"'vert'!$A$1:$T$117"}</definedName>
    <definedName name="_____bla2_1" localSheetId="8" hidden="1">{"'vert'!$A$1:$T$117"}</definedName>
    <definedName name="_____bla2_1" localSheetId="5" hidden="1">{"'vert'!$A$1:$T$117"}</definedName>
    <definedName name="_____bla2_1" hidden="1">{"'vert'!$A$1:$T$117"}</definedName>
    <definedName name="_____bla2_1_1" localSheetId="8" hidden="1">{"'vert'!$A$1:$T$117"}</definedName>
    <definedName name="_____bla2_1_1" localSheetId="5" hidden="1">{"'vert'!$A$1:$T$117"}</definedName>
    <definedName name="_____bla2_1_1" hidden="1">{"'vert'!$A$1:$T$117"}</definedName>
    <definedName name="_____bla2_1_2" localSheetId="8" hidden="1">{"'vert'!$A$1:$T$117"}</definedName>
    <definedName name="_____bla2_1_2" localSheetId="5" hidden="1">{"'vert'!$A$1:$T$117"}</definedName>
    <definedName name="_____bla2_1_2" hidden="1">{"'vert'!$A$1:$T$117"}</definedName>
    <definedName name="_____bla2_2" localSheetId="8" hidden="1">{"'vert'!$A$1:$T$117"}</definedName>
    <definedName name="_____bla2_2" localSheetId="5" hidden="1">{"'vert'!$A$1:$T$117"}</definedName>
    <definedName name="_____bla2_2" hidden="1">{"'vert'!$A$1:$T$117"}</definedName>
    <definedName name="_____bla2_3" localSheetId="8" hidden="1">{"'vert'!$A$1:$T$117"}</definedName>
    <definedName name="_____bla2_3" localSheetId="5" hidden="1">{"'vert'!$A$1:$T$117"}</definedName>
    <definedName name="_____bla2_3" hidden="1">{"'vert'!$A$1:$T$117"}</definedName>
    <definedName name="_____bla3" localSheetId="8" hidden="1">{"'vert'!$A$1:$T$117"}</definedName>
    <definedName name="_____bla3" localSheetId="5" hidden="1">{"'vert'!$A$1:$T$117"}</definedName>
    <definedName name="_____bla3" hidden="1">{"'vert'!$A$1:$T$117"}</definedName>
    <definedName name="_____bla3_1" localSheetId="8" hidden="1">{"'vert'!$A$1:$T$117"}</definedName>
    <definedName name="_____bla3_1" localSheetId="5" hidden="1">{"'vert'!$A$1:$T$117"}</definedName>
    <definedName name="_____bla3_1" hidden="1">{"'vert'!$A$1:$T$117"}</definedName>
    <definedName name="_____bla3_1_1" localSheetId="8" hidden="1">{"'vert'!$A$1:$T$117"}</definedName>
    <definedName name="_____bla3_1_1" localSheetId="5" hidden="1">{"'vert'!$A$1:$T$117"}</definedName>
    <definedName name="_____bla3_1_1" hidden="1">{"'vert'!$A$1:$T$117"}</definedName>
    <definedName name="_____bla3_1_2" localSheetId="8" hidden="1">{"'vert'!$A$1:$T$117"}</definedName>
    <definedName name="_____bla3_1_2" localSheetId="5" hidden="1">{"'vert'!$A$1:$T$117"}</definedName>
    <definedName name="_____bla3_1_2" hidden="1">{"'vert'!$A$1:$T$117"}</definedName>
    <definedName name="_____bla3_2" localSheetId="8" hidden="1">{"'vert'!$A$1:$T$117"}</definedName>
    <definedName name="_____bla3_2" localSheetId="5" hidden="1">{"'vert'!$A$1:$T$117"}</definedName>
    <definedName name="_____bla3_2" hidden="1">{"'vert'!$A$1:$T$117"}</definedName>
    <definedName name="_____bla3_3" localSheetId="8" hidden="1">{"'vert'!$A$1:$T$117"}</definedName>
    <definedName name="_____bla3_3" localSheetId="5" hidden="1">{"'vert'!$A$1:$T$117"}</definedName>
    <definedName name="_____bla3_3" hidden="1">{"'vert'!$A$1:$T$117"}</definedName>
    <definedName name="_____dd2" localSheetId="8" hidden="1">{"'vert'!$A$1:$T$117"}</definedName>
    <definedName name="_____dd2" localSheetId="5" hidden="1">{"'vert'!$A$1:$T$117"}</definedName>
    <definedName name="_____dd2" hidden="1">{"'vert'!$A$1:$T$117"}</definedName>
    <definedName name="_____dd2_1" localSheetId="8" hidden="1">{"'vert'!$A$1:$T$117"}</definedName>
    <definedName name="_____dd2_1" localSheetId="5" hidden="1">{"'vert'!$A$1:$T$117"}</definedName>
    <definedName name="_____dd2_1" hidden="1">{"'vert'!$A$1:$T$117"}</definedName>
    <definedName name="_____dd2_1_1" localSheetId="8" hidden="1">{"'vert'!$A$1:$T$117"}</definedName>
    <definedName name="_____dd2_1_1" localSheetId="5" hidden="1">{"'vert'!$A$1:$T$117"}</definedName>
    <definedName name="_____dd2_1_1" hidden="1">{"'vert'!$A$1:$T$117"}</definedName>
    <definedName name="_____dd2_1_2" localSheetId="8" hidden="1">{"'vert'!$A$1:$T$117"}</definedName>
    <definedName name="_____dd2_1_2" localSheetId="5" hidden="1">{"'vert'!$A$1:$T$117"}</definedName>
    <definedName name="_____dd2_1_2" hidden="1">{"'vert'!$A$1:$T$117"}</definedName>
    <definedName name="_____dd2_2" localSheetId="8" hidden="1">{"'vert'!$A$1:$T$117"}</definedName>
    <definedName name="_____dd2_2" localSheetId="5" hidden="1">{"'vert'!$A$1:$T$117"}</definedName>
    <definedName name="_____dd2_2" hidden="1">{"'vert'!$A$1:$T$117"}</definedName>
    <definedName name="_____dd2_3" localSheetId="8" hidden="1">{"'vert'!$A$1:$T$117"}</definedName>
    <definedName name="_____dd2_3" localSheetId="5" hidden="1">{"'vert'!$A$1:$T$117"}</definedName>
    <definedName name="_____dd2_3" hidden="1">{"'vert'!$A$1:$T$117"}</definedName>
    <definedName name="_____DE2" localSheetId="8" hidden="1">{"'vert'!$A$1:$T$117"}</definedName>
    <definedName name="_____DE2" localSheetId="5" hidden="1">{"'vert'!$A$1:$T$117"}</definedName>
    <definedName name="_____DE2" hidden="1">{"'vert'!$A$1:$T$117"}</definedName>
    <definedName name="_____DE2_1" localSheetId="8" hidden="1">{"'vert'!$A$1:$T$117"}</definedName>
    <definedName name="_____DE2_1" localSheetId="5" hidden="1">{"'vert'!$A$1:$T$117"}</definedName>
    <definedName name="_____DE2_1" hidden="1">{"'vert'!$A$1:$T$117"}</definedName>
    <definedName name="_____DE2_1_1" localSheetId="8" hidden="1">{"'vert'!$A$1:$T$117"}</definedName>
    <definedName name="_____DE2_1_1" localSheetId="5" hidden="1">{"'vert'!$A$1:$T$117"}</definedName>
    <definedName name="_____DE2_1_1" hidden="1">{"'vert'!$A$1:$T$117"}</definedName>
    <definedName name="_____DE2_1_2" localSheetId="8" hidden="1">{"'vert'!$A$1:$T$117"}</definedName>
    <definedName name="_____DE2_1_2" localSheetId="5" hidden="1">{"'vert'!$A$1:$T$117"}</definedName>
    <definedName name="_____DE2_1_2" hidden="1">{"'vert'!$A$1:$T$117"}</definedName>
    <definedName name="_____DE2_2" localSheetId="8" hidden="1">{"'vert'!$A$1:$T$117"}</definedName>
    <definedName name="_____DE2_2" localSheetId="5" hidden="1">{"'vert'!$A$1:$T$117"}</definedName>
    <definedName name="_____DE2_2" hidden="1">{"'vert'!$A$1:$T$117"}</definedName>
    <definedName name="_____DE2_3" localSheetId="8" hidden="1">{"'vert'!$A$1:$T$117"}</definedName>
    <definedName name="_____DE2_3" localSheetId="5" hidden="1">{"'vert'!$A$1:$T$117"}</definedName>
    <definedName name="_____DE2_3" hidden="1">{"'vert'!$A$1:$T$117"}</definedName>
    <definedName name="_____huh3" localSheetId="8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___huh3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___huh3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__a1" localSheetId="8" hidden="1">{"'vert'!$A$1:$T$117"}</definedName>
    <definedName name="____a1" localSheetId="5" hidden="1">{"'vert'!$A$1:$T$117"}</definedName>
    <definedName name="____a1" hidden="1">{"'vert'!$A$1:$T$117"}</definedName>
    <definedName name="____a1_1" localSheetId="8" hidden="1">{"'vert'!$A$1:$T$117"}</definedName>
    <definedName name="____a1_1" localSheetId="5" hidden="1">{"'vert'!$A$1:$T$117"}</definedName>
    <definedName name="____a1_1" hidden="1">{"'vert'!$A$1:$T$117"}</definedName>
    <definedName name="____a1_1_1" localSheetId="8" hidden="1">{"'vert'!$A$1:$T$117"}</definedName>
    <definedName name="____a1_1_1" localSheetId="5" hidden="1">{"'vert'!$A$1:$T$117"}</definedName>
    <definedName name="____a1_1_1" hidden="1">{"'vert'!$A$1:$T$117"}</definedName>
    <definedName name="____a1_1_2" localSheetId="8" hidden="1">{"'vert'!$A$1:$T$117"}</definedName>
    <definedName name="____a1_1_2" localSheetId="5" hidden="1">{"'vert'!$A$1:$T$117"}</definedName>
    <definedName name="____a1_1_2" hidden="1">{"'vert'!$A$1:$T$117"}</definedName>
    <definedName name="____a1_2" localSheetId="8" hidden="1">{"'vert'!$A$1:$T$117"}</definedName>
    <definedName name="____a1_2" localSheetId="5" hidden="1">{"'vert'!$A$1:$T$117"}</definedName>
    <definedName name="____a1_2" hidden="1">{"'vert'!$A$1:$T$117"}</definedName>
    <definedName name="____a1_3" localSheetId="8" hidden="1">{"'vert'!$A$1:$T$117"}</definedName>
    <definedName name="____a1_3" localSheetId="5" hidden="1">{"'vert'!$A$1:$T$117"}</definedName>
    <definedName name="____a1_3" hidden="1">{"'vert'!$A$1:$T$117"}</definedName>
    <definedName name="____a101" localSheetId="8" hidden="1">{"'vert'!$A$1:$T$117"}</definedName>
    <definedName name="____a101" localSheetId="5" hidden="1">{"'vert'!$A$1:$T$117"}</definedName>
    <definedName name="____a101" hidden="1">{"'vert'!$A$1:$T$117"}</definedName>
    <definedName name="____a101_1" localSheetId="8" hidden="1">{"'vert'!$A$1:$T$117"}</definedName>
    <definedName name="____a101_1" localSheetId="5" hidden="1">{"'vert'!$A$1:$T$117"}</definedName>
    <definedName name="____a101_1" hidden="1">{"'vert'!$A$1:$T$117"}</definedName>
    <definedName name="____a101_1_1" localSheetId="8" hidden="1">{"'vert'!$A$1:$T$117"}</definedName>
    <definedName name="____a101_1_1" localSheetId="5" hidden="1">{"'vert'!$A$1:$T$117"}</definedName>
    <definedName name="____a101_1_1" hidden="1">{"'vert'!$A$1:$T$117"}</definedName>
    <definedName name="____a101_1_2" localSheetId="8" hidden="1">{"'vert'!$A$1:$T$117"}</definedName>
    <definedName name="____a101_1_2" localSheetId="5" hidden="1">{"'vert'!$A$1:$T$117"}</definedName>
    <definedName name="____a101_1_2" hidden="1">{"'vert'!$A$1:$T$117"}</definedName>
    <definedName name="____a101_2" localSheetId="8" hidden="1">{"'vert'!$A$1:$T$117"}</definedName>
    <definedName name="____a101_2" localSheetId="5" hidden="1">{"'vert'!$A$1:$T$117"}</definedName>
    <definedName name="____a101_2" hidden="1">{"'vert'!$A$1:$T$117"}</definedName>
    <definedName name="____a101_3" localSheetId="8" hidden="1">{"'vert'!$A$1:$T$117"}</definedName>
    <definedName name="____a101_3" localSheetId="5" hidden="1">{"'vert'!$A$1:$T$117"}</definedName>
    <definedName name="____a101_3" hidden="1">{"'vert'!$A$1:$T$117"}</definedName>
    <definedName name="____a102" localSheetId="8" hidden="1">{"'vert'!$A$1:$T$117"}</definedName>
    <definedName name="____a102" localSheetId="5" hidden="1">{"'vert'!$A$1:$T$117"}</definedName>
    <definedName name="____a102" hidden="1">{"'vert'!$A$1:$T$117"}</definedName>
    <definedName name="____a102_1" localSheetId="8" hidden="1">{"'vert'!$A$1:$T$117"}</definedName>
    <definedName name="____a102_1" localSheetId="5" hidden="1">{"'vert'!$A$1:$T$117"}</definedName>
    <definedName name="____a102_1" hidden="1">{"'vert'!$A$1:$T$117"}</definedName>
    <definedName name="____a102_1_1" localSheetId="8" hidden="1">{"'vert'!$A$1:$T$117"}</definedName>
    <definedName name="____a102_1_1" localSheetId="5" hidden="1">{"'vert'!$A$1:$T$117"}</definedName>
    <definedName name="____a102_1_1" hidden="1">{"'vert'!$A$1:$T$117"}</definedName>
    <definedName name="____a102_1_2" localSheetId="8" hidden="1">{"'vert'!$A$1:$T$117"}</definedName>
    <definedName name="____a102_1_2" localSheetId="5" hidden="1">{"'vert'!$A$1:$T$117"}</definedName>
    <definedName name="____a102_1_2" hidden="1">{"'vert'!$A$1:$T$117"}</definedName>
    <definedName name="____a102_2" localSheetId="8" hidden="1">{"'vert'!$A$1:$T$117"}</definedName>
    <definedName name="____a102_2" localSheetId="5" hidden="1">{"'vert'!$A$1:$T$117"}</definedName>
    <definedName name="____a102_2" hidden="1">{"'vert'!$A$1:$T$117"}</definedName>
    <definedName name="____a102_3" localSheetId="8" hidden="1">{"'vert'!$A$1:$T$117"}</definedName>
    <definedName name="____a102_3" localSheetId="5" hidden="1">{"'vert'!$A$1:$T$117"}</definedName>
    <definedName name="____a102_3" hidden="1">{"'vert'!$A$1:$T$117"}</definedName>
    <definedName name="____a103" localSheetId="8" hidden="1">{"'vert'!$A$1:$T$117"}</definedName>
    <definedName name="____a103" localSheetId="5" hidden="1">{"'vert'!$A$1:$T$117"}</definedName>
    <definedName name="____a103" hidden="1">{"'vert'!$A$1:$T$117"}</definedName>
    <definedName name="____a103_1" localSheetId="8" hidden="1">{"'vert'!$A$1:$T$117"}</definedName>
    <definedName name="____a103_1" localSheetId="5" hidden="1">{"'vert'!$A$1:$T$117"}</definedName>
    <definedName name="____a103_1" hidden="1">{"'vert'!$A$1:$T$117"}</definedName>
    <definedName name="____a103_1_1" localSheetId="8" hidden="1">{"'vert'!$A$1:$T$117"}</definedName>
    <definedName name="____a103_1_1" localSheetId="5" hidden="1">{"'vert'!$A$1:$T$117"}</definedName>
    <definedName name="____a103_1_1" hidden="1">{"'vert'!$A$1:$T$117"}</definedName>
    <definedName name="____a103_1_2" localSheetId="8" hidden="1">{"'vert'!$A$1:$T$117"}</definedName>
    <definedName name="____a103_1_2" localSheetId="5" hidden="1">{"'vert'!$A$1:$T$117"}</definedName>
    <definedName name="____a103_1_2" hidden="1">{"'vert'!$A$1:$T$117"}</definedName>
    <definedName name="____a103_2" localSheetId="8" hidden="1">{"'vert'!$A$1:$T$117"}</definedName>
    <definedName name="____a103_2" localSheetId="5" hidden="1">{"'vert'!$A$1:$T$117"}</definedName>
    <definedName name="____a103_2" hidden="1">{"'vert'!$A$1:$T$117"}</definedName>
    <definedName name="____a103_3" localSheetId="8" hidden="1">{"'vert'!$A$1:$T$117"}</definedName>
    <definedName name="____a103_3" localSheetId="5" hidden="1">{"'vert'!$A$1:$T$117"}</definedName>
    <definedName name="____a103_3" hidden="1">{"'vert'!$A$1:$T$117"}</definedName>
    <definedName name="____a104" localSheetId="8" hidden="1">{"'vert'!$A$1:$T$117"}</definedName>
    <definedName name="____a104" localSheetId="5" hidden="1">{"'vert'!$A$1:$T$117"}</definedName>
    <definedName name="____a104" hidden="1">{"'vert'!$A$1:$T$117"}</definedName>
    <definedName name="____a104_1" localSheetId="8" hidden="1">{"'vert'!$A$1:$T$117"}</definedName>
    <definedName name="____a104_1" localSheetId="5" hidden="1">{"'vert'!$A$1:$T$117"}</definedName>
    <definedName name="____a104_1" hidden="1">{"'vert'!$A$1:$T$117"}</definedName>
    <definedName name="____a104_1_1" localSheetId="8" hidden="1">{"'vert'!$A$1:$T$117"}</definedName>
    <definedName name="____a104_1_1" localSheetId="5" hidden="1">{"'vert'!$A$1:$T$117"}</definedName>
    <definedName name="____a104_1_1" hidden="1">{"'vert'!$A$1:$T$117"}</definedName>
    <definedName name="____a104_1_2" localSheetId="8" hidden="1">{"'vert'!$A$1:$T$117"}</definedName>
    <definedName name="____a104_1_2" localSheetId="5" hidden="1">{"'vert'!$A$1:$T$117"}</definedName>
    <definedName name="____a104_1_2" hidden="1">{"'vert'!$A$1:$T$117"}</definedName>
    <definedName name="____a104_2" localSheetId="8" hidden="1">{"'vert'!$A$1:$T$117"}</definedName>
    <definedName name="____a104_2" localSheetId="5" hidden="1">{"'vert'!$A$1:$T$117"}</definedName>
    <definedName name="____a104_2" hidden="1">{"'vert'!$A$1:$T$117"}</definedName>
    <definedName name="____a104_3" localSheetId="8" hidden="1">{"'vert'!$A$1:$T$117"}</definedName>
    <definedName name="____a104_3" localSheetId="5" hidden="1">{"'vert'!$A$1:$T$117"}</definedName>
    <definedName name="____a104_3" hidden="1">{"'vert'!$A$1:$T$117"}</definedName>
    <definedName name="____a105" localSheetId="8" hidden="1">{"'vert'!$A$1:$T$117"}</definedName>
    <definedName name="____a105" localSheetId="5" hidden="1">{"'vert'!$A$1:$T$117"}</definedName>
    <definedName name="____a105" hidden="1">{"'vert'!$A$1:$T$117"}</definedName>
    <definedName name="____a105_1" localSheetId="8" hidden="1">{"'vert'!$A$1:$T$117"}</definedName>
    <definedName name="____a105_1" localSheetId="5" hidden="1">{"'vert'!$A$1:$T$117"}</definedName>
    <definedName name="____a105_1" hidden="1">{"'vert'!$A$1:$T$117"}</definedName>
    <definedName name="____a105_1_1" localSheetId="8" hidden="1">{"'vert'!$A$1:$T$117"}</definedName>
    <definedName name="____a105_1_1" localSheetId="5" hidden="1">{"'vert'!$A$1:$T$117"}</definedName>
    <definedName name="____a105_1_1" hidden="1">{"'vert'!$A$1:$T$117"}</definedName>
    <definedName name="____a105_1_2" localSheetId="8" hidden="1">{"'vert'!$A$1:$T$117"}</definedName>
    <definedName name="____a105_1_2" localSheetId="5" hidden="1">{"'vert'!$A$1:$T$117"}</definedName>
    <definedName name="____a105_1_2" hidden="1">{"'vert'!$A$1:$T$117"}</definedName>
    <definedName name="____a105_2" localSheetId="8" hidden="1">{"'vert'!$A$1:$T$117"}</definedName>
    <definedName name="____a105_2" localSheetId="5" hidden="1">{"'vert'!$A$1:$T$117"}</definedName>
    <definedName name="____a105_2" hidden="1">{"'vert'!$A$1:$T$117"}</definedName>
    <definedName name="____a105_3" localSheetId="8" hidden="1">{"'vert'!$A$1:$T$117"}</definedName>
    <definedName name="____a105_3" localSheetId="5" hidden="1">{"'vert'!$A$1:$T$117"}</definedName>
    <definedName name="____a105_3" hidden="1">{"'vert'!$A$1:$T$117"}</definedName>
    <definedName name="____a106" localSheetId="8" hidden="1">{"'vert'!$A$1:$T$117"}</definedName>
    <definedName name="____a106" localSheetId="5" hidden="1">{"'vert'!$A$1:$T$117"}</definedName>
    <definedName name="____a106" hidden="1">{"'vert'!$A$1:$T$117"}</definedName>
    <definedName name="____a106_1" localSheetId="8" hidden="1">{"'vert'!$A$1:$T$117"}</definedName>
    <definedName name="____a106_1" localSheetId="5" hidden="1">{"'vert'!$A$1:$T$117"}</definedName>
    <definedName name="____a106_1" hidden="1">{"'vert'!$A$1:$T$117"}</definedName>
    <definedName name="____a106_1_1" localSheetId="8" hidden="1">{"'vert'!$A$1:$T$117"}</definedName>
    <definedName name="____a106_1_1" localSheetId="5" hidden="1">{"'vert'!$A$1:$T$117"}</definedName>
    <definedName name="____a106_1_1" hidden="1">{"'vert'!$A$1:$T$117"}</definedName>
    <definedName name="____a106_1_2" localSheetId="8" hidden="1">{"'vert'!$A$1:$T$117"}</definedName>
    <definedName name="____a106_1_2" localSheetId="5" hidden="1">{"'vert'!$A$1:$T$117"}</definedName>
    <definedName name="____a106_1_2" hidden="1">{"'vert'!$A$1:$T$117"}</definedName>
    <definedName name="____a106_2" localSheetId="8" hidden="1">{"'vert'!$A$1:$T$117"}</definedName>
    <definedName name="____a106_2" localSheetId="5" hidden="1">{"'vert'!$A$1:$T$117"}</definedName>
    <definedName name="____a106_2" hidden="1">{"'vert'!$A$1:$T$117"}</definedName>
    <definedName name="____a106_3" localSheetId="8" hidden="1">{"'vert'!$A$1:$T$117"}</definedName>
    <definedName name="____a106_3" localSheetId="5" hidden="1">{"'vert'!$A$1:$T$117"}</definedName>
    <definedName name="____a106_3" hidden="1">{"'vert'!$A$1:$T$117"}</definedName>
    <definedName name="____a107" localSheetId="8" hidden="1">{"'vert'!$A$1:$T$117"}</definedName>
    <definedName name="____a107" localSheetId="5" hidden="1">{"'vert'!$A$1:$T$117"}</definedName>
    <definedName name="____a107" hidden="1">{"'vert'!$A$1:$T$117"}</definedName>
    <definedName name="____a107_1" localSheetId="8" hidden="1">{"'vert'!$A$1:$T$117"}</definedName>
    <definedName name="____a107_1" localSheetId="5" hidden="1">{"'vert'!$A$1:$T$117"}</definedName>
    <definedName name="____a107_1" hidden="1">{"'vert'!$A$1:$T$117"}</definedName>
    <definedName name="____a107_1_1" localSheetId="8" hidden="1">{"'vert'!$A$1:$T$117"}</definedName>
    <definedName name="____a107_1_1" localSheetId="5" hidden="1">{"'vert'!$A$1:$T$117"}</definedName>
    <definedName name="____a107_1_1" hidden="1">{"'vert'!$A$1:$T$117"}</definedName>
    <definedName name="____a107_1_2" localSheetId="8" hidden="1">{"'vert'!$A$1:$T$117"}</definedName>
    <definedName name="____a107_1_2" localSheetId="5" hidden="1">{"'vert'!$A$1:$T$117"}</definedName>
    <definedName name="____a107_1_2" hidden="1">{"'vert'!$A$1:$T$117"}</definedName>
    <definedName name="____a107_2" localSheetId="8" hidden="1">{"'vert'!$A$1:$T$117"}</definedName>
    <definedName name="____a107_2" localSheetId="5" hidden="1">{"'vert'!$A$1:$T$117"}</definedName>
    <definedName name="____a107_2" hidden="1">{"'vert'!$A$1:$T$117"}</definedName>
    <definedName name="____a107_3" localSheetId="8" hidden="1">{"'vert'!$A$1:$T$117"}</definedName>
    <definedName name="____a107_3" localSheetId="5" hidden="1">{"'vert'!$A$1:$T$117"}</definedName>
    <definedName name="____a107_3" hidden="1">{"'vert'!$A$1:$T$117"}</definedName>
    <definedName name="____a108" localSheetId="8" hidden="1">{"'vert'!$A$1:$T$117"}</definedName>
    <definedName name="____a108" localSheetId="5" hidden="1">{"'vert'!$A$1:$T$117"}</definedName>
    <definedName name="____a108" hidden="1">{"'vert'!$A$1:$T$117"}</definedName>
    <definedName name="____a108_1" localSheetId="8" hidden="1">{"'vert'!$A$1:$T$117"}</definedName>
    <definedName name="____a108_1" localSheetId="5" hidden="1">{"'vert'!$A$1:$T$117"}</definedName>
    <definedName name="____a108_1" hidden="1">{"'vert'!$A$1:$T$117"}</definedName>
    <definedName name="____a108_1_1" localSheetId="8" hidden="1">{"'vert'!$A$1:$T$117"}</definedName>
    <definedName name="____a108_1_1" localSheetId="5" hidden="1">{"'vert'!$A$1:$T$117"}</definedName>
    <definedName name="____a108_1_1" hidden="1">{"'vert'!$A$1:$T$117"}</definedName>
    <definedName name="____a108_1_2" localSheetId="8" hidden="1">{"'vert'!$A$1:$T$117"}</definedName>
    <definedName name="____a108_1_2" localSheetId="5" hidden="1">{"'vert'!$A$1:$T$117"}</definedName>
    <definedName name="____a108_1_2" hidden="1">{"'vert'!$A$1:$T$117"}</definedName>
    <definedName name="____a108_2" localSheetId="8" hidden="1">{"'vert'!$A$1:$T$117"}</definedName>
    <definedName name="____a108_2" localSheetId="5" hidden="1">{"'vert'!$A$1:$T$117"}</definedName>
    <definedName name="____a108_2" hidden="1">{"'vert'!$A$1:$T$117"}</definedName>
    <definedName name="____a108_3" localSheetId="8" hidden="1">{"'vert'!$A$1:$T$117"}</definedName>
    <definedName name="____a108_3" localSheetId="5" hidden="1">{"'vert'!$A$1:$T$117"}</definedName>
    <definedName name="____a108_3" hidden="1">{"'vert'!$A$1:$T$117"}</definedName>
    <definedName name="____a109" localSheetId="8" hidden="1">{"'vert'!$A$1:$T$117"}</definedName>
    <definedName name="____a109" localSheetId="5" hidden="1">{"'vert'!$A$1:$T$117"}</definedName>
    <definedName name="____a109" hidden="1">{"'vert'!$A$1:$T$117"}</definedName>
    <definedName name="____a109_1" localSheetId="8" hidden="1">{"'vert'!$A$1:$T$117"}</definedName>
    <definedName name="____a109_1" localSheetId="5" hidden="1">{"'vert'!$A$1:$T$117"}</definedName>
    <definedName name="____a109_1" hidden="1">{"'vert'!$A$1:$T$117"}</definedName>
    <definedName name="____a109_1_1" localSheetId="8" hidden="1">{"'vert'!$A$1:$T$117"}</definedName>
    <definedName name="____a109_1_1" localSheetId="5" hidden="1">{"'vert'!$A$1:$T$117"}</definedName>
    <definedName name="____a109_1_1" hidden="1">{"'vert'!$A$1:$T$117"}</definedName>
    <definedName name="____a109_1_2" localSheetId="8" hidden="1">{"'vert'!$A$1:$T$117"}</definedName>
    <definedName name="____a109_1_2" localSheetId="5" hidden="1">{"'vert'!$A$1:$T$117"}</definedName>
    <definedName name="____a109_1_2" hidden="1">{"'vert'!$A$1:$T$117"}</definedName>
    <definedName name="____a109_2" localSheetId="8" hidden="1">{"'vert'!$A$1:$T$117"}</definedName>
    <definedName name="____a109_2" localSheetId="5" hidden="1">{"'vert'!$A$1:$T$117"}</definedName>
    <definedName name="____a109_2" hidden="1">{"'vert'!$A$1:$T$117"}</definedName>
    <definedName name="____a109_3" localSheetId="8" hidden="1">{"'vert'!$A$1:$T$117"}</definedName>
    <definedName name="____a109_3" localSheetId="5" hidden="1">{"'vert'!$A$1:$T$117"}</definedName>
    <definedName name="____a109_3" hidden="1">{"'vert'!$A$1:$T$117"}</definedName>
    <definedName name="____a11" localSheetId="8" hidden="1">{"'vert'!$A$1:$T$117"}</definedName>
    <definedName name="____a11" localSheetId="5" hidden="1">{"'vert'!$A$1:$T$117"}</definedName>
    <definedName name="____a11" hidden="1">{"'vert'!$A$1:$T$117"}</definedName>
    <definedName name="____a11_1" localSheetId="8" hidden="1">{"'vert'!$A$1:$T$117"}</definedName>
    <definedName name="____a11_1" localSheetId="5" hidden="1">{"'vert'!$A$1:$T$117"}</definedName>
    <definedName name="____a11_1" hidden="1">{"'vert'!$A$1:$T$117"}</definedName>
    <definedName name="____a11_1_1" localSheetId="8" hidden="1">{"'vert'!$A$1:$T$117"}</definedName>
    <definedName name="____a11_1_1" localSheetId="5" hidden="1">{"'vert'!$A$1:$T$117"}</definedName>
    <definedName name="____a11_1_1" hidden="1">{"'vert'!$A$1:$T$117"}</definedName>
    <definedName name="____a11_1_2" localSheetId="8" hidden="1">{"'vert'!$A$1:$T$117"}</definedName>
    <definedName name="____a11_1_2" localSheetId="5" hidden="1">{"'vert'!$A$1:$T$117"}</definedName>
    <definedName name="____a11_1_2" hidden="1">{"'vert'!$A$1:$T$117"}</definedName>
    <definedName name="____a11_2" localSheetId="8" hidden="1">{"'vert'!$A$1:$T$117"}</definedName>
    <definedName name="____a11_2" localSheetId="5" hidden="1">{"'vert'!$A$1:$T$117"}</definedName>
    <definedName name="____a11_2" hidden="1">{"'vert'!$A$1:$T$117"}</definedName>
    <definedName name="____a11_3" localSheetId="8" hidden="1">{"'vert'!$A$1:$T$117"}</definedName>
    <definedName name="____a11_3" localSheetId="5" hidden="1">{"'vert'!$A$1:$T$117"}</definedName>
    <definedName name="____a11_3" hidden="1">{"'vert'!$A$1:$T$117"}</definedName>
    <definedName name="____a110" localSheetId="8" hidden="1">{"'vert'!$A$1:$T$117"}</definedName>
    <definedName name="____a110" localSheetId="5" hidden="1">{"'vert'!$A$1:$T$117"}</definedName>
    <definedName name="____a110" hidden="1">{"'vert'!$A$1:$T$117"}</definedName>
    <definedName name="____a110_1" localSheetId="8" hidden="1">{"'vert'!$A$1:$T$117"}</definedName>
    <definedName name="____a110_1" localSheetId="5" hidden="1">{"'vert'!$A$1:$T$117"}</definedName>
    <definedName name="____a110_1" hidden="1">{"'vert'!$A$1:$T$117"}</definedName>
    <definedName name="____a110_1_1" localSheetId="8" hidden="1">{"'vert'!$A$1:$T$117"}</definedName>
    <definedName name="____a110_1_1" localSheetId="5" hidden="1">{"'vert'!$A$1:$T$117"}</definedName>
    <definedName name="____a110_1_1" hidden="1">{"'vert'!$A$1:$T$117"}</definedName>
    <definedName name="____a110_1_2" localSheetId="8" hidden="1">{"'vert'!$A$1:$T$117"}</definedName>
    <definedName name="____a110_1_2" localSheetId="5" hidden="1">{"'vert'!$A$1:$T$117"}</definedName>
    <definedName name="____a110_1_2" hidden="1">{"'vert'!$A$1:$T$117"}</definedName>
    <definedName name="____a110_2" localSheetId="8" hidden="1">{"'vert'!$A$1:$T$117"}</definedName>
    <definedName name="____a110_2" localSheetId="5" hidden="1">{"'vert'!$A$1:$T$117"}</definedName>
    <definedName name="____a110_2" hidden="1">{"'vert'!$A$1:$T$117"}</definedName>
    <definedName name="____a110_3" localSheetId="8" hidden="1">{"'vert'!$A$1:$T$117"}</definedName>
    <definedName name="____a110_3" localSheetId="5" hidden="1">{"'vert'!$A$1:$T$117"}</definedName>
    <definedName name="____a110_3" hidden="1">{"'vert'!$A$1:$T$117"}</definedName>
    <definedName name="____a111" localSheetId="8" hidden="1">{"'vert'!$A$1:$T$117"}</definedName>
    <definedName name="____a111" localSheetId="5" hidden="1">{"'vert'!$A$1:$T$117"}</definedName>
    <definedName name="____a111" hidden="1">{"'vert'!$A$1:$T$117"}</definedName>
    <definedName name="____a111_1" localSheetId="8" hidden="1">{"'vert'!$A$1:$T$117"}</definedName>
    <definedName name="____a111_1" localSheetId="5" hidden="1">{"'vert'!$A$1:$T$117"}</definedName>
    <definedName name="____a111_1" hidden="1">{"'vert'!$A$1:$T$117"}</definedName>
    <definedName name="____a111_1_1" localSheetId="8" hidden="1">{"'vert'!$A$1:$T$117"}</definedName>
    <definedName name="____a111_1_1" localSheetId="5" hidden="1">{"'vert'!$A$1:$T$117"}</definedName>
    <definedName name="____a111_1_1" hidden="1">{"'vert'!$A$1:$T$117"}</definedName>
    <definedName name="____a111_1_2" localSheetId="8" hidden="1">{"'vert'!$A$1:$T$117"}</definedName>
    <definedName name="____a111_1_2" localSheetId="5" hidden="1">{"'vert'!$A$1:$T$117"}</definedName>
    <definedName name="____a111_1_2" hidden="1">{"'vert'!$A$1:$T$117"}</definedName>
    <definedName name="____a111_2" localSheetId="8" hidden="1">{"'vert'!$A$1:$T$117"}</definedName>
    <definedName name="____a111_2" localSheetId="5" hidden="1">{"'vert'!$A$1:$T$117"}</definedName>
    <definedName name="____a111_2" hidden="1">{"'vert'!$A$1:$T$117"}</definedName>
    <definedName name="____a111_3" localSheetId="8" hidden="1">{"'vert'!$A$1:$T$117"}</definedName>
    <definedName name="____a111_3" localSheetId="5" hidden="1">{"'vert'!$A$1:$T$117"}</definedName>
    <definedName name="____a111_3" hidden="1">{"'vert'!$A$1:$T$117"}</definedName>
    <definedName name="____a112" localSheetId="8" hidden="1">{"'vert'!$A$1:$T$117"}</definedName>
    <definedName name="____a112" localSheetId="5" hidden="1">{"'vert'!$A$1:$T$117"}</definedName>
    <definedName name="____a112" hidden="1">{"'vert'!$A$1:$T$117"}</definedName>
    <definedName name="____a112_1" localSheetId="8" hidden="1">{"'vert'!$A$1:$T$117"}</definedName>
    <definedName name="____a112_1" localSheetId="5" hidden="1">{"'vert'!$A$1:$T$117"}</definedName>
    <definedName name="____a112_1" hidden="1">{"'vert'!$A$1:$T$117"}</definedName>
    <definedName name="____a112_1_1" localSheetId="8" hidden="1">{"'vert'!$A$1:$T$117"}</definedName>
    <definedName name="____a112_1_1" localSheetId="5" hidden="1">{"'vert'!$A$1:$T$117"}</definedName>
    <definedName name="____a112_1_1" hidden="1">{"'vert'!$A$1:$T$117"}</definedName>
    <definedName name="____a112_1_2" localSheetId="8" hidden="1">{"'vert'!$A$1:$T$117"}</definedName>
    <definedName name="____a112_1_2" localSheetId="5" hidden="1">{"'vert'!$A$1:$T$117"}</definedName>
    <definedName name="____a112_1_2" hidden="1">{"'vert'!$A$1:$T$117"}</definedName>
    <definedName name="____a112_2" localSheetId="8" hidden="1">{"'vert'!$A$1:$T$117"}</definedName>
    <definedName name="____a112_2" localSheetId="5" hidden="1">{"'vert'!$A$1:$T$117"}</definedName>
    <definedName name="____a112_2" hidden="1">{"'vert'!$A$1:$T$117"}</definedName>
    <definedName name="____a112_3" localSheetId="8" hidden="1">{"'vert'!$A$1:$T$117"}</definedName>
    <definedName name="____a112_3" localSheetId="5" hidden="1">{"'vert'!$A$1:$T$117"}</definedName>
    <definedName name="____a112_3" hidden="1">{"'vert'!$A$1:$T$117"}</definedName>
    <definedName name="____a113" localSheetId="8" hidden="1">{"'vert'!$A$1:$T$117"}</definedName>
    <definedName name="____a113" localSheetId="5" hidden="1">{"'vert'!$A$1:$T$117"}</definedName>
    <definedName name="____a113" hidden="1">{"'vert'!$A$1:$T$117"}</definedName>
    <definedName name="____a113_1" localSheetId="8" hidden="1">{"'vert'!$A$1:$T$117"}</definedName>
    <definedName name="____a113_1" localSheetId="5" hidden="1">{"'vert'!$A$1:$T$117"}</definedName>
    <definedName name="____a113_1" hidden="1">{"'vert'!$A$1:$T$117"}</definedName>
    <definedName name="____a113_1_1" localSheetId="8" hidden="1">{"'vert'!$A$1:$T$117"}</definedName>
    <definedName name="____a113_1_1" localSheetId="5" hidden="1">{"'vert'!$A$1:$T$117"}</definedName>
    <definedName name="____a113_1_1" hidden="1">{"'vert'!$A$1:$T$117"}</definedName>
    <definedName name="____a113_1_2" localSheetId="8" hidden="1">{"'vert'!$A$1:$T$117"}</definedName>
    <definedName name="____a113_1_2" localSheetId="5" hidden="1">{"'vert'!$A$1:$T$117"}</definedName>
    <definedName name="____a113_1_2" hidden="1">{"'vert'!$A$1:$T$117"}</definedName>
    <definedName name="____a113_2" localSheetId="8" hidden="1">{"'vert'!$A$1:$T$117"}</definedName>
    <definedName name="____a113_2" localSheetId="5" hidden="1">{"'vert'!$A$1:$T$117"}</definedName>
    <definedName name="____a113_2" hidden="1">{"'vert'!$A$1:$T$117"}</definedName>
    <definedName name="____a113_3" localSheetId="8" hidden="1">{"'vert'!$A$1:$T$117"}</definedName>
    <definedName name="____a113_3" localSheetId="5" hidden="1">{"'vert'!$A$1:$T$117"}</definedName>
    <definedName name="____a113_3" hidden="1">{"'vert'!$A$1:$T$117"}</definedName>
    <definedName name="____a114" localSheetId="8" hidden="1">{"'vert'!$A$1:$T$117"}</definedName>
    <definedName name="____a114" localSheetId="5" hidden="1">{"'vert'!$A$1:$T$117"}</definedName>
    <definedName name="____a114" hidden="1">{"'vert'!$A$1:$T$117"}</definedName>
    <definedName name="____a114_1" localSheetId="8" hidden="1">{"'vert'!$A$1:$T$117"}</definedName>
    <definedName name="____a114_1" localSheetId="5" hidden="1">{"'vert'!$A$1:$T$117"}</definedName>
    <definedName name="____a114_1" hidden="1">{"'vert'!$A$1:$T$117"}</definedName>
    <definedName name="____a114_1_1" localSheetId="8" hidden="1">{"'vert'!$A$1:$T$117"}</definedName>
    <definedName name="____a114_1_1" localSheetId="5" hidden="1">{"'vert'!$A$1:$T$117"}</definedName>
    <definedName name="____a114_1_1" hidden="1">{"'vert'!$A$1:$T$117"}</definedName>
    <definedName name="____a114_1_2" localSheetId="8" hidden="1">{"'vert'!$A$1:$T$117"}</definedName>
    <definedName name="____a114_1_2" localSheetId="5" hidden="1">{"'vert'!$A$1:$T$117"}</definedName>
    <definedName name="____a114_1_2" hidden="1">{"'vert'!$A$1:$T$117"}</definedName>
    <definedName name="____a114_2" localSheetId="8" hidden="1">{"'vert'!$A$1:$T$117"}</definedName>
    <definedName name="____a114_2" localSheetId="5" hidden="1">{"'vert'!$A$1:$T$117"}</definedName>
    <definedName name="____a114_2" hidden="1">{"'vert'!$A$1:$T$117"}</definedName>
    <definedName name="____a114_3" localSheetId="8" hidden="1">{"'vert'!$A$1:$T$117"}</definedName>
    <definedName name="____a114_3" localSheetId="5" hidden="1">{"'vert'!$A$1:$T$117"}</definedName>
    <definedName name="____a114_3" hidden="1">{"'vert'!$A$1:$T$117"}</definedName>
    <definedName name="____a115" localSheetId="8" hidden="1">{"'vert'!$A$1:$T$117"}</definedName>
    <definedName name="____a115" localSheetId="5" hidden="1">{"'vert'!$A$1:$T$117"}</definedName>
    <definedName name="____a115" hidden="1">{"'vert'!$A$1:$T$117"}</definedName>
    <definedName name="____a115_1" localSheetId="8" hidden="1">{"'vert'!$A$1:$T$117"}</definedName>
    <definedName name="____a115_1" localSheetId="5" hidden="1">{"'vert'!$A$1:$T$117"}</definedName>
    <definedName name="____a115_1" hidden="1">{"'vert'!$A$1:$T$117"}</definedName>
    <definedName name="____a115_1_1" localSheetId="8" hidden="1">{"'vert'!$A$1:$T$117"}</definedName>
    <definedName name="____a115_1_1" localSheetId="5" hidden="1">{"'vert'!$A$1:$T$117"}</definedName>
    <definedName name="____a115_1_1" hidden="1">{"'vert'!$A$1:$T$117"}</definedName>
    <definedName name="____a115_1_2" localSheetId="8" hidden="1">{"'vert'!$A$1:$T$117"}</definedName>
    <definedName name="____a115_1_2" localSheetId="5" hidden="1">{"'vert'!$A$1:$T$117"}</definedName>
    <definedName name="____a115_1_2" hidden="1">{"'vert'!$A$1:$T$117"}</definedName>
    <definedName name="____a115_2" localSheetId="8" hidden="1">{"'vert'!$A$1:$T$117"}</definedName>
    <definedName name="____a115_2" localSheetId="5" hidden="1">{"'vert'!$A$1:$T$117"}</definedName>
    <definedName name="____a115_2" hidden="1">{"'vert'!$A$1:$T$117"}</definedName>
    <definedName name="____a115_3" localSheetId="8" hidden="1">{"'vert'!$A$1:$T$117"}</definedName>
    <definedName name="____a115_3" localSheetId="5" hidden="1">{"'vert'!$A$1:$T$117"}</definedName>
    <definedName name="____a115_3" hidden="1">{"'vert'!$A$1:$T$117"}</definedName>
    <definedName name="____a116" localSheetId="8" hidden="1">{"'vert'!$A$1:$T$117"}</definedName>
    <definedName name="____a116" localSheetId="5" hidden="1">{"'vert'!$A$1:$T$117"}</definedName>
    <definedName name="____a116" hidden="1">{"'vert'!$A$1:$T$117"}</definedName>
    <definedName name="____a116_1" localSheetId="8" hidden="1">{"'vert'!$A$1:$T$117"}</definedName>
    <definedName name="____a116_1" localSheetId="5" hidden="1">{"'vert'!$A$1:$T$117"}</definedName>
    <definedName name="____a116_1" hidden="1">{"'vert'!$A$1:$T$117"}</definedName>
    <definedName name="____a116_1_1" localSheetId="8" hidden="1">{"'vert'!$A$1:$T$117"}</definedName>
    <definedName name="____a116_1_1" localSheetId="5" hidden="1">{"'vert'!$A$1:$T$117"}</definedName>
    <definedName name="____a116_1_1" hidden="1">{"'vert'!$A$1:$T$117"}</definedName>
    <definedName name="____a116_1_2" localSheetId="8" hidden="1">{"'vert'!$A$1:$T$117"}</definedName>
    <definedName name="____a116_1_2" localSheetId="5" hidden="1">{"'vert'!$A$1:$T$117"}</definedName>
    <definedName name="____a116_1_2" hidden="1">{"'vert'!$A$1:$T$117"}</definedName>
    <definedName name="____a116_2" localSheetId="8" hidden="1">{"'vert'!$A$1:$T$117"}</definedName>
    <definedName name="____a116_2" localSheetId="5" hidden="1">{"'vert'!$A$1:$T$117"}</definedName>
    <definedName name="____a116_2" hidden="1">{"'vert'!$A$1:$T$117"}</definedName>
    <definedName name="____a116_3" localSheetId="8" hidden="1">{"'vert'!$A$1:$T$117"}</definedName>
    <definedName name="____a116_3" localSheetId="5" hidden="1">{"'vert'!$A$1:$T$117"}</definedName>
    <definedName name="____a116_3" hidden="1">{"'vert'!$A$1:$T$117"}</definedName>
    <definedName name="____a117" localSheetId="8" hidden="1">{"'vert'!$A$1:$T$117"}</definedName>
    <definedName name="____a117" localSheetId="5" hidden="1">{"'vert'!$A$1:$T$117"}</definedName>
    <definedName name="____a117" hidden="1">{"'vert'!$A$1:$T$117"}</definedName>
    <definedName name="____a117_1" localSheetId="8" hidden="1">{"'vert'!$A$1:$T$117"}</definedName>
    <definedName name="____a117_1" localSheetId="5" hidden="1">{"'vert'!$A$1:$T$117"}</definedName>
    <definedName name="____a117_1" hidden="1">{"'vert'!$A$1:$T$117"}</definedName>
    <definedName name="____a117_1_1" localSheetId="8" hidden="1">{"'vert'!$A$1:$T$117"}</definedName>
    <definedName name="____a117_1_1" localSheetId="5" hidden="1">{"'vert'!$A$1:$T$117"}</definedName>
    <definedName name="____a117_1_1" hidden="1">{"'vert'!$A$1:$T$117"}</definedName>
    <definedName name="____a117_1_2" localSheetId="8" hidden="1">{"'vert'!$A$1:$T$117"}</definedName>
    <definedName name="____a117_1_2" localSheetId="5" hidden="1">{"'vert'!$A$1:$T$117"}</definedName>
    <definedName name="____a117_1_2" hidden="1">{"'vert'!$A$1:$T$117"}</definedName>
    <definedName name="____a117_2" localSheetId="8" hidden="1">{"'vert'!$A$1:$T$117"}</definedName>
    <definedName name="____a117_2" localSheetId="5" hidden="1">{"'vert'!$A$1:$T$117"}</definedName>
    <definedName name="____a117_2" hidden="1">{"'vert'!$A$1:$T$117"}</definedName>
    <definedName name="____a117_3" localSheetId="8" hidden="1">{"'vert'!$A$1:$T$117"}</definedName>
    <definedName name="____a117_3" localSheetId="5" hidden="1">{"'vert'!$A$1:$T$117"}</definedName>
    <definedName name="____a117_3" hidden="1">{"'vert'!$A$1:$T$117"}</definedName>
    <definedName name="____a118" localSheetId="8" hidden="1">{"'vert'!$A$1:$T$117"}</definedName>
    <definedName name="____a118" localSheetId="5" hidden="1">{"'vert'!$A$1:$T$117"}</definedName>
    <definedName name="____a118" hidden="1">{"'vert'!$A$1:$T$117"}</definedName>
    <definedName name="____a118_1" localSheetId="8" hidden="1">{"'vert'!$A$1:$T$117"}</definedName>
    <definedName name="____a118_1" localSheetId="5" hidden="1">{"'vert'!$A$1:$T$117"}</definedName>
    <definedName name="____a118_1" hidden="1">{"'vert'!$A$1:$T$117"}</definedName>
    <definedName name="____a118_1_1" localSheetId="8" hidden="1">{"'vert'!$A$1:$T$117"}</definedName>
    <definedName name="____a118_1_1" localSheetId="5" hidden="1">{"'vert'!$A$1:$T$117"}</definedName>
    <definedName name="____a118_1_1" hidden="1">{"'vert'!$A$1:$T$117"}</definedName>
    <definedName name="____a118_1_2" localSheetId="8" hidden="1">{"'vert'!$A$1:$T$117"}</definedName>
    <definedName name="____a118_1_2" localSheetId="5" hidden="1">{"'vert'!$A$1:$T$117"}</definedName>
    <definedName name="____a118_1_2" hidden="1">{"'vert'!$A$1:$T$117"}</definedName>
    <definedName name="____a118_2" localSheetId="8" hidden="1">{"'vert'!$A$1:$T$117"}</definedName>
    <definedName name="____a118_2" localSheetId="5" hidden="1">{"'vert'!$A$1:$T$117"}</definedName>
    <definedName name="____a118_2" hidden="1">{"'vert'!$A$1:$T$117"}</definedName>
    <definedName name="____a118_3" localSheetId="8" hidden="1">{"'vert'!$A$1:$T$117"}</definedName>
    <definedName name="____a118_3" localSheetId="5" hidden="1">{"'vert'!$A$1:$T$117"}</definedName>
    <definedName name="____a118_3" hidden="1">{"'vert'!$A$1:$T$117"}</definedName>
    <definedName name="____a119" localSheetId="8" hidden="1">{"'vert'!$A$1:$T$117"}</definedName>
    <definedName name="____a119" localSheetId="5" hidden="1">{"'vert'!$A$1:$T$117"}</definedName>
    <definedName name="____a119" hidden="1">{"'vert'!$A$1:$T$117"}</definedName>
    <definedName name="____a119_1" localSheetId="8" hidden="1">{"'vert'!$A$1:$T$117"}</definedName>
    <definedName name="____a119_1" localSheetId="5" hidden="1">{"'vert'!$A$1:$T$117"}</definedName>
    <definedName name="____a119_1" hidden="1">{"'vert'!$A$1:$T$117"}</definedName>
    <definedName name="____a119_1_1" localSheetId="8" hidden="1">{"'vert'!$A$1:$T$117"}</definedName>
    <definedName name="____a119_1_1" localSheetId="5" hidden="1">{"'vert'!$A$1:$T$117"}</definedName>
    <definedName name="____a119_1_1" hidden="1">{"'vert'!$A$1:$T$117"}</definedName>
    <definedName name="____a119_1_2" localSheetId="8" hidden="1">{"'vert'!$A$1:$T$117"}</definedName>
    <definedName name="____a119_1_2" localSheetId="5" hidden="1">{"'vert'!$A$1:$T$117"}</definedName>
    <definedName name="____a119_1_2" hidden="1">{"'vert'!$A$1:$T$117"}</definedName>
    <definedName name="____a119_2" localSheetId="8" hidden="1">{"'vert'!$A$1:$T$117"}</definedName>
    <definedName name="____a119_2" localSheetId="5" hidden="1">{"'vert'!$A$1:$T$117"}</definedName>
    <definedName name="____a119_2" hidden="1">{"'vert'!$A$1:$T$117"}</definedName>
    <definedName name="____a119_3" localSheetId="8" hidden="1">{"'vert'!$A$1:$T$117"}</definedName>
    <definedName name="____a119_3" localSheetId="5" hidden="1">{"'vert'!$A$1:$T$117"}</definedName>
    <definedName name="____a119_3" hidden="1">{"'vert'!$A$1:$T$117"}</definedName>
    <definedName name="____a120" localSheetId="8" hidden="1">{"'vert'!$A$1:$T$117"}</definedName>
    <definedName name="____a120" localSheetId="5" hidden="1">{"'vert'!$A$1:$T$117"}</definedName>
    <definedName name="____a120" hidden="1">{"'vert'!$A$1:$T$117"}</definedName>
    <definedName name="____a120_1" localSheetId="8" hidden="1">{"'vert'!$A$1:$T$117"}</definedName>
    <definedName name="____a120_1" localSheetId="5" hidden="1">{"'vert'!$A$1:$T$117"}</definedName>
    <definedName name="____a120_1" hidden="1">{"'vert'!$A$1:$T$117"}</definedName>
    <definedName name="____a120_1_1" localSheetId="8" hidden="1">{"'vert'!$A$1:$T$117"}</definedName>
    <definedName name="____a120_1_1" localSheetId="5" hidden="1">{"'vert'!$A$1:$T$117"}</definedName>
    <definedName name="____a120_1_1" hidden="1">{"'vert'!$A$1:$T$117"}</definedName>
    <definedName name="____a120_1_2" localSheetId="8" hidden="1">{"'vert'!$A$1:$T$117"}</definedName>
    <definedName name="____a120_1_2" localSheetId="5" hidden="1">{"'vert'!$A$1:$T$117"}</definedName>
    <definedName name="____a120_1_2" hidden="1">{"'vert'!$A$1:$T$117"}</definedName>
    <definedName name="____a120_2" localSheetId="8" hidden="1">{"'vert'!$A$1:$T$117"}</definedName>
    <definedName name="____a120_2" localSheetId="5" hidden="1">{"'vert'!$A$1:$T$117"}</definedName>
    <definedName name="____a120_2" hidden="1">{"'vert'!$A$1:$T$117"}</definedName>
    <definedName name="____a120_3" localSheetId="8" hidden="1">{"'vert'!$A$1:$T$117"}</definedName>
    <definedName name="____a120_3" localSheetId="5" hidden="1">{"'vert'!$A$1:$T$117"}</definedName>
    <definedName name="____a120_3" hidden="1">{"'vert'!$A$1:$T$117"}</definedName>
    <definedName name="____a121" localSheetId="8" hidden="1">{"'vert'!$A$1:$T$117"}</definedName>
    <definedName name="____a121" localSheetId="5" hidden="1">{"'vert'!$A$1:$T$117"}</definedName>
    <definedName name="____a121" hidden="1">{"'vert'!$A$1:$T$117"}</definedName>
    <definedName name="____a121_1" localSheetId="8" hidden="1">{"'vert'!$A$1:$T$117"}</definedName>
    <definedName name="____a121_1" localSheetId="5" hidden="1">{"'vert'!$A$1:$T$117"}</definedName>
    <definedName name="____a121_1" hidden="1">{"'vert'!$A$1:$T$117"}</definedName>
    <definedName name="____a121_1_1" localSheetId="8" hidden="1">{"'vert'!$A$1:$T$117"}</definedName>
    <definedName name="____a121_1_1" localSheetId="5" hidden="1">{"'vert'!$A$1:$T$117"}</definedName>
    <definedName name="____a121_1_1" hidden="1">{"'vert'!$A$1:$T$117"}</definedName>
    <definedName name="____a121_1_2" localSheetId="8" hidden="1">{"'vert'!$A$1:$T$117"}</definedName>
    <definedName name="____a121_1_2" localSheetId="5" hidden="1">{"'vert'!$A$1:$T$117"}</definedName>
    <definedName name="____a121_1_2" hidden="1">{"'vert'!$A$1:$T$117"}</definedName>
    <definedName name="____a121_2" localSheetId="8" hidden="1">{"'vert'!$A$1:$T$117"}</definedName>
    <definedName name="____a121_2" localSheetId="5" hidden="1">{"'vert'!$A$1:$T$117"}</definedName>
    <definedName name="____a121_2" hidden="1">{"'vert'!$A$1:$T$117"}</definedName>
    <definedName name="____a121_3" localSheetId="8" hidden="1">{"'vert'!$A$1:$T$117"}</definedName>
    <definedName name="____a121_3" localSheetId="5" hidden="1">{"'vert'!$A$1:$T$117"}</definedName>
    <definedName name="____a121_3" hidden="1">{"'vert'!$A$1:$T$117"}</definedName>
    <definedName name="____a122" localSheetId="8" hidden="1">{"'vert'!$A$1:$T$117"}</definedName>
    <definedName name="____a122" localSheetId="5" hidden="1">{"'vert'!$A$1:$T$117"}</definedName>
    <definedName name="____a122" hidden="1">{"'vert'!$A$1:$T$117"}</definedName>
    <definedName name="____a122_1" localSheetId="8" hidden="1">{"'vert'!$A$1:$T$117"}</definedName>
    <definedName name="____a122_1" localSheetId="5" hidden="1">{"'vert'!$A$1:$T$117"}</definedName>
    <definedName name="____a122_1" hidden="1">{"'vert'!$A$1:$T$117"}</definedName>
    <definedName name="____a122_1_1" localSheetId="8" hidden="1">{"'vert'!$A$1:$T$117"}</definedName>
    <definedName name="____a122_1_1" localSheetId="5" hidden="1">{"'vert'!$A$1:$T$117"}</definedName>
    <definedName name="____a122_1_1" hidden="1">{"'vert'!$A$1:$T$117"}</definedName>
    <definedName name="____a122_1_2" localSheetId="8" hidden="1">{"'vert'!$A$1:$T$117"}</definedName>
    <definedName name="____a122_1_2" localSheetId="5" hidden="1">{"'vert'!$A$1:$T$117"}</definedName>
    <definedName name="____a122_1_2" hidden="1">{"'vert'!$A$1:$T$117"}</definedName>
    <definedName name="____a122_2" localSheetId="8" hidden="1">{"'vert'!$A$1:$T$117"}</definedName>
    <definedName name="____a122_2" localSheetId="5" hidden="1">{"'vert'!$A$1:$T$117"}</definedName>
    <definedName name="____a122_2" hidden="1">{"'vert'!$A$1:$T$117"}</definedName>
    <definedName name="____a122_3" localSheetId="8" hidden="1">{"'vert'!$A$1:$T$117"}</definedName>
    <definedName name="____a122_3" localSheetId="5" hidden="1">{"'vert'!$A$1:$T$117"}</definedName>
    <definedName name="____a122_3" hidden="1">{"'vert'!$A$1:$T$117"}</definedName>
    <definedName name="____a123" localSheetId="8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__a123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__a123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__a123_1" localSheetId="8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__a123_1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__a123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__a123_1_1" localSheetId="8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__a123_1_1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__a123_1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__a123_1_2" localSheetId="8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__a123_1_2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__a123_1_2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__a123_2" localSheetId="8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__a123_2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__a123_2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__a123_3" localSheetId="8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__a123_3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__a123_3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__a22" localSheetId="8" hidden="1">{"'vert'!$A$1:$T$117"}</definedName>
    <definedName name="____a22" localSheetId="5" hidden="1">{"'vert'!$A$1:$T$117"}</definedName>
    <definedName name="____a22" hidden="1">{"'vert'!$A$1:$T$117"}</definedName>
    <definedName name="____a22_1" localSheetId="8" hidden="1">{"'vert'!$A$1:$T$117"}</definedName>
    <definedName name="____a22_1" localSheetId="5" hidden="1">{"'vert'!$A$1:$T$117"}</definedName>
    <definedName name="____a22_1" hidden="1">{"'vert'!$A$1:$T$117"}</definedName>
    <definedName name="____a22_1_1" localSheetId="8" hidden="1">{"'vert'!$A$1:$T$117"}</definedName>
    <definedName name="____a22_1_1" localSheetId="5" hidden="1">{"'vert'!$A$1:$T$117"}</definedName>
    <definedName name="____a22_1_1" hidden="1">{"'vert'!$A$1:$T$117"}</definedName>
    <definedName name="____a22_1_2" localSheetId="8" hidden="1">{"'vert'!$A$1:$T$117"}</definedName>
    <definedName name="____a22_1_2" localSheetId="5" hidden="1">{"'vert'!$A$1:$T$117"}</definedName>
    <definedName name="____a22_1_2" hidden="1">{"'vert'!$A$1:$T$117"}</definedName>
    <definedName name="____a22_2" localSheetId="8" hidden="1">{"'vert'!$A$1:$T$117"}</definedName>
    <definedName name="____a22_2" localSheetId="5" hidden="1">{"'vert'!$A$1:$T$117"}</definedName>
    <definedName name="____a22_2" hidden="1">{"'vert'!$A$1:$T$117"}</definedName>
    <definedName name="____a22_3" localSheetId="8" hidden="1">{"'vert'!$A$1:$T$117"}</definedName>
    <definedName name="____a22_3" localSheetId="5" hidden="1">{"'vert'!$A$1:$T$117"}</definedName>
    <definedName name="____a22_3" hidden="1">{"'vert'!$A$1:$T$117"}</definedName>
    <definedName name="____a33" localSheetId="8" hidden="1">{"'vert'!$A$1:$T$117"}</definedName>
    <definedName name="____a33" localSheetId="5" hidden="1">{"'vert'!$A$1:$T$117"}</definedName>
    <definedName name="____a33" hidden="1">{"'vert'!$A$1:$T$117"}</definedName>
    <definedName name="____a33_1" localSheetId="8" hidden="1">{"'vert'!$A$1:$T$117"}</definedName>
    <definedName name="____a33_1" localSheetId="5" hidden="1">{"'vert'!$A$1:$T$117"}</definedName>
    <definedName name="____a33_1" hidden="1">{"'vert'!$A$1:$T$117"}</definedName>
    <definedName name="____a33_1_1" localSheetId="8" hidden="1">{"'vert'!$A$1:$T$117"}</definedName>
    <definedName name="____a33_1_1" localSheetId="5" hidden="1">{"'vert'!$A$1:$T$117"}</definedName>
    <definedName name="____a33_1_1" hidden="1">{"'vert'!$A$1:$T$117"}</definedName>
    <definedName name="____a33_1_2" localSheetId="8" hidden="1">{"'vert'!$A$1:$T$117"}</definedName>
    <definedName name="____a33_1_2" localSheetId="5" hidden="1">{"'vert'!$A$1:$T$117"}</definedName>
    <definedName name="____a33_1_2" hidden="1">{"'vert'!$A$1:$T$117"}</definedName>
    <definedName name="____a33_2" localSheetId="8" hidden="1">{"'vert'!$A$1:$T$117"}</definedName>
    <definedName name="____a33_2" localSheetId="5" hidden="1">{"'vert'!$A$1:$T$117"}</definedName>
    <definedName name="____a33_2" hidden="1">{"'vert'!$A$1:$T$117"}</definedName>
    <definedName name="____a33_3" localSheetId="8" hidden="1">{"'vert'!$A$1:$T$117"}</definedName>
    <definedName name="____a33_3" localSheetId="5" hidden="1">{"'vert'!$A$1:$T$117"}</definedName>
    <definedName name="____a33_3" hidden="1">{"'vert'!$A$1:$T$117"}</definedName>
    <definedName name="____a44" localSheetId="8" hidden="1">{"'vert'!$A$1:$T$117"}</definedName>
    <definedName name="____a44" localSheetId="5" hidden="1">{"'vert'!$A$1:$T$117"}</definedName>
    <definedName name="____a44" hidden="1">{"'vert'!$A$1:$T$117"}</definedName>
    <definedName name="____a44_1" localSheetId="8" hidden="1">{"'vert'!$A$1:$T$117"}</definedName>
    <definedName name="____a44_1" localSheetId="5" hidden="1">{"'vert'!$A$1:$T$117"}</definedName>
    <definedName name="____a44_1" hidden="1">{"'vert'!$A$1:$T$117"}</definedName>
    <definedName name="____a44_1_1" localSheetId="8" hidden="1">{"'vert'!$A$1:$T$117"}</definedName>
    <definedName name="____a44_1_1" localSheetId="5" hidden="1">{"'vert'!$A$1:$T$117"}</definedName>
    <definedName name="____a44_1_1" hidden="1">{"'vert'!$A$1:$T$117"}</definedName>
    <definedName name="____a44_1_2" localSheetId="8" hidden="1">{"'vert'!$A$1:$T$117"}</definedName>
    <definedName name="____a44_1_2" localSheetId="5" hidden="1">{"'vert'!$A$1:$T$117"}</definedName>
    <definedName name="____a44_1_2" hidden="1">{"'vert'!$A$1:$T$117"}</definedName>
    <definedName name="____a44_2" localSheetId="8" hidden="1">{"'vert'!$A$1:$T$117"}</definedName>
    <definedName name="____a44_2" localSheetId="5" hidden="1">{"'vert'!$A$1:$T$117"}</definedName>
    <definedName name="____a44_2" hidden="1">{"'vert'!$A$1:$T$117"}</definedName>
    <definedName name="____a44_3" localSheetId="8" hidden="1">{"'vert'!$A$1:$T$117"}</definedName>
    <definedName name="____a44_3" localSheetId="5" hidden="1">{"'vert'!$A$1:$T$117"}</definedName>
    <definedName name="____a44_3" hidden="1">{"'vert'!$A$1:$T$117"}</definedName>
    <definedName name="____a55" localSheetId="8" hidden="1">{"'vert'!$A$1:$T$117"}</definedName>
    <definedName name="____a55" localSheetId="5" hidden="1">{"'vert'!$A$1:$T$117"}</definedName>
    <definedName name="____a55" hidden="1">{"'vert'!$A$1:$T$117"}</definedName>
    <definedName name="____a55_1" localSheetId="8" hidden="1">{"'vert'!$A$1:$T$117"}</definedName>
    <definedName name="____a55_1" localSheetId="5" hidden="1">{"'vert'!$A$1:$T$117"}</definedName>
    <definedName name="____a55_1" hidden="1">{"'vert'!$A$1:$T$117"}</definedName>
    <definedName name="____a55_1_1" localSheetId="8" hidden="1">{"'vert'!$A$1:$T$117"}</definedName>
    <definedName name="____a55_1_1" localSheetId="5" hidden="1">{"'vert'!$A$1:$T$117"}</definedName>
    <definedName name="____a55_1_1" hidden="1">{"'vert'!$A$1:$T$117"}</definedName>
    <definedName name="____a55_1_2" localSheetId="8" hidden="1">{"'vert'!$A$1:$T$117"}</definedName>
    <definedName name="____a55_1_2" localSheetId="5" hidden="1">{"'vert'!$A$1:$T$117"}</definedName>
    <definedName name="____a55_1_2" hidden="1">{"'vert'!$A$1:$T$117"}</definedName>
    <definedName name="____a55_2" localSheetId="8" hidden="1">{"'vert'!$A$1:$T$117"}</definedName>
    <definedName name="____a55_2" localSheetId="5" hidden="1">{"'vert'!$A$1:$T$117"}</definedName>
    <definedName name="____a55_2" hidden="1">{"'vert'!$A$1:$T$117"}</definedName>
    <definedName name="____a55_3" localSheetId="8" hidden="1">{"'vert'!$A$1:$T$117"}</definedName>
    <definedName name="____a55_3" localSheetId="5" hidden="1">{"'vert'!$A$1:$T$117"}</definedName>
    <definedName name="____a55_3" hidden="1">{"'vert'!$A$1:$T$117"}</definedName>
    <definedName name="____a66" localSheetId="8" hidden="1">{"'vert'!$A$1:$T$117"}</definedName>
    <definedName name="____a66" localSheetId="5" hidden="1">{"'vert'!$A$1:$T$117"}</definedName>
    <definedName name="____a66" hidden="1">{"'vert'!$A$1:$T$117"}</definedName>
    <definedName name="____a66_1" localSheetId="8" hidden="1">{"'vert'!$A$1:$T$117"}</definedName>
    <definedName name="____a66_1" localSheetId="5" hidden="1">{"'vert'!$A$1:$T$117"}</definedName>
    <definedName name="____a66_1" hidden="1">{"'vert'!$A$1:$T$117"}</definedName>
    <definedName name="____a66_1_1" localSheetId="8" hidden="1">{"'vert'!$A$1:$T$117"}</definedName>
    <definedName name="____a66_1_1" localSheetId="5" hidden="1">{"'vert'!$A$1:$T$117"}</definedName>
    <definedName name="____a66_1_1" hidden="1">{"'vert'!$A$1:$T$117"}</definedName>
    <definedName name="____a66_1_2" localSheetId="8" hidden="1">{"'vert'!$A$1:$T$117"}</definedName>
    <definedName name="____a66_1_2" localSheetId="5" hidden="1">{"'vert'!$A$1:$T$117"}</definedName>
    <definedName name="____a66_1_2" hidden="1">{"'vert'!$A$1:$T$117"}</definedName>
    <definedName name="____a66_2" localSheetId="8" hidden="1">{"'vert'!$A$1:$T$117"}</definedName>
    <definedName name="____a66_2" localSheetId="5" hidden="1">{"'vert'!$A$1:$T$117"}</definedName>
    <definedName name="____a66_2" hidden="1">{"'vert'!$A$1:$T$117"}</definedName>
    <definedName name="____a66_3" localSheetId="8" hidden="1">{"'vert'!$A$1:$T$117"}</definedName>
    <definedName name="____a66_3" localSheetId="5" hidden="1">{"'vert'!$A$1:$T$117"}</definedName>
    <definedName name="____a66_3" hidden="1">{"'vert'!$A$1:$T$117"}</definedName>
    <definedName name="____a77" localSheetId="8" hidden="1">{"'vert'!$A$1:$T$117"}</definedName>
    <definedName name="____a77" localSheetId="5" hidden="1">{"'vert'!$A$1:$T$117"}</definedName>
    <definedName name="____a77" hidden="1">{"'vert'!$A$1:$T$117"}</definedName>
    <definedName name="____a77_1" localSheetId="8" hidden="1">{"'vert'!$A$1:$T$117"}</definedName>
    <definedName name="____a77_1" localSheetId="5" hidden="1">{"'vert'!$A$1:$T$117"}</definedName>
    <definedName name="____a77_1" hidden="1">{"'vert'!$A$1:$T$117"}</definedName>
    <definedName name="____a77_1_1" localSheetId="8" hidden="1">{"'vert'!$A$1:$T$117"}</definedName>
    <definedName name="____a77_1_1" localSheetId="5" hidden="1">{"'vert'!$A$1:$T$117"}</definedName>
    <definedName name="____a77_1_1" hidden="1">{"'vert'!$A$1:$T$117"}</definedName>
    <definedName name="____a77_1_2" localSheetId="8" hidden="1">{"'vert'!$A$1:$T$117"}</definedName>
    <definedName name="____a77_1_2" localSheetId="5" hidden="1">{"'vert'!$A$1:$T$117"}</definedName>
    <definedName name="____a77_1_2" hidden="1">{"'vert'!$A$1:$T$117"}</definedName>
    <definedName name="____a77_2" localSheetId="8" hidden="1">{"'vert'!$A$1:$T$117"}</definedName>
    <definedName name="____a77_2" localSheetId="5" hidden="1">{"'vert'!$A$1:$T$117"}</definedName>
    <definedName name="____a77_2" hidden="1">{"'vert'!$A$1:$T$117"}</definedName>
    <definedName name="____a77_3" localSheetId="8" hidden="1">{"'vert'!$A$1:$T$117"}</definedName>
    <definedName name="____a77_3" localSheetId="5" hidden="1">{"'vert'!$A$1:$T$117"}</definedName>
    <definedName name="____a77_3" hidden="1">{"'vert'!$A$1:$T$117"}</definedName>
    <definedName name="____a88" localSheetId="8" hidden="1">{"'vert'!$A$1:$T$117"}</definedName>
    <definedName name="____a88" localSheetId="5" hidden="1">{"'vert'!$A$1:$T$117"}</definedName>
    <definedName name="____a88" hidden="1">{"'vert'!$A$1:$T$117"}</definedName>
    <definedName name="____a88_1" localSheetId="8" hidden="1">{"'vert'!$A$1:$T$117"}</definedName>
    <definedName name="____a88_1" localSheetId="5" hidden="1">{"'vert'!$A$1:$T$117"}</definedName>
    <definedName name="____a88_1" hidden="1">{"'vert'!$A$1:$T$117"}</definedName>
    <definedName name="____a88_1_1" localSheetId="8" hidden="1">{"'vert'!$A$1:$T$117"}</definedName>
    <definedName name="____a88_1_1" localSheetId="5" hidden="1">{"'vert'!$A$1:$T$117"}</definedName>
    <definedName name="____a88_1_1" hidden="1">{"'vert'!$A$1:$T$117"}</definedName>
    <definedName name="____a88_1_2" localSheetId="8" hidden="1">{"'vert'!$A$1:$T$117"}</definedName>
    <definedName name="____a88_1_2" localSheetId="5" hidden="1">{"'vert'!$A$1:$T$117"}</definedName>
    <definedName name="____a88_1_2" hidden="1">{"'vert'!$A$1:$T$117"}</definedName>
    <definedName name="____a88_2" localSheetId="8" hidden="1">{"'vert'!$A$1:$T$117"}</definedName>
    <definedName name="____a88_2" localSheetId="5" hidden="1">{"'vert'!$A$1:$T$117"}</definedName>
    <definedName name="____a88_2" hidden="1">{"'vert'!$A$1:$T$117"}</definedName>
    <definedName name="____a88_3" localSheetId="8" hidden="1">{"'vert'!$A$1:$T$117"}</definedName>
    <definedName name="____a88_3" localSheetId="5" hidden="1">{"'vert'!$A$1:$T$117"}</definedName>
    <definedName name="____a88_3" hidden="1">{"'vert'!$A$1:$T$117"}</definedName>
    <definedName name="____a99" localSheetId="8" hidden="1">{"'vert'!$A$1:$T$117"}</definedName>
    <definedName name="____a99" localSheetId="5" hidden="1">{"'vert'!$A$1:$T$117"}</definedName>
    <definedName name="____a99" hidden="1">{"'vert'!$A$1:$T$117"}</definedName>
    <definedName name="____a99_1" localSheetId="8" hidden="1">{"'vert'!$A$1:$T$117"}</definedName>
    <definedName name="____a99_1" localSheetId="5" hidden="1">{"'vert'!$A$1:$T$117"}</definedName>
    <definedName name="____a99_1" hidden="1">{"'vert'!$A$1:$T$117"}</definedName>
    <definedName name="____a99_1_1" localSheetId="8" hidden="1">{"'vert'!$A$1:$T$117"}</definedName>
    <definedName name="____a99_1_1" localSheetId="5" hidden="1">{"'vert'!$A$1:$T$117"}</definedName>
    <definedName name="____a99_1_1" hidden="1">{"'vert'!$A$1:$T$117"}</definedName>
    <definedName name="____a99_1_2" localSheetId="8" hidden="1">{"'vert'!$A$1:$T$117"}</definedName>
    <definedName name="____a99_1_2" localSheetId="5" hidden="1">{"'vert'!$A$1:$T$117"}</definedName>
    <definedName name="____a99_1_2" hidden="1">{"'vert'!$A$1:$T$117"}</definedName>
    <definedName name="____a99_2" localSheetId="8" hidden="1">{"'vert'!$A$1:$T$117"}</definedName>
    <definedName name="____a99_2" localSheetId="5" hidden="1">{"'vert'!$A$1:$T$117"}</definedName>
    <definedName name="____a99_2" hidden="1">{"'vert'!$A$1:$T$117"}</definedName>
    <definedName name="____a99_3" localSheetId="8" hidden="1">{"'vert'!$A$1:$T$117"}</definedName>
    <definedName name="____a99_3" localSheetId="5" hidden="1">{"'vert'!$A$1:$T$117"}</definedName>
    <definedName name="____a99_3" hidden="1">{"'vert'!$A$1:$T$117"}</definedName>
    <definedName name="____bla2" localSheetId="8" hidden="1">{"'vert'!$A$1:$T$117"}</definedName>
    <definedName name="____bla2" localSheetId="5" hidden="1">{"'vert'!$A$1:$T$117"}</definedName>
    <definedName name="____bla2" hidden="1">{"'vert'!$A$1:$T$117"}</definedName>
    <definedName name="____bla2_1" localSheetId="8" hidden="1">{"'vert'!$A$1:$T$117"}</definedName>
    <definedName name="____bla2_1" localSheetId="5" hidden="1">{"'vert'!$A$1:$T$117"}</definedName>
    <definedName name="____bla2_1" hidden="1">{"'vert'!$A$1:$T$117"}</definedName>
    <definedName name="____bla2_1_1" localSheetId="8" hidden="1">{"'vert'!$A$1:$T$117"}</definedName>
    <definedName name="____bla2_1_1" localSheetId="5" hidden="1">{"'vert'!$A$1:$T$117"}</definedName>
    <definedName name="____bla2_1_1" hidden="1">{"'vert'!$A$1:$T$117"}</definedName>
    <definedName name="____bla2_1_2" localSheetId="8" hidden="1">{"'vert'!$A$1:$T$117"}</definedName>
    <definedName name="____bla2_1_2" localSheetId="5" hidden="1">{"'vert'!$A$1:$T$117"}</definedName>
    <definedName name="____bla2_1_2" hidden="1">{"'vert'!$A$1:$T$117"}</definedName>
    <definedName name="____bla2_2" localSheetId="8" hidden="1">{"'vert'!$A$1:$T$117"}</definedName>
    <definedName name="____bla2_2" localSheetId="5" hidden="1">{"'vert'!$A$1:$T$117"}</definedName>
    <definedName name="____bla2_2" hidden="1">{"'vert'!$A$1:$T$117"}</definedName>
    <definedName name="____bla2_3" localSheetId="8" hidden="1">{"'vert'!$A$1:$T$117"}</definedName>
    <definedName name="____bla2_3" localSheetId="5" hidden="1">{"'vert'!$A$1:$T$117"}</definedName>
    <definedName name="____bla2_3" hidden="1">{"'vert'!$A$1:$T$117"}</definedName>
    <definedName name="____bla3" localSheetId="8" hidden="1">{"'vert'!$A$1:$T$117"}</definedName>
    <definedName name="____bla3" localSheetId="5" hidden="1">{"'vert'!$A$1:$T$117"}</definedName>
    <definedName name="____bla3" hidden="1">{"'vert'!$A$1:$T$117"}</definedName>
    <definedName name="____bla3_1" localSheetId="8" hidden="1">{"'vert'!$A$1:$T$117"}</definedName>
    <definedName name="____bla3_1" localSheetId="5" hidden="1">{"'vert'!$A$1:$T$117"}</definedName>
    <definedName name="____bla3_1" hidden="1">{"'vert'!$A$1:$T$117"}</definedName>
    <definedName name="____bla3_1_1" localSheetId="8" hidden="1">{"'vert'!$A$1:$T$117"}</definedName>
    <definedName name="____bla3_1_1" localSheetId="5" hidden="1">{"'vert'!$A$1:$T$117"}</definedName>
    <definedName name="____bla3_1_1" hidden="1">{"'vert'!$A$1:$T$117"}</definedName>
    <definedName name="____bla3_1_2" localSheetId="8" hidden="1">{"'vert'!$A$1:$T$117"}</definedName>
    <definedName name="____bla3_1_2" localSheetId="5" hidden="1">{"'vert'!$A$1:$T$117"}</definedName>
    <definedName name="____bla3_1_2" hidden="1">{"'vert'!$A$1:$T$117"}</definedName>
    <definedName name="____bla3_2" localSheetId="8" hidden="1">{"'vert'!$A$1:$T$117"}</definedName>
    <definedName name="____bla3_2" localSheetId="5" hidden="1">{"'vert'!$A$1:$T$117"}</definedName>
    <definedName name="____bla3_2" hidden="1">{"'vert'!$A$1:$T$117"}</definedName>
    <definedName name="____bla3_3" localSheetId="8" hidden="1">{"'vert'!$A$1:$T$117"}</definedName>
    <definedName name="____bla3_3" localSheetId="5" hidden="1">{"'vert'!$A$1:$T$117"}</definedName>
    <definedName name="____bla3_3" hidden="1">{"'vert'!$A$1:$T$117"}</definedName>
    <definedName name="____dd2" localSheetId="8" hidden="1">{"'vert'!$A$1:$T$117"}</definedName>
    <definedName name="____dd2" localSheetId="5" hidden="1">{"'vert'!$A$1:$T$117"}</definedName>
    <definedName name="____dd2" hidden="1">{"'vert'!$A$1:$T$117"}</definedName>
    <definedName name="____dd2_1" localSheetId="8" hidden="1">{"'vert'!$A$1:$T$117"}</definedName>
    <definedName name="____dd2_1" localSheetId="5" hidden="1">{"'vert'!$A$1:$T$117"}</definedName>
    <definedName name="____dd2_1" hidden="1">{"'vert'!$A$1:$T$117"}</definedName>
    <definedName name="____dd2_1_1" localSheetId="8" hidden="1">{"'vert'!$A$1:$T$117"}</definedName>
    <definedName name="____dd2_1_1" localSheetId="5" hidden="1">{"'vert'!$A$1:$T$117"}</definedName>
    <definedName name="____dd2_1_1" hidden="1">{"'vert'!$A$1:$T$117"}</definedName>
    <definedName name="____dd2_1_2" localSheetId="8" hidden="1">{"'vert'!$A$1:$T$117"}</definedName>
    <definedName name="____dd2_1_2" localSheetId="5" hidden="1">{"'vert'!$A$1:$T$117"}</definedName>
    <definedName name="____dd2_1_2" hidden="1">{"'vert'!$A$1:$T$117"}</definedName>
    <definedName name="____dd2_2" localSheetId="8" hidden="1">{"'vert'!$A$1:$T$117"}</definedName>
    <definedName name="____dd2_2" localSheetId="5" hidden="1">{"'vert'!$A$1:$T$117"}</definedName>
    <definedName name="____dd2_2" hidden="1">{"'vert'!$A$1:$T$117"}</definedName>
    <definedName name="____dd2_3" localSheetId="8" hidden="1">{"'vert'!$A$1:$T$117"}</definedName>
    <definedName name="____dd2_3" localSheetId="5" hidden="1">{"'vert'!$A$1:$T$117"}</definedName>
    <definedName name="____dd2_3" hidden="1">{"'vert'!$A$1:$T$117"}</definedName>
    <definedName name="____DE2" localSheetId="8" hidden="1">{"'vert'!$A$1:$T$117"}</definedName>
    <definedName name="____DE2" localSheetId="5" hidden="1">{"'vert'!$A$1:$T$117"}</definedName>
    <definedName name="____DE2" hidden="1">{"'vert'!$A$1:$T$117"}</definedName>
    <definedName name="____DE2_1" localSheetId="8" hidden="1">{"'vert'!$A$1:$T$117"}</definedName>
    <definedName name="____DE2_1" localSheetId="5" hidden="1">{"'vert'!$A$1:$T$117"}</definedName>
    <definedName name="____DE2_1" hidden="1">{"'vert'!$A$1:$T$117"}</definedName>
    <definedName name="____DE2_1_1" localSheetId="8" hidden="1">{"'vert'!$A$1:$T$117"}</definedName>
    <definedName name="____DE2_1_1" localSheetId="5" hidden="1">{"'vert'!$A$1:$T$117"}</definedName>
    <definedName name="____DE2_1_1" hidden="1">{"'vert'!$A$1:$T$117"}</definedName>
    <definedName name="____DE2_1_2" localSheetId="8" hidden="1">{"'vert'!$A$1:$T$117"}</definedName>
    <definedName name="____DE2_1_2" localSheetId="5" hidden="1">{"'vert'!$A$1:$T$117"}</definedName>
    <definedName name="____DE2_1_2" hidden="1">{"'vert'!$A$1:$T$117"}</definedName>
    <definedName name="____DE2_2" localSheetId="8" hidden="1">{"'vert'!$A$1:$T$117"}</definedName>
    <definedName name="____DE2_2" localSheetId="5" hidden="1">{"'vert'!$A$1:$T$117"}</definedName>
    <definedName name="____DE2_2" hidden="1">{"'vert'!$A$1:$T$117"}</definedName>
    <definedName name="____DE2_3" localSheetId="8" hidden="1">{"'vert'!$A$1:$T$117"}</definedName>
    <definedName name="____DE2_3" localSheetId="5" hidden="1">{"'vert'!$A$1:$T$117"}</definedName>
    <definedName name="____DE2_3" hidden="1">{"'vert'!$A$1:$T$117"}</definedName>
    <definedName name="____huh3" localSheetId="8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__huh3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__huh3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_a1" localSheetId="8" hidden="1">{"'vert'!$A$1:$T$117"}</definedName>
    <definedName name="___a1" localSheetId="5" hidden="1">{"'vert'!$A$1:$T$117"}</definedName>
    <definedName name="___a1" hidden="1">{"'vert'!$A$1:$T$117"}</definedName>
    <definedName name="___a1_1" localSheetId="8" hidden="1">{"'vert'!$A$1:$T$117"}</definedName>
    <definedName name="___a1_1" localSheetId="5" hidden="1">{"'vert'!$A$1:$T$117"}</definedName>
    <definedName name="___a1_1" hidden="1">{"'vert'!$A$1:$T$117"}</definedName>
    <definedName name="___a1_1_1" localSheetId="8" hidden="1">{"'vert'!$A$1:$T$117"}</definedName>
    <definedName name="___a1_1_1" localSheetId="5" hidden="1">{"'vert'!$A$1:$T$117"}</definedName>
    <definedName name="___a1_1_1" hidden="1">{"'vert'!$A$1:$T$117"}</definedName>
    <definedName name="___a1_1_2" localSheetId="8" hidden="1">{"'vert'!$A$1:$T$117"}</definedName>
    <definedName name="___a1_1_2" localSheetId="5" hidden="1">{"'vert'!$A$1:$T$117"}</definedName>
    <definedName name="___a1_1_2" hidden="1">{"'vert'!$A$1:$T$117"}</definedName>
    <definedName name="___a1_2" localSheetId="8" hidden="1">{"'vert'!$A$1:$T$117"}</definedName>
    <definedName name="___a1_2" localSheetId="5" hidden="1">{"'vert'!$A$1:$T$117"}</definedName>
    <definedName name="___a1_2" hidden="1">{"'vert'!$A$1:$T$117"}</definedName>
    <definedName name="___a1_3" localSheetId="8" hidden="1">{"'vert'!$A$1:$T$117"}</definedName>
    <definedName name="___a1_3" localSheetId="5" hidden="1">{"'vert'!$A$1:$T$117"}</definedName>
    <definedName name="___a1_3" hidden="1">{"'vert'!$A$1:$T$117"}</definedName>
    <definedName name="___a101" localSheetId="8" hidden="1">{"'vert'!$A$1:$T$117"}</definedName>
    <definedName name="___a101" localSheetId="5" hidden="1">{"'vert'!$A$1:$T$117"}</definedName>
    <definedName name="___a101" hidden="1">{"'vert'!$A$1:$T$117"}</definedName>
    <definedName name="___a101_1" localSheetId="8" hidden="1">{"'vert'!$A$1:$T$117"}</definedName>
    <definedName name="___a101_1" localSheetId="5" hidden="1">{"'vert'!$A$1:$T$117"}</definedName>
    <definedName name="___a101_1" hidden="1">{"'vert'!$A$1:$T$117"}</definedName>
    <definedName name="___a101_1_1" localSheetId="8" hidden="1">{"'vert'!$A$1:$T$117"}</definedName>
    <definedName name="___a101_1_1" localSheetId="5" hidden="1">{"'vert'!$A$1:$T$117"}</definedName>
    <definedName name="___a101_1_1" hidden="1">{"'vert'!$A$1:$T$117"}</definedName>
    <definedName name="___a101_1_2" localSheetId="8" hidden="1">{"'vert'!$A$1:$T$117"}</definedName>
    <definedName name="___a101_1_2" localSheetId="5" hidden="1">{"'vert'!$A$1:$T$117"}</definedName>
    <definedName name="___a101_1_2" hidden="1">{"'vert'!$A$1:$T$117"}</definedName>
    <definedName name="___a101_2" localSheetId="8" hidden="1">{"'vert'!$A$1:$T$117"}</definedName>
    <definedName name="___a101_2" localSheetId="5" hidden="1">{"'vert'!$A$1:$T$117"}</definedName>
    <definedName name="___a101_2" hidden="1">{"'vert'!$A$1:$T$117"}</definedName>
    <definedName name="___a101_3" localSheetId="8" hidden="1">{"'vert'!$A$1:$T$117"}</definedName>
    <definedName name="___a101_3" localSheetId="5" hidden="1">{"'vert'!$A$1:$T$117"}</definedName>
    <definedName name="___a101_3" hidden="1">{"'vert'!$A$1:$T$117"}</definedName>
    <definedName name="___a102" localSheetId="8" hidden="1">{"'vert'!$A$1:$T$117"}</definedName>
    <definedName name="___a102" localSheetId="5" hidden="1">{"'vert'!$A$1:$T$117"}</definedName>
    <definedName name="___a102" hidden="1">{"'vert'!$A$1:$T$117"}</definedName>
    <definedName name="___a102_1" localSheetId="8" hidden="1">{"'vert'!$A$1:$T$117"}</definedName>
    <definedName name="___a102_1" localSheetId="5" hidden="1">{"'vert'!$A$1:$T$117"}</definedName>
    <definedName name="___a102_1" hidden="1">{"'vert'!$A$1:$T$117"}</definedName>
    <definedName name="___a102_1_1" localSheetId="8" hidden="1">{"'vert'!$A$1:$T$117"}</definedName>
    <definedName name="___a102_1_1" localSheetId="5" hidden="1">{"'vert'!$A$1:$T$117"}</definedName>
    <definedName name="___a102_1_1" hidden="1">{"'vert'!$A$1:$T$117"}</definedName>
    <definedName name="___a102_1_2" localSheetId="8" hidden="1">{"'vert'!$A$1:$T$117"}</definedName>
    <definedName name="___a102_1_2" localSheetId="5" hidden="1">{"'vert'!$A$1:$T$117"}</definedName>
    <definedName name="___a102_1_2" hidden="1">{"'vert'!$A$1:$T$117"}</definedName>
    <definedName name="___a102_2" localSheetId="8" hidden="1">{"'vert'!$A$1:$T$117"}</definedName>
    <definedName name="___a102_2" localSheetId="5" hidden="1">{"'vert'!$A$1:$T$117"}</definedName>
    <definedName name="___a102_2" hidden="1">{"'vert'!$A$1:$T$117"}</definedName>
    <definedName name="___a102_3" localSheetId="8" hidden="1">{"'vert'!$A$1:$T$117"}</definedName>
    <definedName name="___a102_3" localSheetId="5" hidden="1">{"'vert'!$A$1:$T$117"}</definedName>
    <definedName name="___a102_3" hidden="1">{"'vert'!$A$1:$T$117"}</definedName>
    <definedName name="___a103" localSheetId="8" hidden="1">{"'vert'!$A$1:$T$117"}</definedName>
    <definedName name="___a103" localSheetId="5" hidden="1">{"'vert'!$A$1:$T$117"}</definedName>
    <definedName name="___a103" hidden="1">{"'vert'!$A$1:$T$117"}</definedName>
    <definedName name="___a103_1" localSheetId="8" hidden="1">{"'vert'!$A$1:$T$117"}</definedName>
    <definedName name="___a103_1" localSheetId="5" hidden="1">{"'vert'!$A$1:$T$117"}</definedName>
    <definedName name="___a103_1" hidden="1">{"'vert'!$A$1:$T$117"}</definedName>
    <definedName name="___a103_1_1" localSheetId="8" hidden="1">{"'vert'!$A$1:$T$117"}</definedName>
    <definedName name="___a103_1_1" localSheetId="5" hidden="1">{"'vert'!$A$1:$T$117"}</definedName>
    <definedName name="___a103_1_1" hidden="1">{"'vert'!$A$1:$T$117"}</definedName>
    <definedName name="___a103_1_2" localSheetId="8" hidden="1">{"'vert'!$A$1:$T$117"}</definedName>
    <definedName name="___a103_1_2" localSheetId="5" hidden="1">{"'vert'!$A$1:$T$117"}</definedName>
    <definedName name="___a103_1_2" hidden="1">{"'vert'!$A$1:$T$117"}</definedName>
    <definedName name="___a103_2" localSheetId="8" hidden="1">{"'vert'!$A$1:$T$117"}</definedName>
    <definedName name="___a103_2" localSheetId="5" hidden="1">{"'vert'!$A$1:$T$117"}</definedName>
    <definedName name="___a103_2" hidden="1">{"'vert'!$A$1:$T$117"}</definedName>
    <definedName name="___a103_3" localSheetId="8" hidden="1">{"'vert'!$A$1:$T$117"}</definedName>
    <definedName name="___a103_3" localSheetId="5" hidden="1">{"'vert'!$A$1:$T$117"}</definedName>
    <definedName name="___a103_3" hidden="1">{"'vert'!$A$1:$T$117"}</definedName>
    <definedName name="___a104" localSheetId="8" hidden="1">{"'vert'!$A$1:$T$117"}</definedName>
    <definedName name="___a104" localSheetId="5" hidden="1">{"'vert'!$A$1:$T$117"}</definedName>
    <definedName name="___a104" hidden="1">{"'vert'!$A$1:$T$117"}</definedName>
    <definedName name="___a104_1" localSheetId="8" hidden="1">{"'vert'!$A$1:$T$117"}</definedName>
    <definedName name="___a104_1" localSheetId="5" hidden="1">{"'vert'!$A$1:$T$117"}</definedName>
    <definedName name="___a104_1" hidden="1">{"'vert'!$A$1:$T$117"}</definedName>
    <definedName name="___a104_1_1" localSheetId="8" hidden="1">{"'vert'!$A$1:$T$117"}</definedName>
    <definedName name="___a104_1_1" localSheetId="5" hidden="1">{"'vert'!$A$1:$T$117"}</definedName>
    <definedName name="___a104_1_1" hidden="1">{"'vert'!$A$1:$T$117"}</definedName>
    <definedName name="___a104_1_2" localSheetId="8" hidden="1">{"'vert'!$A$1:$T$117"}</definedName>
    <definedName name="___a104_1_2" localSheetId="5" hidden="1">{"'vert'!$A$1:$T$117"}</definedName>
    <definedName name="___a104_1_2" hidden="1">{"'vert'!$A$1:$T$117"}</definedName>
    <definedName name="___a104_2" localSheetId="8" hidden="1">{"'vert'!$A$1:$T$117"}</definedName>
    <definedName name="___a104_2" localSheetId="5" hidden="1">{"'vert'!$A$1:$T$117"}</definedName>
    <definedName name="___a104_2" hidden="1">{"'vert'!$A$1:$T$117"}</definedName>
    <definedName name="___a104_3" localSheetId="8" hidden="1">{"'vert'!$A$1:$T$117"}</definedName>
    <definedName name="___a104_3" localSheetId="5" hidden="1">{"'vert'!$A$1:$T$117"}</definedName>
    <definedName name="___a104_3" hidden="1">{"'vert'!$A$1:$T$117"}</definedName>
    <definedName name="___a105" localSheetId="8" hidden="1">{"'vert'!$A$1:$T$117"}</definedName>
    <definedName name="___a105" localSheetId="5" hidden="1">{"'vert'!$A$1:$T$117"}</definedName>
    <definedName name="___a105" hidden="1">{"'vert'!$A$1:$T$117"}</definedName>
    <definedName name="___a105_1" localSheetId="8" hidden="1">{"'vert'!$A$1:$T$117"}</definedName>
    <definedName name="___a105_1" localSheetId="5" hidden="1">{"'vert'!$A$1:$T$117"}</definedName>
    <definedName name="___a105_1" hidden="1">{"'vert'!$A$1:$T$117"}</definedName>
    <definedName name="___a105_1_1" localSheetId="8" hidden="1">{"'vert'!$A$1:$T$117"}</definedName>
    <definedName name="___a105_1_1" localSheetId="5" hidden="1">{"'vert'!$A$1:$T$117"}</definedName>
    <definedName name="___a105_1_1" hidden="1">{"'vert'!$A$1:$T$117"}</definedName>
    <definedName name="___a105_1_2" localSheetId="8" hidden="1">{"'vert'!$A$1:$T$117"}</definedName>
    <definedName name="___a105_1_2" localSheetId="5" hidden="1">{"'vert'!$A$1:$T$117"}</definedName>
    <definedName name="___a105_1_2" hidden="1">{"'vert'!$A$1:$T$117"}</definedName>
    <definedName name="___a105_2" localSheetId="8" hidden="1">{"'vert'!$A$1:$T$117"}</definedName>
    <definedName name="___a105_2" localSheetId="5" hidden="1">{"'vert'!$A$1:$T$117"}</definedName>
    <definedName name="___a105_2" hidden="1">{"'vert'!$A$1:$T$117"}</definedName>
    <definedName name="___a105_3" localSheetId="8" hidden="1">{"'vert'!$A$1:$T$117"}</definedName>
    <definedName name="___a105_3" localSheetId="5" hidden="1">{"'vert'!$A$1:$T$117"}</definedName>
    <definedName name="___a105_3" hidden="1">{"'vert'!$A$1:$T$117"}</definedName>
    <definedName name="___a106" localSheetId="8" hidden="1">{"'vert'!$A$1:$T$117"}</definedName>
    <definedName name="___a106" localSheetId="5" hidden="1">{"'vert'!$A$1:$T$117"}</definedName>
    <definedName name="___a106" hidden="1">{"'vert'!$A$1:$T$117"}</definedName>
    <definedName name="___a106_1" localSheetId="8" hidden="1">{"'vert'!$A$1:$T$117"}</definedName>
    <definedName name="___a106_1" localSheetId="5" hidden="1">{"'vert'!$A$1:$T$117"}</definedName>
    <definedName name="___a106_1" hidden="1">{"'vert'!$A$1:$T$117"}</definedName>
    <definedName name="___a106_1_1" localSheetId="8" hidden="1">{"'vert'!$A$1:$T$117"}</definedName>
    <definedName name="___a106_1_1" localSheetId="5" hidden="1">{"'vert'!$A$1:$T$117"}</definedName>
    <definedName name="___a106_1_1" hidden="1">{"'vert'!$A$1:$T$117"}</definedName>
    <definedName name="___a106_1_2" localSheetId="8" hidden="1">{"'vert'!$A$1:$T$117"}</definedName>
    <definedName name="___a106_1_2" localSheetId="5" hidden="1">{"'vert'!$A$1:$T$117"}</definedName>
    <definedName name="___a106_1_2" hidden="1">{"'vert'!$A$1:$T$117"}</definedName>
    <definedName name="___a106_2" localSheetId="8" hidden="1">{"'vert'!$A$1:$T$117"}</definedName>
    <definedName name="___a106_2" localSheetId="5" hidden="1">{"'vert'!$A$1:$T$117"}</definedName>
    <definedName name="___a106_2" hidden="1">{"'vert'!$A$1:$T$117"}</definedName>
    <definedName name="___a106_3" localSheetId="8" hidden="1">{"'vert'!$A$1:$T$117"}</definedName>
    <definedName name="___a106_3" localSheetId="5" hidden="1">{"'vert'!$A$1:$T$117"}</definedName>
    <definedName name="___a106_3" hidden="1">{"'vert'!$A$1:$T$117"}</definedName>
    <definedName name="___a107" localSheetId="8" hidden="1">{"'vert'!$A$1:$T$117"}</definedName>
    <definedName name="___a107" localSheetId="5" hidden="1">{"'vert'!$A$1:$T$117"}</definedName>
    <definedName name="___a107" hidden="1">{"'vert'!$A$1:$T$117"}</definedName>
    <definedName name="___a107_1" localSheetId="8" hidden="1">{"'vert'!$A$1:$T$117"}</definedName>
    <definedName name="___a107_1" localSheetId="5" hidden="1">{"'vert'!$A$1:$T$117"}</definedName>
    <definedName name="___a107_1" hidden="1">{"'vert'!$A$1:$T$117"}</definedName>
    <definedName name="___a107_1_1" localSheetId="8" hidden="1">{"'vert'!$A$1:$T$117"}</definedName>
    <definedName name="___a107_1_1" localSheetId="5" hidden="1">{"'vert'!$A$1:$T$117"}</definedName>
    <definedName name="___a107_1_1" hidden="1">{"'vert'!$A$1:$T$117"}</definedName>
    <definedName name="___a107_1_2" localSheetId="8" hidden="1">{"'vert'!$A$1:$T$117"}</definedName>
    <definedName name="___a107_1_2" localSheetId="5" hidden="1">{"'vert'!$A$1:$T$117"}</definedName>
    <definedName name="___a107_1_2" hidden="1">{"'vert'!$A$1:$T$117"}</definedName>
    <definedName name="___a107_2" localSheetId="8" hidden="1">{"'vert'!$A$1:$T$117"}</definedName>
    <definedName name="___a107_2" localSheetId="5" hidden="1">{"'vert'!$A$1:$T$117"}</definedName>
    <definedName name="___a107_2" hidden="1">{"'vert'!$A$1:$T$117"}</definedName>
    <definedName name="___a107_3" localSheetId="8" hidden="1">{"'vert'!$A$1:$T$117"}</definedName>
    <definedName name="___a107_3" localSheetId="5" hidden="1">{"'vert'!$A$1:$T$117"}</definedName>
    <definedName name="___a107_3" hidden="1">{"'vert'!$A$1:$T$117"}</definedName>
    <definedName name="___a108" localSheetId="8" hidden="1">{"'vert'!$A$1:$T$117"}</definedName>
    <definedName name="___a108" localSheetId="5" hidden="1">{"'vert'!$A$1:$T$117"}</definedName>
    <definedName name="___a108" hidden="1">{"'vert'!$A$1:$T$117"}</definedName>
    <definedName name="___a108_1" localSheetId="8" hidden="1">{"'vert'!$A$1:$T$117"}</definedName>
    <definedName name="___a108_1" localSheetId="5" hidden="1">{"'vert'!$A$1:$T$117"}</definedName>
    <definedName name="___a108_1" hidden="1">{"'vert'!$A$1:$T$117"}</definedName>
    <definedName name="___a108_1_1" localSheetId="8" hidden="1">{"'vert'!$A$1:$T$117"}</definedName>
    <definedName name="___a108_1_1" localSheetId="5" hidden="1">{"'vert'!$A$1:$T$117"}</definedName>
    <definedName name="___a108_1_1" hidden="1">{"'vert'!$A$1:$T$117"}</definedName>
    <definedName name="___a108_1_2" localSheetId="8" hidden="1">{"'vert'!$A$1:$T$117"}</definedName>
    <definedName name="___a108_1_2" localSheetId="5" hidden="1">{"'vert'!$A$1:$T$117"}</definedName>
    <definedName name="___a108_1_2" hidden="1">{"'vert'!$A$1:$T$117"}</definedName>
    <definedName name="___a108_2" localSheetId="8" hidden="1">{"'vert'!$A$1:$T$117"}</definedName>
    <definedName name="___a108_2" localSheetId="5" hidden="1">{"'vert'!$A$1:$T$117"}</definedName>
    <definedName name="___a108_2" hidden="1">{"'vert'!$A$1:$T$117"}</definedName>
    <definedName name="___a108_3" localSheetId="8" hidden="1">{"'vert'!$A$1:$T$117"}</definedName>
    <definedName name="___a108_3" localSheetId="5" hidden="1">{"'vert'!$A$1:$T$117"}</definedName>
    <definedName name="___a108_3" hidden="1">{"'vert'!$A$1:$T$117"}</definedName>
    <definedName name="___a109" localSheetId="8" hidden="1">{"'vert'!$A$1:$T$117"}</definedName>
    <definedName name="___a109" localSheetId="5" hidden="1">{"'vert'!$A$1:$T$117"}</definedName>
    <definedName name="___a109" hidden="1">{"'vert'!$A$1:$T$117"}</definedName>
    <definedName name="___a109_1" localSheetId="8" hidden="1">{"'vert'!$A$1:$T$117"}</definedName>
    <definedName name="___a109_1" localSheetId="5" hidden="1">{"'vert'!$A$1:$T$117"}</definedName>
    <definedName name="___a109_1" hidden="1">{"'vert'!$A$1:$T$117"}</definedName>
    <definedName name="___a109_1_1" localSheetId="8" hidden="1">{"'vert'!$A$1:$T$117"}</definedName>
    <definedName name="___a109_1_1" localSheetId="5" hidden="1">{"'vert'!$A$1:$T$117"}</definedName>
    <definedName name="___a109_1_1" hidden="1">{"'vert'!$A$1:$T$117"}</definedName>
    <definedName name="___a109_1_2" localSheetId="8" hidden="1">{"'vert'!$A$1:$T$117"}</definedName>
    <definedName name="___a109_1_2" localSheetId="5" hidden="1">{"'vert'!$A$1:$T$117"}</definedName>
    <definedName name="___a109_1_2" hidden="1">{"'vert'!$A$1:$T$117"}</definedName>
    <definedName name="___a109_2" localSheetId="8" hidden="1">{"'vert'!$A$1:$T$117"}</definedName>
    <definedName name="___a109_2" localSheetId="5" hidden="1">{"'vert'!$A$1:$T$117"}</definedName>
    <definedName name="___a109_2" hidden="1">{"'vert'!$A$1:$T$117"}</definedName>
    <definedName name="___a109_3" localSheetId="8" hidden="1">{"'vert'!$A$1:$T$117"}</definedName>
    <definedName name="___a109_3" localSheetId="5" hidden="1">{"'vert'!$A$1:$T$117"}</definedName>
    <definedName name="___a109_3" hidden="1">{"'vert'!$A$1:$T$117"}</definedName>
    <definedName name="___a11" localSheetId="8" hidden="1">{"'vert'!$A$1:$T$117"}</definedName>
    <definedName name="___a11" localSheetId="5" hidden="1">{"'vert'!$A$1:$T$117"}</definedName>
    <definedName name="___a11" hidden="1">{"'vert'!$A$1:$T$117"}</definedName>
    <definedName name="___a11_1" localSheetId="8" hidden="1">{"'vert'!$A$1:$T$117"}</definedName>
    <definedName name="___a11_1" localSheetId="5" hidden="1">{"'vert'!$A$1:$T$117"}</definedName>
    <definedName name="___a11_1" hidden="1">{"'vert'!$A$1:$T$117"}</definedName>
    <definedName name="___a11_1_1" localSheetId="8" hidden="1">{"'vert'!$A$1:$T$117"}</definedName>
    <definedName name="___a11_1_1" localSheetId="5" hidden="1">{"'vert'!$A$1:$T$117"}</definedName>
    <definedName name="___a11_1_1" hidden="1">{"'vert'!$A$1:$T$117"}</definedName>
    <definedName name="___a11_1_2" localSheetId="8" hidden="1">{"'vert'!$A$1:$T$117"}</definedName>
    <definedName name="___a11_1_2" localSheetId="5" hidden="1">{"'vert'!$A$1:$T$117"}</definedName>
    <definedName name="___a11_1_2" hidden="1">{"'vert'!$A$1:$T$117"}</definedName>
    <definedName name="___a11_2" localSheetId="8" hidden="1">{"'vert'!$A$1:$T$117"}</definedName>
    <definedName name="___a11_2" localSheetId="5" hidden="1">{"'vert'!$A$1:$T$117"}</definedName>
    <definedName name="___a11_2" hidden="1">{"'vert'!$A$1:$T$117"}</definedName>
    <definedName name="___a11_3" localSheetId="8" hidden="1">{"'vert'!$A$1:$T$117"}</definedName>
    <definedName name="___a11_3" localSheetId="5" hidden="1">{"'vert'!$A$1:$T$117"}</definedName>
    <definedName name="___a11_3" hidden="1">{"'vert'!$A$1:$T$117"}</definedName>
    <definedName name="___a110" localSheetId="8" hidden="1">{"'vert'!$A$1:$T$117"}</definedName>
    <definedName name="___a110" localSheetId="5" hidden="1">{"'vert'!$A$1:$T$117"}</definedName>
    <definedName name="___a110" hidden="1">{"'vert'!$A$1:$T$117"}</definedName>
    <definedName name="___a110_1" localSheetId="8" hidden="1">{"'vert'!$A$1:$T$117"}</definedName>
    <definedName name="___a110_1" localSheetId="5" hidden="1">{"'vert'!$A$1:$T$117"}</definedName>
    <definedName name="___a110_1" hidden="1">{"'vert'!$A$1:$T$117"}</definedName>
    <definedName name="___a110_1_1" localSheetId="8" hidden="1">{"'vert'!$A$1:$T$117"}</definedName>
    <definedName name="___a110_1_1" localSheetId="5" hidden="1">{"'vert'!$A$1:$T$117"}</definedName>
    <definedName name="___a110_1_1" hidden="1">{"'vert'!$A$1:$T$117"}</definedName>
    <definedName name="___a110_1_2" localSheetId="8" hidden="1">{"'vert'!$A$1:$T$117"}</definedName>
    <definedName name="___a110_1_2" localSheetId="5" hidden="1">{"'vert'!$A$1:$T$117"}</definedName>
    <definedName name="___a110_1_2" hidden="1">{"'vert'!$A$1:$T$117"}</definedName>
    <definedName name="___a110_2" localSheetId="8" hidden="1">{"'vert'!$A$1:$T$117"}</definedName>
    <definedName name="___a110_2" localSheetId="5" hidden="1">{"'vert'!$A$1:$T$117"}</definedName>
    <definedName name="___a110_2" hidden="1">{"'vert'!$A$1:$T$117"}</definedName>
    <definedName name="___a110_3" localSheetId="8" hidden="1">{"'vert'!$A$1:$T$117"}</definedName>
    <definedName name="___a110_3" localSheetId="5" hidden="1">{"'vert'!$A$1:$T$117"}</definedName>
    <definedName name="___a110_3" hidden="1">{"'vert'!$A$1:$T$117"}</definedName>
    <definedName name="___a111" localSheetId="8" hidden="1">{"'vert'!$A$1:$T$117"}</definedName>
    <definedName name="___a111" localSheetId="5" hidden="1">{"'vert'!$A$1:$T$117"}</definedName>
    <definedName name="___a111" hidden="1">{"'vert'!$A$1:$T$117"}</definedName>
    <definedName name="___a111_1" localSheetId="8" hidden="1">{"'vert'!$A$1:$T$117"}</definedName>
    <definedName name="___a111_1" localSheetId="5" hidden="1">{"'vert'!$A$1:$T$117"}</definedName>
    <definedName name="___a111_1" hidden="1">{"'vert'!$A$1:$T$117"}</definedName>
    <definedName name="___a111_1_1" localSheetId="8" hidden="1">{"'vert'!$A$1:$T$117"}</definedName>
    <definedName name="___a111_1_1" localSheetId="5" hidden="1">{"'vert'!$A$1:$T$117"}</definedName>
    <definedName name="___a111_1_1" hidden="1">{"'vert'!$A$1:$T$117"}</definedName>
    <definedName name="___a111_1_2" localSheetId="8" hidden="1">{"'vert'!$A$1:$T$117"}</definedName>
    <definedName name="___a111_1_2" localSheetId="5" hidden="1">{"'vert'!$A$1:$T$117"}</definedName>
    <definedName name="___a111_1_2" hidden="1">{"'vert'!$A$1:$T$117"}</definedName>
    <definedName name="___a111_2" localSheetId="8" hidden="1">{"'vert'!$A$1:$T$117"}</definedName>
    <definedName name="___a111_2" localSheetId="5" hidden="1">{"'vert'!$A$1:$T$117"}</definedName>
    <definedName name="___a111_2" hidden="1">{"'vert'!$A$1:$T$117"}</definedName>
    <definedName name="___a111_3" localSheetId="8" hidden="1">{"'vert'!$A$1:$T$117"}</definedName>
    <definedName name="___a111_3" localSheetId="5" hidden="1">{"'vert'!$A$1:$T$117"}</definedName>
    <definedName name="___a111_3" hidden="1">{"'vert'!$A$1:$T$117"}</definedName>
    <definedName name="___a112" localSheetId="8" hidden="1">{"'vert'!$A$1:$T$117"}</definedName>
    <definedName name="___a112" localSheetId="5" hidden="1">{"'vert'!$A$1:$T$117"}</definedName>
    <definedName name="___a112" hidden="1">{"'vert'!$A$1:$T$117"}</definedName>
    <definedName name="___a112_1" localSheetId="8" hidden="1">{"'vert'!$A$1:$T$117"}</definedName>
    <definedName name="___a112_1" localSheetId="5" hidden="1">{"'vert'!$A$1:$T$117"}</definedName>
    <definedName name="___a112_1" hidden="1">{"'vert'!$A$1:$T$117"}</definedName>
    <definedName name="___a112_1_1" localSheetId="8" hidden="1">{"'vert'!$A$1:$T$117"}</definedName>
    <definedName name="___a112_1_1" localSheetId="5" hidden="1">{"'vert'!$A$1:$T$117"}</definedName>
    <definedName name="___a112_1_1" hidden="1">{"'vert'!$A$1:$T$117"}</definedName>
    <definedName name="___a112_1_2" localSheetId="8" hidden="1">{"'vert'!$A$1:$T$117"}</definedName>
    <definedName name="___a112_1_2" localSheetId="5" hidden="1">{"'vert'!$A$1:$T$117"}</definedName>
    <definedName name="___a112_1_2" hidden="1">{"'vert'!$A$1:$T$117"}</definedName>
    <definedName name="___a112_2" localSheetId="8" hidden="1">{"'vert'!$A$1:$T$117"}</definedName>
    <definedName name="___a112_2" localSheetId="5" hidden="1">{"'vert'!$A$1:$T$117"}</definedName>
    <definedName name="___a112_2" hidden="1">{"'vert'!$A$1:$T$117"}</definedName>
    <definedName name="___a112_3" localSheetId="8" hidden="1">{"'vert'!$A$1:$T$117"}</definedName>
    <definedName name="___a112_3" localSheetId="5" hidden="1">{"'vert'!$A$1:$T$117"}</definedName>
    <definedName name="___a112_3" hidden="1">{"'vert'!$A$1:$T$117"}</definedName>
    <definedName name="___a113" localSheetId="8" hidden="1">{"'vert'!$A$1:$T$117"}</definedName>
    <definedName name="___a113" localSheetId="5" hidden="1">{"'vert'!$A$1:$T$117"}</definedName>
    <definedName name="___a113" hidden="1">{"'vert'!$A$1:$T$117"}</definedName>
    <definedName name="___a113_1" localSheetId="8" hidden="1">{"'vert'!$A$1:$T$117"}</definedName>
    <definedName name="___a113_1" localSheetId="5" hidden="1">{"'vert'!$A$1:$T$117"}</definedName>
    <definedName name="___a113_1" hidden="1">{"'vert'!$A$1:$T$117"}</definedName>
    <definedName name="___a113_1_1" localSheetId="8" hidden="1">{"'vert'!$A$1:$T$117"}</definedName>
    <definedName name="___a113_1_1" localSheetId="5" hidden="1">{"'vert'!$A$1:$T$117"}</definedName>
    <definedName name="___a113_1_1" hidden="1">{"'vert'!$A$1:$T$117"}</definedName>
    <definedName name="___a113_1_2" localSheetId="8" hidden="1">{"'vert'!$A$1:$T$117"}</definedName>
    <definedName name="___a113_1_2" localSheetId="5" hidden="1">{"'vert'!$A$1:$T$117"}</definedName>
    <definedName name="___a113_1_2" hidden="1">{"'vert'!$A$1:$T$117"}</definedName>
    <definedName name="___a113_2" localSheetId="8" hidden="1">{"'vert'!$A$1:$T$117"}</definedName>
    <definedName name="___a113_2" localSheetId="5" hidden="1">{"'vert'!$A$1:$T$117"}</definedName>
    <definedName name="___a113_2" hidden="1">{"'vert'!$A$1:$T$117"}</definedName>
    <definedName name="___a113_3" localSheetId="8" hidden="1">{"'vert'!$A$1:$T$117"}</definedName>
    <definedName name="___a113_3" localSheetId="5" hidden="1">{"'vert'!$A$1:$T$117"}</definedName>
    <definedName name="___a113_3" hidden="1">{"'vert'!$A$1:$T$117"}</definedName>
    <definedName name="___a114" localSheetId="8" hidden="1">{"'vert'!$A$1:$T$117"}</definedName>
    <definedName name="___a114" localSheetId="5" hidden="1">{"'vert'!$A$1:$T$117"}</definedName>
    <definedName name="___a114" hidden="1">{"'vert'!$A$1:$T$117"}</definedName>
    <definedName name="___a114_1" localSheetId="8" hidden="1">{"'vert'!$A$1:$T$117"}</definedName>
    <definedName name="___a114_1" localSheetId="5" hidden="1">{"'vert'!$A$1:$T$117"}</definedName>
    <definedName name="___a114_1" hidden="1">{"'vert'!$A$1:$T$117"}</definedName>
    <definedName name="___a114_1_1" localSheetId="8" hidden="1">{"'vert'!$A$1:$T$117"}</definedName>
    <definedName name="___a114_1_1" localSheetId="5" hidden="1">{"'vert'!$A$1:$T$117"}</definedName>
    <definedName name="___a114_1_1" hidden="1">{"'vert'!$A$1:$T$117"}</definedName>
    <definedName name="___a114_1_2" localSheetId="8" hidden="1">{"'vert'!$A$1:$T$117"}</definedName>
    <definedName name="___a114_1_2" localSheetId="5" hidden="1">{"'vert'!$A$1:$T$117"}</definedName>
    <definedName name="___a114_1_2" hidden="1">{"'vert'!$A$1:$T$117"}</definedName>
    <definedName name="___a114_2" localSheetId="8" hidden="1">{"'vert'!$A$1:$T$117"}</definedName>
    <definedName name="___a114_2" localSheetId="5" hidden="1">{"'vert'!$A$1:$T$117"}</definedName>
    <definedName name="___a114_2" hidden="1">{"'vert'!$A$1:$T$117"}</definedName>
    <definedName name="___a114_3" localSheetId="8" hidden="1">{"'vert'!$A$1:$T$117"}</definedName>
    <definedName name="___a114_3" localSheetId="5" hidden="1">{"'vert'!$A$1:$T$117"}</definedName>
    <definedName name="___a114_3" hidden="1">{"'vert'!$A$1:$T$117"}</definedName>
    <definedName name="___a115" localSheetId="8" hidden="1">{"'vert'!$A$1:$T$117"}</definedName>
    <definedName name="___a115" localSheetId="5" hidden="1">{"'vert'!$A$1:$T$117"}</definedName>
    <definedName name="___a115" hidden="1">{"'vert'!$A$1:$T$117"}</definedName>
    <definedName name="___a115_1" localSheetId="8" hidden="1">{"'vert'!$A$1:$T$117"}</definedName>
    <definedName name="___a115_1" localSheetId="5" hidden="1">{"'vert'!$A$1:$T$117"}</definedName>
    <definedName name="___a115_1" hidden="1">{"'vert'!$A$1:$T$117"}</definedName>
    <definedName name="___a115_1_1" localSheetId="8" hidden="1">{"'vert'!$A$1:$T$117"}</definedName>
    <definedName name="___a115_1_1" localSheetId="5" hidden="1">{"'vert'!$A$1:$T$117"}</definedName>
    <definedName name="___a115_1_1" hidden="1">{"'vert'!$A$1:$T$117"}</definedName>
    <definedName name="___a115_1_2" localSheetId="8" hidden="1">{"'vert'!$A$1:$T$117"}</definedName>
    <definedName name="___a115_1_2" localSheetId="5" hidden="1">{"'vert'!$A$1:$T$117"}</definedName>
    <definedName name="___a115_1_2" hidden="1">{"'vert'!$A$1:$T$117"}</definedName>
    <definedName name="___a115_2" localSheetId="8" hidden="1">{"'vert'!$A$1:$T$117"}</definedName>
    <definedName name="___a115_2" localSheetId="5" hidden="1">{"'vert'!$A$1:$T$117"}</definedName>
    <definedName name="___a115_2" hidden="1">{"'vert'!$A$1:$T$117"}</definedName>
    <definedName name="___a115_3" localSheetId="8" hidden="1">{"'vert'!$A$1:$T$117"}</definedName>
    <definedName name="___a115_3" localSheetId="5" hidden="1">{"'vert'!$A$1:$T$117"}</definedName>
    <definedName name="___a115_3" hidden="1">{"'vert'!$A$1:$T$117"}</definedName>
    <definedName name="___a116" localSheetId="8" hidden="1">{"'vert'!$A$1:$T$117"}</definedName>
    <definedName name="___a116" localSheetId="5" hidden="1">{"'vert'!$A$1:$T$117"}</definedName>
    <definedName name="___a116" hidden="1">{"'vert'!$A$1:$T$117"}</definedName>
    <definedName name="___a116_1" localSheetId="8" hidden="1">{"'vert'!$A$1:$T$117"}</definedName>
    <definedName name="___a116_1" localSheetId="5" hidden="1">{"'vert'!$A$1:$T$117"}</definedName>
    <definedName name="___a116_1" hidden="1">{"'vert'!$A$1:$T$117"}</definedName>
    <definedName name="___a116_1_1" localSheetId="8" hidden="1">{"'vert'!$A$1:$T$117"}</definedName>
    <definedName name="___a116_1_1" localSheetId="5" hidden="1">{"'vert'!$A$1:$T$117"}</definedName>
    <definedName name="___a116_1_1" hidden="1">{"'vert'!$A$1:$T$117"}</definedName>
    <definedName name="___a116_1_2" localSheetId="8" hidden="1">{"'vert'!$A$1:$T$117"}</definedName>
    <definedName name="___a116_1_2" localSheetId="5" hidden="1">{"'vert'!$A$1:$T$117"}</definedName>
    <definedName name="___a116_1_2" hidden="1">{"'vert'!$A$1:$T$117"}</definedName>
    <definedName name="___a116_2" localSheetId="8" hidden="1">{"'vert'!$A$1:$T$117"}</definedName>
    <definedName name="___a116_2" localSheetId="5" hidden="1">{"'vert'!$A$1:$T$117"}</definedName>
    <definedName name="___a116_2" hidden="1">{"'vert'!$A$1:$T$117"}</definedName>
    <definedName name="___a116_3" localSheetId="8" hidden="1">{"'vert'!$A$1:$T$117"}</definedName>
    <definedName name="___a116_3" localSheetId="5" hidden="1">{"'vert'!$A$1:$T$117"}</definedName>
    <definedName name="___a116_3" hidden="1">{"'vert'!$A$1:$T$117"}</definedName>
    <definedName name="___a117" localSheetId="8" hidden="1">{"'vert'!$A$1:$T$117"}</definedName>
    <definedName name="___a117" localSheetId="5" hidden="1">{"'vert'!$A$1:$T$117"}</definedName>
    <definedName name="___a117" hidden="1">{"'vert'!$A$1:$T$117"}</definedName>
    <definedName name="___a117_1" localSheetId="8" hidden="1">{"'vert'!$A$1:$T$117"}</definedName>
    <definedName name="___a117_1" localSheetId="5" hidden="1">{"'vert'!$A$1:$T$117"}</definedName>
    <definedName name="___a117_1" hidden="1">{"'vert'!$A$1:$T$117"}</definedName>
    <definedName name="___a117_1_1" localSheetId="8" hidden="1">{"'vert'!$A$1:$T$117"}</definedName>
    <definedName name="___a117_1_1" localSheetId="5" hidden="1">{"'vert'!$A$1:$T$117"}</definedName>
    <definedName name="___a117_1_1" hidden="1">{"'vert'!$A$1:$T$117"}</definedName>
    <definedName name="___a117_1_2" localSheetId="8" hidden="1">{"'vert'!$A$1:$T$117"}</definedName>
    <definedName name="___a117_1_2" localSheetId="5" hidden="1">{"'vert'!$A$1:$T$117"}</definedName>
    <definedName name="___a117_1_2" hidden="1">{"'vert'!$A$1:$T$117"}</definedName>
    <definedName name="___a117_2" localSheetId="8" hidden="1">{"'vert'!$A$1:$T$117"}</definedName>
    <definedName name="___a117_2" localSheetId="5" hidden="1">{"'vert'!$A$1:$T$117"}</definedName>
    <definedName name="___a117_2" hidden="1">{"'vert'!$A$1:$T$117"}</definedName>
    <definedName name="___a117_3" localSheetId="8" hidden="1">{"'vert'!$A$1:$T$117"}</definedName>
    <definedName name="___a117_3" localSheetId="5" hidden="1">{"'vert'!$A$1:$T$117"}</definedName>
    <definedName name="___a117_3" hidden="1">{"'vert'!$A$1:$T$117"}</definedName>
    <definedName name="___a118" localSheetId="8" hidden="1">{"'vert'!$A$1:$T$117"}</definedName>
    <definedName name="___a118" localSheetId="5" hidden="1">{"'vert'!$A$1:$T$117"}</definedName>
    <definedName name="___a118" hidden="1">{"'vert'!$A$1:$T$117"}</definedName>
    <definedName name="___a118_1" localSheetId="8" hidden="1">{"'vert'!$A$1:$T$117"}</definedName>
    <definedName name="___a118_1" localSheetId="5" hidden="1">{"'vert'!$A$1:$T$117"}</definedName>
    <definedName name="___a118_1" hidden="1">{"'vert'!$A$1:$T$117"}</definedName>
    <definedName name="___a118_1_1" localSheetId="8" hidden="1">{"'vert'!$A$1:$T$117"}</definedName>
    <definedName name="___a118_1_1" localSheetId="5" hidden="1">{"'vert'!$A$1:$T$117"}</definedName>
    <definedName name="___a118_1_1" hidden="1">{"'vert'!$A$1:$T$117"}</definedName>
    <definedName name="___a118_1_2" localSheetId="8" hidden="1">{"'vert'!$A$1:$T$117"}</definedName>
    <definedName name="___a118_1_2" localSheetId="5" hidden="1">{"'vert'!$A$1:$T$117"}</definedName>
    <definedName name="___a118_1_2" hidden="1">{"'vert'!$A$1:$T$117"}</definedName>
    <definedName name="___a118_2" localSheetId="8" hidden="1">{"'vert'!$A$1:$T$117"}</definedName>
    <definedName name="___a118_2" localSheetId="5" hidden="1">{"'vert'!$A$1:$T$117"}</definedName>
    <definedName name="___a118_2" hidden="1">{"'vert'!$A$1:$T$117"}</definedName>
    <definedName name="___a118_3" localSheetId="8" hidden="1">{"'vert'!$A$1:$T$117"}</definedName>
    <definedName name="___a118_3" localSheetId="5" hidden="1">{"'vert'!$A$1:$T$117"}</definedName>
    <definedName name="___a118_3" hidden="1">{"'vert'!$A$1:$T$117"}</definedName>
    <definedName name="___a119" localSheetId="8" hidden="1">{"'vert'!$A$1:$T$117"}</definedName>
    <definedName name="___a119" localSheetId="5" hidden="1">{"'vert'!$A$1:$T$117"}</definedName>
    <definedName name="___a119" hidden="1">{"'vert'!$A$1:$T$117"}</definedName>
    <definedName name="___a119_1" localSheetId="8" hidden="1">{"'vert'!$A$1:$T$117"}</definedName>
    <definedName name="___a119_1" localSheetId="5" hidden="1">{"'vert'!$A$1:$T$117"}</definedName>
    <definedName name="___a119_1" hidden="1">{"'vert'!$A$1:$T$117"}</definedName>
    <definedName name="___a119_1_1" localSheetId="8" hidden="1">{"'vert'!$A$1:$T$117"}</definedName>
    <definedName name="___a119_1_1" localSheetId="5" hidden="1">{"'vert'!$A$1:$T$117"}</definedName>
    <definedName name="___a119_1_1" hidden="1">{"'vert'!$A$1:$T$117"}</definedName>
    <definedName name="___a119_1_2" localSheetId="8" hidden="1">{"'vert'!$A$1:$T$117"}</definedName>
    <definedName name="___a119_1_2" localSheetId="5" hidden="1">{"'vert'!$A$1:$T$117"}</definedName>
    <definedName name="___a119_1_2" hidden="1">{"'vert'!$A$1:$T$117"}</definedName>
    <definedName name="___a119_2" localSheetId="8" hidden="1">{"'vert'!$A$1:$T$117"}</definedName>
    <definedName name="___a119_2" localSheetId="5" hidden="1">{"'vert'!$A$1:$T$117"}</definedName>
    <definedName name="___a119_2" hidden="1">{"'vert'!$A$1:$T$117"}</definedName>
    <definedName name="___a119_3" localSheetId="8" hidden="1">{"'vert'!$A$1:$T$117"}</definedName>
    <definedName name="___a119_3" localSheetId="5" hidden="1">{"'vert'!$A$1:$T$117"}</definedName>
    <definedName name="___a119_3" hidden="1">{"'vert'!$A$1:$T$117"}</definedName>
    <definedName name="___a120" localSheetId="8" hidden="1">{"'vert'!$A$1:$T$117"}</definedName>
    <definedName name="___a120" localSheetId="5" hidden="1">{"'vert'!$A$1:$T$117"}</definedName>
    <definedName name="___a120" hidden="1">{"'vert'!$A$1:$T$117"}</definedName>
    <definedName name="___a120_1" localSheetId="8" hidden="1">{"'vert'!$A$1:$T$117"}</definedName>
    <definedName name="___a120_1" localSheetId="5" hidden="1">{"'vert'!$A$1:$T$117"}</definedName>
    <definedName name="___a120_1" hidden="1">{"'vert'!$A$1:$T$117"}</definedName>
    <definedName name="___a120_1_1" localSheetId="8" hidden="1">{"'vert'!$A$1:$T$117"}</definedName>
    <definedName name="___a120_1_1" localSheetId="5" hidden="1">{"'vert'!$A$1:$T$117"}</definedName>
    <definedName name="___a120_1_1" hidden="1">{"'vert'!$A$1:$T$117"}</definedName>
    <definedName name="___a120_1_2" localSheetId="8" hidden="1">{"'vert'!$A$1:$T$117"}</definedName>
    <definedName name="___a120_1_2" localSheetId="5" hidden="1">{"'vert'!$A$1:$T$117"}</definedName>
    <definedName name="___a120_1_2" hidden="1">{"'vert'!$A$1:$T$117"}</definedName>
    <definedName name="___a120_2" localSheetId="8" hidden="1">{"'vert'!$A$1:$T$117"}</definedName>
    <definedName name="___a120_2" localSheetId="5" hidden="1">{"'vert'!$A$1:$T$117"}</definedName>
    <definedName name="___a120_2" hidden="1">{"'vert'!$A$1:$T$117"}</definedName>
    <definedName name="___a120_3" localSheetId="8" hidden="1">{"'vert'!$A$1:$T$117"}</definedName>
    <definedName name="___a120_3" localSheetId="5" hidden="1">{"'vert'!$A$1:$T$117"}</definedName>
    <definedName name="___a120_3" hidden="1">{"'vert'!$A$1:$T$117"}</definedName>
    <definedName name="___a121" localSheetId="8" hidden="1">{"'vert'!$A$1:$T$117"}</definedName>
    <definedName name="___a121" localSheetId="5" hidden="1">{"'vert'!$A$1:$T$117"}</definedName>
    <definedName name="___a121" hidden="1">{"'vert'!$A$1:$T$117"}</definedName>
    <definedName name="___a121_1" localSheetId="8" hidden="1">{"'vert'!$A$1:$T$117"}</definedName>
    <definedName name="___a121_1" localSheetId="5" hidden="1">{"'vert'!$A$1:$T$117"}</definedName>
    <definedName name="___a121_1" hidden="1">{"'vert'!$A$1:$T$117"}</definedName>
    <definedName name="___a121_1_1" localSheetId="8" hidden="1">{"'vert'!$A$1:$T$117"}</definedName>
    <definedName name="___a121_1_1" localSheetId="5" hidden="1">{"'vert'!$A$1:$T$117"}</definedName>
    <definedName name="___a121_1_1" hidden="1">{"'vert'!$A$1:$T$117"}</definedName>
    <definedName name="___a121_1_2" localSheetId="8" hidden="1">{"'vert'!$A$1:$T$117"}</definedName>
    <definedName name="___a121_1_2" localSheetId="5" hidden="1">{"'vert'!$A$1:$T$117"}</definedName>
    <definedName name="___a121_1_2" hidden="1">{"'vert'!$A$1:$T$117"}</definedName>
    <definedName name="___a121_2" localSheetId="8" hidden="1">{"'vert'!$A$1:$T$117"}</definedName>
    <definedName name="___a121_2" localSheetId="5" hidden="1">{"'vert'!$A$1:$T$117"}</definedName>
    <definedName name="___a121_2" hidden="1">{"'vert'!$A$1:$T$117"}</definedName>
    <definedName name="___a121_3" localSheetId="8" hidden="1">{"'vert'!$A$1:$T$117"}</definedName>
    <definedName name="___a121_3" localSheetId="5" hidden="1">{"'vert'!$A$1:$T$117"}</definedName>
    <definedName name="___a121_3" hidden="1">{"'vert'!$A$1:$T$117"}</definedName>
    <definedName name="___a122" localSheetId="8" hidden="1">{"'vert'!$A$1:$T$117"}</definedName>
    <definedName name="___a122" localSheetId="5" hidden="1">{"'vert'!$A$1:$T$117"}</definedName>
    <definedName name="___a122" hidden="1">{"'vert'!$A$1:$T$117"}</definedName>
    <definedName name="___a122_1" localSheetId="8" hidden="1">{"'vert'!$A$1:$T$117"}</definedName>
    <definedName name="___a122_1" localSheetId="5" hidden="1">{"'vert'!$A$1:$T$117"}</definedName>
    <definedName name="___a122_1" hidden="1">{"'vert'!$A$1:$T$117"}</definedName>
    <definedName name="___a122_1_1" localSheetId="8" hidden="1">{"'vert'!$A$1:$T$117"}</definedName>
    <definedName name="___a122_1_1" localSheetId="5" hidden="1">{"'vert'!$A$1:$T$117"}</definedName>
    <definedName name="___a122_1_1" hidden="1">{"'vert'!$A$1:$T$117"}</definedName>
    <definedName name="___a122_1_2" localSheetId="8" hidden="1">{"'vert'!$A$1:$T$117"}</definedName>
    <definedName name="___a122_1_2" localSheetId="5" hidden="1">{"'vert'!$A$1:$T$117"}</definedName>
    <definedName name="___a122_1_2" hidden="1">{"'vert'!$A$1:$T$117"}</definedName>
    <definedName name="___a122_2" localSheetId="8" hidden="1">{"'vert'!$A$1:$T$117"}</definedName>
    <definedName name="___a122_2" localSheetId="5" hidden="1">{"'vert'!$A$1:$T$117"}</definedName>
    <definedName name="___a122_2" hidden="1">{"'vert'!$A$1:$T$117"}</definedName>
    <definedName name="___a122_3" localSheetId="8" hidden="1">{"'vert'!$A$1:$T$117"}</definedName>
    <definedName name="___a122_3" localSheetId="5" hidden="1">{"'vert'!$A$1:$T$117"}</definedName>
    <definedName name="___a122_3" hidden="1">{"'vert'!$A$1:$T$117"}</definedName>
    <definedName name="___a123" localSheetId="8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_a123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_a123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_a123_1" localSheetId="8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_a123_1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_a123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_a123_1_1" localSheetId="8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_a123_1_1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_a123_1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_a123_1_2" localSheetId="8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_a123_1_2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_a123_1_2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_a123_2" localSheetId="8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_a123_2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_a123_2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_a123_3" localSheetId="8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_a123_3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_a123_3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_a22" localSheetId="8" hidden="1">{"'vert'!$A$1:$T$117"}</definedName>
    <definedName name="___a22" localSheetId="5" hidden="1">{"'vert'!$A$1:$T$117"}</definedName>
    <definedName name="___a22" hidden="1">{"'vert'!$A$1:$T$117"}</definedName>
    <definedName name="___a22_1" localSheetId="8" hidden="1">{"'vert'!$A$1:$T$117"}</definedName>
    <definedName name="___a22_1" localSheetId="5" hidden="1">{"'vert'!$A$1:$T$117"}</definedName>
    <definedName name="___a22_1" hidden="1">{"'vert'!$A$1:$T$117"}</definedName>
    <definedName name="___a22_1_1" localSheetId="8" hidden="1">{"'vert'!$A$1:$T$117"}</definedName>
    <definedName name="___a22_1_1" localSheetId="5" hidden="1">{"'vert'!$A$1:$T$117"}</definedName>
    <definedName name="___a22_1_1" hidden="1">{"'vert'!$A$1:$T$117"}</definedName>
    <definedName name="___a22_1_2" localSheetId="8" hidden="1">{"'vert'!$A$1:$T$117"}</definedName>
    <definedName name="___a22_1_2" localSheetId="5" hidden="1">{"'vert'!$A$1:$T$117"}</definedName>
    <definedName name="___a22_1_2" hidden="1">{"'vert'!$A$1:$T$117"}</definedName>
    <definedName name="___a22_2" localSheetId="8" hidden="1">{"'vert'!$A$1:$T$117"}</definedName>
    <definedName name="___a22_2" localSheetId="5" hidden="1">{"'vert'!$A$1:$T$117"}</definedName>
    <definedName name="___a22_2" hidden="1">{"'vert'!$A$1:$T$117"}</definedName>
    <definedName name="___a22_3" localSheetId="8" hidden="1">{"'vert'!$A$1:$T$117"}</definedName>
    <definedName name="___a22_3" localSheetId="5" hidden="1">{"'vert'!$A$1:$T$117"}</definedName>
    <definedName name="___a22_3" hidden="1">{"'vert'!$A$1:$T$117"}</definedName>
    <definedName name="___a33" localSheetId="8" hidden="1">{"'vert'!$A$1:$T$117"}</definedName>
    <definedName name="___a33" localSheetId="5" hidden="1">{"'vert'!$A$1:$T$117"}</definedName>
    <definedName name="___a33" hidden="1">{"'vert'!$A$1:$T$117"}</definedName>
    <definedName name="___a33_1" localSheetId="8" hidden="1">{"'vert'!$A$1:$T$117"}</definedName>
    <definedName name="___a33_1" localSheetId="5" hidden="1">{"'vert'!$A$1:$T$117"}</definedName>
    <definedName name="___a33_1" hidden="1">{"'vert'!$A$1:$T$117"}</definedName>
    <definedName name="___a33_1_1" localSheetId="8" hidden="1">{"'vert'!$A$1:$T$117"}</definedName>
    <definedName name="___a33_1_1" localSheetId="5" hidden="1">{"'vert'!$A$1:$T$117"}</definedName>
    <definedName name="___a33_1_1" hidden="1">{"'vert'!$A$1:$T$117"}</definedName>
    <definedName name="___a33_1_2" localSheetId="8" hidden="1">{"'vert'!$A$1:$T$117"}</definedName>
    <definedName name="___a33_1_2" localSheetId="5" hidden="1">{"'vert'!$A$1:$T$117"}</definedName>
    <definedName name="___a33_1_2" hidden="1">{"'vert'!$A$1:$T$117"}</definedName>
    <definedName name="___a33_2" localSheetId="8" hidden="1">{"'vert'!$A$1:$T$117"}</definedName>
    <definedName name="___a33_2" localSheetId="5" hidden="1">{"'vert'!$A$1:$T$117"}</definedName>
    <definedName name="___a33_2" hidden="1">{"'vert'!$A$1:$T$117"}</definedName>
    <definedName name="___a33_3" localSheetId="8" hidden="1">{"'vert'!$A$1:$T$117"}</definedName>
    <definedName name="___a33_3" localSheetId="5" hidden="1">{"'vert'!$A$1:$T$117"}</definedName>
    <definedName name="___a33_3" hidden="1">{"'vert'!$A$1:$T$117"}</definedName>
    <definedName name="___a44" localSheetId="8" hidden="1">{"'vert'!$A$1:$T$117"}</definedName>
    <definedName name="___a44" localSheetId="5" hidden="1">{"'vert'!$A$1:$T$117"}</definedName>
    <definedName name="___a44" hidden="1">{"'vert'!$A$1:$T$117"}</definedName>
    <definedName name="___a44_1" localSheetId="8" hidden="1">{"'vert'!$A$1:$T$117"}</definedName>
    <definedName name="___a44_1" localSheetId="5" hidden="1">{"'vert'!$A$1:$T$117"}</definedName>
    <definedName name="___a44_1" hidden="1">{"'vert'!$A$1:$T$117"}</definedName>
    <definedName name="___a44_1_1" localSheetId="8" hidden="1">{"'vert'!$A$1:$T$117"}</definedName>
    <definedName name="___a44_1_1" localSheetId="5" hidden="1">{"'vert'!$A$1:$T$117"}</definedName>
    <definedName name="___a44_1_1" hidden="1">{"'vert'!$A$1:$T$117"}</definedName>
    <definedName name="___a44_1_2" localSheetId="8" hidden="1">{"'vert'!$A$1:$T$117"}</definedName>
    <definedName name="___a44_1_2" localSheetId="5" hidden="1">{"'vert'!$A$1:$T$117"}</definedName>
    <definedName name="___a44_1_2" hidden="1">{"'vert'!$A$1:$T$117"}</definedName>
    <definedName name="___a44_2" localSheetId="8" hidden="1">{"'vert'!$A$1:$T$117"}</definedName>
    <definedName name="___a44_2" localSheetId="5" hidden="1">{"'vert'!$A$1:$T$117"}</definedName>
    <definedName name="___a44_2" hidden="1">{"'vert'!$A$1:$T$117"}</definedName>
    <definedName name="___a44_3" localSheetId="8" hidden="1">{"'vert'!$A$1:$T$117"}</definedName>
    <definedName name="___a44_3" localSheetId="5" hidden="1">{"'vert'!$A$1:$T$117"}</definedName>
    <definedName name="___a44_3" hidden="1">{"'vert'!$A$1:$T$117"}</definedName>
    <definedName name="___a55" localSheetId="8" hidden="1">{"'vert'!$A$1:$T$117"}</definedName>
    <definedName name="___a55" localSheetId="5" hidden="1">{"'vert'!$A$1:$T$117"}</definedName>
    <definedName name="___a55" hidden="1">{"'vert'!$A$1:$T$117"}</definedName>
    <definedName name="___a55_1" localSheetId="8" hidden="1">{"'vert'!$A$1:$T$117"}</definedName>
    <definedName name="___a55_1" localSheetId="5" hidden="1">{"'vert'!$A$1:$T$117"}</definedName>
    <definedName name="___a55_1" hidden="1">{"'vert'!$A$1:$T$117"}</definedName>
    <definedName name="___a55_1_1" localSheetId="8" hidden="1">{"'vert'!$A$1:$T$117"}</definedName>
    <definedName name="___a55_1_1" localSheetId="5" hidden="1">{"'vert'!$A$1:$T$117"}</definedName>
    <definedName name="___a55_1_1" hidden="1">{"'vert'!$A$1:$T$117"}</definedName>
    <definedName name="___a55_1_2" localSheetId="8" hidden="1">{"'vert'!$A$1:$T$117"}</definedName>
    <definedName name="___a55_1_2" localSheetId="5" hidden="1">{"'vert'!$A$1:$T$117"}</definedName>
    <definedName name="___a55_1_2" hidden="1">{"'vert'!$A$1:$T$117"}</definedName>
    <definedName name="___a55_2" localSheetId="8" hidden="1">{"'vert'!$A$1:$T$117"}</definedName>
    <definedName name="___a55_2" localSheetId="5" hidden="1">{"'vert'!$A$1:$T$117"}</definedName>
    <definedName name="___a55_2" hidden="1">{"'vert'!$A$1:$T$117"}</definedName>
    <definedName name="___a55_3" localSheetId="8" hidden="1">{"'vert'!$A$1:$T$117"}</definedName>
    <definedName name="___a55_3" localSheetId="5" hidden="1">{"'vert'!$A$1:$T$117"}</definedName>
    <definedName name="___a55_3" hidden="1">{"'vert'!$A$1:$T$117"}</definedName>
    <definedName name="___a66" localSheetId="8" hidden="1">{"'vert'!$A$1:$T$117"}</definedName>
    <definedName name="___a66" localSheetId="5" hidden="1">{"'vert'!$A$1:$T$117"}</definedName>
    <definedName name="___a66" hidden="1">{"'vert'!$A$1:$T$117"}</definedName>
    <definedName name="___a66_1" localSheetId="8" hidden="1">{"'vert'!$A$1:$T$117"}</definedName>
    <definedName name="___a66_1" localSheetId="5" hidden="1">{"'vert'!$A$1:$T$117"}</definedName>
    <definedName name="___a66_1" hidden="1">{"'vert'!$A$1:$T$117"}</definedName>
    <definedName name="___a66_1_1" localSheetId="8" hidden="1">{"'vert'!$A$1:$T$117"}</definedName>
    <definedName name="___a66_1_1" localSheetId="5" hidden="1">{"'vert'!$A$1:$T$117"}</definedName>
    <definedName name="___a66_1_1" hidden="1">{"'vert'!$A$1:$T$117"}</definedName>
    <definedName name="___a66_1_2" localSheetId="8" hidden="1">{"'vert'!$A$1:$T$117"}</definedName>
    <definedName name="___a66_1_2" localSheetId="5" hidden="1">{"'vert'!$A$1:$T$117"}</definedName>
    <definedName name="___a66_1_2" hidden="1">{"'vert'!$A$1:$T$117"}</definedName>
    <definedName name="___a66_2" localSheetId="8" hidden="1">{"'vert'!$A$1:$T$117"}</definedName>
    <definedName name="___a66_2" localSheetId="5" hidden="1">{"'vert'!$A$1:$T$117"}</definedName>
    <definedName name="___a66_2" hidden="1">{"'vert'!$A$1:$T$117"}</definedName>
    <definedName name="___a66_3" localSheetId="8" hidden="1">{"'vert'!$A$1:$T$117"}</definedName>
    <definedName name="___a66_3" localSheetId="5" hidden="1">{"'vert'!$A$1:$T$117"}</definedName>
    <definedName name="___a66_3" hidden="1">{"'vert'!$A$1:$T$117"}</definedName>
    <definedName name="___a77" localSheetId="8" hidden="1">{"'vert'!$A$1:$T$117"}</definedName>
    <definedName name="___a77" localSheetId="5" hidden="1">{"'vert'!$A$1:$T$117"}</definedName>
    <definedName name="___a77" hidden="1">{"'vert'!$A$1:$T$117"}</definedName>
    <definedName name="___a77_1" localSheetId="8" hidden="1">{"'vert'!$A$1:$T$117"}</definedName>
    <definedName name="___a77_1" localSheetId="5" hidden="1">{"'vert'!$A$1:$T$117"}</definedName>
    <definedName name="___a77_1" hidden="1">{"'vert'!$A$1:$T$117"}</definedName>
    <definedName name="___a77_1_1" localSheetId="8" hidden="1">{"'vert'!$A$1:$T$117"}</definedName>
    <definedName name="___a77_1_1" localSheetId="5" hidden="1">{"'vert'!$A$1:$T$117"}</definedName>
    <definedName name="___a77_1_1" hidden="1">{"'vert'!$A$1:$T$117"}</definedName>
    <definedName name="___a77_1_2" localSheetId="8" hidden="1">{"'vert'!$A$1:$T$117"}</definedName>
    <definedName name="___a77_1_2" localSheetId="5" hidden="1">{"'vert'!$A$1:$T$117"}</definedName>
    <definedName name="___a77_1_2" hidden="1">{"'vert'!$A$1:$T$117"}</definedName>
    <definedName name="___a77_2" localSheetId="8" hidden="1">{"'vert'!$A$1:$T$117"}</definedName>
    <definedName name="___a77_2" localSheetId="5" hidden="1">{"'vert'!$A$1:$T$117"}</definedName>
    <definedName name="___a77_2" hidden="1">{"'vert'!$A$1:$T$117"}</definedName>
    <definedName name="___a77_3" localSheetId="8" hidden="1">{"'vert'!$A$1:$T$117"}</definedName>
    <definedName name="___a77_3" localSheetId="5" hidden="1">{"'vert'!$A$1:$T$117"}</definedName>
    <definedName name="___a77_3" hidden="1">{"'vert'!$A$1:$T$117"}</definedName>
    <definedName name="___a88" localSheetId="8" hidden="1">{"'vert'!$A$1:$T$117"}</definedName>
    <definedName name="___a88" localSheetId="5" hidden="1">{"'vert'!$A$1:$T$117"}</definedName>
    <definedName name="___a88" hidden="1">{"'vert'!$A$1:$T$117"}</definedName>
    <definedName name="___a88_1" localSheetId="8" hidden="1">{"'vert'!$A$1:$T$117"}</definedName>
    <definedName name="___a88_1" localSheetId="5" hidden="1">{"'vert'!$A$1:$T$117"}</definedName>
    <definedName name="___a88_1" hidden="1">{"'vert'!$A$1:$T$117"}</definedName>
    <definedName name="___a88_1_1" localSheetId="8" hidden="1">{"'vert'!$A$1:$T$117"}</definedName>
    <definedName name="___a88_1_1" localSheetId="5" hidden="1">{"'vert'!$A$1:$T$117"}</definedName>
    <definedName name="___a88_1_1" hidden="1">{"'vert'!$A$1:$T$117"}</definedName>
    <definedName name="___a88_1_2" localSheetId="8" hidden="1">{"'vert'!$A$1:$T$117"}</definedName>
    <definedName name="___a88_1_2" localSheetId="5" hidden="1">{"'vert'!$A$1:$T$117"}</definedName>
    <definedName name="___a88_1_2" hidden="1">{"'vert'!$A$1:$T$117"}</definedName>
    <definedName name="___a88_2" localSheetId="8" hidden="1">{"'vert'!$A$1:$T$117"}</definedName>
    <definedName name="___a88_2" localSheetId="5" hidden="1">{"'vert'!$A$1:$T$117"}</definedName>
    <definedName name="___a88_2" hidden="1">{"'vert'!$A$1:$T$117"}</definedName>
    <definedName name="___a88_3" localSheetId="8" hidden="1">{"'vert'!$A$1:$T$117"}</definedName>
    <definedName name="___a88_3" localSheetId="5" hidden="1">{"'vert'!$A$1:$T$117"}</definedName>
    <definedName name="___a88_3" hidden="1">{"'vert'!$A$1:$T$117"}</definedName>
    <definedName name="___a99" localSheetId="8" hidden="1">{"'vert'!$A$1:$T$117"}</definedName>
    <definedName name="___a99" localSheetId="5" hidden="1">{"'vert'!$A$1:$T$117"}</definedName>
    <definedName name="___a99" hidden="1">{"'vert'!$A$1:$T$117"}</definedName>
    <definedName name="___a99_1" localSheetId="8" hidden="1">{"'vert'!$A$1:$T$117"}</definedName>
    <definedName name="___a99_1" localSheetId="5" hidden="1">{"'vert'!$A$1:$T$117"}</definedName>
    <definedName name="___a99_1" hidden="1">{"'vert'!$A$1:$T$117"}</definedName>
    <definedName name="___a99_1_1" localSheetId="8" hidden="1">{"'vert'!$A$1:$T$117"}</definedName>
    <definedName name="___a99_1_1" localSheetId="5" hidden="1">{"'vert'!$A$1:$T$117"}</definedName>
    <definedName name="___a99_1_1" hidden="1">{"'vert'!$A$1:$T$117"}</definedName>
    <definedName name="___a99_1_2" localSheetId="8" hidden="1">{"'vert'!$A$1:$T$117"}</definedName>
    <definedName name="___a99_1_2" localSheetId="5" hidden="1">{"'vert'!$A$1:$T$117"}</definedName>
    <definedName name="___a99_1_2" hidden="1">{"'vert'!$A$1:$T$117"}</definedName>
    <definedName name="___a99_2" localSheetId="8" hidden="1">{"'vert'!$A$1:$T$117"}</definedName>
    <definedName name="___a99_2" localSheetId="5" hidden="1">{"'vert'!$A$1:$T$117"}</definedName>
    <definedName name="___a99_2" hidden="1">{"'vert'!$A$1:$T$117"}</definedName>
    <definedName name="___a99_3" localSheetId="8" hidden="1">{"'vert'!$A$1:$T$117"}</definedName>
    <definedName name="___a99_3" localSheetId="5" hidden="1">{"'vert'!$A$1:$T$117"}</definedName>
    <definedName name="___a99_3" hidden="1">{"'vert'!$A$1:$T$117"}</definedName>
    <definedName name="___bla2" localSheetId="8" hidden="1">{"'vert'!$A$1:$T$117"}</definedName>
    <definedName name="___bla2" localSheetId="5" hidden="1">{"'vert'!$A$1:$T$117"}</definedName>
    <definedName name="___bla2" hidden="1">{"'vert'!$A$1:$T$117"}</definedName>
    <definedName name="___bla2_1" localSheetId="8" hidden="1">{"'vert'!$A$1:$T$117"}</definedName>
    <definedName name="___bla2_1" localSheetId="5" hidden="1">{"'vert'!$A$1:$T$117"}</definedName>
    <definedName name="___bla2_1" hidden="1">{"'vert'!$A$1:$T$117"}</definedName>
    <definedName name="___bla2_1_1" localSheetId="8" hidden="1">{"'vert'!$A$1:$T$117"}</definedName>
    <definedName name="___bla2_1_1" localSheetId="5" hidden="1">{"'vert'!$A$1:$T$117"}</definedName>
    <definedName name="___bla2_1_1" hidden="1">{"'vert'!$A$1:$T$117"}</definedName>
    <definedName name="___bla2_1_2" localSheetId="8" hidden="1">{"'vert'!$A$1:$T$117"}</definedName>
    <definedName name="___bla2_1_2" localSheetId="5" hidden="1">{"'vert'!$A$1:$T$117"}</definedName>
    <definedName name="___bla2_1_2" hidden="1">{"'vert'!$A$1:$T$117"}</definedName>
    <definedName name="___bla2_2" localSheetId="8" hidden="1">{"'vert'!$A$1:$T$117"}</definedName>
    <definedName name="___bla2_2" localSheetId="5" hidden="1">{"'vert'!$A$1:$T$117"}</definedName>
    <definedName name="___bla2_2" hidden="1">{"'vert'!$A$1:$T$117"}</definedName>
    <definedName name="___bla2_3" localSheetId="8" hidden="1">{"'vert'!$A$1:$T$117"}</definedName>
    <definedName name="___bla2_3" localSheetId="5" hidden="1">{"'vert'!$A$1:$T$117"}</definedName>
    <definedName name="___bla2_3" hidden="1">{"'vert'!$A$1:$T$117"}</definedName>
    <definedName name="___bla3" localSheetId="8" hidden="1">{"'vert'!$A$1:$T$117"}</definedName>
    <definedName name="___bla3" localSheetId="5" hidden="1">{"'vert'!$A$1:$T$117"}</definedName>
    <definedName name="___bla3" hidden="1">{"'vert'!$A$1:$T$117"}</definedName>
    <definedName name="___bla3_1" localSheetId="8" hidden="1">{"'vert'!$A$1:$T$117"}</definedName>
    <definedName name="___bla3_1" localSheetId="5" hidden="1">{"'vert'!$A$1:$T$117"}</definedName>
    <definedName name="___bla3_1" hidden="1">{"'vert'!$A$1:$T$117"}</definedName>
    <definedName name="___bla3_1_1" localSheetId="8" hidden="1">{"'vert'!$A$1:$T$117"}</definedName>
    <definedName name="___bla3_1_1" localSheetId="5" hidden="1">{"'vert'!$A$1:$T$117"}</definedName>
    <definedName name="___bla3_1_1" hidden="1">{"'vert'!$A$1:$T$117"}</definedName>
    <definedName name="___bla3_1_2" localSheetId="8" hidden="1">{"'vert'!$A$1:$T$117"}</definedName>
    <definedName name="___bla3_1_2" localSheetId="5" hidden="1">{"'vert'!$A$1:$T$117"}</definedName>
    <definedName name="___bla3_1_2" hidden="1">{"'vert'!$A$1:$T$117"}</definedName>
    <definedName name="___bla3_2" localSheetId="8" hidden="1">{"'vert'!$A$1:$T$117"}</definedName>
    <definedName name="___bla3_2" localSheetId="5" hidden="1">{"'vert'!$A$1:$T$117"}</definedName>
    <definedName name="___bla3_2" hidden="1">{"'vert'!$A$1:$T$117"}</definedName>
    <definedName name="___bla3_3" localSheetId="8" hidden="1">{"'vert'!$A$1:$T$117"}</definedName>
    <definedName name="___bla3_3" localSheetId="5" hidden="1">{"'vert'!$A$1:$T$117"}</definedName>
    <definedName name="___bla3_3" hidden="1">{"'vert'!$A$1:$T$117"}</definedName>
    <definedName name="___dd2" localSheetId="8" hidden="1">{"'vert'!$A$1:$T$117"}</definedName>
    <definedName name="___dd2" localSheetId="5" hidden="1">{"'vert'!$A$1:$T$117"}</definedName>
    <definedName name="___dd2" hidden="1">{"'vert'!$A$1:$T$117"}</definedName>
    <definedName name="___dd2_1" localSheetId="8" hidden="1">{"'vert'!$A$1:$T$117"}</definedName>
    <definedName name="___dd2_1" localSheetId="5" hidden="1">{"'vert'!$A$1:$T$117"}</definedName>
    <definedName name="___dd2_1" hidden="1">{"'vert'!$A$1:$T$117"}</definedName>
    <definedName name="___dd2_1_1" localSheetId="8" hidden="1">{"'vert'!$A$1:$T$117"}</definedName>
    <definedName name="___dd2_1_1" localSheetId="5" hidden="1">{"'vert'!$A$1:$T$117"}</definedName>
    <definedName name="___dd2_1_1" hidden="1">{"'vert'!$A$1:$T$117"}</definedName>
    <definedName name="___dd2_1_2" localSheetId="8" hidden="1">{"'vert'!$A$1:$T$117"}</definedName>
    <definedName name="___dd2_1_2" localSheetId="5" hidden="1">{"'vert'!$A$1:$T$117"}</definedName>
    <definedName name="___dd2_1_2" hidden="1">{"'vert'!$A$1:$T$117"}</definedName>
    <definedName name="___dd2_2" localSheetId="8" hidden="1">{"'vert'!$A$1:$T$117"}</definedName>
    <definedName name="___dd2_2" localSheetId="5" hidden="1">{"'vert'!$A$1:$T$117"}</definedName>
    <definedName name="___dd2_2" hidden="1">{"'vert'!$A$1:$T$117"}</definedName>
    <definedName name="___dd2_3" localSheetId="8" hidden="1">{"'vert'!$A$1:$T$117"}</definedName>
    <definedName name="___dd2_3" localSheetId="5" hidden="1">{"'vert'!$A$1:$T$117"}</definedName>
    <definedName name="___dd2_3" hidden="1">{"'vert'!$A$1:$T$117"}</definedName>
    <definedName name="___DE2" localSheetId="8" hidden="1">{"'vert'!$A$1:$T$117"}</definedName>
    <definedName name="___DE2" localSheetId="5" hidden="1">{"'vert'!$A$1:$T$117"}</definedName>
    <definedName name="___DE2" hidden="1">{"'vert'!$A$1:$T$117"}</definedName>
    <definedName name="___DE2_1" localSheetId="8" hidden="1">{"'vert'!$A$1:$T$117"}</definedName>
    <definedName name="___DE2_1" localSheetId="5" hidden="1">{"'vert'!$A$1:$T$117"}</definedName>
    <definedName name="___DE2_1" hidden="1">{"'vert'!$A$1:$T$117"}</definedName>
    <definedName name="___DE2_1_1" localSheetId="8" hidden="1">{"'vert'!$A$1:$T$117"}</definedName>
    <definedName name="___DE2_1_1" localSheetId="5" hidden="1">{"'vert'!$A$1:$T$117"}</definedName>
    <definedName name="___DE2_1_1" hidden="1">{"'vert'!$A$1:$T$117"}</definedName>
    <definedName name="___DE2_1_2" localSheetId="8" hidden="1">{"'vert'!$A$1:$T$117"}</definedName>
    <definedName name="___DE2_1_2" localSheetId="5" hidden="1">{"'vert'!$A$1:$T$117"}</definedName>
    <definedName name="___DE2_1_2" hidden="1">{"'vert'!$A$1:$T$117"}</definedName>
    <definedName name="___DE2_2" localSheetId="8" hidden="1">{"'vert'!$A$1:$T$117"}</definedName>
    <definedName name="___DE2_2" localSheetId="5" hidden="1">{"'vert'!$A$1:$T$117"}</definedName>
    <definedName name="___DE2_2" hidden="1">{"'vert'!$A$1:$T$117"}</definedName>
    <definedName name="___DE2_3" localSheetId="8" hidden="1">{"'vert'!$A$1:$T$117"}</definedName>
    <definedName name="___DE2_3" localSheetId="5" hidden="1">{"'vert'!$A$1:$T$117"}</definedName>
    <definedName name="___DE2_3" hidden="1">{"'vert'!$A$1:$T$117"}</definedName>
    <definedName name="__123Graph_A" hidden="1">#REF!</definedName>
    <definedName name="__123Graph_ACOSTS" hidden="1">#REF!</definedName>
    <definedName name="__123Graph_ANPV" hidden="1">#REF!</definedName>
    <definedName name="__123Graph_BCOSTS" hidden="1">#REF!</definedName>
    <definedName name="__123Graph_BHOBKEN4H" hidden="1">'[2]EDISON-2'!#REF!</definedName>
    <definedName name="__123Graph_BHOBOKEN" hidden="1">'[2]EDISON-2'!#REF!</definedName>
    <definedName name="__a1" localSheetId="8" hidden="1">{"'vert'!$A$1:$T$117"}</definedName>
    <definedName name="__a1" localSheetId="5" hidden="1">{"'vert'!$A$1:$T$117"}</definedName>
    <definedName name="__a1" hidden="1">{"'vert'!$A$1:$T$117"}</definedName>
    <definedName name="__a1_1" localSheetId="8" hidden="1">{"'vert'!$A$1:$T$117"}</definedName>
    <definedName name="__a1_1" localSheetId="5" hidden="1">{"'vert'!$A$1:$T$117"}</definedName>
    <definedName name="__a1_1" hidden="1">{"'vert'!$A$1:$T$117"}</definedName>
    <definedName name="__a1_1_1" localSheetId="8" hidden="1">{"'vert'!$A$1:$T$117"}</definedName>
    <definedName name="__a1_1_1" localSheetId="5" hidden="1">{"'vert'!$A$1:$T$117"}</definedName>
    <definedName name="__a1_1_1" hidden="1">{"'vert'!$A$1:$T$117"}</definedName>
    <definedName name="__a1_1_2" localSheetId="8" hidden="1">{"'vert'!$A$1:$T$117"}</definedName>
    <definedName name="__a1_1_2" localSheetId="5" hidden="1">{"'vert'!$A$1:$T$117"}</definedName>
    <definedName name="__a1_1_2" hidden="1">{"'vert'!$A$1:$T$117"}</definedName>
    <definedName name="__a1_2" localSheetId="8" hidden="1">{"'vert'!$A$1:$T$117"}</definedName>
    <definedName name="__a1_2" localSheetId="5" hidden="1">{"'vert'!$A$1:$T$117"}</definedName>
    <definedName name="__a1_2" hidden="1">{"'vert'!$A$1:$T$117"}</definedName>
    <definedName name="__a1_3" localSheetId="8" hidden="1">{"'vert'!$A$1:$T$117"}</definedName>
    <definedName name="__a1_3" localSheetId="5" hidden="1">{"'vert'!$A$1:$T$117"}</definedName>
    <definedName name="__a1_3" hidden="1">{"'vert'!$A$1:$T$117"}</definedName>
    <definedName name="__a101" localSheetId="8" hidden="1">{"'vert'!$A$1:$T$117"}</definedName>
    <definedName name="__a101" localSheetId="5" hidden="1">{"'vert'!$A$1:$T$117"}</definedName>
    <definedName name="__a101" hidden="1">{"'vert'!$A$1:$T$117"}</definedName>
    <definedName name="__a101_1" localSheetId="8" hidden="1">{"'vert'!$A$1:$T$117"}</definedName>
    <definedName name="__a101_1" localSheetId="5" hidden="1">{"'vert'!$A$1:$T$117"}</definedName>
    <definedName name="__a101_1" hidden="1">{"'vert'!$A$1:$T$117"}</definedName>
    <definedName name="__a101_1_1" localSheetId="8" hidden="1">{"'vert'!$A$1:$T$117"}</definedName>
    <definedName name="__a101_1_1" localSheetId="5" hidden="1">{"'vert'!$A$1:$T$117"}</definedName>
    <definedName name="__a101_1_1" hidden="1">{"'vert'!$A$1:$T$117"}</definedName>
    <definedName name="__a101_1_2" localSheetId="8" hidden="1">{"'vert'!$A$1:$T$117"}</definedName>
    <definedName name="__a101_1_2" localSheetId="5" hidden="1">{"'vert'!$A$1:$T$117"}</definedName>
    <definedName name="__a101_1_2" hidden="1">{"'vert'!$A$1:$T$117"}</definedName>
    <definedName name="__a101_2" localSheetId="8" hidden="1">{"'vert'!$A$1:$T$117"}</definedName>
    <definedName name="__a101_2" localSheetId="5" hidden="1">{"'vert'!$A$1:$T$117"}</definedName>
    <definedName name="__a101_2" hidden="1">{"'vert'!$A$1:$T$117"}</definedName>
    <definedName name="__a101_3" localSheetId="8" hidden="1">{"'vert'!$A$1:$T$117"}</definedName>
    <definedName name="__a101_3" localSheetId="5" hidden="1">{"'vert'!$A$1:$T$117"}</definedName>
    <definedName name="__a101_3" hidden="1">{"'vert'!$A$1:$T$117"}</definedName>
    <definedName name="__a102" localSheetId="8" hidden="1">{"'vert'!$A$1:$T$117"}</definedName>
    <definedName name="__a102" localSheetId="5" hidden="1">{"'vert'!$A$1:$T$117"}</definedName>
    <definedName name="__a102" hidden="1">{"'vert'!$A$1:$T$117"}</definedName>
    <definedName name="__a102_1" localSheetId="8" hidden="1">{"'vert'!$A$1:$T$117"}</definedName>
    <definedName name="__a102_1" localSheetId="5" hidden="1">{"'vert'!$A$1:$T$117"}</definedName>
    <definedName name="__a102_1" hidden="1">{"'vert'!$A$1:$T$117"}</definedName>
    <definedName name="__a102_1_1" localSheetId="8" hidden="1">{"'vert'!$A$1:$T$117"}</definedName>
    <definedName name="__a102_1_1" localSheetId="5" hidden="1">{"'vert'!$A$1:$T$117"}</definedName>
    <definedName name="__a102_1_1" hidden="1">{"'vert'!$A$1:$T$117"}</definedName>
    <definedName name="__a102_1_2" localSheetId="8" hidden="1">{"'vert'!$A$1:$T$117"}</definedName>
    <definedName name="__a102_1_2" localSheetId="5" hidden="1">{"'vert'!$A$1:$T$117"}</definedName>
    <definedName name="__a102_1_2" hidden="1">{"'vert'!$A$1:$T$117"}</definedName>
    <definedName name="__a102_2" localSheetId="8" hidden="1">{"'vert'!$A$1:$T$117"}</definedName>
    <definedName name="__a102_2" localSheetId="5" hidden="1">{"'vert'!$A$1:$T$117"}</definedName>
    <definedName name="__a102_2" hidden="1">{"'vert'!$A$1:$T$117"}</definedName>
    <definedName name="__a102_3" localSheetId="8" hidden="1">{"'vert'!$A$1:$T$117"}</definedName>
    <definedName name="__a102_3" localSheetId="5" hidden="1">{"'vert'!$A$1:$T$117"}</definedName>
    <definedName name="__a102_3" hidden="1">{"'vert'!$A$1:$T$117"}</definedName>
    <definedName name="__a103" localSheetId="8" hidden="1">{"'vert'!$A$1:$T$117"}</definedName>
    <definedName name="__a103" localSheetId="5" hidden="1">{"'vert'!$A$1:$T$117"}</definedName>
    <definedName name="__a103" hidden="1">{"'vert'!$A$1:$T$117"}</definedName>
    <definedName name="__a103_1" localSheetId="8" hidden="1">{"'vert'!$A$1:$T$117"}</definedName>
    <definedName name="__a103_1" localSheetId="5" hidden="1">{"'vert'!$A$1:$T$117"}</definedName>
    <definedName name="__a103_1" hidden="1">{"'vert'!$A$1:$T$117"}</definedName>
    <definedName name="__a103_1_1" localSheetId="8" hidden="1">{"'vert'!$A$1:$T$117"}</definedName>
    <definedName name="__a103_1_1" localSheetId="5" hidden="1">{"'vert'!$A$1:$T$117"}</definedName>
    <definedName name="__a103_1_1" hidden="1">{"'vert'!$A$1:$T$117"}</definedName>
    <definedName name="__a103_1_2" localSheetId="8" hidden="1">{"'vert'!$A$1:$T$117"}</definedName>
    <definedName name="__a103_1_2" localSheetId="5" hidden="1">{"'vert'!$A$1:$T$117"}</definedName>
    <definedName name="__a103_1_2" hidden="1">{"'vert'!$A$1:$T$117"}</definedName>
    <definedName name="__a103_2" localSheetId="8" hidden="1">{"'vert'!$A$1:$T$117"}</definedName>
    <definedName name="__a103_2" localSheetId="5" hidden="1">{"'vert'!$A$1:$T$117"}</definedName>
    <definedName name="__a103_2" hidden="1">{"'vert'!$A$1:$T$117"}</definedName>
    <definedName name="__a103_3" localSheetId="8" hidden="1">{"'vert'!$A$1:$T$117"}</definedName>
    <definedName name="__a103_3" localSheetId="5" hidden="1">{"'vert'!$A$1:$T$117"}</definedName>
    <definedName name="__a103_3" hidden="1">{"'vert'!$A$1:$T$117"}</definedName>
    <definedName name="__a104" localSheetId="8" hidden="1">{"'vert'!$A$1:$T$117"}</definedName>
    <definedName name="__a104" localSheetId="5" hidden="1">{"'vert'!$A$1:$T$117"}</definedName>
    <definedName name="__a104" hidden="1">{"'vert'!$A$1:$T$117"}</definedName>
    <definedName name="__a104_1" localSheetId="8" hidden="1">{"'vert'!$A$1:$T$117"}</definedName>
    <definedName name="__a104_1" localSheetId="5" hidden="1">{"'vert'!$A$1:$T$117"}</definedName>
    <definedName name="__a104_1" hidden="1">{"'vert'!$A$1:$T$117"}</definedName>
    <definedName name="__a104_1_1" localSheetId="8" hidden="1">{"'vert'!$A$1:$T$117"}</definedName>
    <definedName name="__a104_1_1" localSheetId="5" hidden="1">{"'vert'!$A$1:$T$117"}</definedName>
    <definedName name="__a104_1_1" hidden="1">{"'vert'!$A$1:$T$117"}</definedName>
    <definedName name="__a104_1_2" localSheetId="8" hidden="1">{"'vert'!$A$1:$T$117"}</definedName>
    <definedName name="__a104_1_2" localSheetId="5" hidden="1">{"'vert'!$A$1:$T$117"}</definedName>
    <definedName name="__a104_1_2" hidden="1">{"'vert'!$A$1:$T$117"}</definedName>
    <definedName name="__a104_2" localSheetId="8" hidden="1">{"'vert'!$A$1:$T$117"}</definedName>
    <definedName name="__a104_2" localSheetId="5" hidden="1">{"'vert'!$A$1:$T$117"}</definedName>
    <definedName name="__a104_2" hidden="1">{"'vert'!$A$1:$T$117"}</definedName>
    <definedName name="__a104_3" localSheetId="8" hidden="1">{"'vert'!$A$1:$T$117"}</definedName>
    <definedName name="__a104_3" localSheetId="5" hidden="1">{"'vert'!$A$1:$T$117"}</definedName>
    <definedName name="__a104_3" hidden="1">{"'vert'!$A$1:$T$117"}</definedName>
    <definedName name="__a105" localSheetId="8" hidden="1">{"'vert'!$A$1:$T$117"}</definedName>
    <definedName name="__a105" localSheetId="5" hidden="1">{"'vert'!$A$1:$T$117"}</definedName>
    <definedName name="__a105" hidden="1">{"'vert'!$A$1:$T$117"}</definedName>
    <definedName name="__a105_1" localSheetId="8" hidden="1">{"'vert'!$A$1:$T$117"}</definedName>
    <definedName name="__a105_1" localSheetId="5" hidden="1">{"'vert'!$A$1:$T$117"}</definedName>
    <definedName name="__a105_1" hidden="1">{"'vert'!$A$1:$T$117"}</definedName>
    <definedName name="__a105_1_1" localSheetId="8" hidden="1">{"'vert'!$A$1:$T$117"}</definedName>
    <definedName name="__a105_1_1" localSheetId="5" hidden="1">{"'vert'!$A$1:$T$117"}</definedName>
    <definedName name="__a105_1_1" hidden="1">{"'vert'!$A$1:$T$117"}</definedName>
    <definedName name="__a105_1_2" localSheetId="8" hidden="1">{"'vert'!$A$1:$T$117"}</definedName>
    <definedName name="__a105_1_2" localSheetId="5" hidden="1">{"'vert'!$A$1:$T$117"}</definedName>
    <definedName name="__a105_1_2" hidden="1">{"'vert'!$A$1:$T$117"}</definedName>
    <definedName name="__a105_2" localSheetId="8" hidden="1">{"'vert'!$A$1:$T$117"}</definedName>
    <definedName name="__a105_2" localSheetId="5" hidden="1">{"'vert'!$A$1:$T$117"}</definedName>
    <definedName name="__a105_2" hidden="1">{"'vert'!$A$1:$T$117"}</definedName>
    <definedName name="__a105_3" localSheetId="8" hidden="1">{"'vert'!$A$1:$T$117"}</definedName>
    <definedName name="__a105_3" localSheetId="5" hidden="1">{"'vert'!$A$1:$T$117"}</definedName>
    <definedName name="__a105_3" hidden="1">{"'vert'!$A$1:$T$117"}</definedName>
    <definedName name="__a106" localSheetId="8" hidden="1">{"'vert'!$A$1:$T$117"}</definedName>
    <definedName name="__a106" localSheetId="5" hidden="1">{"'vert'!$A$1:$T$117"}</definedName>
    <definedName name="__a106" hidden="1">{"'vert'!$A$1:$T$117"}</definedName>
    <definedName name="__a106_1" localSheetId="8" hidden="1">{"'vert'!$A$1:$T$117"}</definedName>
    <definedName name="__a106_1" localSheetId="5" hidden="1">{"'vert'!$A$1:$T$117"}</definedName>
    <definedName name="__a106_1" hidden="1">{"'vert'!$A$1:$T$117"}</definedName>
    <definedName name="__a106_1_1" localSheetId="8" hidden="1">{"'vert'!$A$1:$T$117"}</definedName>
    <definedName name="__a106_1_1" localSheetId="5" hidden="1">{"'vert'!$A$1:$T$117"}</definedName>
    <definedName name="__a106_1_1" hidden="1">{"'vert'!$A$1:$T$117"}</definedName>
    <definedName name="__a106_1_2" localSheetId="8" hidden="1">{"'vert'!$A$1:$T$117"}</definedName>
    <definedName name="__a106_1_2" localSheetId="5" hidden="1">{"'vert'!$A$1:$T$117"}</definedName>
    <definedName name="__a106_1_2" hidden="1">{"'vert'!$A$1:$T$117"}</definedName>
    <definedName name="__a106_2" localSheetId="8" hidden="1">{"'vert'!$A$1:$T$117"}</definedName>
    <definedName name="__a106_2" localSheetId="5" hidden="1">{"'vert'!$A$1:$T$117"}</definedName>
    <definedName name="__a106_2" hidden="1">{"'vert'!$A$1:$T$117"}</definedName>
    <definedName name="__a106_3" localSheetId="8" hidden="1">{"'vert'!$A$1:$T$117"}</definedName>
    <definedName name="__a106_3" localSheetId="5" hidden="1">{"'vert'!$A$1:$T$117"}</definedName>
    <definedName name="__a106_3" hidden="1">{"'vert'!$A$1:$T$117"}</definedName>
    <definedName name="__a107" localSheetId="8" hidden="1">{"'vert'!$A$1:$T$117"}</definedName>
    <definedName name="__a107" localSheetId="5" hidden="1">{"'vert'!$A$1:$T$117"}</definedName>
    <definedName name="__a107" hidden="1">{"'vert'!$A$1:$T$117"}</definedName>
    <definedName name="__a107_1" localSheetId="8" hidden="1">{"'vert'!$A$1:$T$117"}</definedName>
    <definedName name="__a107_1" localSheetId="5" hidden="1">{"'vert'!$A$1:$T$117"}</definedName>
    <definedName name="__a107_1" hidden="1">{"'vert'!$A$1:$T$117"}</definedName>
    <definedName name="__a107_1_1" localSheetId="8" hidden="1">{"'vert'!$A$1:$T$117"}</definedName>
    <definedName name="__a107_1_1" localSheetId="5" hidden="1">{"'vert'!$A$1:$T$117"}</definedName>
    <definedName name="__a107_1_1" hidden="1">{"'vert'!$A$1:$T$117"}</definedName>
    <definedName name="__a107_1_2" localSheetId="8" hidden="1">{"'vert'!$A$1:$T$117"}</definedName>
    <definedName name="__a107_1_2" localSheetId="5" hidden="1">{"'vert'!$A$1:$T$117"}</definedName>
    <definedName name="__a107_1_2" hidden="1">{"'vert'!$A$1:$T$117"}</definedName>
    <definedName name="__a107_2" localSheetId="8" hidden="1">{"'vert'!$A$1:$T$117"}</definedName>
    <definedName name="__a107_2" localSheetId="5" hidden="1">{"'vert'!$A$1:$T$117"}</definedName>
    <definedName name="__a107_2" hidden="1">{"'vert'!$A$1:$T$117"}</definedName>
    <definedName name="__a107_3" localSheetId="8" hidden="1">{"'vert'!$A$1:$T$117"}</definedName>
    <definedName name="__a107_3" localSheetId="5" hidden="1">{"'vert'!$A$1:$T$117"}</definedName>
    <definedName name="__a107_3" hidden="1">{"'vert'!$A$1:$T$117"}</definedName>
    <definedName name="__a108" localSheetId="8" hidden="1">{"'vert'!$A$1:$T$117"}</definedName>
    <definedName name="__a108" localSheetId="5" hidden="1">{"'vert'!$A$1:$T$117"}</definedName>
    <definedName name="__a108" hidden="1">{"'vert'!$A$1:$T$117"}</definedName>
    <definedName name="__a108_1" localSheetId="8" hidden="1">{"'vert'!$A$1:$T$117"}</definedName>
    <definedName name="__a108_1" localSheetId="5" hidden="1">{"'vert'!$A$1:$T$117"}</definedName>
    <definedName name="__a108_1" hidden="1">{"'vert'!$A$1:$T$117"}</definedName>
    <definedName name="__a108_1_1" localSheetId="8" hidden="1">{"'vert'!$A$1:$T$117"}</definedName>
    <definedName name="__a108_1_1" localSheetId="5" hidden="1">{"'vert'!$A$1:$T$117"}</definedName>
    <definedName name="__a108_1_1" hidden="1">{"'vert'!$A$1:$T$117"}</definedName>
    <definedName name="__a108_1_2" localSheetId="8" hidden="1">{"'vert'!$A$1:$T$117"}</definedName>
    <definedName name="__a108_1_2" localSheetId="5" hidden="1">{"'vert'!$A$1:$T$117"}</definedName>
    <definedName name="__a108_1_2" hidden="1">{"'vert'!$A$1:$T$117"}</definedName>
    <definedName name="__a108_2" localSheetId="8" hidden="1">{"'vert'!$A$1:$T$117"}</definedName>
    <definedName name="__a108_2" localSheetId="5" hidden="1">{"'vert'!$A$1:$T$117"}</definedName>
    <definedName name="__a108_2" hidden="1">{"'vert'!$A$1:$T$117"}</definedName>
    <definedName name="__a108_3" localSheetId="8" hidden="1">{"'vert'!$A$1:$T$117"}</definedName>
    <definedName name="__a108_3" localSheetId="5" hidden="1">{"'vert'!$A$1:$T$117"}</definedName>
    <definedName name="__a108_3" hidden="1">{"'vert'!$A$1:$T$117"}</definedName>
    <definedName name="__a109" localSheetId="8" hidden="1">{"'vert'!$A$1:$T$117"}</definedName>
    <definedName name="__a109" localSheetId="5" hidden="1">{"'vert'!$A$1:$T$117"}</definedName>
    <definedName name="__a109" hidden="1">{"'vert'!$A$1:$T$117"}</definedName>
    <definedName name="__a109_1" localSheetId="8" hidden="1">{"'vert'!$A$1:$T$117"}</definedName>
    <definedName name="__a109_1" localSheetId="5" hidden="1">{"'vert'!$A$1:$T$117"}</definedName>
    <definedName name="__a109_1" hidden="1">{"'vert'!$A$1:$T$117"}</definedName>
    <definedName name="__a109_1_1" localSheetId="8" hidden="1">{"'vert'!$A$1:$T$117"}</definedName>
    <definedName name="__a109_1_1" localSheetId="5" hidden="1">{"'vert'!$A$1:$T$117"}</definedName>
    <definedName name="__a109_1_1" hidden="1">{"'vert'!$A$1:$T$117"}</definedName>
    <definedName name="__a109_1_2" localSheetId="8" hidden="1">{"'vert'!$A$1:$T$117"}</definedName>
    <definedName name="__a109_1_2" localSheetId="5" hidden="1">{"'vert'!$A$1:$T$117"}</definedName>
    <definedName name="__a109_1_2" hidden="1">{"'vert'!$A$1:$T$117"}</definedName>
    <definedName name="__a109_2" localSheetId="8" hidden="1">{"'vert'!$A$1:$T$117"}</definedName>
    <definedName name="__a109_2" localSheetId="5" hidden="1">{"'vert'!$A$1:$T$117"}</definedName>
    <definedName name="__a109_2" hidden="1">{"'vert'!$A$1:$T$117"}</definedName>
    <definedName name="__a109_3" localSheetId="8" hidden="1">{"'vert'!$A$1:$T$117"}</definedName>
    <definedName name="__a109_3" localSheetId="5" hidden="1">{"'vert'!$A$1:$T$117"}</definedName>
    <definedName name="__a109_3" hidden="1">{"'vert'!$A$1:$T$117"}</definedName>
    <definedName name="__a11" localSheetId="8" hidden="1">{"'vert'!$A$1:$T$117"}</definedName>
    <definedName name="__a11" localSheetId="5" hidden="1">{"'vert'!$A$1:$T$117"}</definedName>
    <definedName name="__a11" hidden="1">{"'vert'!$A$1:$T$117"}</definedName>
    <definedName name="__a11_1" localSheetId="8" hidden="1">{"'vert'!$A$1:$T$117"}</definedName>
    <definedName name="__a11_1" localSheetId="5" hidden="1">{"'vert'!$A$1:$T$117"}</definedName>
    <definedName name="__a11_1" hidden="1">{"'vert'!$A$1:$T$117"}</definedName>
    <definedName name="__a11_1_1" localSheetId="8" hidden="1">{"'vert'!$A$1:$T$117"}</definedName>
    <definedName name="__a11_1_1" localSheetId="5" hidden="1">{"'vert'!$A$1:$T$117"}</definedName>
    <definedName name="__a11_1_1" hidden="1">{"'vert'!$A$1:$T$117"}</definedName>
    <definedName name="__a11_1_2" localSheetId="8" hidden="1">{"'vert'!$A$1:$T$117"}</definedName>
    <definedName name="__a11_1_2" localSheetId="5" hidden="1">{"'vert'!$A$1:$T$117"}</definedName>
    <definedName name="__a11_1_2" hidden="1">{"'vert'!$A$1:$T$117"}</definedName>
    <definedName name="__a11_2" localSheetId="8" hidden="1">{"'vert'!$A$1:$T$117"}</definedName>
    <definedName name="__a11_2" localSheetId="5" hidden="1">{"'vert'!$A$1:$T$117"}</definedName>
    <definedName name="__a11_2" hidden="1">{"'vert'!$A$1:$T$117"}</definedName>
    <definedName name="__a11_3" localSheetId="8" hidden="1">{"'vert'!$A$1:$T$117"}</definedName>
    <definedName name="__a11_3" localSheetId="5" hidden="1">{"'vert'!$A$1:$T$117"}</definedName>
    <definedName name="__a11_3" hidden="1">{"'vert'!$A$1:$T$117"}</definedName>
    <definedName name="__a110" localSheetId="8" hidden="1">{"'vert'!$A$1:$T$117"}</definedName>
    <definedName name="__a110" localSheetId="5" hidden="1">{"'vert'!$A$1:$T$117"}</definedName>
    <definedName name="__a110" hidden="1">{"'vert'!$A$1:$T$117"}</definedName>
    <definedName name="__a110_1" localSheetId="8" hidden="1">{"'vert'!$A$1:$T$117"}</definedName>
    <definedName name="__a110_1" localSheetId="5" hidden="1">{"'vert'!$A$1:$T$117"}</definedName>
    <definedName name="__a110_1" hidden="1">{"'vert'!$A$1:$T$117"}</definedName>
    <definedName name="__a110_1_1" localSheetId="8" hidden="1">{"'vert'!$A$1:$T$117"}</definedName>
    <definedName name="__a110_1_1" localSheetId="5" hidden="1">{"'vert'!$A$1:$T$117"}</definedName>
    <definedName name="__a110_1_1" hidden="1">{"'vert'!$A$1:$T$117"}</definedName>
    <definedName name="__a110_1_2" localSheetId="8" hidden="1">{"'vert'!$A$1:$T$117"}</definedName>
    <definedName name="__a110_1_2" localSheetId="5" hidden="1">{"'vert'!$A$1:$T$117"}</definedName>
    <definedName name="__a110_1_2" hidden="1">{"'vert'!$A$1:$T$117"}</definedName>
    <definedName name="__a110_2" localSheetId="8" hidden="1">{"'vert'!$A$1:$T$117"}</definedName>
    <definedName name="__a110_2" localSheetId="5" hidden="1">{"'vert'!$A$1:$T$117"}</definedName>
    <definedName name="__a110_2" hidden="1">{"'vert'!$A$1:$T$117"}</definedName>
    <definedName name="__a110_3" localSheetId="8" hidden="1">{"'vert'!$A$1:$T$117"}</definedName>
    <definedName name="__a110_3" localSheetId="5" hidden="1">{"'vert'!$A$1:$T$117"}</definedName>
    <definedName name="__a110_3" hidden="1">{"'vert'!$A$1:$T$117"}</definedName>
    <definedName name="__a111" localSheetId="8" hidden="1">{"'vert'!$A$1:$T$117"}</definedName>
    <definedName name="__a111" localSheetId="5" hidden="1">{"'vert'!$A$1:$T$117"}</definedName>
    <definedName name="__a111" hidden="1">{"'vert'!$A$1:$T$117"}</definedName>
    <definedName name="__a111_1" localSheetId="8" hidden="1">{"'vert'!$A$1:$T$117"}</definedName>
    <definedName name="__a111_1" localSheetId="5" hidden="1">{"'vert'!$A$1:$T$117"}</definedName>
    <definedName name="__a111_1" hidden="1">{"'vert'!$A$1:$T$117"}</definedName>
    <definedName name="__a111_1_1" localSheetId="8" hidden="1">{"'vert'!$A$1:$T$117"}</definedName>
    <definedName name="__a111_1_1" localSheetId="5" hidden="1">{"'vert'!$A$1:$T$117"}</definedName>
    <definedName name="__a111_1_1" hidden="1">{"'vert'!$A$1:$T$117"}</definedName>
    <definedName name="__a111_1_2" localSheetId="8" hidden="1">{"'vert'!$A$1:$T$117"}</definedName>
    <definedName name="__a111_1_2" localSheetId="5" hidden="1">{"'vert'!$A$1:$T$117"}</definedName>
    <definedName name="__a111_1_2" hidden="1">{"'vert'!$A$1:$T$117"}</definedName>
    <definedName name="__a111_2" localSheetId="8" hidden="1">{"'vert'!$A$1:$T$117"}</definedName>
    <definedName name="__a111_2" localSheetId="5" hidden="1">{"'vert'!$A$1:$T$117"}</definedName>
    <definedName name="__a111_2" hidden="1">{"'vert'!$A$1:$T$117"}</definedName>
    <definedName name="__a111_3" localSheetId="8" hidden="1">{"'vert'!$A$1:$T$117"}</definedName>
    <definedName name="__a111_3" localSheetId="5" hidden="1">{"'vert'!$A$1:$T$117"}</definedName>
    <definedName name="__a111_3" hidden="1">{"'vert'!$A$1:$T$117"}</definedName>
    <definedName name="__a112" localSheetId="8" hidden="1">{"'vert'!$A$1:$T$117"}</definedName>
    <definedName name="__a112" localSheetId="5" hidden="1">{"'vert'!$A$1:$T$117"}</definedName>
    <definedName name="__a112" hidden="1">{"'vert'!$A$1:$T$117"}</definedName>
    <definedName name="__a112_1" localSheetId="8" hidden="1">{"'vert'!$A$1:$T$117"}</definedName>
    <definedName name="__a112_1" localSheetId="5" hidden="1">{"'vert'!$A$1:$T$117"}</definedName>
    <definedName name="__a112_1" hidden="1">{"'vert'!$A$1:$T$117"}</definedName>
    <definedName name="__a112_1_1" localSheetId="8" hidden="1">{"'vert'!$A$1:$T$117"}</definedName>
    <definedName name="__a112_1_1" localSheetId="5" hidden="1">{"'vert'!$A$1:$T$117"}</definedName>
    <definedName name="__a112_1_1" hidden="1">{"'vert'!$A$1:$T$117"}</definedName>
    <definedName name="__a112_1_2" localSheetId="8" hidden="1">{"'vert'!$A$1:$T$117"}</definedName>
    <definedName name="__a112_1_2" localSheetId="5" hidden="1">{"'vert'!$A$1:$T$117"}</definedName>
    <definedName name="__a112_1_2" hidden="1">{"'vert'!$A$1:$T$117"}</definedName>
    <definedName name="__a112_2" localSheetId="8" hidden="1">{"'vert'!$A$1:$T$117"}</definedName>
    <definedName name="__a112_2" localSheetId="5" hidden="1">{"'vert'!$A$1:$T$117"}</definedName>
    <definedName name="__a112_2" hidden="1">{"'vert'!$A$1:$T$117"}</definedName>
    <definedName name="__a112_3" localSheetId="8" hidden="1">{"'vert'!$A$1:$T$117"}</definedName>
    <definedName name="__a112_3" localSheetId="5" hidden="1">{"'vert'!$A$1:$T$117"}</definedName>
    <definedName name="__a112_3" hidden="1">{"'vert'!$A$1:$T$117"}</definedName>
    <definedName name="__a113" localSheetId="8" hidden="1">{"'vert'!$A$1:$T$117"}</definedName>
    <definedName name="__a113" localSheetId="5" hidden="1">{"'vert'!$A$1:$T$117"}</definedName>
    <definedName name="__a113" hidden="1">{"'vert'!$A$1:$T$117"}</definedName>
    <definedName name="__a113_1" localSheetId="8" hidden="1">{"'vert'!$A$1:$T$117"}</definedName>
    <definedName name="__a113_1" localSheetId="5" hidden="1">{"'vert'!$A$1:$T$117"}</definedName>
    <definedName name="__a113_1" hidden="1">{"'vert'!$A$1:$T$117"}</definedName>
    <definedName name="__a113_1_1" localSheetId="8" hidden="1">{"'vert'!$A$1:$T$117"}</definedName>
    <definedName name="__a113_1_1" localSheetId="5" hidden="1">{"'vert'!$A$1:$T$117"}</definedName>
    <definedName name="__a113_1_1" hidden="1">{"'vert'!$A$1:$T$117"}</definedName>
    <definedName name="__a113_1_2" localSheetId="8" hidden="1">{"'vert'!$A$1:$T$117"}</definedName>
    <definedName name="__a113_1_2" localSheetId="5" hidden="1">{"'vert'!$A$1:$T$117"}</definedName>
    <definedName name="__a113_1_2" hidden="1">{"'vert'!$A$1:$T$117"}</definedName>
    <definedName name="__a113_2" localSheetId="8" hidden="1">{"'vert'!$A$1:$T$117"}</definedName>
    <definedName name="__a113_2" localSheetId="5" hidden="1">{"'vert'!$A$1:$T$117"}</definedName>
    <definedName name="__a113_2" hidden="1">{"'vert'!$A$1:$T$117"}</definedName>
    <definedName name="__a113_3" localSheetId="8" hidden="1">{"'vert'!$A$1:$T$117"}</definedName>
    <definedName name="__a113_3" localSheetId="5" hidden="1">{"'vert'!$A$1:$T$117"}</definedName>
    <definedName name="__a113_3" hidden="1">{"'vert'!$A$1:$T$117"}</definedName>
    <definedName name="__a114" localSheetId="8" hidden="1">{"'vert'!$A$1:$T$117"}</definedName>
    <definedName name="__a114" localSheetId="5" hidden="1">{"'vert'!$A$1:$T$117"}</definedName>
    <definedName name="__a114" hidden="1">{"'vert'!$A$1:$T$117"}</definedName>
    <definedName name="__a114_1" localSheetId="8" hidden="1">{"'vert'!$A$1:$T$117"}</definedName>
    <definedName name="__a114_1" localSheetId="5" hidden="1">{"'vert'!$A$1:$T$117"}</definedName>
    <definedName name="__a114_1" hidden="1">{"'vert'!$A$1:$T$117"}</definedName>
    <definedName name="__a114_1_1" localSheetId="8" hidden="1">{"'vert'!$A$1:$T$117"}</definedName>
    <definedName name="__a114_1_1" localSheetId="5" hidden="1">{"'vert'!$A$1:$T$117"}</definedName>
    <definedName name="__a114_1_1" hidden="1">{"'vert'!$A$1:$T$117"}</definedName>
    <definedName name="__a114_1_2" localSheetId="8" hidden="1">{"'vert'!$A$1:$T$117"}</definedName>
    <definedName name="__a114_1_2" localSheetId="5" hidden="1">{"'vert'!$A$1:$T$117"}</definedName>
    <definedName name="__a114_1_2" hidden="1">{"'vert'!$A$1:$T$117"}</definedName>
    <definedName name="__a114_2" localSheetId="8" hidden="1">{"'vert'!$A$1:$T$117"}</definedName>
    <definedName name="__a114_2" localSheetId="5" hidden="1">{"'vert'!$A$1:$T$117"}</definedName>
    <definedName name="__a114_2" hidden="1">{"'vert'!$A$1:$T$117"}</definedName>
    <definedName name="__a114_3" localSheetId="8" hidden="1">{"'vert'!$A$1:$T$117"}</definedName>
    <definedName name="__a114_3" localSheetId="5" hidden="1">{"'vert'!$A$1:$T$117"}</definedName>
    <definedName name="__a114_3" hidden="1">{"'vert'!$A$1:$T$117"}</definedName>
    <definedName name="__a115" localSheetId="8" hidden="1">{"'vert'!$A$1:$T$117"}</definedName>
    <definedName name="__a115" localSheetId="5" hidden="1">{"'vert'!$A$1:$T$117"}</definedName>
    <definedName name="__a115" hidden="1">{"'vert'!$A$1:$T$117"}</definedName>
    <definedName name="__a115_1" localSheetId="8" hidden="1">{"'vert'!$A$1:$T$117"}</definedName>
    <definedName name="__a115_1" localSheetId="5" hidden="1">{"'vert'!$A$1:$T$117"}</definedName>
    <definedName name="__a115_1" hidden="1">{"'vert'!$A$1:$T$117"}</definedName>
    <definedName name="__a115_1_1" localSheetId="8" hidden="1">{"'vert'!$A$1:$T$117"}</definedName>
    <definedName name="__a115_1_1" localSheetId="5" hidden="1">{"'vert'!$A$1:$T$117"}</definedName>
    <definedName name="__a115_1_1" hidden="1">{"'vert'!$A$1:$T$117"}</definedName>
    <definedName name="__a115_1_2" localSheetId="8" hidden="1">{"'vert'!$A$1:$T$117"}</definedName>
    <definedName name="__a115_1_2" localSheetId="5" hidden="1">{"'vert'!$A$1:$T$117"}</definedName>
    <definedName name="__a115_1_2" hidden="1">{"'vert'!$A$1:$T$117"}</definedName>
    <definedName name="__a115_2" localSheetId="8" hidden="1">{"'vert'!$A$1:$T$117"}</definedName>
    <definedName name="__a115_2" localSheetId="5" hidden="1">{"'vert'!$A$1:$T$117"}</definedName>
    <definedName name="__a115_2" hidden="1">{"'vert'!$A$1:$T$117"}</definedName>
    <definedName name="__a115_3" localSheetId="8" hidden="1">{"'vert'!$A$1:$T$117"}</definedName>
    <definedName name="__a115_3" localSheetId="5" hidden="1">{"'vert'!$A$1:$T$117"}</definedName>
    <definedName name="__a115_3" hidden="1">{"'vert'!$A$1:$T$117"}</definedName>
    <definedName name="__a116" localSheetId="8" hidden="1">{"'vert'!$A$1:$T$117"}</definedName>
    <definedName name="__a116" localSheetId="5" hidden="1">{"'vert'!$A$1:$T$117"}</definedName>
    <definedName name="__a116" hidden="1">{"'vert'!$A$1:$T$117"}</definedName>
    <definedName name="__a116_1" localSheetId="8" hidden="1">{"'vert'!$A$1:$T$117"}</definedName>
    <definedName name="__a116_1" localSheetId="5" hidden="1">{"'vert'!$A$1:$T$117"}</definedName>
    <definedName name="__a116_1" hidden="1">{"'vert'!$A$1:$T$117"}</definedName>
    <definedName name="__a116_1_1" localSheetId="8" hidden="1">{"'vert'!$A$1:$T$117"}</definedName>
    <definedName name="__a116_1_1" localSheetId="5" hidden="1">{"'vert'!$A$1:$T$117"}</definedName>
    <definedName name="__a116_1_1" hidden="1">{"'vert'!$A$1:$T$117"}</definedName>
    <definedName name="__a116_1_2" localSheetId="8" hidden="1">{"'vert'!$A$1:$T$117"}</definedName>
    <definedName name="__a116_1_2" localSheetId="5" hidden="1">{"'vert'!$A$1:$T$117"}</definedName>
    <definedName name="__a116_1_2" hidden="1">{"'vert'!$A$1:$T$117"}</definedName>
    <definedName name="__a116_2" localSheetId="8" hidden="1">{"'vert'!$A$1:$T$117"}</definedName>
    <definedName name="__a116_2" localSheetId="5" hidden="1">{"'vert'!$A$1:$T$117"}</definedName>
    <definedName name="__a116_2" hidden="1">{"'vert'!$A$1:$T$117"}</definedName>
    <definedName name="__a116_3" localSheetId="8" hidden="1">{"'vert'!$A$1:$T$117"}</definedName>
    <definedName name="__a116_3" localSheetId="5" hidden="1">{"'vert'!$A$1:$T$117"}</definedName>
    <definedName name="__a116_3" hidden="1">{"'vert'!$A$1:$T$117"}</definedName>
    <definedName name="__a117" localSheetId="8" hidden="1">{"'vert'!$A$1:$T$117"}</definedName>
    <definedName name="__a117" localSheetId="5" hidden="1">{"'vert'!$A$1:$T$117"}</definedName>
    <definedName name="__a117" hidden="1">{"'vert'!$A$1:$T$117"}</definedName>
    <definedName name="__a117_1" localSheetId="8" hidden="1">{"'vert'!$A$1:$T$117"}</definedName>
    <definedName name="__a117_1" localSheetId="5" hidden="1">{"'vert'!$A$1:$T$117"}</definedName>
    <definedName name="__a117_1" hidden="1">{"'vert'!$A$1:$T$117"}</definedName>
    <definedName name="__a117_1_1" localSheetId="8" hidden="1">{"'vert'!$A$1:$T$117"}</definedName>
    <definedName name="__a117_1_1" localSheetId="5" hidden="1">{"'vert'!$A$1:$T$117"}</definedName>
    <definedName name="__a117_1_1" hidden="1">{"'vert'!$A$1:$T$117"}</definedName>
    <definedName name="__a117_1_2" localSheetId="8" hidden="1">{"'vert'!$A$1:$T$117"}</definedName>
    <definedName name="__a117_1_2" localSheetId="5" hidden="1">{"'vert'!$A$1:$T$117"}</definedName>
    <definedName name="__a117_1_2" hidden="1">{"'vert'!$A$1:$T$117"}</definedName>
    <definedName name="__a117_2" localSheetId="8" hidden="1">{"'vert'!$A$1:$T$117"}</definedName>
    <definedName name="__a117_2" localSheetId="5" hidden="1">{"'vert'!$A$1:$T$117"}</definedName>
    <definedName name="__a117_2" hidden="1">{"'vert'!$A$1:$T$117"}</definedName>
    <definedName name="__a117_3" localSheetId="8" hidden="1">{"'vert'!$A$1:$T$117"}</definedName>
    <definedName name="__a117_3" localSheetId="5" hidden="1">{"'vert'!$A$1:$T$117"}</definedName>
    <definedName name="__a117_3" hidden="1">{"'vert'!$A$1:$T$117"}</definedName>
    <definedName name="__a118" localSheetId="8" hidden="1">{"'vert'!$A$1:$T$117"}</definedName>
    <definedName name="__a118" localSheetId="5" hidden="1">{"'vert'!$A$1:$T$117"}</definedName>
    <definedName name="__a118" hidden="1">{"'vert'!$A$1:$T$117"}</definedName>
    <definedName name="__a118_1" localSheetId="8" hidden="1">{"'vert'!$A$1:$T$117"}</definedName>
    <definedName name="__a118_1" localSheetId="5" hidden="1">{"'vert'!$A$1:$T$117"}</definedName>
    <definedName name="__a118_1" hidden="1">{"'vert'!$A$1:$T$117"}</definedName>
    <definedName name="__a118_1_1" localSheetId="8" hidden="1">{"'vert'!$A$1:$T$117"}</definedName>
    <definedName name="__a118_1_1" localSheetId="5" hidden="1">{"'vert'!$A$1:$T$117"}</definedName>
    <definedName name="__a118_1_1" hidden="1">{"'vert'!$A$1:$T$117"}</definedName>
    <definedName name="__a118_1_2" localSheetId="8" hidden="1">{"'vert'!$A$1:$T$117"}</definedName>
    <definedName name="__a118_1_2" localSheetId="5" hidden="1">{"'vert'!$A$1:$T$117"}</definedName>
    <definedName name="__a118_1_2" hidden="1">{"'vert'!$A$1:$T$117"}</definedName>
    <definedName name="__a118_2" localSheetId="8" hidden="1">{"'vert'!$A$1:$T$117"}</definedName>
    <definedName name="__a118_2" localSheetId="5" hidden="1">{"'vert'!$A$1:$T$117"}</definedName>
    <definedName name="__a118_2" hidden="1">{"'vert'!$A$1:$T$117"}</definedName>
    <definedName name="__a118_3" localSheetId="8" hidden="1">{"'vert'!$A$1:$T$117"}</definedName>
    <definedName name="__a118_3" localSheetId="5" hidden="1">{"'vert'!$A$1:$T$117"}</definedName>
    <definedName name="__a118_3" hidden="1">{"'vert'!$A$1:$T$117"}</definedName>
    <definedName name="__a119" localSheetId="8" hidden="1">{"'vert'!$A$1:$T$117"}</definedName>
    <definedName name="__a119" localSheetId="5" hidden="1">{"'vert'!$A$1:$T$117"}</definedName>
    <definedName name="__a119" hidden="1">{"'vert'!$A$1:$T$117"}</definedName>
    <definedName name="__a119_1" localSheetId="8" hidden="1">{"'vert'!$A$1:$T$117"}</definedName>
    <definedName name="__a119_1" localSheetId="5" hidden="1">{"'vert'!$A$1:$T$117"}</definedName>
    <definedName name="__a119_1" hidden="1">{"'vert'!$A$1:$T$117"}</definedName>
    <definedName name="__a119_1_1" localSheetId="8" hidden="1">{"'vert'!$A$1:$T$117"}</definedName>
    <definedName name="__a119_1_1" localSheetId="5" hidden="1">{"'vert'!$A$1:$T$117"}</definedName>
    <definedName name="__a119_1_1" hidden="1">{"'vert'!$A$1:$T$117"}</definedName>
    <definedName name="__a119_1_2" localSheetId="8" hidden="1">{"'vert'!$A$1:$T$117"}</definedName>
    <definedName name="__a119_1_2" localSheetId="5" hidden="1">{"'vert'!$A$1:$T$117"}</definedName>
    <definedName name="__a119_1_2" hidden="1">{"'vert'!$A$1:$T$117"}</definedName>
    <definedName name="__a119_2" localSheetId="8" hidden="1">{"'vert'!$A$1:$T$117"}</definedName>
    <definedName name="__a119_2" localSheetId="5" hidden="1">{"'vert'!$A$1:$T$117"}</definedName>
    <definedName name="__a119_2" hidden="1">{"'vert'!$A$1:$T$117"}</definedName>
    <definedName name="__a119_3" localSheetId="8" hidden="1">{"'vert'!$A$1:$T$117"}</definedName>
    <definedName name="__a119_3" localSheetId="5" hidden="1">{"'vert'!$A$1:$T$117"}</definedName>
    <definedName name="__a119_3" hidden="1">{"'vert'!$A$1:$T$117"}</definedName>
    <definedName name="__a120" localSheetId="8" hidden="1">{"'vert'!$A$1:$T$117"}</definedName>
    <definedName name="__a120" localSheetId="5" hidden="1">{"'vert'!$A$1:$T$117"}</definedName>
    <definedName name="__a120" hidden="1">{"'vert'!$A$1:$T$117"}</definedName>
    <definedName name="__a120_1" localSheetId="8" hidden="1">{"'vert'!$A$1:$T$117"}</definedName>
    <definedName name="__a120_1" localSheetId="5" hidden="1">{"'vert'!$A$1:$T$117"}</definedName>
    <definedName name="__a120_1" hidden="1">{"'vert'!$A$1:$T$117"}</definedName>
    <definedName name="__a120_1_1" localSheetId="8" hidden="1">{"'vert'!$A$1:$T$117"}</definedName>
    <definedName name="__a120_1_1" localSheetId="5" hidden="1">{"'vert'!$A$1:$T$117"}</definedName>
    <definedName name="__a120_1_1" hidden="1">{"'vert'!$A$1:$T$117"}</definedName>
    <definedName name="__a120_1_2" localSheetId="8" hidden="1">{"'vert'!$A$1:$T$117"}</definedName>
    <definedName name="__a120_1_2" localSheetId="5" hidden="1">{"'vert'!$A$1:$T$117"}</definedName>
    <definedName name="__a120_1_2" hidden="1">{"'vert'!$A$1:$T$117"}</definedName>
    <definedName name="__a120_2" localSheetId="8" hidden="1">{"'vert'!$A$1:$T$117"}</definedName>
    <definedName name="__a120_2" localSheetId="5" hidden="1">{"'vert'!$A$1:$T$117"}</definedName>
    <definedName name="__a120_2" hidden="1">{"'vert'!$A$1:$T$117"}</definedName>
    <definedName name="__a120_3" localSheetId="8" hidden="1">{"'vert'!$A$1:$T$117"}</definedName>
    <definedName name="__a120_3" localSheetId="5" hidden="1">{"'vert'!$A$1:$T$117"}</definedName>
    <definedName name="__a120_3" hidden="1">{"'vert'!$A$1:$T$117"}</definedName>
    <definedName name="__a121" localSheetId="8" hidden="1">{"'vert'!$A$1:$T$117"}</definedName>
    <definedName name="__a121" localSheetId="5" hidden="1">{"'vert'!$A$1:$T$117"}</definedName>
    <definedName name="__a121" hidden="1">{"'vert'!$A$1:$T$117"}</definedName>
    <definedName name="__a121_1" localSheetId="8" hidden="1">{"'vert'!$A$1:$T$117"}</definedName>
    <definedName name="__a121_1" localSheetId="5" hidden="1">{"'vert'!$A$1:$T$117"}</definedName>
    <definedName name="__a121_1" hidden="1">{"'vert'!$A$1:$T$117"}</definedName>
    <definedName name="__a121_1_1" localSheetId="8" hidden="1">{"'vert'!$A$1:$T$117"}</definedName>
    <definedName name="__a121_1_1" localSheetId="5" hidden="1">{"'vert'!$A$1:$T$117"}</definedName>
    <definedName name="__a121_1_1" hidden="1">{"'vert'!$A$1:$T$117"}</definedName>
    <definedName name="__a121_1_2" localSheetId="8" hidden="1">{"'vert'!$A$1:$T$117"}</definedName>
    <definedName name="__a121_1_2" localSheetId="5" hidden="1">{"'vert'!$A$1:$T$117"}</definedName>
    <definedName name="__a121_1_2" hidden="1">{"'vert'!$A$1:$T$117"}</definedName>
    <definedName name="__a121_2" localSheetId="8" hidden="1">{"'vert'!$A$1:$T$117"}</definedName>
    <definedName name="__a121_2" localSheetId="5" hidden="1">{"'vert'!$A$1:$T$117"}</definedName>
    <definedName name="__a121_2" hidden="1">{"'vert'!$A$1:$T$117"}</definedName>
    <definedName name="__a121_3" localSheetId="8" hidden="1">{"'vert'!$A$1:$T$117"}</definedName>
    <definedName name="__a121_3" localSheetId="5" hidden="1">{"'vert'!$A$1:$T$117"}</definedName>
    <definedName name="__a121_3" hidden="1">{"'vert'!$A$1:$T$117"}</definedName>
    <definedName name="__a122" localSheetId="8" hidden="1">{"'vert'!$A$1:$T$117"}</definedName>
    <definedName name="__a122" localSheetId="5" hidden="1">{"'vert'!$A$1:$T$117"}</definedName>
    <definedName name="__a122" hidden="1">{"'vert'!$A$1:$T$117"}</definedName>
    <definedName name="__a122_1" localSheetId="8" hidden="1">{"'vert'!$A$1:$T$117"}</definedName>
    <definedName name="__a122_1" localSheetId="5" hidden="1">{"'vert'!$A$1:$T$117"}</definedName>
    <definedName name="__a122_1" hidden="1">{"'vert'!$A$1:$T$117"}</definedName>
    <definedName name="__a122_1_1" localSheetId="8" hidden="1">{"'vert'!$A$1:$T$117"}</definedName>
    <definedName name="__a122_1_1" localSheetId="5" hidden="1">{"'vert'!$A$1:$T$117"}</definedName>
    <definedName name="__a122_1_1" hidden="1">{"'vert'!$A$1:$T$117"}</definedName>
    <definedName name="__a122_1_2" localSheetId="8" hidden="1">{"'vert'!$A$1:$T$117"}</definedName>
    <definedName name="__a122_1_2" localSheetId="5" hidden="1">{"'vert'!$A$1:$T$117"}</definedName>
    <definedName name="__a122_1_2" hidden="1">{"'vert'!$A$1:$T$117"}</definedName>
    <definedName name="__a122_2" localSheetId="8" hidden="1">{"'vert'!$A$1:$T$117"}</definedName>
    <definedName name="__a122_2" localSheetId="5" hidden="1">{"'vert'!$A$1:$T$117"}</definedName>
    <definedName name="__a122_2" hidden="1">{"'vert'!$A$1:$T$117"}</definedName>
    <definedName name="__a122_3" localSheetId="8" hidden="1">{"'vert'!$A$1:$T$117"}</definedName>
    <definedName name="__a122_3" localSheetId="5" hidden="1">{"'vert'!$A$1:$T$117"}</definedName>
    <definedName name="__a122_3" hidden="1">{"'vert'!$A$1:$T$117"}</definedName>
    <definedName name="__a123" localSheetId="8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a123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a123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a123_1" localSheetId="8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a123_1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a123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a123_1_1" localSheetId="8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a123_1_1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a123_1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a123_1_2" localSheetId="8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a123_1_2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a123_1_2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a123_2" localSheetId="8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a123_2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a123_2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a123_3" localSheetId="8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a123_3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a123_3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a22" localSheetId="8" hidden="1">{"'vert'!$A$1:$T$117"}</definedName>
    <definedName name="__a22" localSheetId="5" hidden="1">{"'vert'!$A$1:$T$117"}</definedName>
    <definedName name="__a22" hidden="1">{"'vert'!$A$1:$T$117"}</definedName>
    <definedName name="__a22_1" localSheetId="8" hidden="1">{"'vert'!$A$1:$T$117"}</definedName>
    <definedName name="__a22_1" localSheetId="5" hidden="1">{"'vert'!$A$1:$T$117"}</definedName>
    <definedName name="__a22_1" hidden="1">{"'vert'!$A$1:$T$117"}</definedName>
    <definedName name="__a22_1_1" localSheetId="8" hidden="1">{"'vert'!$A$1:$T$117"}</definedName>
    <definedName name="__a22_1_1" localSheetId="5" hidden="1">{"'vert'!$A$1:$T$117"}</definedName>
    <definedName name="__a22_1_1" hidden="1">{"'vert'!$A$1:$T$117"}</definedName>
    <definedName name="__a22_1_2" localSheetId="8" hidden="1">{"'vert'!$A$1:$T$117"}</definedName>
    <definedName name="__a22_1_2" localSheetId="5" hidden="1">{"'vert'!$A$1:$T$117"}</definedName>
    <definedName name="__a22_1_2" hidden="1">{"'vert'!$A$1:$T$117"}</definedName>
    <definedName name="__a22_2" localSheetId="8" hidden="1">{"'vert'!$A$1:$T$117"}</definedName>
    <definedName name="__a22_2" localSheetId="5" hidden="1">{"'vert'!$A$1:$T$117"}</definedName>
    <definedName name="__a22_2" hidden="1">{"'vert'!$A$1:$T$117"}</definedName>
    <definedName name="__a22_3" localSheetId="8" hidden="1">{"'vert'!$A$1:$T$117"}</definedName>
    <definedName name="__a22_3" localSheetId="5" hidden="1">{"'vert'!$A$1:$T$117"}</definedName>
    <definedName name="__a22_3" hidden="1">{"'vert'!$A$1:$T$117"}</definedName>
    <definedName name="__a33" localSheetId="8" hidden="1">{"'vert'!$A$1:$T$117"}</definedName>
    <definedName name="__a33" localSheetId="5" hidden="1">{"'vert'!$A$1:$T$117"}</definedName>
    <definedName name="__a33" hidden="1">{"'vert'!$A$1:$T$117"}</definedName>
    <definedName name="__a33_1" localSheetId="8" hidden="1">{"'vert'!$A$1:$T$117"}</definedName>
    <definedName name="__a33_1" localSheetId="5" hidden="1">{"'vert'!$A$1:$T$117"}</definedName>
    <definedName name="__a33_1" hidden="1">{"'vert'!$A$1:$T$117"}</definedName>
    <definedName name="__a33_1_1" localSheetId="8" hidden="1">{"'vert'!$A$1:$T$117"}</definedName>
    <definedName name="__a33_1_1" localSheetId="5" hidden="1">{"'vert'!$A$1:$T$117"}</definedName>
    <definedName name="__a33_1_1" hidden="1">{"'vert'!$A$1:$T$117"}</definedName>
    <definedName name="__a33_1_2" localSheetId="8" hidden="1">{"'vert'!$A$1:$T$117"}</definedName>
    <definedName name="__a33_1_2" localSheetId="5" hidden="1">{"'vert'!$A$1:$T$117"}</definedName>
    <definedName name="__a33_1_2" hidden="1">{"'vert'!$A$1:$T$117"}</definedName>
    <definedName name="__a33_2" localSheetId="8" hidden="1">{"'vert'!$A$1:$T$117"}</definedName>
    <definedName name="__a33_2" localSheetId="5" hidden="1">{"'vert'!$A$1:$T$117"}</definedName>
    <definedName name="__a33_2" hidden="1">{"'vert'!$A$1:$T$117"}</definedName>
    <definedName name="__a33_3" localSheetId="8" hidden="1">{"'vert'!$A$1:$T$117"}</definedName>
    <definedName name="__a33_3" localSheetId="5" hidden="1">{"'vert'!$A$1:$T$117"}</definedName>
    <definedName name="__a33_3" hidden="1">{"'vert'!$A$1:$T$117"}</definedName>
    <definedName name="__a44" localSheetId="8" hidden="1">{"'vert'!$A$1:$T$117"}</definedName>
    <definedName name="__a44" localSheetId="5" hidden="1">{"'vert'!$A$1:$T$117"}</definedName>
    <definedName name="__a44" hidden="1">{"'vert'!$A$1:$T$117"}</definedName>
    <definedName name="__a44_1" localSheetId="8" hidden="1">{"'vert'!$A$1:$T$117"}</definedName>
    <definedName name="__a44_1" localSheetId="5" hidden="1">{"'vert'!$A$1:$T$117"}</definedName>
    <definedName name="__a44_1" hidden="1">{"'vert'!$A$1:$T$117"}</definedName>
    <definedName name="__a44_1_1" localSheetId="8" hidden="1">{"'vert'!$A$1:$T$117"}</definedName>
    <definedName name="__a44_1_1" localSheetId="5" hidden="1">{"'vert'!$A$1:$T$117"}</definedName>
    <definedName name="__a44_1_1" hidden="1">{"'vert'!$A$1:$T$117"}</definedName>
    <definedName name="__a44_1_2" localSheetId="8" hidden="1">{"'vert'!$A$1:$T$117"}</definedName>
    <definedName name="__a44_1_2" localSheetId="5" hidden="1">{"'vert'!$A$1:$T$117"}</definedName>
    <definedName name="__a44_1_2" hidden="1">{"'vert'!$A$1:$T$117"}</definedName>
    <definedName name="__a44_2" localSheetId="8" hidden="1">{"'vert'!$A$1:$T$117"}</definedName>
    <definedName name="__a44_2" localSheetId="5" hidden="1">{"'vert'!$A$1:$T$117"}</definedName>
    <definedName name="__a44_2" hidden="1">{"'vert'!$A$1:$T$117"}</definedName>
    <definedName name="__a44_3" localSheetId="8" hidden="1">{"'vert'!$A$1:$T$117"}</definedName>
    <definedName name="__a44_3" localSheetId="5" hidden="1">{"'vert'!$A$1:$T$117"}</definedName>
    <definedName name="__a44_3" hidden="1">{"'vert'!$A$1:$T$117"}</definedName>
    <definedName name="__a55" localSheetId="8" hidden="1">{"'vert'!$A$1:$T$117"}</definedName>
    <definedName name="__a55" localSheetId="5" hidden="1">{"'vert'!$A$1:$T$117"}</definedName>
    <definedName name="__a55" hidden="1">{"'vert'!$A$1:$T$117"}</definedName>
    <definedName name="__a55_1" localSheetId="8" hidden="1">{"'vert'!$A$1:$T$117"}</definedName>
    <definedName name="__a55_1" localSheetId="5" hidden="1">{"'vert'!$A$1:$T$117"}</definedName>
    <definedName name="__a55_1" hidden="1">{"'vert'!$A$1:$T$117"}</definedName>
    <definedName name="__a55_1_1" localSheetId="8" hidden="1">{"'vert'!$A$1:$T$117"}</definedName>
    <definedName name="__a55_1_1" localSheetId="5" hidden="1">{"'vert'!$A$1:$T$117"}</definedName>
    <definedName name="__a55_1_1" hidden="1">{"'vert'!$A$1:$T$117"}</definedName>
    <definedName name="__a55_1_2" localSheetId="8" hidden="1">{"'vert'!$A$1:$T$117"}</definedName>
    <definedName name="__a55_1_2" localSheetId="5" hidden="1">{"'vert'!$A$1:$T$117"}</definedName>
    <definedName name="__a55_1_2" hidden="1">{"'vert'!$A$1:$T$117"}</definedName>
    <definedName name="__a55_2" localSheetId="8" hidden="1">{"'vert'!$A$1:$T$117"}</definedName>
    <definedName name="__a55_2" localSheetId="5" hidden="1">{"'vert'!$A$1:$T$117"}</definedName>
    <definedName name="__a55_2" hidden="1">{"'vert'!$A$1:$T$117"}</definedName>
    <definedName name="__a55_3" localSheetId="8" hidden="1">{"'vert'!$A$1:$T$117"}</definedName>
    <definedName name="__a55_3" localSheetId="5" hidden="1">{"'vert'!$A$1:$T$117"}</definedName>
    <definedName name="__a55_3" hidden="1">{"'vert'!$A$1:$T$117"}</definedName>
    <definedName name="__a66" localSheetId="8" hidden="1">{"'vert'!$A$1:$T$117"}</definedName>
    <definedName name="__a66" localSheetId="5" hidden="1">{"'vert'!$A$1:$T$117"}</definedName>
    <definedName name="__a66" hidden="1">{"'vert'!$A$1:$T$117"}</definedName>
    <definedName name="__a66_1" localSheetId="8" hidden="1">{"'vert'!$A$1:$T$117"}</definedName>
    <definedName name="__a66_1" localSheetId="5" hidden="1">{"'vert'!$A$1:$T$117"}</definedName>
    <definedName name="__a66_1" hidden="1">{"'vert'!$A$1:$T$117"}</definedName>
    <definedName name="__a66_1_1" localSheetId="8" hidden="1">{"'vert'!$A$1:$T$117"}</definedName>
    <definedName name="__a66_1_1" localSheetId="5" hidden="1">{"'vert'!$A$1:$T$117"}</definedName>
    <definedName name="__a66_1_1" hidden="1">{"'vert'!$A$1:$T$117"}</definedName>
    <definedName name="__a66_1_2" localSheetId="8" hidden="1">{"'vert'!$A$1:$T$117"}</definedName>
    <definedName name="__a66_1_2" localSheetId="5" hidden="1">{"'vert'!$A$1:$T$117"}</definedName>
    <definedName name="__a66_1_2" hidden="1">{"'vert'!$A$1:$T$117"}</definedName>
    <definedName name="__a66_2" localSheetId="8" hidden="1">{"'vert'!$A$1:$T$117"}</definedName>
    <definedName name="__a66_2" localSheetId="5" hidden="1">{"'vert'!$A$1:$T$117"}</definedName>
    <definedName name="__a66_2" hidden="1">{"'vert'!$A$1:$T$117"}</definedName>
    <definedName name="__a66_3" localSheetId="8" hidden="1">{"'vert'!$A$1:$T$117"}</definedName>
    <definedName name="__a66_3" localSheetId="5" hidden="1">{"'vert'!$A$1:$T$117"}</definedName>
    <definedName name="__a66_3" hidden="1">{"'vert'!$A$1:$T$117"}</definedName>
    <definedName name="__a77" localSheetId="8" hidden="1">{"'vert'!$A$1:$T$117"}</definedName>
    <definedName name="__a77" localSheetId="5" hidden="1">{"'vert'!$A$1:$T$117"}</definedName>
    <definedName name="__a77" hidden="1">{"'vert'!$A$1:$T$117"}</definedName>
    <definedName name="__a77_1" localSheetId="8" hidden="1">{"'vert'!$A$1:$T$117"}</definedName>
    <definedName name="__a77_1" localSheetId="5" hidden="1">{"'vert'!$A$1:$T$117"}</definedName>
    <definedName name="__a77_1" hidden="1">{"'vert'!$A$1:$T$117"}</definedName>
    <definedName name="__a77_1_1" localSheetId="8" hidden="1">{"'vert'!$A$1:$T$117"}</definedName>
    <definedName name="__a77_1_1" localSheetId="5" hidden="1">{"'vert'!$A$1:$T$117"}</definedName>
    <definedName name="__a77_1_1" hidden="1">{"'vert'!$A$1:$T$117"}</definedName>
    <definedName name="__a77_1_2" localSheetId="8" hidden="1">{"'vert'!$A$1:$T$117"}</definedName>
    <definedName name="__a77_1_2" localSheetId="5" hidden="1">{"'vert'!$A$1:$T$117"}</definedName>
    <definedName name="__a77_1_2" hidden="1">{"'vert'!$A$1:$T$117"}</definedName>
    <definedName name="__a77_2" localSheetId="8" hidden="1">{"'vert'!$A$1:$T$117"}</definedName>
    <definedName name="__a77_2" localSheetId="5" hidden="1">{"'vert'!$A$1:$T$117"}</definedName>
    <definedName name="__a77_2" hidden="1">{"'vert'!$A$1:$T$117"}</definedName>
    <definedName name="__a77_3" localSheetId="8" hidden="1">{"'vert'!$A$1:$T$117"}</definedName>
    <definedName name="__a77_3" localSheetId="5" hidden="1">{"'vert'!$A$1:$T$117"}</definedName>
    <definedName name="__a77_3" hidden="1">{"'vert'!$A$1:$T$117"}</definedName>
    <definedName name="__a88" localSheetId="8" hidden="1">{"'vert'!$A$1:$T$117"}</definedName>
    <definedName name="__a88" localSheetId="5" hidden="1">{"'vert'!$A$1:$T$117"}</definedName>
    <definedName name="__a88" hidden="1">{"'vert'!$A$1:$T$117"}</definedName>
    <definedName name="__a88_1" localSheetId="8" hidden="1">{"'vert'!$A$1:$T$117"}</definedName>
    <definedName name="__a88_1" localSheetId="5" hidden="1">{"'vert'!$A$1:$T$117"}</definedName>
    <definedName name="__a88_1" hidden="1">{"'vert'!$A$1:$T$117"}</definedName>
    <definedName name="__a88_1_1" localSheetId="8" hidden="1">{"'vert'!$A$1:$T$117"}</definedName>
    <definedName name="__a88_1_1" localSheetId="5" hidden="1">{"'vert'!$A$1:$T$117"}</definedName>
    <definedName name="__a88_1_1" hidden="1">{"'vert'!$A$1:$T$117"}</definedName>
    <definedName name="__a88_1_2" localSheetId="8" hidden="1">{"'vert'!$A$1:$T$117"}</definedName>
    <definedName name="__a88_1_2" localSheetId="5" hidden="1">{"'vert'!$A$1:$T$117"}</definedName>
    <definedName name="__a88_1_2" hidden="1">{"'vert'!$A$1:$T$117"}</definedName>
    <definedName name="__a88_2" localSheetId="8" hidden="1">{"'vert'!$A$1:$T$117"}</definedName>
    <definedName name="__a88_2" localSheetId="5" hidden="1">{"'vert'!$A$1:$T$117"}</definedName>
    <definedName name="__a88_2" hidden="1">{"'vert'!$A$1:$T$117"}</definedName>
    <definedName name="__a88_3" localSheetId="8" hidden="1">{"'vert'!$A$1:$T$117"}</definedName>
    <definedName name="__a88_3" localSheetId="5" hidden="1">{"'vert'!$A$1:$T$117"}</definedName>
    <definedName name="__a88_3" hidden="1">{"'vert'!$A$1:$T$117"}</definedName>
    <definedName name="__a99" localSheetId="8" hidden="1">{"'vert'!$A$1:$T$117"}</definedName>
    <definedName name="__a99" localSheetId="5" hidden="1">{"'vert'!$A$1:$T$117"}</definedName>
    <definedName name="__a99" hidden="1">{"'vert'!$A$1:$T$117"}</definedName>
    <definedName name="__a99_1" localSheetId="8" hidden="1">{"'vert'!$A$1:$T$117"}</definedName>
    <definedName name="__a99_1" localSheetId="5" hidden="1">{"'vert'!$A$1:$T$117"}</definedName>
    <definedName name="__a99_1" hidden="1">{"'vert'!$A$1:$T$117"}</definedName>
    <definedName name="__a99_1_1" localSheetId="8" hidden="1">{"'vert'!$A$1:$T$117"}</definedName>
    <definedName name="__a99_1_1" localSheetId="5" hidden="1">{"'vert'!$A$1:$T$117"}</definedName>
    <definedName name="__a99_1_1" hidden="1">{"'vert'!$A$1:$T$117"}</definedName>
    <definedName name="__a99_1_2" localSheetId="8" hidden="1">{"'vert'!$A$1:$T$117"}</definedName>
    <definedName name="__a99_1_2" localSheetId="5" hidden="1">{"'vert'!$A$1:$T$117"}</definedName>
    <definedName name="__a99_1_2" hidden="1">{"'vert'!$A$1:$T$117"}</definedName>
    <definedName name="__a99_2" localSheetId="8" hidden="1">{"'vert'!$A$1:$T$117"}</definedName>
    <definedName name="__a99_2" localSheetId="5" hidden="1">{"'vert'!$A$1:$T$117"}</definedName>
    <definedName name="__a99_2" hidden="1">{"'vert'!$A$1:$T$117"}</definedName>
    <definedName name="__a99_3" localSheetId="8" hidden="1">{"'vert'!$A$1:$T$117"}</definedName>
    <definedName name="__a99_3" localSheetId="5" hidden="1">{"'vert'!$A$1:$T$117"}</definedName>
    <definedName name="__a99_3" hidden="1">{"'vert'!$A$1:$T$117"}</definedName>
    <definedName name="__bla2" localSheetId="8" hidden="1">{"'vert'!$A$1:$T$117"}</definedName>
    <definedName name="__bla2" localSheetId="5" hidden="1">{"'vert'!$A$1:$T$117"}</definedName>
    <definedName name="__bla2" hidden="1">{"'vert'!$A$1:$T$117"}</definedName>
    <definedName name="__bla2_1" localSheetId="8" hidden="1">{"'vert'!$A$1:$T$117"}</definedName>
    <definedName name="__bla2_1" localSheetId="5" hidden="1">{"'vert'!$A$1:$T$117"}</definedName>
    <definedName name="__bla2_1" hidden="1">{"'vert'!$A$1:$T$117"}</definedName>
    <definedName name="__bla2_1_1" localSheetId="8" hidden="1">{"'vert'!$A$1:$T$117"}</definedName>
    <definedName name="__bla2_1_1" localSheetId="5" hidden="1">{"'vert'!$A$1:$T$117"}</definedName>
    <definedName name="__bla2_1_1" hidden="1">{"'vert'!$A$1:$T$117"}</definedName>
    <definedName name="__bla2_1_2" localSheetId="8" hidden="1">{"'vert'!$A$1:$T$117"}</definedName>
    <definedName name="__bla2_1_2" localSheetId="5" hidden="1">{"'vert'!$A$1:$T$117"}</definedName>
    <definedName name="__bla2_1_2" hidden="1">{"'vert'!$A$1:$T$117"}</definedName>
    <definedName name="__bla2_2" localSheetId="8" hidden="1">{"'vert'!$A$1:$T$117"}</definedName>
    <definedName name="__bla2_2" localSheetId="5" hidden="1">{"'vert'!$A$1:$T$117"}</definedName>
    <definedName name="__bla2_2" hidden="1">{"'vert'!$A$1:$T$117"}</definedName>
    <definedName name="__bla2_3" localSheetId="8" hidden="1">{"'vert'!$A$1:$T$117"}</definedName>
    <definedName name="__bla2_3" localSheetId="5" hidden="1">{"'vert'!$A$1:$T$117"}</definedName>
    <definedName name="__bla2_3" hidden="1">{"'vert'!$A$1:$T$117"}</definedName>
    <definedName name="__bla3" localSheetId="8" hidden="1">{"'vert'!$A$1:$T$117"}</definedName>
    <definedName name="__bla3" localSheetId="5" hidden="1">{"'vert'!$A$1:$T$117"}</definedName>
    <definedName name="__bla3" hidden="1">{"'vert'!$A$1:$T$117"}</definedName>
    <definedName name="__bla3_1" localSheetId="8" hidden="1">{"'vert'!$A$1:$T$117"}</definedName>
    <definedName name="__bla3_1" localSheetId="5" hidden="1">{"'vert'!$A$1:$T$117"}</definedName>
    <definedName name="__bla3_1" hidden="1">{"'vert'!$A$1:$T$117"}</definedName>
    <definedName name="__bla3_1_1" localSheetId="8" hidden="1">{"'vert'!$A$1:$T$117"}</definedName>
    <definedName name="__bla3_1_1" localSheetId="5" hidden="1">{"'vert'!$A$1:$T$117"}</definedName>
    <definedName name="__bla3_1_1" hidden="1">{"'vert'!$A$1:$T$117"}</definedName>
    <definedName name="__bla3_1_2" localSheetId="8" hidden="1">{"'vert'!$A$1:$T$117"}</definedName>
    <definedName name="__bla3_1_2" localSheetId="5" hidden="1">{"'vert'!$A$1:$T$117"}</definedName>
    <definedName name="__bla3_1_2" hidden="1">{"'vert'!$A$1:$T$117"}</definedName>
    <definedName name="__bla3_2" localSheetId="8" hidden="1">{"'vert'!$A$1:$T$117"}</definedName>
    <definedName name="__bla3_2" localSheetId="5" hidden="1">{"'vert'!$A$1:$T$117"}</definedName>
    <definedName name="__bla3_2" hidden="1">{"'vert'!$A$1:$T$117"}</definedName>
    <definedName name="__bla3_3" localSheetId="8" hidden="1">{"'vert'!$A$1:$T$117"}</definedName>
    <definedName name="__bla3_3" localSheetId="5" hidden="1">{"'vert'!$A$1:$T$117"}</definedName>
    <definedName name="__bla3_3" hidden="1">{"'vert'!$A$1:$T$117"}</definedName>
    <definedName name="__dd2" localSheetId="8" hidden="1">{"'vert'!$A$1:$T$117"}</definedName>
    <definedName name="__dd2" localSheetId="5" hidden="1">{"'vert'!$A$1:$T$117"}</definedName>
    <definedName name="__dd2" hidden="1">{"'vert'!$A$1:$T$117"}</definedName>
    <definedName name="__dd2_1" localSheetId="8" hidden="1">{"'vert'!$A$1:$T$117"}</definedName>
    <definedName name="__dd2_1" localSheetId="5" hidden="1">{"'vert'!$A$1:$T$117"}</definedName>
    <definedName name="__dd2_1" hidden="1">{"'vert'!$A$1:$T$117"}</definedName>
    <definedName name="__dd2_1_1" localSheetId="8" hidden="1">{"'vert'!$A$1:$T$117"}</definedName>
    <definedName name="__dd2_1_1" localSheetId="5" hidden="1">{"'vert'!$A$1:$T$117"}</definedName>
    <definedName name="__dd2_1_1" hidden="1">{"'vert'!$A$1:$T$117"}</definedName>
    <definedName name="__dd2_1_2" localSheetId="8" hidden="1">{"'vert'!$A$1:$T$117"}</definedName>
    <definedName name="__dd2_1_2" localSheetId="5" hidden="1">{"'vert'!$A$1:$T$117"}</definedName>
    <definedName name="__dd2_1_2" hidden="1">{"'vert'!$A$1:$T$117"}</definedName>
    <definedName name="__dd2_2" localSheetId="8" hidden="1">{"'vert'!$A$1:$T$117"}</definedName>
    <definedName name="__dd2_2" localSheetId="5" hidden="1">{"'vert'!$A$1:$T$117"}</definedName>
    <definedName name="__dd2_2" hidden="1">{"'vert'!$A$1:$T$117"}</definedName>
    <definedName name="__dd2_3" localSheetId="8" hidden="1">{"'vert'!$A$1:$T$117"}</definedName>
    <definedName name="__dd2_3" localSheetId="5" hidden="1">{"'vert'!$A$1:$T$117"}</definedName>
    <definedName name="__dd2_3" hidden="1">{"'vert'!$A$1:$T$117"}</definedName>
    <definedName name="__DE2" localSheetId="8" hidden="1">{"'vert'!$A$1:$T$117"}</definedName>
    <definedName name="__DE2" localSheetId="5" hidden="1">{"'vert'!$A$1:$T$117"}</definedName>
    <definedName name="__DE2" hidden="1">{"'vert'!$A$1:$T$117"}</definedName>
    <definedName name="__DE2_1" localSheetId="8" hidden="1">{"'vert'!$A$1:$T$117"}</definedName>
    <definedName name="__DE2_1" localSheetId="5" hidden="1">{"'vert'!$A$1:$T$117"}</definedName>
    <definedName name="__DE2_1" hidden="1">{"'vert'!$A$1:$T$117"}</definedName>
    <definedName name="__DE2_1_1" localSheetId="8" hidden="1">{"'vert'!$A$1:$T$117"}</definedName>
    <definedName name="__DE2_1_1" localSheetId="5" hidden="1">{"'vert'!$A$1:$T$117"}</definedName>
    <definedName name="__DE2_1_1" hidden="1">{"'vert'!$A$1:$T$117"}</definedName>
    <definedName name="__DE2_1_1_1" localSheetId="8" hidden="1">{"'vert'!$A$1:$T$117"}</definedName>
    <definedName name="__DE2_1_1_1" localSheetId="5" hidden="1">{"'vert'!$A$1:$T$117"}</definedName>
    <definedName name="__DE2_1_1_1" hidden="1">{"'vert'!$A$1:$T$117"}</definedName>
    <definedName name="__DE2_1_2" localSheetId="8" hidden="1">{"'vert'!$A$1:$T$117"}</definedName>
    <definedName name="__DE2_1_2" localSheetId="5" hidden="1">{"'vert'!$A$1:$T$117"}</definedName>
    <definedName name="__DE2_1_2" hidden="1">{"'vert'!$A$1:$T$117"}</definedName>
    <definedName name="__DE2_2" localSheetId="8" hidden="1">{"'vert'!$A$1:$T$117"}</definedName>
    <definedName name="__DE2_2" localSheetId="5" hidden="1">{"'vert'!$A$1:$T$117"}</definedName>
    <definedName name="__DE2_2" hidden="1">{"'vert'!$A$1:$T$117"}</definedName>
    <definedName name="__DE2_2_1" localSheetId="8" hidden="1">{"'vert'!$A$1:$T$117"}</definedName>
    <definedName name="__DE2_2_1" localSheetId="5" hidden="1">{"'vert'!$A$1:$T$117"}</definedName>
    <definedName name="__DE2_2_1" hidden="1">{"'vert'!$A$1:$T$117"}</definedName>
    <definedName name="__DE2_2_1_1" localSheetId="8" hidden="1">{"'vert'!$A$1:$T$117"}</definedName>
    <definedName name="__DE2_2_1_1" localSheetId="5" hidden="1">{"'vert'!$A$1:$T$117"}</definedName>
    <definedName name="__DE2_2_1_1" hidden="1">{"'vert'!$A$1:$T$117"}</definedName>
    <definedName name="__DE2_2_2" localSheetId="8" hidden="1">{"'vert'!$A$1:$T$117"}</definedName>
    <definedName name="__DE2_2_2" localSheetId="5" hidden="1">{"'vert'!$A$1:$T$117"}</definedName>
    <definedName name="__DE2_2_2" hidden="1">{"'vert'!$A$1:$T$117"}</definedName>
    <definedName name="__DE2_3" localSheetId="8" hidden="1">{"'vert'!$A$1:$T$117"}</definedName>
    <definedName name="__DE2_3" localSheetId="5" hidden="1">{"'vert'!$A$1:$T$117"}</definedName>
    <definedName name="__DE2_3" hidden="1">{"'vert'!$A$1:$T$117"}</definedName>
    <definedName name="__DE2_3_1" localSheetId="8" hidden="1">{"'vert'!$A$1:$T$117"}</definedName>
    <definedName name="__DE2_3_1" localSheetId="5" hidden="1">{"'vert'!$A$1:$T$117"}</definedName>
    <definedName name="__DE2_3_1" hidden="1">{"'vert'!$A$1:$T$117"}</definedName>
    <definedName name="__DE2_4" localSheetId="8" hidden="1">{"'vert'!$A$1:$T$117"}</definedName>
    <definedName name="__DE2_4" localSheetId="5" hidden="1">{"'vert'!$A$1:$T$117"}</definedName>
    <definedName name="__DE2_4" hidden="1">{"'vert'!$A$1:$T$117"}</definedName>
    <definedName name="__huh3" localSheetId="8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huh3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huh3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huh3_1" localSheetId="8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huh3_1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huh3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huh3_1_1" localSheetId="8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huh3_1_1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huh3_1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huh3_1_1_1" localSheetId="8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huh3_1_1_1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huh3_1_1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huh3_1_2" localSheetId="8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huh3_1_2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huh3_1_2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huh3_2" localSheetId="8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huh3_2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huh3_2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huh3_2_1" localSheetId="8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huh3_2_1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huh3_2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huh3_2_1_1" localSheetId="8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huh3_2_1_1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huh3_2_1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huh3_2_2" localSheetId="8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huh3_2_2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huh3_2_2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huh3_3" localSheetId="8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huh3_3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huh3_3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huh3_3_1" localSheetId="8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huh3_3_1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huh3_3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huh3_4" localSheetId="8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huh3_4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huh3_4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x1" localSheetId="8" hidden="1">{"'vert'!$A$1:$T$117"}</definedName>
    <definedName name="__x1" localSheetId="5" hidden="1">{"'vert'!$A$1:$T$117"}</definedName>
    <definedName name="__x1" hidden="1">{"'vert'!$A$1:$T$117"}</definedName>
    <definedName name="_1_123Grap" hidden="1">#REF!</definedName>
    <definedName name="_10_0__123Grap" hidden="1">#REF!</definedName>
    <definedName name="_11_0__123Grap" hidden="1">#REF!</definedName>
    <definedName name="_123Graph_ACOSTS_b" hidden="1">#REF!</definedName>
    <definedName name="_123Graph_BCOSTSS" hidden="1">#REF!</definedName>
    <definedName name="_14_0__123Graph_A" hidden="1">#REF!</definedName>
    <definedName name="_15_0__123Graph_A" hidden="1">#REF!</definedName>
    <definedName name="_18_0__123Graph_BEPS" hidden="1">#REF!</definedName>
    <definedName name="_19_0__123Graph_BEPS" hidden="1">#REF!</definedName>
    <definedName name="_2" localSheetId="8" hidden="1">{"'vert'!$A$1:$T$117"}</definedName>
    <definedName name="_2" localSheetId="5" hidden="1">{"'vert'!$A$1:$T$117"}</definedName>
    <definedName name="_2" hidden="1">{"'vert'!$A$1:$T$117"}</definedName>
    <definedName name="_2_123Graph_A" hidden="1">[3]CLOSE!#REF!</definedName>
    <definedName name="_22_0_0__123Graph_A" hidden="1">[3]CLOSE!#REF!</definedName>
    <definedName name="_23_0_0__123Graph_A" hidden="1">[3]CLOSE!#REF!</definedName>
    <definedName name="_26_0" hidden="1">[3]CLOSE!#REF!</definedName>
    <definedName name="_26_0_0__123Graph_BEPS" hidden="1">[3]CLOSE!#REF!</definedName>
    <definedName name="_27_0_0__123Graph_BEPS" hidden="1">[3]CLOSE!#REF!</definedName>
    <definedName name="_3_123Graph_A" hidden="1">#REF!</definedName>
    <definedName name="_38" hidden="1">#REF!</definedName>
    <definedName name="_4_123Graph_BEPS" hidden="1">[3]CLOSE!#REF!</definedName>
    <definedName name="_42" hidden="1">#REF!</definedName>
    <definedName name="_43" hidden="1">'[2]EDISON-2'!#REF!</definedName>
    <definedName name="_5_123Graph_BEPS" hidden="1">#REF!</definedName>
    <definedName name="_52" hidden="1">[3]CLOSE!#REF!</definedName>
    <definedName name="_56" localSheetId="8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_56" localSheetId="5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_56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_7__123Graph_BEPS_CF" hidden="1">#REF!</definedName>
    <definedName name="_a1" localSheetId="8" hidden="1">{"'vert'!$A$1:$T$117"}</definedName>
    <definedName name="_a1" localSheetId="5" hidden="1">{"'vert'!$A$1:$T$117"}</definedName>
    <definedName name="_a1" hidden="1">{"'vert'!$A$1:$T$117"}</definedName>
    <definedName name="_a1_1" localSheetId="8" hidden="1">{"'vert'!$A$1:$T$117"}</definedName>
    <definedName name="_a1_1" localSheetId="5" hidden="1">{"'vert'!$A$1:$T$117"}</definedName>
    <definedName name="_a1_1" hidden="1">{"'vert'!$A$1:$T$117"}</definedName>
    <definedName name="_a1_1_1" localSheetId="8" hidden="1">{"'vert'!$A$1:$T$117"}</definedName>
    <definedName name="_a1_1_1" localSheetId="5" hidden="1">{"'vert'!$A$1:$T$117"}</definedName>
    <definedName name="_a1_1_1" hidden="1">{"'vert'!$A$1:$T$117"}</definedName>
    <definedName name="_a1_1_2" localSheetId="8" hidden="1">{"'vert'!$A$1:$T$117"}</definedName>
    <definedName name="_a1_1_2" localSheetId="5" hidden="1">{"'vert'!$A$1:$T$117"}</definedName>
    <definedName name="_a1_1_2" hidden="1">{"'vert'!$A$1:$T$117"}</definedName>
    <definedName name="_a1_2" localSheetId="8" hidden="1">{"'vert'!$A$1:$T$117"}</definedName>
    <definedName name="_a1_2" localSheetId="5" hidden="1">{"'vert'!$A$1:$T$117"}</definedName>
    <definedName name="_a1_2" hidden="1">{"'vert'!$A$1:$T$117"}</definedName>
    <definedName name="_a1_3" localSheetId="8" hidden="1">{"'vert'!$A$1:$T$117"}</definedName>
    <definedName name="_a1_3" localSheetId="5" hidden="1">{"'vert'!$A$1:$T$117"}</definedName>
    <definedName name="_a1_3" hidden="1">{"'vert'!$A$1:$T$117"}</definedName>
    <definedName name="_a101" localSheetId="8" hidden="1">{"'vert'!$A$1:$T$117"}</definedName>
    <definedName name="_a101" localSheetId="5" hidden="1">{"'vert'!$A$1:$T$117"}</definedName>
    <definedName name="_a101" hidden="1">{"'vert'!$A$1:$T$117"}</definedName>
    <definedName name="_a101_1" localSheetId="8" hidden="1">{"'vert'!$A$1:$T$117"}</definedName>
    <definedName name="_a101_1" localSheetId="5" hidden="1">{"'vert'!$A$1:$T$117"}</definedName>
    <definedName name="_a101_1" hidden="1">{"'vert'!$A$1:$T$117"}</definedName>
    <definedName name="_a101_1_1" localSheetId="8" hidden="1">{"'vert'!$A$1:$T$117"}</definedName>
    <definedName name="_a101_1_1" localSheetId="5" hidden="1">{"'vert'!$A$1:$T$117"}</definedName>
    <definedName name="_a101_1_1" hidden="1">{"'vert'!$A$1:$T$117"}</definedName>
    <definedName name="_a101_1_2" localSheetId="8" hidden="1">{"'vert'!$A$1:$T$117"}</definedName>
    <definedName name="_a101_1_2" localSheetId="5" hidden="1">{"'vert'!$A$1:$T$117"}</definedName>
    <definedName name="_a101_1_2" hidden="1">{"'vert'!$A$1:$T$117"}</definedName>
    <definedName name="_a101_2" localSheetId="8" hidden="1">{"'vert'!$A$1:$T$117"}</definedName>
    <definedName name="_a101_2" localSheetId="5" hidden="1">{"'vert'!$A$1:$T$117"}</definedName>
    <definedName name="_a101_2" hidden="1">{"'vert'!$A$1:$T$117"}</definedName>
    <definedName name="_a101_3" localSheetId="8" hidden="1">{"'vert'!$A$1:$T$117"}</definedName>
    <definedName name="_a101_3" localSheetId="5" hidden="1">{"'vert'!$A$1:$T$117"}</definedName>
    <definedName name="_a101_3" hidden="1">{"'vert'!$A$1:$T$117"}</definedName>
    <definedName name="_a102" localSheetId="8" hidden="1">{"'vert'!$A$1:$T$117"}</definedName>
    <definedName name="_a102" localSheetId="5" hidden="1">{"'vert'!$A$1:$T$117"}</definedName>
    <definedName name="_a102" hidden="1">{"'vert'!$A$1:$T$117"}</definedName>
    <definedName name="_a102_1" localSheetId="8" hidden="1">{"'vert'!$A$1:$T$117"}</definedName>
    <definedName name="_a102_1" localSheetId="5" hidden="1">{"'vert'!$A$1:$T$117"}</definedName>
    <definedName name="_a102_1" hidden="1">{"'vert'!$A$1:$T$117"}</definedName>
    <definedName name="_a102_1_1" localSheetId="8" hidden="1">{"'vert'!$A$1:$T$117"}</definedName>
    <definedName name="_a102_1_1" localSheetId="5" hidden="1">{"'vert'!$A$1:$T$117"}</definedName>
    <definedName name="_a102_1_1" hidden="1">{"'vert'!$A$1:$T$117"}</definedName>
    <definedName name="_a102_1_2" localSheetId="8" hidden="1">{"'vert'!$A$1:$T$117"}</definedName>
    <definedName name="_a102_1_2" localSheetId="5" hidden="1">{"'vert'!$A$1:$T$117"}</definedName>
    <definedName name="_a102_1_2" hidden="1">{"'vert'!$A$1:$T$117"}</definedName>
    <definedName name="_a102_2" localSheetId="8" hidden="1">{"'vert'!$A$1:$T$117"}</definedName>
    <definedName name="_a102_2" localSheetId="5" hidden="1">{"'vert'!$A$1:$T$117"}</definedName>
    <definedName name="_a102_2" hidden="1">{"'vert'!$A$1:$T$117"}</definedName>
    <definedName name="_a102_3" localSheetId="8" hidden="1">{"'vert'!$A$1:$T$117"}</definedName>
    <definedName name="_a102_3" localSheetId="5" hidden="1">{"'vert'!$A$1:$T$117"}</definedName>
    <definedName name="_a102_3" hidden="1">{"'vert'!$A$1:$T$117"}</definedName>
    <definedName name="_a103" localSheetId="8" hidden="1">{"'vert'!$A$1:$T$117"}</definedName>
    <definedName name="_a103" localSheetId="5" hidden="1">{"'vert'!$A$1:$T$117"}</definedName>
    <definedName name="_a103" hidden="1">{"'vert'!$A$1:$T$117"}</definedName>
    <definedName name="_a103_1" localSheetId="8" hidden="1">{"'vert'!$A$1:$T$117"}</definedName>
    <definedName name="_a103_1" localSheetId="5" hidden="1">{"'vert'!$A$1:$T$117"}</definedName>
    <definedName name="_a103_1" hidden="1">{"'vert'!$A$1:$T$117"}</definedName>
    <definedName name="_a103_1_1" localSheetId="8" hidden="1">{"'vert'!$A$1:$T$117"}</definedName>
    <definedName name="_a103_1_1" localSheetId="5" hidden="1">{"'vert'!$A$1:$T$117"}</definedName>
    <definedName name="_a103_1_1" hidden="1">{"'vert'!$A$1:$T$117"}</definedName>
    <definedName name="_a103_1_2" localSheetId="8" hidden="1">{"'vert'!$A$1:$T$117"}</definedName>
    <definedName name="_a103_1_2" localSheetId="5" hidden="1">{"'vert'!$A$1:$T$117"}</definedName>
    <definedName name="_a103_1_2" hidden="1">{"'vert'!$A$1:$T$117"}</definedName>
    <definedName name="_a103_2" localSheetId="8" hidden="1">{"'vert'!$A$1:$T$117"}</definedName>
    <definedName name="_a103_2" localSheetId="5" hidden="1">{"'vert'!$A$1:$T$117"}</definedName>
    <definedName name="_a103_2" hidden="1">{"'vert'!$A$1:$T$117"}</definedName>
    <definedName name="_a103_3" localSheetId="8" hidden="1">{"'vert'!$A$1:$T$117"}</definedName>
    <definedName name="_a103_3" localSheetId="5" hidden="1">{"'vert'!$A$1:$T$117"}</definedName>
    <definedName name="_a103_3" hidden="1">{"'vert'!$A$1:$T$117"}</definedName>
    <definedName name="_a104" localSheetId="8" hidden="1">{"'vert'!$A$1:$T$117"}</definedName>
    <definedName name="_a104" localSheetId="5" hidden="1">{"'vert'!$A$1:$T$117"}</definedName>
    <definedName name="_a104" hidden="1">{"'vert'!$A$1:$T$117"}</definedName>
    <definedName name="_a104_1" localSheetId="8" hidden="1">{"'vert'!$A$1:$T$117"}</definedName>
    <definedName name="_a104_1" localSheetId="5" hidden="1">{"'vert'!$A$1:$T$117"}</definedName>
    <definedName name="_a104_1" hidden="1">{"'vert'!$A$1:$T$117"}</definedName>
    <definedName name="_a104_1_1" localSheetId="8" hidden="1">{"'vert'!$A$1:$T$117"}</definedName>
    <definedName name="_a104_1_1" localSheetId="5" hidden="1">{"'vert'!$A$1:$T$117"}</definedName>
    <definedName name="_a104_1_1" hidden="1">{"'vert'!$A$1:$T$117"}</definedName>
    <definedName name="_a104_1_2" localSheetId="8" hidden="1">{"'vert'!$A$1:$T$117"}</definedName>
    <definedName name="_a104_1_2" localSheetId="5" hidden="1">{"'vert'!$A$1:$T$117"}</definedName>
    <definedName name="_a104_1_2" hidden="1">{"'vert'!$A$1:$T$117"}</definedName>
    <definedName name="_a104_2" localSheetId="8" hidden="1">{"'vert'!$A$1:$T$117"}</definedName>
    <definedName name="_a104_2" localSheetId="5" hidden="1">{"'vert'!$A$1:$T$117"}</definedName>
    <definedName name="_a104_2" hidden="1">{"'vert'!$A$1:$T$117"}</definedName>
    <definedName name="_a104_3" localSheetId="8" hidden="1">{"'vert'!$A$1:$T$117"}</definedName>
    <definedName name="_a104_3" localSheetId="5" hidden="1">{"'vert'!$A$1:$T$117"}</definedName>
    <definedName name="_a104_3" hidden="1">{"'vert'!$A$1:$T$117"}</definedName>
    <definedName name="_a105" localSheetId="8" hidden="1">{"'vert'!$A$1:$T$117"}</definedName>
    <definedName name="_a105" localSheetId="5" hidden="1">{"'vert'!$A$1:$T$117"}</definedName>
    <definedName name="_a105" hidden="1">{"'vert'!$A$1:$T$117"}</definedName>
    <definedName name="_a105_1" localSheetId="8" hidden="1">{"'vert'!$A$1:$T$117"}</definedName>
    <definedName name="_a105_1" localSheetId="5" hidden="1">{"'vert'!$A$1:$T$117"}</definedName>
    <definedName name="_a105_1" hidden="1">{"'vert'!$A$1:$T$117"}</definedName>
    <definedName name="_a105_1_1" localSheetId="8" hidden="1">{"'vert'!$A$1:$T$117"}</definedName>
    <definedName name="_a105_1_1" localSheetId="5" hidden="1">{"'vert'!$A$1:$T$117"}</definedName>
    <definedName name="_a105_1_1" hidden="1">{"'vert'!$A$1:$T$117"}</definedName>
    <definedName name="_a105_1_2" localSheetId="8" hidden="1">{"'vert'!$A$1:$T$117"}</definedName>
    <definedName name="_a105_1_2" localSheetId="5" hidden="1">{"'vert'!$A$1:$T$117"}</definedName>
    <definedName name="_a105_1_2" hidden="1">{"'vert'!$A$1:$T$117"}</definedName>
    <definedName name="_a105_2" localSheetId="8" hidden="1">{"'vert'!$A$1:$T$117"}</definedName>
    <definedName name="_a105_2" localSheetId="5" hidden="1">{"'vert'!$A$1:$T$117"}</definedName>
    <definedName name="_a105_2" hidden="1">{"'vert'!$A$1:$T$117"}</definedName>
    <definedName name="_a105_3" localSheetId="8" hidden="1">{"'vert'!$A$1:$T$117"}</definedName>
    <definedName name="_a105_3" localSheetId="5" hidden="1">{"'vert'!$A$1:$T$117"}</definedName>
    <definedName name="_a105_3" hidden="1">{"'vert'!$A$1:$T$117"}</definedName>
    <definedName name="_a106" localSheetId="8" hidden="1">{"'vert'!$A$1:$T$117"}</definedName>
    <definedName name="_a106" localSheetId="5" hidden="1">{"'vert'!$A$1:$T$117"}</definedName>
    <definedName name="_a106" hidden="1">{"'vert'!$A$1:$T$117"}</definedName>
    <definedName name="_a106_1" localSheetId="8" hidden="1">{"'vert'!$A$1:$T$117"}</definedName>
    <definedName name="_a106_1" localSheetId="5" hidden="1">{"'vert'!$A$1:$T$117"}</definedName>
    <definedName name="_a106_1" hidden="1">{"'vert'!$A$1:$T$117"}</definedName>
    <definedName name="_a106_1_1" localSheetId="8" hidden="1">{"'vert'!$A$1:$T$117"}</definedName>
    <definedName name="_a106_1_1" localSheetId="5" hidden="1">{"'vert'!$A$1:$T$117"}</definedName>
    <definedName name="_a106_1_1" hidden="1">{"'vert'!$A$1:$T$117"}</definedName>
    <definedName name="_a106_1_2" localSheetId="8" hidden="1">{"'vert'!$A$1:$T$117"}</definedName>
    <definedName name="_a106_1_2" localSheetId="5" hidden="1">{"'vert'!$A$1:$T$117"}</definedName>
    <definedName name="_a106_1_2" hidden="1">{"'vert'!$A$1:$T$117"}</definedName>
    <definedName name="_a106_2" localSheetId="8" hidden="1">{"'vert'!$A$1:$T$117"}</definedName>
    <definedName name="_a106_2" localSheetId="5" hidden="1">{"'vert'!$A$1:$T$117"}</definedName>
    <definedName name="_a106_2" hidden="1">{"'vert'!$A$1:$T$117"}</definedName>
    <definedName name="_a106_3" localSheetId="8" hidden="1">{"'vert'!$A$1:$T$117"}</definedName>
    <definedName name="_a106_3" localSheetId="5" hidden="1">{"'vert'!$A$1:$T$117"}</definedName>
    <definedName name="_a106_3" hidden="1">{"'vert'!$A$1:$T$117"}</definedName>
    <definedName name="_a107" localSheetId="8" hidden="1">{"'vert'!$A$1:$T$117"}</definedName>
    <definedName name="_a107" localSheetId="5" hidden="1">{"'vert'!$A$1:$T$117"}</definedName>
    <definedName name="_a107" hidden="1">{"'vert'!$A$1:$T$117"}</definedName>
    <definedName name="_a107_1" localSheetId="8" hidden="1">{"'vert'!$A$1:$T$117"}</definedName>
    <definedName name="_a107_1" localSheetId="5" hidden="1">{"'vert'!$A$1:$T$117"}</definedName>
    <definedName name="_a107_1" hidden="1">{"'vert'!$A$1:$T$117"}</definedName>
    <definedName name="_a107_1_1" localSheetId="8" hidden="1">{"'vert'!$A$1:$T$117"}</definedName>
    <definedName name="_a107_1_1" localSheetId="5" hidden="1">{"'vert'!$A$1:$T$117"}</definedName>
    <definedName name="_a107_1_1" hidden="1">{"'vert'!$A$1:$T$117"}</definedName>
    <definedName name="_a107_1_2" localSheetId="8" hidden="1">{"'vert'!$A$1:$T$117"}</definedName>
    <definedName name="_a107_1_2" localSheetId="5" hidden="1">{"'vert'!$A$1:$T$117"}</definedName>
    <definedName name="_a107_1_2" hidden="1">{"'vert'!$A$1:$T$117"}</definedName>
    <definedName name="_a107_2" localSheetId="8" hidden="1">{"'vert'!$A$1:$T$117"}</definedName>
    <definedName name="_a107_2" localSheetId="5" hidden="1">{"'vert'!$A$1:$T$117"}</definedName>
    <definedName name="_a107_2" hidden="1">{"'vert'!$A$1:$T$117"}</definedName>
    <definedName name="_a107_3" localSheetId="8" hidden="1">{"'vert'!$A$1:$T$117"}</definedName>
    <definedName name="_a107_3" localSheetId="5" hidden="1">{"'vert'!$A$1:$T$117"}</definedName>
    <definedName name="_a107_3" hidden="1">{"'vert'!$A$1:$T$117"}</definedName>
    <definedName name="_a108" localSheetId="8" hidden="1">{"'vert'!$A$1:$T$117"}</definedName>
    <definedName name="_a108" localSheetId="5" hidden="1">{"'vert'!$A$1:$T$117"}</definedName>
    <definedName name="_a108" hidden="1">{"'vert'!$A$1:$T$117"}</definedName>
    <definedName name="_a108_1" localSheetId="8" hidden="1">{"'vert'!$A$1:$T$117"}</definedName>
    <definedName name="_a108_1" localSheetId="5" hidden="1">{"'vert'!$A$1:$T$117"}</definedName>
    <definedName name="_a108_1" hidden="1">{"'vert'!$A$1:$T$117"}</definedName>
    <definedName name="_a108_1_1" localSheetId="8" hidden="1">{"'vert'!$A$1:$T$117"}</definedName>
    <definedName name="_a108_1_1" localSheetId="5" hidden="1">{"'vert'!$A$1:$T$117"}</definedName>
    <definedName name="_a108_1_1" hidden="1">{"'vert'!$A$1:$T$117"}</definedName>
    <definedName name="_a108_1_2" localSheetId="8" hidden="1">{"'vert'!$A$1:$T$117"}</definedName>
    <definedName name="_a108_1_2" localSheetId="5" hidden="1">{"'vert'!$A$1:$T$117"}</definedName>
    <definedName name="_a108_1_2" hidden="1">{"'vert'!$A$1:$T$117"}</definedName>
    <definedName name="_a108_2" localSheetId="8" hidden="1">{"'vert'!$A$1:$T$117"}</definedName>
    <definedName name="_a108_2" localSheetId="5" hidden="1">{"'vert'!$A$1:$T$117"}</definedName>
    <definedName name="_a108_2" hidden="1">{"'vert'!$A$1:$T$117"}</definedName>
    <definedName name="_a108_3" localSheetId="8" hidden="1">{"'vert'!$A$1:$T$117"}</definedName>
    <definedName name="_a108_3" localSheetId="5" hidden="1">{"'vert'!$A$1:$T$117"}</definedName>
    <definedName name="_a108_3" hidden="1">{"'vert'!$A$1:$T$117"}</definedName>
    <definedName name="_a109" localSheetId="8" hidden="1">{"'vert'!$A$1:$T$117"}</definedName>
    <definedName name="_a109" localSheetId="5" hidden="1">{"'vert'!$A$1:$T$117"}</definedName>
    <definedName name="_a109" hidden="1">{"'vert'!$A$1:$T$117"}</definedName>
    <definedName name="_a109_1" localSheetId="8" hidden="1">{"'vert'!$A$1:$T$117"}</definedName>
    <definedName name="_a109_1" localSheetId="5" hidden="1">{"'vert'!$A$1:$T$117"}</definedName>
    <definedName name="_a109_1" hidden="1">{"'vert'!$A$1:$T$117"}</definedName>
    <definedName name="_a109_1_1" localSheetId="8" hidden="1">{"'vert'!$A$1:$T$117"}</definedName>
    <definedName name="_a109_1_1" localSheetId="5" hidden="1">{"'vert'!$A$1:$T$117"}</definedName>
    <definedName name="_a109_1_1" hidden="1">{"'vert'!$A$1:$T$117"}</definedName>
    <definedName name="_a109_1_2" localSheetId="8" hidden="1">{"'vert'!$A$1:$T$117"}</definedName>
    <definedName name="_a109_1_2" localSheetId="5" hidden="1">{"'vert'!$A$1:$T$117"}</definedName>
    <definedName name="_a109_1_2" hidden="1">{"'vert'!$A$1:$T$117"}</definedName>
    <definedName name="_a109_2" localSheetId="8" hidden="1">{"'vert'!$A$1:$T$117"}</definedName>
    <definedName name="_a109_2" localSheetId="5" hidden="1">{"'vert'!$A$1:$T$117"}</definedName>
    <definedName name="_a109_2" hidden="1">{"'vert'!$A$1:$T$117"}</definedName>
    <definedName name="_a109_3" localSheetId="8" hidden="1">{"'vert'!$A$1:$T$117"}</definedName>
    <definedName name="_a109_3" localSheetId="5" hidden="1">{"'vert'!$A$1:$T$117"}</definedName>
    <definedName name="_a109_3" hidden="1">{"'vert'!$A$1:$T$117"}</definedName>
    <definedName name="_a11" localSheetId="8" hidden="1">{"'vert'!$A$1:$T$117"}</definedName>
    <definedName name="_a11" localSheetId="5" hidden="1">{"'vert'!$A$1:$T$117"}</definedName>
    <definedName name="_a11" hidden="1">{"'vert'!$A$1:$T$117"}</definedName>
    <definedName name="_a11_1" localSheetId="8" hidden="1">{"'vert'!$A$1:$T$117"}</definedName>
    <definedName name="_a11_1" localSheetId="5" hidden="1">{"'vert'!$A$1:$T$117"}</definedName>
    <definedName name="_a11_1" hidden="1">{"'vert'!$A$1:$T$117"}</definedName>
    <definedName name="_a11_1_1" localSheetId="8" hidden="1">{"'vert'!$A$1:$T$117"}</definedName>
    <definedName name="_a11_1_1" localSheetId="5" hidden="1">{"'vert'!$A$1:$T$117"}</definedName>
    <definedName name="_a11_1_1" hidden="1">{"'vert'!$A$1:$T$117"}</definedName>
    <definedName name="_a11_1_2" localSheetId="8" hidden="1">{"'vert'!$A$1:$T$117"}</definedName>
    <definedName name="_a11_1_2" localSheetId="5" hidden="1">{"'vert'!$A$1:$T$117"}</definedName>
    <definedName name="_a11_1_2" hidden="1">{"'vert'!$A$1:$T$117"}</definedName>
    <definedName name="_a11_2" localSheetId="8" hidden="1">{"'vert'!$A$1:$T$117"}</definedName>
    <definedName name="_a11_2" localSheetId="5" hidden="1">{"'vert'!$A$1:$T$117"}</definedName>
    <definedName name="_a11_2" hidden="1">{"'vert'!$A$1:$T$117"}</definedName>
    <definedName name="_a11_3" localSheetId="8" hidden="1">{"'vert'!$A$1:$T$117"}</definedName>
    <definedName name="_a11_3" localSheetId="5" hidden="1">{"'vert'!$A$1:$T$117"}</definedName>
    <definedName name="_a11_3" hidden="1">{"'vert'!$A$1:$T$117"}</definedName>
    <definedName name="_a110" localSheetId="8" hidden="1">{"'vert'!$A$1:$T$117"}</definedName>
    <definedName name="_a110" localSheetId="5" hidden="1">{"'vert'!$A$1:$T$117"}</definedName>
    <definedName name="_a110" hidden="1">{"'vert'!$A$1:$T$117"}</definedName>
    <definedName name="_a110_1" localSheetId="8" hidden="1">{"'vert'!$A$1:$T$117"}</definedName>
    <definedName name="_a110_1" localSheetId="5" hidden="1">{"'vert'!$A$1:$T$117"}</definedName>
    <definedName name="_a110_1" hidden="1">{"'vert'!$A$1:$T$117"}</definedName>
    <definedName name="_a110_1_1" localSheetId="8" hidden="1">{"'vert'!$A$1:$T$117"}</definedName>
    <definedName name="_a110_1_1" localSheetId="5" hidden="1">{"'vert'!$A$1:$T$117"}</definedName>
    <definedName name="_a110_1_1" hidden="1">{"'vert'!$A$1:$T$117"}</definedName>
    <definedName name="_a110_1_2" localSheetId="8" hidden="1">{"'vert'!$A$1:$T$117"}</definedName>
    <definedName name="_a110_1_2" localSheetId="5" hidden="1">{"'vert'!$A$1:$T$117"}</definedName>
    <definedName name="_a110_1_2" hidden="1">{"'vert'!$A$1:$T$117"}</definedName>
    <definedName name="_a110_2" localSheetId="8" hidden="1">{"'vert'!$A$1:$T$117"}</definedName>
    <definedName name="_a110_2" localSheetId="5" hidden="1">{"'vert'!$A$1:$T$117"}</definedName>
    <definedName name="_a110_2" hidden="1">{"'vert'!$A$1:$T$117"}</definedName>
    <definedName name="_a110_3" localSheetId="8" hidden="1">{"'vert'!$A$1:$T$117"}</definedName>
    <definedName name="_a110_3" localSheetId="5" hidden="1">{"'vert'!$A$1:$T$117"}</definedName>
    <definedName name="_a110_3" hidden="1">{"'vert'!$A$1:$T$117"}</definedName>
    <definedName name="_a111" localSheetId="8" hidden="1">{"'vert'!$A$1:$T$117"}</definedName>
    <definedName name="_a111" localSheetId="5" hidden="1">{"'vert'!$A$1:$T$117"}</definedName>
    <definedName name="_a111" hidden="1">{"'vert'!$A$1:$T$117"}</definedName>
    <definedName name="_a111_1" localSheetId="8" hidden="1">{"'vert'!$A$1:$T$117"}</definedName>
    <definedName name="_a111_1" localSheetId="5" hidden="1">{"'vert'!$A$1:$T$117"}</definedName>
    <definedName name="_a111_1" hidden="1">{"'vert'!$A$1:$T$117"}</definedName>
    <definedName name="_a111_1_1" localSheetId="8" hidden="1">{"'vert'!$A$1:$T$117"}</definedName>
    <definedName name="_a111_1_1" localSheetId="5" hidden="1">{"'vert'!$A$1:$T$117"}</definedName>
    <definedName name="_a111_1_1" hidden="1">{"'vert'!$A$1:$T$117"}</definedName>
    <definedName name="_a111_1_2" localSheetId="8" hidden="1">{"'vert'!$A$1:$T$117"}</definedName>
    <definedName name="_a111_1_2" localSheetId="5" hidden="1">{"'vert'!$A$1:$T$117"}</definedName>
    <definedName name="_a111_1_2" hidden="1">{"'vert'!$A$1:$T$117"}</definedName>
    <definedName name="_a111_2" localSheetId="8" hidden="1">{"'vert'!$A$1:$T$117"}</definedName>
    <definedName name="_a111_2" localSheetId="5" hidden="1">{"'vert'!$A$1:$T$117"}</definedName>
    <definedName name="_a111_2" hidden="1">{"'vert'!$A$1:$T$117"}</definedName>
    <definedName name="_a111_3" localSheetId="8" hidden="1">{"'vert'!$A$1:$T$117"}</definedName>
    <definedName name="_a111_3" localSheetId="5" hidden="1">{"'vert'!$A$1:$T$117"}</definedName>
    <definedName name="_a111_3" hidden="1">{"'vert'!$A$1:$T$117"}</definedName>
    <definedName name="_a112" localSheetId="8" hidden="1">{"'vert'!$A$1:$T$117"}</definedName>
    <definedName name="_a112" localSheetId="5" hidden="1">{"'vert'!$A$1:$T$117"}</definedName>
    <definedName name="_a112" hidden="1">{"'vert'!$A$1:$T$117"}</definedName>
    <definedName name="_a112_1" localSheetId="8" hidden="1">{"'vert'!$A$1:$T$117"}</definedName>
    <definedName name="_a112_1" localSheetId="5" hidden="1">{"'vert'!$A$1:$T$117"}</definedName>
    <definedName name="_a112_1" hidden="1">{"'vert'!$A$1:$T$117"}</definedName>
    <definedName name="_a112_1_1" localSheetId="8" hidden="1">{"'vert'!$A$1:$T$117"}</definedName>
    <definedName name="_a112_1_1" localSheetId="5" hidden="1">{"'vert'!$A$1:$T$117"}</definedName>
    <definedName name="_a112_1_1" hidden="1">{"'vert'!$A$1:$T$117"}</definedName>
    <definedName name="_a112_1_2" localSheetId="8" hidden="1">{"'vert'!$A$1:$T$117"}</definedName>
    <definedName name="_a112_1_2" localSheetId="5" hidden="1">{"'vert'!$A$1:$T$117"}</definedName>
    <definedName name="_a112_1_2" hidden="1">{"'vert'!$A$1:$T$117"}</definedName>
    <definedName name="_a112_2" localSheetId="8" hidden="1">{"'vert'!$A$1:$T$117"}</definedName>
    <definedName name="_a112_2" localSheetId="5" hidden="1">{"'vert'!$A$1:$T$117"}</definedName>
    <definedName name="_a112_2" hidden="1">{"'vert'!$A$1:$T$117"}</definedName>
    <definedName name="_a112_3" localSheetId="8" hidden="1">{"'vert'!$A$1:$T$117"}</definedName>
    <definedName name="_a112_3" localSheetId="5" hidden="1">{"'vert'!$A$1:$T$117"}</definedName>
    <definedName name="_a112_3" hidden="1">{"'vert'!$A$1:$T$117"}</definedName>
    <definedName name="_a113" localSheetId="8" hidden="1">{"'vert'!$A$1:$T$117"}</definedName>
    <definedName name="_a113" localSheetId="5" hidden="1">{"'vert'!$A$1:$T$117"}</definedName>
    <definedName name="_a113" hidden="1">{"'vert'!$A$1:$T$117"}</definedName>
    <definedName name="_a113_1" localSheetId="8" hidden="1">{"'vert'!$A$1:$T$117"}</definedName>
    <definedName name="_a113_1" localSheetId="5" hidden="1">{"'vert'!$A$1:$T$117"}</definedName>
    <definedName name="_a113_1" hidden="1">{"'vert'!$A$1:$T$117"}</definedName>
    <definedName name="_a113_1_1" localSheetId="8" hidden="1">{"'vert'!$A$1:$T$117"}</definedName>
    <definedName name="_a113_1_1" localSheetId="5" hidden="1">{"'vert'!$A$1:$T$117"}</definedName>
    <definedName name="_a113_1_1" hidden="1">{"'vert'!$A$1:$T$117"}</definedName>
    <definedName name="_a113_1_2" localSheetId="8" hidden="1">{"'vert'!$A$1:$T$117"}</definedName>
    <definedName name="_a113_1_2" localSheetId="5" hidden="1">{"'vert'!$A$1:$T$117"}</definedName>
    <definedName name="_a113_1_2" hidden="1">{"'vert'!$A$1:$T$117"}</definedName>
    <definedName name="_a113_2" localSheetId="8" hidden="1">{"'vert'!$A$1:$T$117"}</definedName>
    <definedName name="_a113_2" localSheetId="5" hidden="1">{"'vert'!$A$1:$T$117"}</definedName>
    <definedName name="_a113_2" hidden="1">{"'vert'!$A$1:$T$117"}</definedName>
    <definedName name="_a113_3" localSheetId="8" hidden="1">{"'vert'!$A$1:$T$117"}</definedName>
    <definedName name="_a113_3" localSheetId="5" hidden="1">{"'vert'!$A$1:$T$117"}</definedName>
    <definedName name="_a113_3" hidden="1">{"'vert'!$A$1:$T$117"}</definedName>
    <definedName name="_a114" localSheetId="8" hidden="1">{"'vert'!$A$1:$T$117"}</definedName>
    <definedName name="_a114" localSheetId="5" hidden="1">{"'vert'!$A$1:$T$117"}</definedName>
    <definedName name="_a114" hidden="1">{"'vert'!$A$1:$T$117"}</definedName>
    <definedName name="_a114_1" localSheetId="8" hidden="1">{"'vert'!$A$1:$T$117"}</definedName>
    <definedName name="_a114_1" localSheetId="5" hidden="1">{"'vert'!$A$1:$T$117"}</definedName>
    <definedName name="_a114_1" hidden="1">{"'vert'!$A$1:$T$117"}</definedName>
    <definedName name="_a114_1_1" localSheetId="8" hidden="1">{"'vert'!$A$1:$T$117"}</definedName>
    <definedName name="_a114_1_1" localSheetId="5" hidden="1">{"'vert'!$A$1:$T$117"}</definedName>
    <definedName name="_a114_1_1" hidden="1">{"'vert'!$A$1:$T$117"}</definedName>
    <definedName name="_a114_1_2" localSheetId="8" hidden="1">{"'vert'!$A$1:$T$117"}</definedName>
    <definedName name="_a114_1_2" localSheetId="5" hidden="1">{"'vert'!$A$1:$T$117"}</definedName>
    <definedName name="_a114_1_2" hidden="1">{"'vert'!$A$1:$T$117"}</definedName>
    <definedName name="_a114_2" localSheetId="8" hidden="1">{"'vert'!$A$1:$T$117"}</definedName>
    <definedName name="_a114_2" localSheetId="5" hidden="1">{"'vert'!$A$1:$T$117"}</definedName>
    <definedName name="_a114_2" hidden="1">{"'vert'!$A$1:$T$117"}</definedName>
    <definedName name="_a114_3" localSheetId="8" hidden="1">{"'vert'!$A$1:$T$117"}</definedName>
    <definedName name="_a114_3" localSheetId="5" hidden="1">{"'vert'!$A$1:$T$117"}</definedName>
    <definedName name="_a114_3" hidden="1">{"'vert'!$A$1:$T$117"}</definedName>
    <definedName name="_a115" localSheetId="8" hidden="1">{"'vert'!$A$1:$T$117"}</definedName>
    <definedName name="_a115" localSheetId="5" hidden="1">{"'vert'!$A$1:$T$117"}</definedName>
    <definedName name="_a115" hidden="1">{"'vert'!$A$1:$T$117"}</definedName>
    <definedName name="_a115_1" localSheetId="8" hidden="1">{"'vert'!$A$1:$T$117"}</definedName>
    <definedName name="_a115_1" localSheetId="5" hidden="1">{"'vert'!$A$1:$T$117"}</definedName>
    <definedName name="_a115_1" hidden="1">{"'vert'!$A$1:$T$117"}</definedName>
    <definedName name="_a115_1_1" localSheetId="8" hidden="1">{"'vert'!$A$1:$T$117"}</definedName>
    <definedName name="_a115_1_1" localSheetId="5" hidden="1">{"'vert'!$A$1:$T$117"}</definedName>
    <definedName name="_a115_1_1" hidden="1">{"'vert'!$A$1:$T$117"}</definedName>
    <definedName name="_a115_1_2" localSheetId="8" hidden="1">{"'vert'!$A$1:$T$117"}</definedName>
    <definedName name="_a115_1_2" localSheetId="5" hidden="1">{"'vert'!$A$1:$T$117"}</definedName>
    <definedName name="_a115_1_2" hidden="1">{"'vert'!$A$1:$T$117"}</definedName>
    <definedName name="_a115_2" localSheetId="8" hidden="1">{"'vert'!$A$1:$T$117"}</definedName>
    <definedName name="_a115_2" localSheetId="5" hidden="1">{"'vert'!$A$1:$T$117"}</definedName>
    <definedName name="_a115_2" hidden="1">{"'vert'!$A$1:$T$117"}</definedName>
    <definedName name="_a115_3" localSheetId="8" hidden="1">{"'vert'!$A$1:$T$117"}</definedName>
    <definedName name="_a115_3" localSheetId="5" hidden="1">{"'vert'!$A$1:$T$117"}</definedName>
    <definedName name="_a115_3" hidden="1">{"'vert'!$A$1:$T$117"}</definedName>
    <definedName name="_a116" localSheetId="8" hidden="1">{"'vert'!$A$1:$T$117"}</definedName>
    <definedName name="_a116" localSheetId="5" hidden="1">{"'vert'!$A$1:$T$117"}</definedName>
    <definedName name="_a116" hidden="1">{"'vert'!$A$1:$T$117"}</definedName>
    <definedName name="_a116_1" localSheetId="8" hidden="1">{"'vert'!$A$1:$T$117"}</definedName>
    <definedName name="_a116_1" localSheetId="5" hidden="1">{"'vert'!$A$1:$T$117"}</definedName>
    <definedName name="_a116_1" hidden="1">{"'vert'!$A$1:$T$117"}</definedName>
    <definedName name="_a116_1_1" localSheetId="8" hidden="1">{"'vert'!$A$1:$T$117"}</definedName>
    <definedName name="_a116_1_1" localSheetId="5" hidden="1">{"'vert'!$A$1:$T$117"}</definedName>
    <definedName name="_a116_1_1" hidden="1">{"'vert'!$A$1:$T$117"}</definedName>
    <definedName name="_a116_1_2" localSheetId="8" hidden="1">{"'vert'!$A$1:$T$117"}</definedName>
    <definedName name="_a116_1_2" localSheetId="5" hidden="1">{"'vert'!$A$1:$T$117"}</definedName>
    <definedName name="_a116_1_2" hidden="1">{"'vert'!$A$1:$T$117"}</definedName>
    <definedName name="_a116_2" localSheetId="8" hidden="1">{"'vert'!$A$1:$T$117"}</definedName>
    <definedName name="_a116_2" localSheetId="5" hidden="1">{"'vert'!$A$1:$T$117"}</definedName>
    <definedName name="_a116_2" hidden="1">{"'vert'!$A$1:$T$117"}</definedName>
    <definedName name="_a116_3" localSheetId="8" hidden="1">{"'vert'!$A$1:$T$117"}</definedName>
    <definedName name="_a116_3" localSheetId="5" hidden="1">{"'vert'!$A$1:$T$117"}</definedName>
    <definedName name="_a116_3" hidden="1">{"'vert'!$A$1:$T$117"}</definedName>
    <definedName name="_a117" localSheetId="8" hidden="1">{"'vert'!$A$1:$T$117"}</definedName>
    <definedName name="_a117" localSheetId="5" hidden="1">{"'vert'!$A$1:$T$117"}</definedName>
    <definedName name="_a117" hidden="1">{"'vert'!$A$1:$T$117"}</definedName>
    <definedName name="_a117_1" localSheetId="8" hidden="1">{"'vert'!$A$1:$T$117"}</definedName>
    <definedName name="_a117_1" localSheetId="5" hidden="1">{"'vert'!$A$1:$T$117"}</definedName>
    <definedName name="_a117_1" hidden="1">{"'vert'!$A$1:$T$117"}</definedName>
    <definedName name="_a117_1_1" localSheetId="8" hidden="1">{"'vert'!$A$1:$T$117"}</definedName>
    <definedName name="_a117_1_1" localSheetId="5" hidden="1">{"'vert'!$A$1:$T$117"}</definedName>
    <definedName name="_a117_1_1" hidden="1">{"'vert'!$A$1:$T$117"}</definedName>
    <definedName name="_a117_1_2" localSheetId="8" hidden="1">{"'vert'!$A$1:$T$117"}</definedName>
    <definedName name="_a117_1_2" localSheetId="5" hidden="1">{"'vert'!$A$1:$T$117"}</definedName>
    <definedName name="_a117_1_2" hidden="1">{"'vert'!$A$1:$T$117"}</definedName>
    <definedName name="_a117_2" localSheetId="8" hidden="1">{"'vert'!$A$1:$T$117"}</definedName>
    <definedName name="_a117_2" localSheetId="5" hidden="1">{"'vert'!$A$1:$T$117"}</definedName>
    <definedName name="_a117_2" hidden="1">{"'vert'!$A$1:$T$117"}</definedName>
    <definedName name="_a117_3" localSheetId="8" hidden="1">{"'vert'!$A$1:$T$117"}</definedName>
    <definedName name="_a117_3" localSheetId="5" hidden="1">{"'vert'!$A$1:$T$117"}</definedName>
    <definedName name="_a117_3" hidden="1">{"'vert'!$A$1:$T$117"}</definedName>
    <definedName name="_a118" localSheetId="8" hidden="1">{"'vert'!$A$1:$T$117"}</definedName>
    <definedName name="_a118" localSheetId="5" hidden="1">{"'vert'!$A$1:$T$117"}</definedName>
    <definedName name="_a118" hidden="1">{"'vert'!$A$1:$T$117"}</definedName>
    <definedName name="_a118_1" localSheetId="8" hidden="1">{"'vert'!$A$1:$T$117"}</definedName>
    <definedName name="_a118_1" localSheetId="5" hidden="1">{"'vert'!$A$1:$T$117"}</definedName>
    <definedName name="_a118_1" hidden="1">{"'vert'!$A$1:$T$117"}</definedName>
    <definedName name="_a118_1_1" localSheetId="8" hidden="1">{"'vert'!$A$1:$T$117"}</definedName>
    <definedName name="_a118_1_1" localSheetId="5" hidden="1">{"'vert'!$A$1:$T$117"}</definedName>
    <definedName name="_a118_1_1" hidden="1">{"'vert'!$A$1:$T$117"}</definedName>
    <definedName name="_a118_1_2" localSheetId="8" hidden="1">{"'vert'!$A$1:$T$117"}</definedName>
    <definedName name="_a118_1_2" localSheetId="5" hidden="1">{"'vert'!$A$1:$T$117"}</definedName>
    <definedName name="_a118_1_2" hidden="1">{"'vert'!$A$1:$T$117"}</definedName>
    <definedName name="_a118_2" localSheetId="8" hidden="1">{"'vert'!$A$1:$T$117"}</definedName>
    <definedName name="_a118_2" localSheetId="5" hidden="1">{"'vert'!$A$1:$T$117"}</definedName>
    <definedName name="_a118_2" hidden="1">{"'vert'!$A$1:$T$117"}</definedName>
    <definedName name="_a118_3" localSheetId="8" hidden="1">{"'vert'!$A$1:$T$117"}</definedName>
    <definedName name="_a118_3" localSheetId="5" hidden="1">{"'vert'!$A$1:$T$117"}</definedName>
    <definedName name="_a118_3" hidden="1">{"'vert'!$A$1:$T$117"}</definedName>
    <definedName name="_a119" localSheetId="8" hidden="1">{"'vert'!$A$1:$T$117"}</definedName>
    <definedName name="_a119" localSheetId="5" hidden="1">{"'vert'!$A$1:$T$117"}</definedName>
    <definedName name="_a119" hidden="1">{"'vert'!$A$1:$T$117"}</definedName>
    <definedName name="_a119_1" localSheetId="8" hidden="1">{"'vert'!$A$1:$T$117"}</definedName>
    <definedName name="_a119_1" localSheetId="5" hidden="1">{"'vert'!$A$1:$T$117"}</definedName>
    <definedName name="_a119_1" hidden="1">{"'vert'!$A$1:$T$117"}</definedName>
    <definedName name="_a119_1_1" localSheetId="8" hidden="1">{"'vert'!$A$1:$T$117"}</definedName>
    <definedName name="_a119_1_1" localSheetId="5" hidden="1">{"'vert'!$A$1:$T$117"}</definedName>
    <definedName name="_a119_1_1" hidden="1">{"'vert'!$A$1:$T$117"}</definedName>
    <definedName name="_a119_1_2" localSheetId="8" hidden="1">{"'vert'!$A$1:$T$117"}</definedName>
    <definedName name="_a119_1_2" localSheetId="5" hidden="1">{"'vert'!$A$1:$T$117"}</definedName>
    <definedName name="_a119_1_2" hidden="1">{"'vert'!$A$1:$T$117"}</definedName>
    <definedName name="_a119_2" localSheetId="8" hidden="1">{"'vert'!$A$1:$T$117"}</definedName>
    <definedName name="_a119_2" localSheetId="5" hidden="1">{"'vert'!$A$1:$T$117"}</definedName>
    <definedName name="_a119_2" hidden="1">{"'vert'!$A$1:$T$117"}</definedName>
    <definedName name="_a119_3" localSheetId="8" hidden="1">{"'vert'!$A$1:$T$117"}</definedName>
    <definedName name="_a119_3" localSheetId="5" hidden="1">{"'vert'!$A$1:$T$117"}</definedName>
    <definedName name="_a119_3" hidden="1">{"'vert'!$A$1:$T$117"}</definedName>
    <definedName name="_a120" localSheetId="8" hidden="1">{"'vert'!$A$1:$T$117"}</definedName>
    <definedName name="_a120" localSheetId="5" hidden="1">{"'vert'!$A$1:$T$117"}</definedName>
    <definedName name="_a120" hidden="1">{"'vert'!$A$1:$T$117"}</definedName>
    <definedName name="_a120_1" localSheetId="8" hidden="1">{"'vert'!$A$1:$T$117"}</definedName>
    <definedName name="_a120_1" localSheetId="5" hidden="1">{"'vert'!$A$1:$T$117"}</definedName>
    <definedName name="_a120_1" hidden="1">{"'vert'!$A$1:$T$117"}</definedName>
    <definedName name="_a120_1_1" localSheetId="8" hidden="1">{"'vert'!$A$1:$T$117"}</definedName>
    <definedName name="_a120_1_1" localSheetId="5" hidden="1">{"'vert'!$A$1:$T$117"}</definedName>
    <definedName name="_a120_1_1" hidden="1">{"'vert'!$A$1:$T$117"}</definedName>
    <definedName name="_a120_1_2" localSheetId="8" hidden="1">{"'vert'!$A$1:$T$117"}</definedName>
    <definedName name="_a120_1_2" localSheetId="5" hidden="1">{"'vert'!$A$1:$T$117"}</definedName>
    <definedName name="_a120_1_2" hidden="1">{"'vert'!$A$1:$T$117"}</definedName>
    <definedName name="_a120_2" localSheetId="8" hidden="1">{"'vert'!$A$1:$T$117"}</definedName>
    <definedName name="_a120_2" localSheetId="5" hidden="1">{"'vert'!$A$1:$T$117"}</definedName>
    <definedName name="_a120_2" hidden="1">{"'vert'!$A$1:$T$117"}</definedName>
    <definedName name="_a120_3" localSheetId="8" hidden="1">{"'vert'!$A$1:$T$117"}</definedName>
    <definedName name="_a120_3" localSheetId="5" hidden="1">{"'vert'!$A$1:$T$117"}</definedName>
    <definedName name="_a120_3" hidden="1">{"'vert'!$A$1:$T$117"}</definedName>
    <definedName name="_a121" localSheetId="8" hidden="1">{"'vert'!$A$1:$T$117"}</definedName>
    <definedName name="_a121" localSheetId="5" hidden="1">{"'vert'!$A$1:$T$117"}</definedName>
    <definedName name="_a121" hidden="1">{"'vert'!$A$1:$T$117"}</definedName>
    <definedName name="_a121_1" localSheetId="8" hidden="1">{"'vert'!$A$1:$T$117"}</definedName>
    <definedName name="_a121_1" localSheetId="5" hidden="1">{"'vert'!$A$1:$T$117"}</definedName>
    <definedName name="_a121_1" hidden="1">{"'vert'!$A$1:$T$117"}</definedName>
    <definedName name="_a121_1_1" localSheetId="8" hidden="1">{"'vert'!$A$1:$T$117"}</definedName>
    <definedName name="_a121_1_1" localSheetId="5" hidden="1">{"'vert'!$A$1:$T$117"}</definedName>
    <definedName name="_a121_1_1" hidden="1">{"'vert'!$A$1:$T$117"}</definedName>
    <definedName name="_a121_1_2" localSheetId="8" hidden="1">{"'vert'!$A$1:$T$117"}</definedName>
    <definedName name="_a121_1_2" localSheetId="5" hidden="1">{"'vert'!$A$1:$T$117"}</definedName>
    <definedName name="_a121_1_2" hidden="1">{"'vert'!$A$1:$T$117"}</definedName>
    <definedName name="_a121_2" localSheetId="8" hidden="1">{"'vert'!$A$1:$T$117"}</definedName>
    <definedName name="_a121_2" localSheetId="5" hidden="1">{"'vert'!$A$1:$T$117"}</definedName>
    <definedName name="_a121_2" hidden="1">{"'vert'!$A$1:$T$117"}</definedName>
    <definedName name="_a121_3" localSheetId="8" hidden="1">{"'vert'!$A$1:$T$117"}</definedName>
    <definedName name="_a121_3" localSheetId="5" hidden="1">{"'vert'!$A$1:$T$117"}</definedName>
    <definedName name="_a121_3" hidden="1">{"'vert'!$A$1:$T$117"}</definedName>
    <definedName name="_a122" localSheetId="8" hidden="1">{"'vert'!$A$1:$T$117"}</definedName>
    <definedName name="_a122" localSheetId="5" hidden="1">{"'vert'!$A$1:$T$117"}</definedName>
    <definedName name="_a122" hidden="1">{"'vert'!$A$1:$T$117"}</definedName>
    <definedName name="_a122_1" localSheetId="8" hidden="1">{"'vert'!$A$1:$T$117"}</definedName>
    <definedName name="_a122_1" localSheetId="5" hidden="1">{"'vert'!$A$1:$T$117"}</definedName>
    <definedName name="_a122_1" hidden="1">{"'vert'!$A$1:$T$117"}</definedName>
    <definedName name="_a122_1_1" localSheetId="8" hidden="1">{"'vert'!$A$1:$T$117"}</definedName>
    <definedName name="_a122_1_1" localSheetId="5" hidden="1">{"'vert'!$A$1:$T$117"}</definedName>
    <definedName name="_a122_1_1" hidden="1">{"'vert'!$A$1:$T$117"}</definedName>
    <definedName name="_a122_1_2" localSheetId="8" hidden="1">{"'vert'!$A$1:$T$117"}</definedName>
    <definedName name="_a122_1_2" localSheetId="5" hidden="1">{"'vert'!$A$1:$T$117"}</definedName>
    <definedName name="_a122_1_2" hidden="1">{"'vert'!$A$1:$T$117"}</definedName>
    <definedName name="_a122_2" localSheetId="8" hidden="1">{"'vert'!$A$1:$T$117"}</definedName>
    <definedName name="_a122_2" localSheetId="5" hidden="1">{"'vert'!$A$1:$T$117"}</definedName>
    <definedName name="_a122_2" hidden="1">{"'vert'!$A$1:$T$117"}</definedName>
    <definedName name="_a122_3" localSheetId="8" hidden="1">{"'vert'!$A$1:$T$117"}</definedName>
    <definedName name="_a122_3" localSheetId="5" hidden="1">{"'vert'!$A$1:$T$117"}</definedName>
    <definedName name="_a122_3" hidden="1">{"'vert'!$A$1:$T$117"}</definedName>
    <definedName name="_a123" localSheetId="8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a123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a123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a123_1" localSheetId="8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a123_1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a123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a123_1_1" localSheetId="8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a123_1_1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a123_1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a123_1_2" localSheetId="8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a123_1_2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a123_1_2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a123_2" localSheetId="8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a123_2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a123_2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a123_3" localSheetId="8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a123_3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a123_3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a22" localSheetId="8" hidden="1">{"'vert'!$A$1:$T$117"}</definedName>
    <definedName name="_a22" localSheetId="5" hidden="1">{"'vert'!$A$1:$T$117"}</definedName>
    <definedName name="_a22" hidden="1">{"'vert'!$A$1:$T$117"}</definedName>
    <definedName name="_a22_1" localSheetId="8" hidden="1">{"'vert'!$A$1:$T$117"}</definedName>
    <definedName name="_a22_1" localSheetId="5" hidden="1">{"'vert'!$A$1:$T$117"}</definedName>
    <definedName name="_a22_1" hidden="1">{"'vert'!$A$1:$T$117"}</definedName>
    <definedName name="_a22_1_1" localSheetId="8" hidden="1">{"'vert'!$A$1:$T$117"}</definedName>
    <definedName name="_a22_1_1" localSheetId="5" hidden="1">{"'vert'!$A$1:$T$117"}</definedName>
    <definedName name="_a22_1_1" hidden="1">{"'vert'!$A$1:$T$117"}</definedName>
    <definedName name="_a22_1_2" localSheetId="8" hidden="1">{"'vert'!$A$1:$T$117"}</definedName>
    <definedName name="_a22_1_2" localSheetId="5" hidden="1">{"'vert'!$A$1:$T$117"}</definedName>
    <definedName name="_a22_1_2" hidden="1">{"'vert'!$A$1:$T$117"}</definedName>
    <definedName name="_a22_2" localSheetId="8" hidden="1">{"'vert'!$A$1:$T$117"}</definedName>
    <definedName name="_a22_2" localSheetId="5" hidden="1">{"'vert'!$A$1:$T$117"}</definedName>
    <definedName name="_a22_2" hidden="1">{"'vert'!$A$1:$T$117"}</definedName>
    <definedName name="_a22_3" localSheetId="8" hidden="1">{"'vert'!$A$1:$T$117"}</definedName>
    <definedName name="_a22_3" localSheetId="5" hidden="1">{"'vert'!$A$1:$T$117"}</definedName>
    <definedName name="_a22_3" hidden="1">{"'vert'!$A$1:$T$117"}</definedName>
    <definedName name="_a33" localSheetId="8" hidden="1">{"'vert'!$A$1:$T$117"}</definedName>
    <definedName name="_a33" localSheetId="5" hidden="1">{"'vert'!$A$1:$T$117"}</definedName>
    <definedName name="_a33" hidden="1">{"'vert'!$A$1:$T$117"}</definedName>
    <definedName name="_a33_1" localSheetId="8" hidden="1">{"'vert'!$A$1:$T$117"}</definedName>
    <definedName name="_a33_1" localSheetId="5" hidden="1">{"'vert'!$A$1:$T$117"}</definedName>
    <definedName name="_a33_1" hidden="1">{"'vert'!$A$1:$T$117"}</definedName>
    <definedName name="_a33_1_1" localSheetId="8" hidden="1">{"'vert'!$A$1:$T$117"}</definedName>
    <definedName name="_a33_1_1" localSheetId="5" hidden="1">{"'vert'!$A$1:$T$117"}</definedName>
    <definedName name="_a33_1_1" hidden="1">{"'vert'!$A$1:$T$117"}</definedName>
    <definedName name="_a33_1_2" localSheetId="8" hidden="1">{"'vert'!$A$1:$T$117"}</definedName>
    <definedName name="_a33_1_2" localSheetId="5" hidden="1">{"'vert'!$A$1:$T$117"}</definedName>
    <definedName name="_a33_1_2" hidden="1">{"'vert'!$A$1:$T$117"}</definedName>
    <definedName name="_a33_2" localSheetId="8" hidden="1">{"'vert'!$A$1:$T$117"}</definedName>
    <definedName name="_a33_2" localSheetId="5" hidden="1">{"'vert'!$A$1:$T$117"}</definedName>
    <definedName name="_a33_2" hidden="1">{"'vert'!$A$1:$T$117"}</definedName>
    <definedName name="_a33_3" localSheetId="8" hidden="1">{"'vert'!$A$1:$T$117"}</definedName>
    <definedName name="_a33_3" localSheetId="5" hidden="1">{"'vert'!$A$1:$T$117"}</definedName>
    <definedName name="_a33_3" hidden="1">{"'vert'!$A$1:$T$117"}</definedName>
    <definedName name="_a44" localSheetId="8" hidden="1">{"'vert'!$A$1:$T$117"}</definedName>
    <definedName name="_a44" localSheetId="5" hidden="1">{"'vert'!$A$1:$T$117"}</definedName>
    <definedName name="_a44" hidden="1">{"'vert'!$A$1:$T$117"}</definedName>
    <definedName name="_a44_1" localSheetId="8" hidden="1">{"'vert'!$A$1:$T$117"}</definedName>
    <definedName name="_a44_1" localSheetId="5" hidden="1">{"'vert'!$A$1:$T$117"}</definedName>
    <definedName name="_a44_1" hidden="1">{"'vert'!$A$1:$T$117"}</definedName>
    <definedName name="_a44_1_1" localSheetId="8" hidden="1">{"'vert'!$A$1:$T$117"}</definedName>
    <definedName name="_a44_1_1" localSheetId="5" hidden="1">{"'vert'!$A$1:$T$117"}</definedName>
    <definedName name="_a44_1_1" hidden="1">{"'vert'!$A$1:$T$117"}</definedName>
    <definedName name="_a44_1_2" localSheetId="8" hidden="1">{"'vert'!$A$1:$T$117"}</definedName>
    <definedName name="_a44_1_2" localSheetId="5" hidden="1">{"'vert'!$A$1:$T$117"}</definedName>
    <definedName name="_a44_1_2" hidden="1">{"'vert'!$A$1:$T$117"}</definedName>
    <definedName name="_a44_2" localSheetId="8" hidden="1">{"'vert'!$A$1:$T$117"}</definedName>
    <definedName name="_a44_2" localSheetId="5" hidden="1">{"'vert'!$A$1:$T$117"}</definedName>
    <definedName name="_a44_2" hidden="1">{"'vert'!$A$1:$T$117"}</definedName>
    <definedName name="_a44_3" localSheetId="8" hidden="1">{"'vert'!$A$1:$T$117"}</definedName>
    <definedName name="_a44_3" localSheetId="5" hidden="1">{"'vert'!$A$1:$T$117"}</definedName>
    <definedName name="_a44_3" hidden="1">{"'vert'!$A$1:$T$117"}</definedName>
    <definedName name="_a55" localSheetId="8" hidden="1">{"'vert'!$A$1:$T$117"}</definedName>
    <definedName name="_a55" localSheetId="5" hidden="1">{"'vert'!$A$1:$T$117"}</definedName>
    <definedName name="_a55" hidden="1">{"'vert'!$A$1:$T$117"}</definedName>
    <definedName name="_a55_1" localSheetId="8" hidden="1">{"'vert'!$A$1:$T$117"}</definedName>
    <definedName name="_a55_1" localSheetId="5" hidden="1">{"'vert'!$A$1:$T$117"}</definedName>
    <definedName name="_a55_1" hidden="1">{"'vert'!$A$1:$T$117"}</definedName>
    <definedName name="_a55_1_1" localSheetId="8" hidden="1">{"'vert'!$A$1:$T$117"}</definedName>
    <definedName name="_a55_1_1" localSheetId="5" hidden="1">{"'vert'!$A$1:$T$117"}</definedName>
    <definedName name="_a55_1_1" hidden="1">{"'vert'!$A$1:$T$117"}</definedName>
    <definedName name="_a55_1_2" localSheetId="8" hidden="1">{"'vert'!$A$1:$T$117"}</definedName>
    <definedName name="_a55_1_2" localSheetId="5" hidden="1">{"'vert'!$A$1:$T$117"}</definedName>
    <definedName name="_a55_1_2" hidden="1">{"'vert'!$A$1:$T$117"}</definedName>
    <definedName name="_a55_2" localSheetId="8" hidden="1">{"'vert'!$A$1:$T$117"}</definedName>
    <definedName name="_a55_2" localSheetId="5" hidden="1">{"'vert'!$A$1:$T$117"}</definedName>
    <definedName name="_a55_2" hidden="1">{"'vert'!$A$1:$T$117"}</definedName>
    <definedName name="_a55_3" localSheetId="8" hidden="1">{"'vert'!$A$1:$T$117"}</definedName>
    <definedName name="_a55_3" localSheetId="5" hidden="1">{"'vert'!$A$1:$T$117"}</definedName>
    <definedName name="_a55_3" hidden="1">{"'vert'!$A$1:$T$117"}</definedName>
    <definedName name="_a66" localSheetId="8" hidden="1">{"'vert'!$A$1:$T$117"}</definedName>
    <definedName name="_a66" localSheetId="5" hidden="1">{"'vert'!$A$1:$T$117"}</definedName>
    <definedName name="_a66" hidden="1">{"'vert'!$A$1:$T$117"}</definedName>
    <definedName name="_a66_1" localSheetId="8" hidden="1">{"'vert'!$A$1:$T$117"}</definedName>
    <definedName name="_a66_1" localSheetId="5" hidden="1">{"'vert'!$A$1:$T$117"}</definedName>
    <definedName name="_a66_1" hidden="1">{"'vert'!$A$1:$T$117"}</definedName>
    <definedName name="_a66_1_1" localSheetId="8" hidden="1">{"'vert'!$A$1:$T$117"}</definedName>
    <definedName name="_a66_1_1" localSheetId="5" hidden="1">{"'vert'!$A$1:$T$117"}</definedName>
    <definedName name="_a66_1_1" hidden="1">{"'vert'!$A$1:$T$117"}</definedName>
    <definedName name="_a66_1_2" localSheetId="8" hidden="1">{"'vert'!$A$1:$T$117"}</definedName>
    <definedName name="_a66_1_2" localSheetId="5" hidden="1">{"'vert'!$A$1:$T$117"}</definedName>
    <definedName name="_a66_1_2" hidden="1">{"'vert'!$A$1:$T$117"}</definedName>
    <definedName name="_a66_2" localSheetId="8" hidden="1">{"'vert'!$A$1:$T$117"}</definedName>
    <definedName name="_a66_2" localSheetId="5" hidden="1">{"'vert'!$A$1:$T$117"}</definedName>
    <definedName name="_a66_2" hidden="1">{"'vert'!$A$1:$T$117"}</definedName>
    <definedName name="_a66_3" localSheetId="8" hidden="1">{"'vert'!$A$1:$T$117"}</definedName>
    <definedName name="_a66_3" localSheetId="5" hidden="1">{"'vert'!$A$1:$T$117"}</definedName>
    <definedName name="_a66_3" hidden="1">{"'vert'!$A$1:$T$117"}</definedName>
    <definedName name="_a77" localSheetId="8" hidden="1">{"'vert'!$A$1:$T$117"}</definedName>
    <definedName name="_a77" localSheetId="5" hidden="1">{"'vert'!$A$1:$T$117"}</definedName>
    <definedName name="_a77" hidden="1">{"'vert'!$A$1:$T$117"}</definedName>
    <definedName name="_a77_1" localSheetId="8" hidden="1">{"'vert'!$A$1:$T$117"}</definedName>
    <definedName name="_a77_1" localSheetId="5" hidden="1">{"'vert'!$A$1:$T$117"}</definedName>
    <definedName name="_a77_1" hidden="1">{"'vert'!$A$1:$T$117"}</definedName>
    <definedName name="_a77_1_1" localSheetId="8" hidden="1">{"'vert'!$A$1:$T$117"}</definedName>
    <definedName name="_a77_1_1" localSheetId="5" hidden="1">{"'vert'!$A$1:$T$117"}</definedName>
    <definedName name="_a77_1_1" hidden="1">{"'vert'!$A$1:$T$117"}</definedName>
    <definedName name="_a77_1_2" localSheetId="8" hidden="1">{"'vert'!$A$1:$T$117"}</definedName>
    <definedName name="_a77_1_2" localSheetId="5" hidden="1">{"'vert'!$A$1:$T$117"}</definedName>
    <definedName name="_a77_1_2" hidden="1">{"'vert'!$A$1:$T$117"}</definedName>
    <definedName name="_a77_2" localSheetId="8" hidden="1">{"'vert'!$A$1:$T$117"}</definedName>
    <definedName name="_a77_2" localSheetId="5" hidden="1">{"'vert'!$A$1:$T$117"}</definedName>
    <definedName name="_a77_2" hidden="1">{"'vert'!$A$1:$T$117"}</definedName>
    <definedName name="_a77_3" localSheetId="8" hidden="1">{"'vert'!$A$1:$T$117"}</definedName>
    <definedName name="_a77_3" localSheetId="5" hidden="1">{"'vert'!$A$1:$T$117"}</definedName>
    <definedName name="_a77_3" hidden="1">{"'vert'!$A$1:$T$117"}</definedName>
    <definedName name="_a88" localSheetId="8" hidden="1">{"'vert'!$A$1:$T$117"}</definedName>
    <definedName name="_a88" localSheetId="5" hidden="1">{"'vert'!$A$1:$T$117"}</definedName>
    <definedName name="_a88" hidden="1">{"'vert'!$A$1:$T$117"}</definedName>
    <definedName name="_a88_1" localSheetId="8" hidden="1">{"'vert'!$A$1:$T$117"}</definedName>
    <definedName name="_a88_1" localSheetId="5" hidden="1">{"'vert'!$A$1:$T$117"}</definedName>
    <definedName name="_a88_1" hidden="1">{"'vert'!$A$1:$T$117"}</definedName>
    <definedName name="_a88_1_1" localSheetId="8" hidden="1">{"'vert'!$A$1:$T$117"}</definedName>
    <definedName name="_a88_1_1" localSheetId="5" hidden="1">{"'vert'!$A$1:$T$117"}</definedName>
    <definedName name="_a88_1_1" hidden="1">{"'vert'!$A$1:$T$117"}</definedName>
    <definedName name="_a88_1_2" localSheetId="8" hidden="1">{"'vert'!$A$1:$T$117"}</definedName>
    <definedName name="_a88_1_2" localSheetId="5" hidden="1">{"'vert'!$A$1:$T$117"}</definedName>
    <definedName name="_a88_1_2" hidden="1">{"'vert'!$A$1:$T$117"}</definedName>
    <definedName name="_a88_2" localSheetId="8" hidden="1">{"'vert'!$A$1:$T$117"}</definedName>
    <definedName name="_a88_2" localSheetId="5" hidden="1">{"'vert'!$A$1:$T$117"}</definedName>
    <definedName name="_a88_2" hidden="1">{"'vert'!$A$1:$T$117"}</definedName>
    <definedName name="_a88_3" localSheetId="8" hidden="1">{"'vert'!$A$1:$T$117"}</definedName>
    <definedName name="_a88_3" localSheetId="5" hidden="1">{"'vert'!$A$1:$T$117"}</definedName>
    <definedName name="_a88_3" hidden="1">{"'vert'!$A$1:$T$117"}</definedName>
    <definedName name="_a99" localSheetId="8" hidden="1">{"'vert'!$A$1:$T$117"}</definedName>
    <definedName name="_a99" localSheetId="5" hidden="1">{"'vert'!$A$1:$T$117"}</definedName>
    <definedName name="_a99" hidden="1">{"'vert'!$A$1:$T$117"}</definedName>
    <definedName name="_a99_1" localSheetId="8" hidden="1">{"'vert'!$A$1:$T$117"}</definedName>
    <definedName name="_a99_1" localSheetId="5" hidden="1">{"'vert'!$A$1:$T$117"}</definedName>
    <definedName name="_a99_1" hidden="1">{"'vert'!$A$1:$T$117"}</definedName>
    <definedName name="_a99_1_1" localSheetId="8" hidden="1">{"'vert'!$A$1:$T$117"}</definedName>
    <definedName name="_a99_1_1" localSheetId="5" hidden="1">{"'vert'!$A$1:$T$117"}</definedName>
    <definedName name="_a99_1_1" hidden="1">{"'vert'!$A$1:$T$117"}</definedName>
    <definedName name="_a99_1_2" localSheetId="8" hidden="1">{"'vert'!$A$1:$T$117"}</definedName>
    <definedName name="_a99_1_2" localSheetId="5" hidden="1">{"'vert'!$A$1:$T$117"}</definedName>
    <definedName name="_a99_1_2" hidden="1">{"'vert'!$A$1:$T$117"}</definedName>
    <definedName name="_a99_2" localSheetId="8" hidden="1">{"'vert'!$A$1:$T$117"}</definedName>
    <definedName name="_a99_2" localSheetId="5" hidden="1">{"'vert'!$A$1:$T$117"}</definedName>
    <definedName name="_a99_2" hidden="1">{"'vert'!$A$1:$T$117"}</definedName>
    <definedName name="_a99_3" localSheetId="8" hidden="1">{"'vert'!$A$1:$T$117"}</definedName>
    <definedName name="_a99_3" localSheetId="5" hidden="1">{"'vert'!$A$1:$T$117"}</definedName>
    <definedName name="_a99_3" hidden="1">{"'vert'!$A$1:$T$117"}</definedName>
    <definedName name="_angela" hidden="1">#REF!</definedName>
    <definedName name="_bdm.007BA86F79DF46BC8F0440C4C0948146.edm" hidden="1" xml:space="preserve">  [4]WC!$A:$IV</definedName>
    <definedName name="_bdm.0346C894FA314B85B1931CFE48820C8B.edm" hidden="1" xml:space="preserve">  '[4]MP Graphs'!$A:$IV</definedName>
    <definedName name="_bdm.06B8576461724687B15495CCF2DD06E0.edm" hidden="1" xml:space="preserve">  '[4]MP Graphs'!$A:$IV</definedName>
    <definedName name="_bdm.06CC246E7DBC44F3891086B0B75ECF39.edm" hidden="1" xml:space="preserve">  [4]WC!$A:$IV</definedName>
    <definedName name="_bdm.085CB1B4AFBC42FDB42A5D410DA22E65.edm" hidden="1" xml:space="preserve">    '[4]MP Graphs'!$A:$IV</definedName>
    <definedName name="_bdm.0AA3D3092EDA456BB97F68C1B69FBC0E.edm" hidden="1" xml:space="preserve">  '[4]MP Graphs'!$A:$IV</definedName>
    <definedName name="_bdm.0D137C94AC1C4DB4AEA072BD9676C77E.edm" hidden="1" xml:space="preserve">    '[4]MP Graphs'!$A:$IV</definedName>
    <definedName name="_bdm.0F23163E1CA64A2FBCBA9851AE098750.edm" hidden="1" xml:space="preserve">                  '[5]Graph by Product Type'!$A:$IV</definedName>
    <definedName name="_bdm.18D0F9FB523E4927A980C655ECF3F2B1.edm" hidden="1" xml:space="preserve">  '[4]MP Graphs'!$A:$IV</definedName>
    <definedName name="_bdm.1F8BDD7AC78B4114B81FEF6970DA0ED6.edm" hidden="1" xml:space="preserve">  '[4]MP Graphs'!$A:$IV</definedName>
    <definedName name="_bdm.26049B46ED9A4A328BE14263914D3C5A.edm" hidden="1" xml:space="preserve">    '[4]MP Graphs'!$A:$IV</definedName>
    <definedName name="_bdm.2A503CEAE4CE48ACB7D5A43D2AD392FD.edm" hidden="1" xml:space="preserve">  '[4]MP Graphs'!$A:$IV</definedName>
    <definedName name="_bdm.2E540CED84464485B2A6ED57DA28374B.edm" hidden="1" xml:space="preserve">    '[4]MP Graphs'!$A:$IV</definedName>
    <definedName name="_bdm.2E93E12EA5C047BC9FAD15B9E28B275A.edm" hidden="1" xml:space="preserve">    '[4]MP Graphs'!$A:$IV</definedName>
    <definedName name="_bdm.330F5F2A9C27481F946217E4119BE76C.edm" hidden="1" xml:space="preserve">  '[6]Retail-Whole'!$A:$IV</definedName>
    <definedName name="_bdm.387EBA828FBB4D38BB1A586CD0AFF465.edm" hidden="1" xml:space="preserve">    '[4]MP Graphs'!$A:$IV</definedName>
    <definedName name="_bdm.3EA02F8F86504F409582E998C5158FB7.edm" hidden="1" xml:space="preserve">  '[4]MP Graphs'!$A:$IV</definedName>
    <definedName name="_bdm.41DE43AE4D1241AEB1CDB2DC94A69957.edm" hidden="1" xml:space="preserve">  '[4]MP Graphs'!$A:$IV</definedName>
    <definedName name="_bdm.45C3047DA2C641DC8FA84094CFDE6B34.edm" hidden="1" xml:space="preserve">    '[4]MP Graphs'!$A:$IV</definedName>
    <definedName name="_bdm.46C2D004A268465D9DD726589B46A0E2.edm" hidden="1" xml:space="preserve">  '[5]SGA Graph'!$A:$IV</definedName>
    <definedName name="_bdm.47750F1F5CA041F3BE39C3C1C7B4852D.edm" hidden="1" xml:space="preserve">  '[4]MP Graphs'!$A:$IV</definedName>
    <definedName name="_bdm.4DE98D6094BE4903AA4834D7DBE2FA22.edm" hidden="1" xml:space="preserve">  '[5]Income Summary'!$A:$IV</definedName>
    <definedName name="_bdm.54FADB277CB54BC083ABB633900B7C21.edm" hidden="1" xml:space="preserve">  '[5]SGA Graph'!$A:$IV</definedName>
    <definedName name="_bdm.5A9D63B10A8648A7BDBACBEA2C30EB26.edm" hidden="1" xml:space="preserve">    '[4]MP Graphs'!$A:$IV</definedName>
    <definedName name="_bdm.61A216573DF1472E9CC16E67C92D3D7D.edm" hidden="1" xml:space="preserve">    '[4]MP Graphs'!$A:$IV</definedName>
    <definedName name="_bdm.63ACC210A4464B3EAD62ABC87FBB0CDC.edm" hidden="1" xml:space="preserve">    [4]WC!$A:$IV</definedName>
    <definedName name="_bdm.6737861878384BF8B58BE3ED25BCC982.edm" hidden="1" xml:space="preserve">  '[4]MP Graphs'!$A:$IV</definedName>
    <definedName name="_bdm.6C79FD22714D481E944DE75DC7E47B8C.edm" hidden="1" xml:space="preserve">  '[5]Balance Summary'!$A:$IV</definedName>
    <definedName name="_bdm.75736F23CA7143A78F9F1605BAF107B0.edm" hidden="1" xml:space="preserve">                                    '[5]Graph by Product Type'!$A:$IV</definedName>
    <definedName name="_bdm.7B3D2AFA0546488B946CA5BA06E27DF6.edm" hidden="1" xml:space="preserve">  '[5]SGA Graph'!$A:$IV</definedName>
    <definedName name="_bdm.7EA605D2CED04F7F9D252C57B15F04A2.edm" hidden="1" xml:space="preserve">  [5]SGA!$A:$IV</definedName>
    <definedName name="_bdm.865BF0CA327A483B85FE91618D38C2B6.edm" hidden="1" xml:space="preserve">  '[5]SGA Graph'!$A:$IV</definedName>
    <definedName name="_bdm.94951F903F7644F8B672C407423F45C3.edm" hidden="1" xml:space="preserve">  '[6]Retail-Whole'!$A:$IV</definedName>
    <definedName name="_bdm.9D8E3E48361640E89639F1713A7F722C.edm" hidden="1" xml:space="preserve">    '[4]MP Graphs'!$A:$IV</definedName>
    <definedName name="_bdm.A2B32CFB82054C34A56DB54988F166AC.edm" hidden="1" xml:space="preserve">  '[7]Performance Graphs'!$A:$IV</definedName>
    <definedName name="_bdm.A37BDD0F47BD4109A13217F5C2BC564F.edm" hidden="1" xml:space="preserve">    '[4]MP Graphs'!$A:$IV</definedName>
    <definedName name="_bdm.A3928C962390431AB36F75CC8C04FC3B.edm" hidden="1" xml:space="preserve">    '[4]MP Graphs'!$A:$IV</definedName>
    <definedName name="_bdm.A85C7BC7858C4873A3FA45B76AECE04D.edm" hidden="1" xml:space="preserve">    '[4]MP Graphs'!$A:$IV</definedName>
    <definedName name="_bdm.B4711CCC965545FE8E853A03BCCE12F4.edm" hidden="1" xml:space="preserve">                  '[5]Graph by Product Type'!$A:$IV</definedName>
    <definedName name="_bdm.B6F5284BC6884497B4BE22FB3D0A075E.edm" hidden="1" xml:space="preserve">  '[4]MP Graphs'!$A:$IV</definedName>
    <definedName name="_bdm.BC35C1D18FF2461ABD34F16AA1679800.edm" hidden="1" xml:space="preserve">  '[4]MP Graphs'!$A:$IV</definedName>
    <definedName name="_bdm.C26CE3BA777F4407AE945C56485D6E48.edm" hidden="1" xml:space="preserve">  '[4]MP Graphs'!$A:$IV</definedName>
    <definedName name="_bdm.CC82658C07CC4AA88D24859820F58230.edm" hidden="1" xml:space="preserve">  '[4]MP Graphs'!$A:$IV</definedName>
    <definedName name="_bdm.D61AC468F0FD4E469F534F2C627C20C9.edm" hidden="1" xml:space="preserve">  '[4]MP Graphs'!$A:$IV</definedName>
    <definedName name="_bdm.DA8A8DEBF36349C69E8EB7A19825156F.edm" hidden="1" xml:space="preserve">  '[6]Retail-Whole'!$A:$IV</definedName>
    <definedName name="_bdm.E81453F6097244548DE50DFD618D8C72.edm" hidden="1" xml:space="preserve">  '[4]MP Graphs'!$A:$IV</definedName>
    <definedName name="_bdm.EEE0DBFA263D466BA9069ECF938C1E63.edm" hidden="1" xml:space="preserve">    [4]WC!$A:$IV</definedName>
    <definedName name="_bdm.F1339A5660594FA5B585AC6FFA8FE31B.edm" hidden="1" xml:space="preserve">  '[4]MP Graphs'!$A:$IV</definedName>
    <definedName name="_bdm.F5478B115F07489DB7F8DC2054CA9CA3.edm" hidden="1" xml:space="preserve">    '[4]MP Graphs'!$A:$IV</definedName>
    <definedName name="_bla2" localSheetId="8" hidden="1">{"'vert'!$A$1:$T$117"}</definedName>
    <definedName name="_bla2" localSheetId="5" hidden="1">{"'vert'!$A$1:$T$117"}</definedName>
    <definedName name="_bla2" hidden="1">{"'vert'!$A$1:$T$117"}</definedName>
    <definedName name="_bla2_1" localSheetId="8" hidden="1">{"'vert'!$A$1:$T$117"}</definedName>
    <definedName name="_bla2_1" localSheetId="5" hidden="1">{"'vert'!$A$1:$T$117"}</definedName>
    <definedName name="_bla2_1" hidden="1">{"'vert'!$A$1:$T$117"}</definedName>
    <definedName name="_bla2_1_1" localSheetId="8" hidden="1">{"'vert'!$A$1:$T$117"}</definedName>
    <definedName name="_bla2_1_1" localSheetId="5" hidden="1">{"'vert'!$A$1:$T$117"}</definedName>
    <definedName name="_bla2_1_1" hidden="1">{"'vert'!$A$1:$T$117"}</definedName>
    <definedName name="_bla2_1_1_1" localSheetId="8" hidden="1">{"'vert'!$A$1:$T$117"}</definedName>
    <definedName name="_bla2_1_1_1" localSheetId="5" hidden="1">{"'vert'!$A$1:$T$117"}</definedName>
    <definedName name="_bla2_1_1_1" hidden="1">{"'vert'!$A$1:$T$117"}</definedName>
    <definedName name="_bla2_1_2" localSheetId="8" hidden="1">{"'vert'!$A$1:$T$117"}</definedName>
    <definedName name="_bla2_1_2" localSheetId="5" hidden="1">{"'vert'!$A$1:$T$117"}</definedName>
    <definedName name="_bla2_1_2" hidden="1">{"'vert'!$A$1:$T$117"}</definedName>
    <definedName name="_bla2_2" localSheetId="8" hidden="1">{"'vert'!$A$1:$T$117"}</definedName>
    <definedName name="_bla2_2" localSheetId="5" hidden="1">{"'vert'!$A$1:$T$117"}</definedName>
    <definedName name="_bla2_2" hidden="1">{"'vert'!$A$1:$T$117"}</definedName>
    <definedName name="_bla2_2_1" localSheetId="8" hidden="1">{"'vert'!$A$1:$T$117"}</definedName>
    <definedName name="_bla2_2_1" localSheetId="5" hidden="1">{"'vert'!$A$1:$T$117"}</definedName>
    <definedName name="_bla2_2_1" hidden="1">{"'vert'!$A$1:$T$117"}</definedName>
    <definedName name="_bla2_2_1_1" localSheetId="8" hidden="1">{"'vert'!$A$1:$T$117"}</definedName>
    <definedName name="_bla2_2_1_1" localSheetId="5" hidden="1">{"'vert'!$A$1:$T$117"}</definedName>
    <definedName name="_bla2_2_1_1" hidden="1">{"'vert'!$A$1:$T$117"}</definedName>
    <definedName name="_bla2_2_2" localSheetId="8" hidden="1">{"'vert'!$A$1:$T$117"}</definedName>
    <definedName name="_bla2_2_2" localSheetId="5" hidden="1">{"'vert'!$A$1:$T$117"}</definedName>
    <definedName name="_bla2_2_2" hidden="1">{"'vert'!$A$1:$T$117"}</definedName>
    <definedName name="_bla2_3" localSheetId="8" hidden="1">{"'vert'!$A$1:$T$117"}</definedName>
    <definedName name="_bla2_3" localSheetId="5" hidden="1">{"'vert'!$A$1:$T$117"}</definedName>
    <definedName name="_bla2_3" hidden="1">{"'vert'!$A$1:$T$117"}</definedName>
    <definedName name="_bla2_3_1" localSheetId="8" hidden="1">{"'vert'!$A$1:$T$117"}</definedName>
    <definedName name="_bla2_3_1" localSheetId="5" hidden="1">{"'vert'!$A$1:$T$117"}</definedName>
    <definedName name="_bla2_3_1" hidden="1">{"'vert'!$A$1:$T$117"}</definedName>
    <definedName name="_bla2_4" localSheetId="8" hidden="1">{"'vert'!$A$1:$T$117"}</definedName>
    <definedName name="_bla2_4" localSheetId="5" hidden="1">{"'vert'!$A$1:$T$117"}</definedName>
    <definedName name="_bla2_4" hidden="1">{"'vert'!$A$1:$T$117"}</definedName>
    <definedName name="_bla3" localSheetId="8" hidden="1">{"'vert'!$A$1:$T$117"}</definedName>
    <definedName name="_bla3" localSheetId="5" hidden="1">{"'vert'!$A$1:$T$117"}</definedName>
    <definedName name="_bla3" hidden="1">{"'vert'!$A$1:$T$117"}</definedName>
    <definedName name="_bla3_1" localSheetId="8" hidden="1">{"'vert'!$A$1:$T$117"}</definedName>
    <definedName name="_bla3_1" localSheetId="5" hidden="1">{"'vert'!$A$1:$T$117"}</definedName>
    <definedName name="_bla3_1" hidden="1">{"'vert'!$A$1:$T$117"}</definedName>
    <definedName name="_bla3_1_1" localSheetId="8" hidden="1">{"'vert'!$A$1:$T$117"}</definedName>
    <definedName name="_bla3_1_1" localSheetId="5" hidden="1">{"'vert'!$A$1:$T$117"}</definedName>
    <definedName name="_bla3_1_1" hidden="1">{"'vert'!$A$1:$T$117"}</definedName>
    <definedName name="_bla3_1_1_1" localSheetId="8" hidden="1">{"'vert'!$A$1:$T$117"}</definedName>
    <definedName name="_bla3_1_1_1" localSheetId="5" hidden="1">{"'vert'!$A$1:$T$117"}</definedName>
    <definedName name="_bla3_1_1_1" hidden="1">{"'vert'!$A$1:$T$117"}</definedName>
    <definedName name="_bla3_1_2" localSheetId="8" hidden="1">{"'vert'!$A$1:$T$117"}</definedName>
    <definedName name="_bla3_1_2" localSheetId="5" hidden="1">{"'vert'!$A$1:$T$117"}</definedName>
    <definedName name="_bla3_1_2" hidden="1">{"'vert'!$A$1:$T$117"}</definedName>
    <definedName name="_bla3_2" localSheetId="8" hidden="1">{"'vert'!$A$1:$T$117"}</definedName>
    <definedName name="_bla3_2" localSheetId="5" hidden="1">{"'vert'!$A$1:$T$117"}</definedName>
    <definedName name="_bla3_2" hidden="1">{"'vert'!$A$1:$T$117"}</definedName>
    <definedName name="_bla3_2_1" localSheetId="8" hidden="1">{"'vert'!$A$1:$T$117"}</definedName>
    <definedName name="_bla3_2_1" localSheetId="5" hidden="1">{"'vert'!$A$1:$T$117"}</definedName>
    <definedName name="_bla3_2_1" hidden="1">{"'vert'!$A$1:$T$117"}</definedName>
    <definedName name="_bla3_2_1_1" localSheetId="8" hidden="1">{"'vert'!$A$1:$T$117"}</definedName>
    <definedName name="_bla3_2_1_1" localSheetId="5" hidden="1">{"'vert'!$A$1:$T$117"}</definedName>
    <definedName name="_bla3_2_1_1" hidden="1">{"'vert'!$A$1:$T$117"}</definedName>
    <definedName name="_bla3_2_2" localSheetId="8" hidden="1">{"'vert'!$A$1:$T$117"}</definedName>
    <definedName name="_bla3_2_2" localSheetId="5" hidden="1">{"'vert'!$A$1:$T$117"}</definedName>
    <definedName name="_bla3_2_2" hidden="1">{"'vert'!$A$1:$T$117"}</definedName>
    <definedName name="_bla3_3" localSheetId="8" hidden="1">{"'vert'!$A$1:$T$117"}</definedName>
    <definedName name="_bla3_3" localSheetId="5" hidden="1">{"'vert'!$A$1:$T$117"}</definedName>
    <definedName name="_bla3_3" hidden="1">{"'vert'!$A$1:$T$117"}</definedName>
    <definedName name="_bla3_3_1" localSheetId="8" hidden="1">{"'vert'!$A$1:$T$117"}</definedName>
    <definedName name="_bla3_3_1" localSheetId="5" hidden="1">{"'vert'!$A$1:$T$117"}</definedName>
    <definedName name="_bla3_3_1" hidden="1">{"'vert'!$A$1:$T$117"}</definedName>
    <definedName name="_bla3_4" localSheetId="8" hidden="1">{"'vert'!$A$1:$T$117"}</definedName>
    <definedName name="_bla3_4" localSheetId="5" hidden="1">{"'vert'!$A$1:$T$117"}</definedName>
    <definedName name="_bla3_4" hidden="1">{"'vert'!$A$1:$T$117"}</definedName>
    <definedName name="_dd2" localSheetId="8" hidden="1">{"'vert'!$A$1:$T$117"}</definedName>
    <definedName name="_dd2" localSheetId="5" hidden="1">{"'vert'!$A$1:$T$117"}</definedName>
    <definedName name="_dd2" hidden="1">{"'vert'!$A$1:$T$117"}</definedName>
    <definedName name="_dd2_1" localSheetId="8" hidden="1">{"'vert'!$A$1:$T$117"}</definedName>
    <definedName name="_dd2_1" localSheetId="5" hidden="1">{"'vert'!$A$1:$T$117"}</definedName>
    <definedName name="_dd2_1" hidden="1">{"'vert'!$A$1:$T$117"}</definedName>
    <definedName name="_dd2_1_1" localSheetId="8" hidden="1">{"'vert'!$A$1:$T$117"}</definedName>
    <definedName name="_dd2_1_1" localSheetId="5" hidden="1">{"'vert'!$A$1:$T$117"}</definedName>
    <definedName name="_dd2_1_1" hidden="1">{"'vert'!$A$1:$T$117"}</definedName>
    <definedName name="_dd2_1_2" localSheetId="8" hidden="1">{"'vert'!$A$1:$T$117"}</definedName>
    <definedName name="_dd2_1_2" localSheetId="5" hidden="1">{"'vert'!$A$1:$T$117"}</definedName>
    <definedName name="_dd2_1_2" hidden="1">{"'vert'!$A$1:$T$117"}</definedName>
    <definedName name="_dd2_2" localSheetId="8" hidden="1">{"'vert'!$A$1:$T$117"}</definedName>
    <definedName name="_dd2_2" localSheetId="5" hidden="1">{"'vert'!$A$1:$T$117"}</definedName>
    <definedName name="_dd2_2" hidden="1">{"'vert'!$A$1:$T$117"}</definedName>
    <definedName name="_dd2_3" localSheetId="8" hidden="1">{"'vert'!$A$1:$T$117"}</definedName>
    <definedName name="_dd2_3" localSheetId="5" hidden="1">{"'vert'!$A$1:$T$117"}</definedName>
    <definedName name="_dd2_3" hidden="1">{"'vert'!$A$1:$T$117"}</definedName>
    <definedName name="_DE2" localSheetId="8" hidden="1">{"'vert'!$A$1:$T$117"}</definedName>
    <definedName name="_DE2" localSheetId="5" hidden="1">{"'vert'!$A$1:$T$117"}</definedName>
    <definedName name="_DE2" hidden="1">{"'vert'!$A$1:$T$117"}</definedName>
    <definedName name="_DE2_1" localSheetId="8" hidden="1">{"'vert'!$A$1:$T$117"}</definedName>
    <definedName name="_DE2_1" localSheetId="5" hidden="1">{"'vert'!$A$1:$T$117"}</definedName>
    <definedName name="_DE2_1" hidden="1">{"'vert'!$A$1:$T$117"}</definedName>
    <definedName name="_DE2_1_1" localSheetId="8" hidden="1">{"'vert'!$A$1:$T$117"}</definedName>
    <definedName name="_DE2_1_1" localSheetId="5" hidden="1">{"'vert'!$A$1:$T$117"}</definedName>
    <definedName name="_DE2_1_1" hidden="1">{"'vert'!$A$1:$T$117"}</definedName>
    <definedName name="_DE2_1_1_1" localSheetId="8" hidden="1">{"'vert'!$A$1:$T$117"}</definedName>
    <definedName name="_DE2_1_1_1" localSheetId="5" hidden="1">{"'vert'!$A$1:$T$117"}</definedName>
    <definedName name="_DE2_1_1_1" hidden="1">{"'vert'!$A$1:$T$117"}</definedName>
    <definedName name="_DE2_1_2" localSheetId="8" hidden="1">{"'vert'!$A$1:$T$117"}</definedName>
    <definedName name="_DE2_1_2" localSheetId="5" hidden="1">{"'vert'!$A$1:$T$117"}</definedName>
    <definedName name="_DE2_1_2" hidden="1">{"'vert'!$A$1:$T$117"}</definedName>
    <definedName name="_DE2_2" localSheetId="8" hidden="1">{"'vert'!$A$1:$T$117"}</definedName>
    <definedName name="_DE2_2" localSheetId="5" hidden="1">{"'vert'!$A$1:$T$117"}</definedName>
    <definedName name="_DE2_2" hidden="1">{"'vert'!$A$1:$T$117"}</definedName>
    <definedName name="_DE2_2_1" localSheetId="8" hidden="1">{"'vert'!$A$1:$T$117"}</definedName>
    <definedName name="_DE2_2_1" localSheetId="5" hidden="1">{"'vert'!$A$1:$T$117"}</definedName>
    <definedName name="_DE2_2_1" hidden="1">{"'vert'!$A$1:$T$117"}</definedName>
    <definedName name="_DE2_2_1_1" localSheetId="8" hidden="1">{"'vert'!$A$1:$T$117"}</definedName>
    <definedName name="_DE2_2_1_1" localSheetId="5" hidden="1">{"'vert'!$A$1:$T$117"}</definedName>
    <definedName name="_DE2_2_1_1" hidden="1">{"'vert'!$A$1:$T$117"}</definedName>
    <definedName name="_DE2_2_2" localSheetId="8" hidden="1">{"'vert'!$A$1:$T$117"}</definedName>
    <definedName name="_DE2_2_2" localSheetId="5" hidden="1">{"'vert'!$A$1:$T$117"}</definedName>
    <definedName name="_DE2_2_2" hidden="1">{"'vert'!$A$1:$T$117"}</definedName>
    <definedName name="_DE2_3" localSheetId="8" hidden="1">{"'vert'!$A$1:$T$117"}</definedName>
    <definedName name="_DE2_3" localSheetId="5" hidden="1">{"'vert'!$A$1:$T$117"}</definedName>
    <definedName name="_DE2_3" hidden="1">{"'vert'!$A$1:$T$117"}</definedName>
    <definedName name="_DE2_3_1" localSheetId="8" hidden="1">{"'vert'!$A$1:$T$117"}</definedName>
    <definedName name="_DE2_3_1" localSheetId="5" hidden="1">{"'vert'!$A$1:$T$117"}</definedName>
    <definedName name="_DE2_3_1" hidden="1">{"'vert'!$A$1:$T$117"}</definedName>
    <definedName name="_DE2_4" localSheetId="8" hidden="1">{"'vert'!$A$1:$T$117"}</definedName>
    <definedName name="_DE2_4" localSheetId="5" hidden="1">{"'vert'!$A$1:$T$117"}</definedName>
    <definedName name="_DE2_4" hidden="1">{"'vert'!$A$1:$T$117"}</definedName>
    <definedName name="_Fill" hidden="1">#REF!</definedName>
    <definedName name="_xlnm._FilterDatabase" localSheetId="0" hidden="1">'1.GEO MAU'!$A:$D</definedName>
    <definedName name="_xlnm._FilterDatabase" localSheetId="3" hidden="1">'4.类别提及分析'!$B$22:$BC$668</definedName>
    <definedName name="_xlnm._FilterDatabase" localSheetId="5" hidden="1">'GEO Search volumn-Gemi 3.0'!$B$7:$O$56</definedName>
    <definedName name="_huh3" localSheetId="8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huh3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huh3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huh3_1" localSheetId="8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huh3_1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huh3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huh3_1_1" localSheetId="8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huh3_1_1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huh3_1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huh3_1_1_1" localSheetId="8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huh3_1_1_1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huh3_1_1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huh3_1_2" localSheetId="8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huh3_1_2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huh3_1_2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huh3_2" localSheetId="8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huh3_2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huh3_2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huh3_2_1" localSheetId="8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huh3_2_1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huh3_2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huh3_2_1_1" localSheetId="8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huh3_2_1_1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huh3_2_1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huh3_2_2" localSheetId="8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huh3_2_2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huh3_2_2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huh3_3" localSheetId="8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huh3_3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huh3_3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huh3_3_1" localSheetId="8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huh3_3_1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huh3_3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huh3_4" localSheetId="8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huh3_4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huh3_4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Key1" hidden="1">#REF!</definedName>
    <definedName name="_Key1Export" hidden="1">#REF!</definedName>
    <definedName name="_Key1Import" hidden="1">#REF!</definedName>
    <definedName name="_Key2" hidden="1">#REF!</definedName>
    <definedName name="_Order1" hidden="1">255</definedName>
    <definedName name="_Order2" hidden="1">0</definedName>
    <definedName name="_PE10" hidden="1">#REF!</definedName>
    <definedName name="_PE11" hidden="1">#REF!</definedName>
    <definedName name="_PE12" hidden="1">[3]CLOSE!#REF!</definedName>
    <definedName name="_PE13" hidden="1">[3]CLOSE!#REF!</definedName>
    <definedName name="_PE14" hidden="1">[3]CLOSE!#REF!</definedName>
    <definedName name="_PE15" hidden="1">[3]CLOSE!#REF!</definedName>
    <definedName name="_PE17" hidden="1">[3]CLOSE!#REF!</definedName>
    <definedName name="_PE18" hidden="1">#REF!</definedName>
    <definedName name="_PE19" hidden="1">[3]CLOSE!#REF!</definedName>
    <definedName name="_PE2" hidden="1">#REF!</definedName>
    <definedName name="_PE20" hidden="1">#REF!</definedName>
    <definedName name="_PE21" hidden="1">#REF!</definedName>
    <definedName name="_PE22" hidden="1">#REF!</definedName>
    <definedName name="_PE23" hidden="1">#REF!</definedName>
    <definedName name="_PE24" hidden="1">#REF!</definedName>
    <definedName name="_PE25" hidden="1">#REF!</definedName>
    <definedName name="_PE26" hidden="1">[8]merger!#REF!</definedName>
    <definedName name="_PE27" hidden="1">[8]merger!#REF!</definedName>
    <definedName name="_PE28" hidden="1">[8]merger!#REF!</definedName>
    <definedName name="_PE29" hidden="1">[8]merger!#REF!</definedName>
    <definedName name="_PE3" hidden="1">'[2]EDISON-2'!#REF!</definedName>
    <definedName name="_PE30" hidden="1">#REF!</definedName>
    <definedName name="_PE37" hidden="1">#REF!</definedName>
    <definedName name="_PE4" hidden="1">'[2]EDISON-2'!#REF!</definedName>
    <definedName name="_PE5" hidden="1">#REF!</definedName>
    <definedName name="_PE6" hidden="1">#REF!</definedName>
    <definedName name="_PE7" hidden="1">#REF!</definedName>
    <definedName name="_PE8" hidden="1">#REF!</definedName>
    <definedName name="_PE9" hidden="1">#REF!</definedName>
    <definedName name="_PW2" localSheetId="8" hidden="1">{"'vert'!$A$1:$T$117"}</definedName>
    <definedName name="_PW2" localSheetId="5" hidden="1">{"'vert'!$A$1:$T$117"}</definedName>
    <definedName name="_PW2" hidden="1">{"'vert'!$A$1:$T$117"}</definedName>
    <definedName name="_rev12345" localSheetId="8" hidden="1">{"'vert'!$A$1:$T$117"}</definedName>
    <definedName name="_rev12345" localSheetId="5" hidden="1">{"'vert'!$A$1:$T$117"}</definedName>
    <definedName name="_rev12345" hidden="1">{"'vert'!$A$1:$T$117"}</definedName>
    <definedName name="_rev12345_1" localSheetId="8" hidden="1">{"'vert'!$A$1:$T$117"}</definedName>
    <definedName name="_rev12345_1" localSheetId="5" hidden="1">{"'vert'!$A$1:$T$117"}</definedName>
    <definedName name="_rev12345_1" hidden="1">{"'vert'!$A$1:$T$117"}</definedName>
    <definedName name="_rev12345_1_1" localSheetId="8" hidden="1">{"'vert'!$A$1:$T$117"}</definedName>
    <definedName name="_rev12345_1_1" localSheetId="5" hidden="1">{"'vert'!$A$1:$T$117"}</definedName>
    <definedName name="_rev12345_1_1" hidden="1">{"'vert'!$A$1:$T$117"}</definedName>
    <definedName name="_rev12345_1_1_1" localSheetId="8" hidden="1">{"'vert'!$A$1:$T$117"}</definedName>
    <definedName name="_rev12345_1_1_1" localSheetId="5" hidden="1">{"'vert'!$A$1:$T$117"}</definedName>
    <definedName name="_rev12345_1_1_1" hidden="1">{"'vert'!$A$1:$T$117"}</definedName>
    <definedName name="_rev12345_1_2" localSheetId="8" hidden="1">{"'vert'!$A$1:$T$117"}</definedName>
    <definedName name="_rev12345_1_2" localSheetId="5" hidden="1">{"'vert'!$A$1:$T$117"}</definedName>
    <definedName name="_rev12345_1_2" hidden="1">{"'vert'!$A$1:$T$117"}</definedName>
    <definedName name="_rev12345_2" localSheetId="8" hidden="1">{"'vert'!$A$1:$T$117"}</definedName>
    <definedName name="_rev12345_2" localSheetId="5" hidden="1">{"'vert'!$A$1:$T$117"}</definedName>
    <definedName name="_rev12345_2" hidden="1">{"'vert'!$A$1:$T$117"}</definedName>
    <definedName name="_rev12345_2_1" localSheetId="8" hidden="1">{"'vert'!$A$1:$T$117"}</definedName>
    <definedName name="_rev12345_2_1" localSheetId="5" hidden="1">{"'vert'!$A$1:$T$117"}</definedName>
    <definedName name="_rev12345_2_1" hidden="1">{"'vert'!$A$1:$T$117"}</definedName>
    <definedName name="_rev12345_2_1_1" localSheetId="8" hidden="1">{"'vert'!$A$1:$T$117"}</definedName>
    <definedName name="_rev12345_2_1_1" localSheetId="5" hidden="1">{"'vert'!$A$1:$T$117"}</definedName>
    <definedName name="_rev12345_2_1_1" hidden="1">{"'vert'!$A$1:$T$117"}</definedName>
    <definedName name="_rev12345_2_2" localSheetId="8" hidden="1">{"'vert'!$A$1:$T$117"}</definedName>
    <definedName name="_rev12345_2_2" localSheetId="5" hidden="1">{"'vert'!$A$1:$T$117"}</definedName>
    <definedName name="_rev12345_2_2" hidden="1">{"'vert'!$A$1:$T$117"}</definedName>
    <definedName name="_rev12345_3" localSheetId="8" hidden="1">{"'vert'!$A$1:$T$117"}</definedName>
    <definedName name="_rev12345_3" localSheetId="5" hidden="1">{"'vert'!$A$1:$T$117"}</definedName>
    <definedName name="_rev12345_3" hidden="1">{"'vert'!$A$1:$T$117"}</definedName>
    <definedName name="_rev12345_3_1" localSheetId="8" hidden="1">{"'vert'!$A$1:$T$117"}</definedName>
    <definedName name="_rev12345_3_1" localSheetId="5" hidden="1">{"'vert'!$A$1:$T$117"}</definedName>
    <definedName name="_rev12345_3_1" hidden="1">{"'vert'!$A$1:$T$117"}</definedName>
    <definedName name="_rev12345_4" localSheetId="8" hidden="1">{"'vert'!$A$1:$T$117"}</definedName>
    <definedName name="_rev12345_4" localSheetId="5" hidden="1">{"'vert'!$A$1:$T$117"}</definedName>
    <definedName name="_rev12345_4" hidden="1">{"'vert'!$A$1:$T$117"}</definedName>
    <definedName name="_Sort" hidden="1">#REF!</definedName>
    <definedName name="_sort2" hidden="1">[9]Express!#REF!</definedName>
    <definedName name="_Table1_In1" hidden="1">[8]merger!#REF!</definedName>
    <definedName name="_Table1_Out" hidden="1">[8]merger!#REF!</definedName>
    <definedName name="_Table2_In1" hidden="1">[8]merger!#REF!</definedName>
    <definedName name="_Table2_Out" hidden="1">[8]merger!#REF!</definedName>
    <definedName name="‘" hidden="1">#REF!</definedName>
    <definedName name="a" localSheetId="8" hidden="1">{"'vert'!$A$1:$T$117"}</definedName>
    <definedName name="a" localSheetId="5" hidden="1">{"'vert'!$A$1:$T$117"}</definedName>
    <definedName name="a" hidden="1">{"'vert'!$A$1:$T$117"}</definedName>
    <definedName name="a_1" localSheetId="8" hidden="1">{"'vert'!$A$1:$T$117"}</definedName>
    <definedName name="a_1" localSheetId="5" hidden="1">{"'vert'!$A$1:$T$117"}</definedName>
    <definedName name="a_1" hidden="1">{"'vert'!$A$1:$T$117"}</definedName>
    <definedName name="a_1_1" localSheetId="8" hidden="1">{"'vert'!$A$1:$T$117"}</definedName>
    <definedName name="a_1_1" localSheetId="5" hidden="1">{"'vert'!$A$1:$T$117"}</definedName>
    <definedName name="a_1_1" hidden="1">{"'vert'!$A$1:$T$117"}</definedName>
    <definedName name="a_1_1_1" localSheetId="8" hidden="1">{"'vert'!$A$1:$T$117"}</definedName>
    <definedName name="a_1_1_1" localSheetId="5" hidden="1">{"'vert'!$A$1:$T$117"}</definedName>
    <definedName name="a_1_1_1" hidden="1">{"'vert'!$A$1:$T$117"}</definedName>
    <definedName name="a_1_1_1_1" localSheetId="8" hidden="1">{"'vert'!$A$1:$T$117"}</definedName>
    <definedName name="a_1_1_1_1" localSheetId="5" hidden="1">{"'vert'!$A$1:$T$117"}</definedName>
    <definedName name="a_1_1_1_1" hidden="1">{"'vert'!$A$1:$T$117"}</definedName>
    <definedName name="a_1_1_1_2" localSheetId="8" hidden="1">{"'vert'!$A$1:$T$117"}</definedName>
    <definedName name="a_1_1_1_2" localSheetId="5" hidden="1">{"'vert'!$A$1:$T$117"}</definedName>
    <definedName name="a_1_1_1_2" hidden="1">{"'vert'!$A$1:$T$117"}</definedName>
    <definedName name="a_1_1_2" localSheetId="8" hidden="1">{"'vert'!$A$1:$T$117"}</definedName>
    <definedName name="a_1_1_2" localSheetId="5" hidden="1">{"'vert'!$A$1:$T$117"}</definedName>
    <definedName name="a_1_1_2" hidden="1">{"'vert'!$A$1:$T$117"}</definedName>
    <definedName name="a_1_1_3" localSheetId="8" hidden="1">{"'vert'!$A$1:$T$117"}</definedName>
    <definedName name="a_1_1_3" localSheetId="5" hidden="1">{"'vert'!$A$1:$T$117"}</definedName>
    <definedName name="a_1_1_3" hidden="1">{"'vert'!$A$1:$T$117"}</definedName>
    <definedName name="a_1_2" localSheetId="8" hidden="1">{"'vert'!$A$1:$T$117"}</definedName>
    <definedName name="a_1_2" localSheetId="5" hidden="1">{"'vert'!$A$1:$T$117"}</definedName>
    <definedName name="a_1_2" hidden="1">{"'vert'!$A$1:$T$117"}</definedName>
    <definedName name="a_1_2_1" localSheetId="8" hidden="1">{"'vert'!$A$1:$T$117"}</definedName>
    <definedName name="a_1_2_1" localSheetId="5" hidden="1">{"'vert'!$A$1:$T$117"}</definedName>
    <definedName name="a_1_2_1" hidden="1">{"'vert'!$A$1:$T$117"}</definedName>
    <definedName name="a_1_2_2" localSheetId="8" hidden="1">{"'vert'!$A$1:$T$117"}</definedName>
    <definedName name="a_1_2_2" localSheetId="5" hidden="1">{"'vert'!$A$1:$T$117"}</definedName>
    <definedName name="a_1_2_2" hidden="1">{"'vert'!$A$1:$T$117"}</definedName>
    <definedName name="a_1_3" localSheetId="8" hidden="1">{"'vert'!$A$1:$T$117"}</definedName>
    <definedName name="a_1_3" localSheetId="5" hidden="1">{"'vert'!$A$1:$T$117"}</definedName>
    <definedName name="a_1_3" hidden="1">{"'vert'!$A$1:$T$117"}</definedName>
    <definedName name="a_1_4" localSheetId="8" hidden="1">{"'vert'!$A$1:$T$117"}</definedName>
    <definedName name="a_1_4" localSheetId="5" hidden="1">{"'vert'!$A$1:$T$117"}</definedName>
    <definedName name="a_1_4" hidden="1">{"'vert'!$A$1:$T$117"}</definedName>
    <definedName name="a_2" localSheetId="8" hidden="1">{"'vert'!$A$1:$T$117"}</definedName>
    <definedName name="a_2" localSheetId="5" hidden="1">{"'vert'!$A$1:$T$117"}</definedName>
    <definedName name="a_2" hidden="1">{"'vert'!$A$1:$T$117"}</definedName>
    <definedName name="a_2_1" localSheetId="8" hidden="1">{"'vert'!$A$1:$T$117"}</definedName>
    <definedName name="a_2_1" localSheetId="5" hidden="1">{"'vert'!$A$1:$T$117"}</definedName>
    <definedName name="a_2_1" hidden="1">{"'vert'!$A$1:$T$117"}</definedName>
    <definedName name="a_2_1_1" localSheetId="8" hidden="1">{"'vert'!$A$1:$T$117"}</definedName>
    <definedName name="a_2_1_1" localSheetId="5" hidden="1">{"'vert'!$A$1:$T$117"}</definedName>
    <definedName name="a_2_1_1" hidden="1">{"'vert'!$A$1:$T$117"}</definedName>
    <definedName name="a_2_2" localSheetId="8" hidden="1">{"'vert'!$A$1:$T$117"}</definedName>
    <definedName name="a_2_2" localSheetId="5" hidden="1">{"'vert'!$A$1:$T$117"}</definedName>
    <definedName name="a_2_2" hidden="1">{"'vert'!$A$1:$T$117"}</definedName>
    <definedName name="a_3" localSheetId="8" hidden="1">{"'vert'!$A$1:$T$117"}</definedName>
    <definedName name="a_3" localSheetId="5" hidden="1">{"'vert'!$A$1:$T$117"}</definedName>
    <definedName name="a_3" hidden="1">{"'vert'!$A$1:$T$117"}</definedName>
    <definedName name="a_3_1" localSheetId="8" hidden="1">{"'vert'!$A$1:$T$117"}</definedName>
    <definedName name="a_3_1" localSheetId="5" hidden="1">{"'vert'!$A$1:$T$117"}</definedName>
    <definedName name="a_3_1" hidden="1">{"'vert'!$A$1:$T$117"}</definedName>
    <definedName name="a_4" localSheetId="8" hidden="1">{"'vert'!$A$1:$T$117"}</definedName>
    <definedName name="a_4" localSheetId="5" hidden="1">{"'vert'!$A$1:$T$117"}</definedName>
    <definedName name="a_4" hidden="1">{"'vert'!$A$1:$T$117"}</definedName>
    <definedName name="aa" localSheetId="8" hidden="1">{"'weekly data'!$A$2:$AS$36"}</definedName>
    <definedName name="aa" localSheetId="5" hidden="1">{"'weekly data'!$A$2:$AS$36"}</definedName>
    <definedName name="aa" hidden="1">{"'weekly data'!$A$2:$AS$36"}</definedName>
    <definedName name="aa_1" localSheetId="8" hidden="1">{"'weekly data'!$A$2:$AS$36"}</definedName>
    <definedName name="aa_1" localSheetId="5" hidden="1">{"'weekly data'!$A$2:$AS$36"}</definedName>
    <definedName name="aa_1" hidden="1">{"'weekly data'!$A$2:$AS$36"}</definedName>
    <definedName name="aa_1_1" localSheetId="8" hidden="1">{"'weekly data'!$A$2:$AS$36"}</definedName>
    <definedName name="aa_1_1" localSheetId="5" hidden="1">{"'weekly data'!$A$2:$AS$36"}</definedName>
    <definedName name="aa_1_1" hidden="1">{"'weekly data'!$A$2:$AS$36"}</definedName>
    <definedName name="aa_1_1_1" localSheetId="8" hidden="1">{"'weekly data'!$A$2:$AS$36"}</definedName>
    <definedName name="aa_1_1_1" localSheetId="5" hidden="1">{"'weekly data'!$A$2:$AS$36"}</definedName>
    <definedName name="aa_1_1_1" hidden="1">{"'weekly data'!$A$2:$AS$36"}</definedName>
    <definedName name="aa_1_2" localSheetId="8" hidden="1">{"'weekly data'!$A$2:$AS$36"}</definedName>
    <definedName name="aa_1_2" localSheetId="5" hidden="1">{"'weekly data'!$A$2:$AS$36"}</definedName>
    <definedName name="aa_1_2" hidden="1">{"'weekly data'!$A$2:$AS$36"}</definedName>
    <definedName name="aa_2" localSheetId="8" hidden="1">{"'weekly data'!$A$2:$AS$36"}</definedName>
    <definedName name="aa_2" localSheetId="5" hidden="1">{"'weekly data'!$A$2:$AS$36"}</definedName>
    <definedName name="aa_2" hidden="1">{"'weekly data'!$A$2:$AS$36"}</definedName>
    <definedName name="aa_2_1" localSheetId="8" hidden="1">{"'weekly data'!$A$2:$AS$36"}</definedName>
    <definedName name="aa_2_1" localSheetId="5" hidden="1">{"'weekly data'!$A$2:$AS$36"}</definedName>
    <definedName name="aa_2_1" hidden="1">{"'weekly data'!$A$2:$AS$36"}</definedName>
    <definedName name="aa_2_1_1" localSheetId="8" hidden="1">{"'weekly data'!$A$2:$AS$36"}</definedName>
    <definedName name="aa_2_1_1" localSheetId="5" hidden="1">{"'weekly data'!$A$2:$AS$36"}</definedName>
    <definedName name="aa_2_1_1" hidden="1">{"'weekly data'!$A$2:$AS$36"}</definedName>
    <definedName name="aa_2_2" localSheetId="8" hidden="1">{"'weekly data'!$A$2:$AS$36"}</definedName>
    <definedName name="aa_2_2" localSheetId="5" hidden="1">{"'weekly data'!$A$2:$AS$36"}</definedName>
    <definedName name="aa_2_2" hidden="1">{"'weekly data'!$A$2:$AS$36"}</definedName>
    <definedName name="aa_3" localSheetId="8" hidden="1">{"'weekly data'!$A$2:$AS$36"}</definedName>
    <definedName name="aa_3" localSheetId="5" hidden="1">{"'weekly data'!$A$2:$AS$36"}</definedName>
    <definedName name="aa_3" hidden="1">{"'weekly data'!$A$2:$AS$36"}</definedName>
    <definedName name="aa_3_1" localSheetId="8" hidden="1">{"'weekly data'!$A$2:$AS$36"}</definedName>
    <definedName name="aa_3_1" localSheetId="5" hidden="1">{"'weekly data'!$A$2:$AS$36"}</definedName>
    <definedName name="aa_3_1" hidden="1">{"'weekly data'!$A$2:$AS$36"}</definedName>
    <definedName name="aa_4" localSheetId="8" hidden="1">{"'weekly data'!$A$2:$AS$36"}</definedName>
    <definedName name="aa_4" localSheetId="5" hidden="1">{"'weekly data'!$A$2:$AS$36"}</definedName>
    <definedName name="aa_4" hidden="1">{"'weekly data'!$A$2:$AS$36"}</definedName>
    <definedName name="AAA_DOCTOPS" hidden="1">"AAA_SET"</definedName>
    <definedName name="AAA_duser" hidden="1">"OFF"</definedName>
    <definedName name="aaaa" localSheetId="8" hidden="1">{"'vert'!$A$1:$T$117"}</definedName>
    <definedName name="aaaa" localSheetId="5" hidden="1">{"'vert'!$A$1:$T$117"}</definedName>
    <definedName name="aaaa" hidden="1">{"'vert'!$A$1:$T$117"}</definedName>
    <definedName name="aaaa_1" localSheetId="8" hidden="1">{"'vert'!$A$1:$T$117"}</definedName>
    <definedName name="aaaa_1" localSheetId="5" hidden="1">{"'vert'!$A$1:$T$117"}</definedName>
    <definedName name="aaaa_1" hidden="1">{"'vert'!$A$1:$T$117"}</definedName>
    <definedName name="aaaa_1_1" localSheetId="8" hidden="1">{"'vert'!$A$1:$T$117"}</definedName>
    <definedName name="aaaa_1_1" localSheetId="5" hidden="1">{"'vert'!$A$1:$T$117"}</definedName>
    <definedName name="aaaa_1_1" hidden="1">{"'vert'!$A$1:$T$117"}</definedName>
    <definedName name="aaaa_1_1_1" localSheetId="8" hidden="1">{"'vert'!$A$1:$T$117"}</definedName>
    <definedName name="aaaa_1_1_1" localSheetId="5" hidden="1">{"'vert'!$A$1:$T$117"}</definedName>
    <definedName name="aaaa_1_1_1" hidden="1">{"'vert'!$A$1:$T$117"}</definedName>
    <definedName name="aaaa_1_2" localSheetId="8" hidden="1">{"'vert'!$A$1:$T$117"}</definedName>
    <definedName name="aaaa_1_2" localSheetId="5" hidden="1">{"'vert'!$A$1:$T$117"}</definedName>
    <definedName name="aaaa_1_2" hidden="1">{"'vert'!$A$1:$T$117"}</definedName>
    <definedName name="aaaa_2" localSheetId="8" hidden="1">{"'vert'!$A$1:$T$117"}</definedName>
    <definedName name="aaaa_2" localSheetId="5" hidden="1">{"'vert'!$A$1:$T$117"}</definedName>
    <definedName name="aaaa_2" hidden="1">{"'vert'!$A$1:$T$117"}</definedName>
    <definedName name="aaaa_2_1" localSheetId="8" hidden="1">{"'vert'!$A$1:$T$117"}</definedName>
    <definedName name="aaaa_2_1" localSheetId="5" hidden="1">{"'vert'!$A$1:$T$117"}</definedName>
    <definedName name="aaaa_2_1" hidden="1">{"'vert'!$A$1:$T$117"}</definedName>
    <definedName name="aaaa_2_1_1" localSheetId="8" hidden="1">{"'vert'!$A$1:$T$117"}</definedName>
    <definedName name="aaaa_2_1_1" localSheetId="5" hidden="1">{"'vert'!$A$1:$T$117"}</definedName>
    <definedName name="aaaa_2_1_1" hidden="1">{"'vert'!$A$1:$T$117"}</definedName>
    <definedName name="aaaa_2_2" localSheetId="8" hidden="1">{"'vert'!$A$1:$T$117"}</definedName>
    <definedName name="aaaa_2_2" localSheetId="5" hidden="1">{"'vert'!$A$1:$T$117"}</definedName>
    <definedName name="aaaa_2_2" hidden="1">{"'vert'!$A$1:$T$117"}</definedName>
    <definedName name="aaaa_3" localSheetId="8" hidden="1">{"'vert'!$A$1:$T$117"}</definedName>
    <definedName name="aaaa_3" localSheetId="5" hidden="1">{"'vert'!$A$1:$T$117"}</definedName>
    <definedName name="aaaa_3" hidden="1">{"'vert'!$A$1:$T$117"}</definedName>
    <definedName name="aaaa_3_1" localSheetId="8" hidden="1">{"'vert'!$A$1:$T$117"}</definedName>
    <definedName name="aaaa_3_1" localSheetId="5" hidden="1">{"'vert'!$A$1:$T$117"}</definedName>
    <definedName name="aaaa_3_1" hidden="1">{"'vert'!$A$1:$T$117"}</definedName>
    <definedName name="aaaa_4" localSheetId="8" hidden="1">{"'vert'!$A$1:$T$117"}</definedName>
    <definedName name="aaaa_4" localSheetId="5" hidden="1">{"'vert'!$A$1:$T$117"}</definedName>
    <definedName name="aaaa_4" hidden="1">{"'vert'!$A$1:$T$117"}</definedName>
    <definedName name="aaaaaa_1" localSheetId="8" hidden="1">{"'vert'!$A$1:$T$117"}</definedName>
    <definedName name="aaaaaa_1" localSheetId="5" hidden="1">{"'vert'!$A$1:$T$117"}</definedName>
    <definedName name="aaaaaa_1" hidden="1">{"'vert'!$A$1:$T$117"}</definedName>
    <definedName name="aaaaaa_1_1" localSheetId="8" hidden="1">{"'vert'!$A$1:$T$117"}</definedName>
    <definedName name="aaaaaa_1_1" localSheetId="5" hidden="1">{"'vert'!$A$1:$T$117"}</definedName>
    <definedName name="aaaaaa_1_1" hidden="1">{"'vert'!$A$1:$T$117"}</definedName>
    <definedName name="aaaaaa_1_2" localSheetId="8" hidden="1">{"'vert'!$A$1:$T$117"}</definedName>
    <definedName name="aaaaaa_1_2" localSheetId="5" hidden="1">{"'vert'!$A$1:$T$117"}</definedName>
    <definedName name="aaaaaa_1_2" hidden="1">{"'vert'!$A$1:$T$117"}</definedName>
    <definedName name="aaaaaa_2" localSheetId="8" hidden="1">{"'vert'!$A$1:$T$117"}</definedName>
    <definedName name="aaaaaa_2" localSheetId="5" hidden="1">{"'vert'!$A$1:$T$117"}</definedName>
    <definedName name="aaaaaa_2" hidden="1">{"'vert'!$A$1:$T$117"}</definedName>
    <definedName name="aaaaaa_3" localSheetId="8" hidden="1">{"'vert'!$A$1:$T$117"}</definedName>
    <definedName name="aaaaaa_3" localSheetId="5" hidden="1">{"'vert'!$A$1:$T$117"}</definedName>
    <definedName name="aaaaaa_3" hidden="1">{"'vert'!$A$1:$T$117"}</definedName>
    <definedName name="aaaaaaaaaa" localSheetId="8" hidden="1">{"'weekly data'!$A$2:$AS$36"}</definedName>
    <definedName name="aaaaaaaaaa" localSheetId="5" hidden="1">{"'weekly data'!$A$2:$AS$36"}</definedName>
    <definedName name="aaaaaaaaaa" hidden="1">{"'weekly data'!$A$2:$AS$36"}</definedName>
    <definedName name="aaaaaaaaaa_1" localSheetId="8" hidden="1">{"'weekly data'!$A$2:$AS$36"}</definedName>
    <definedName name="aaaaaaaaaa_1" localSheetId="5" hidden="1">{"'weekly data'!$A$2:$AS$36"}</definedName>
    <definedName name="aaaaaaaaaa_1" hidden="1">{"'weekly data'!$A$2:$AS$36"}</definedName>
    <definedName name="aaaaaaaaaa_1_1" localSheetId="8" hidden="1">{"'weekly data'!$A$2:$AS$36"}</definedName>
    <definedName name="aaaaaaaaaa_1_1" localSheetId="5" hidden="1">{"'weekly data'!$A$2:$AS$36"}</definedName>
    <definedName name="aaaaaaaaaa_1_1" hidden="1">{"'weekly data'!$A$2:$AS$36"}</definedName>
    <definedName name="aaaaaaaaaa_1_2" localSheetId="8" hidden="1">{"'weekly data'!$A$2:$AS$36"}</definedName>
    <definedName name="aaaaaaaaaa_1_2" localSheetId="5" hidden="1">{"'weekly data'!$A$2:$AS$36"}</definedName>
    <definedName name="aaaaaaaaaa_1_2" hidden="1">{"'weekly data'!$A$2:$AS$36"}</definedName>
    <definedName name="aaaaaaaaaa_2" localSheetId="8" hidden="1">{"'weekly data'!$A$2:$AS$36"}</definedName>
    <definedName name="aaaaaaaaaa_2" localSheetId="5" hidden="1">{"'weekly data'!$A$2:$AS$36"}</definedName>
    <definedName name="aaaaaaaaaa_2" hidden="1">{"'weekly data'!$A$2:$AS$36"}</definedName>
    <definedName name="aaaaaaaaaa_3" localSheetId="8" hidden="1">{"'weekly data'!$A$2:$AS$36"}</definedName>
    <definedName name="aaaaaaaaaa_3" localSheetId="5" hidden="1">{"'weekly data'!$A$2:$AS$36"}</definedName>
    <definedName name="aaaaaaaaaa_3" hidden="1">{"'weekly data'!$A$2:$AS$36"}</definedName>
    <definedName name="aaaaaaaaaaaa" localSheetId="8" hidden="1">{"'weekly data'!$A$2:$AS$36"}</definedName>
    <definedName name="aaaaaaaaaaaa" localSheetId="5" hidden="1">{"'weekly data'!$A$2:$AS$36"}</definedName>
    <definedName name="aaaaaaaaaaaa" hidden="1">{"'weekly data'!$A$2:$AS$36"}</definedName>
    <definedName name="aaaaaaaaaaaa_1" localSheetId="8" hidden="1">{"'weekly data'!$A$2:$AS$36"}</definedName>
    <definedName name="aaaaaaaaaaaa_1" localSheetId="5" hidden="1">{"'weekly data'!$A$2:$AS$36"}</definedName>
    <definedName name="aaaaaaaaaaaa_1" hidden="1">{"'weekly data'!$A$2:$AS$36"}</definedName>
    <definedName name="aaaaaaaaaaaa_1_1" localSheetId="8" hidden="1">{"'weekly data'!$A$2:$AS$36"}</definedName>
    <definedName name="aaaaaaaaaaaa_1_1" localSheetId="5" hidden="1">{"'weekly data'!$A$2:$AS$36"}</definedName>
    <definedName name="aaaaaaaaaaaa_1_1" hidden="1">{"'weekly data'!$A$2:$AS$36"}</definedName>
    <definedName name="aaaaaaaaaaaa_1_2" localSheetId="8" hidden="1">{"'weekly data'!$A$2:$AS$36"}</definedName>
    <definedName name="aaaaaaaaaaaa_1_2" localSheetId="5" hidden="1">{"'weekly data'!$A$2:$AS$36"}</definedName>
    <definedName name="aaaaaaaaaaaa_1_2" hidden="1">{"'weekly data'!$A$2:$AS$36"}</definedName>
    <definedName name="aaaaaaaaaaaa_2" localSheetId="8" hidden="1">{"'weekly data'!$A$2:$AS$36"}</definedName>
    <definedName name="aaaaaaaaaaaa_2" localSheetId="5" hidden="1">{"'weekly data'!$A$2:$AS$36"}</definedName>
    <definedName name="aaaaaaaaaaaa_2" hidden="1">{"'weekly data'!$A$2:$AS$36"}</definedName>
    <definedName name="aaaaaaaaaaaa_3" localSheetId="8" hidden="1">{"'weekly data'!$A$2:$AS$36"}</definedName>
    <definedName name="aaaaaaaaaaaa_3" localSheetId="5" hidden="1">{"'weekly data'!$A$2:$AS$36"}</definedName>
    <definedName name="aaaaaaaaaaaa_3" hidden="1">{"'weekly data'!$A$2:$AS$36"}</definedName>
    <definedName name="aaaaaaaaaaaaaaa" localSheetId="8" hidden="1">{"'vert'!$A$1:$T$117"}</definedName>
    <definedName name="aaaaaaaaaaaaaaa" localSheetId="5" hidden="1">{"'vert'!$A$1:$T$117"}</definedName>
    <definedName name="aaaaaaaaaaaaaaa" hidden="1">{"'vert'!$A$1:$T$117"}</definedName>
    <definedName name="aaaaaaaaaaaaaaa_1" localSheetId="8" hidden="1">{"'vert'!$A$1:$T$117"}</definedName>
    <definedName name="aaaaaaaaaaaaaaa_1" localSheetId="5" hidden="1">{"'vert'!$A$1:$T$117"}</definedName>
    <definedName name="aaaaaaaaaaaaaaa_1" hidden="1">{"'vert'!$A$1:$T$117"}</definedName>
    <definedName name="aaaaaaaaaaaaaaa_1_1" localSheetId="8" hidden="1">{"'vert'!$A$1:$T$117"}</definedName>
    <definedName name="aaaaaaaaaaaaaaa_1_1" localSheetId="5" hidden="1">{"'vert'!$A$1:$T$117"}</definedName>
    <definedName name="aaaaaaaaaaaaaaa_1_1" hidden="1">{"'vert'!$A$1:$T$117"}</definedName>
    <definedName name="aaaaaaaaaaaaaaa_1_2" localSheetId="8" hidden="1">{"'vert'!$A$1:$T$117"}</definedName>
    <definedName name="aaaaaaaaaaaaaaa_1_2" localSheetId="5" hidden="1">{"'vert'!$A$1:$T$117"}</definedName>
    <definedName name="aaaaaaaaaaaaaaa_1_2" hidden="1">{"'vert'!$A$1:$T$117"}</definedName>
    <definedName name="aaaaaaaaaaaaaaa_2" localSheetId="8" hidden="1">{"'vert'!$A$1:$T$117"}</definedName>
    <definedName name="aaaaaaaaaaaaaaa_2" localSheetId="5" hidden="1">{"'vert'!$A$1:$T$117"}</definedName>
    <definedName name="aaaaaaaaaaaaaaa_2" hidden="1">{"'vert'!$A$1:$T$117"}</definedName>
    <definedName name="aaaaaaaaaaaaaaa_3" localSheetId="8" hidden="1">{"'vert'!$A$1:$T$117"}</definedName>
    <definedName name="aaaaaaaaaaaaaaa_3" localSheetId="5" hidden="1">{"'vert'!$A$1:$T$117"}</definedName>
    <definedName name="aaaaaaaaaaaaaaa_3" hidden="1">{"'vert'!$A$1:$T$117"}</definedName>
    <definedName name="aaaaaaaaaaaaaaaaa" localSheetId="8" hidden="1">{"'vert'!$A$1:$T$117"}</definedName>
    <definedName name="aaaaaaaaaaaaaaaaa" localSheetId="5" hidden="1">{"'vert'!$A$1:$T$117"}</definedName>
    <definedName name="aaaaaaaaaaaaaaaaa" hidden="1">{"'vert'!$A$1:$T$117"}</definedName>
    <definedName name="aaaaaaaaaaaaaaaaa_1" localSheetId="8" hidden="1">{"'vert'!$A$1:$T$117"}</definedName>
    <definedName name="aaaaaaaaaaaaaaaaa_1" localSheetId="5" hidden="1">{"'vert'!$A$1:$T$117"}</definedName>
    <definedName name="aaaaaaaaaaaaaaaaa_1" hidden="1">{"'vert'!$A$1:$T$117"}</definedName>
    <definedName name="aaaaaaaaaaaaaaaaa_1_1" localSheetId="8" hidden="1">{"'vert'!$A$1:$T$117"}</definedName>
    <definedName name="aaaaaaaaaaaaaaaaa_1_1" localSheetId="5" hidden="1">{"'vert'!$A$1:$T$117"}</definedName>
    <definedName name="aaaaaaaaaaaaaaaaa_1_1" hidden="1">{"'vert'!$A$1:$T$117"}</definedName>
    <definedName name="aaaaaaaaaaaaaaaaa_1_2" localSheetId="8" hidden="1">{"'vert'!$A$1:$T$117"}</definedName>
    <definedName name="aaaaaaaaaaaaaaaaa_1_2" localSheetId="5" hidden="1">{"'vert'!$A$1:$T$117"}</definedName>
    <definedName name="aaaaaaaaaaaaaaaaa_1_2" hidden="1">{"'vert'!$A$1:$T$117"}</definedName>
    <definedName name="aaaaaaaaaaaaaaaaa_2" localSheetId="8" hidden="1">{"'vert'!$A$1:$T$117"}</definedName>
    <definedName name="aaaaaaaaaaaaaaaaa_2" localSheetId="5" hidden="1">{"'vert'!$A$1:$T$117"}</definedName>
    <definedName name="aaaaaaaaaaaaaaaaa_2" hidden="1">{"'vert'!$A$1:$T$117"}</definedName>
    <definedName name="aaaaaaaaaaaaaaaaa_3" localSheetId="8" hidden="1">{"'vert'!$A$1:$T$117"}</definedName>
    <definedName name="aaaaaaaaaaaaaaaaa_3" localSheetId="5" hidden="1">{"'vert'!$A$1:$T$117"}</definedName>
    <definedName name="aaaaaaaaaaaaaaaaa_3" hidden="1">{"'vert'!$A$1:$T$117"}</definedName>
    <definedName name="aaaaaaaaaaaaaaaaaa" localSheetId="8" hidden="1">{"'vert'!$A$1:$T$117"}</definedName>
    <definedName name="aaaaaaaaaaaaaaaaaa" localSheetId="5" hidden="1">{"'vert'!$A$1:$T$117"}</definedName>
    <definedName name="aaaaaaaaaaaaaaaaaa" hidden="1">{"'vert'!$A$1:$T$117"}</definedName>
    <definedName name="aaaaaaaaaaaaaaaaaa_1" localSheetId="8" hidden="1">{"'vert'!$A$1:$T$117"}</definedName>
    <definedName name="aaaaaaaaaaaaaaaaaa_1" localSheetId="5" hidden="1">{"'vert'!$A$1:$T$117"}</definedName>
    <definedName name="aaaaaaaaaaaaaaaaaa_1" hidden="1">{"'vert'!$A$1:$T$117"}</definedName>
    <definedName name="aaaaaaaaaaaaaaaaaa_1_1" localSheetId="8" hidden="1">{"'vert'!$A$1:$T$117"}</definedName>
    <definedName name="aaaaaaaaaaaaaaaaaa_1_1" localSheetId="5" hidden="1">{"'vert'!$A$1:$T$117"}</definedName>
    <definedName name="aaaaaaaaaaaaaaaaaa_1_1" hidden="1">{"'vert'!$A$1:$T$117"}</definedName>
    <definedName name="aaaaaaaaaaaaaaaaaa_1_2" localSheetId="8" hidden="1">{"'vert'!$A$1:$T$117"}</definedName>
    <definedName name="aaaaaaaaaaaaaaaaaa_1_2" localSheetId="5" hidden="1">{"'vert'!$A$1:$T$117"}</definedName>
    <definedName name="aaaaaaaaaaaaaaaaaa_1_2" hidden="1">{"'vert'!$A$1:$T$117"}</definedName>
    <definedName name="aaaaaaaaaaaaaaaaaa_2" localSheetId="8" hidden="1">{"'vert'!$A$1:$T$117"}</definedName>
    <definedName name="aaaaaaaaaaaaaaaaaa_2" localSheetId="5" hidden="1">{"'vert'!$A$1:$T$117"}</definedName>
    <definedName name="aaaaaaaaaaaaaaaaaa_2" hidden="1">{"'vert'!$A$1:$T$117"}</definedName>
    <definedName name="aaaaaaaaaaaaaaaaaa_3" localSheetId="8" hidden="1">{"'vert'!$A$1:$T$117"}</definedName>
    <definedName name="aaaaaaaaaaaaaaaaaa_3" localSheetId="5" hidden="1">{"'vert'!$A$1:$T$117"}</definedName>
    <definedName name="aaaaaaaaaaaaaaaaaa_3" hidden="1">{"'vert'!$A$1:$T$117"}</definedName>
    <definedName name="aaaaaaaaaaaaaaaaaaa" localSheetId="8" hidden="1">{#N/A,#N/A,TRUE,"Cover";#N/A,#N/A,TRUE,"Sum";#N/A,#N/A,TRUE,"SubsRev";#N/A,#N/A,TRUE,"CapEx";#N/A,#N/A,TRUE,"OpEx";#N/A,#N/A,TRUE,"SUs";#N/A,#N/A,TRUE,"OrgChart";#N/A,#N/A,TRUE,"Staff";#N/A,#N/A,TRUE,"P&amp;L";#N/A,#N/A,TRUE,"Cash";#N/A,#N/A,TRUE,"BS";#N/A,#N/A,TRUE,"Valuation";#N/A,#N/A,TRUE,"CapEx-Assumptions";#N/A,#N/A,TRUE,"OpEx-Assumptions"}</definedName>
    <definedName name="aaaaaaaaaaaaaaaaaaa" localSheetId="5" hidden="1">{#N/A,#N/A,TRUE,"Cover";#N/A,#N/A,TRUE,"Sum";#N/A,#N/A,TRUE,"SubsRev";#N/A,#N/A,TRUE,"CapEx";#N/A,#N/A,TRUE,"OpEx";#N/A,#N/A,TRUE,"SUs";#N/A,#N/A,TRUE,"OrgChart";#N/A,#N/A,TRUE,"Staff";#N/A,#N/A,TRUE,"P&amp;L";#N/A,#N/A,TRUE,"Cash";#N/A,#N/A,TRUE,"BS";#N/A,#N/A,TRUE,"Valuation";#N/A,#N/A,TRUE,"CapEx-Assumptions";#N/A,#N/A,TRUE,"OpEx-Assumptions"}</definedName>
    <definedName name="aaaaaaaaaaaaaaaaaaa" hidden="1">{#N/A,#N/A,TRUE,"Cover";#N/A,#N/A,TRUE,"Sum";#N/A,#N/A,TRUE,"SubsRev";#N/A,#N/A,TRUE,"CapEx";#N/A,#N/A,TRUE,"OpEx";#N/A,#N/A,TRUE,"SUs";#N/A,#N/A,TRUE,"OrgChart";#N/A,#N/A,TRUE,"Staff";#N/A,#N/A,TRUE,"P&amp;L";#N/A,#N/A,TRUE,"Cash";#N/A,#N/A,TRUE,"BS";#N/A,#N/A,TRUE,"Valuation";#N/A,#N/A,TRUE,"CapEx-Assumptions";#N/A,#N/A,TRUE,"OpEx-Assumptions"}</definedName>
    <definedName name="aaaaaaaaaaaaaaaaaaa_1" localSheetId="8" hidden="1">{"'vert'!$A$1:$T$117"}</definedName>
    <definedName name="aaaaaaaaaaaaaaaaaaa_1" localSheetId="5" hidden="1">{"'vert'!$A$1:$T$117"}</definedName>
    <definedName name="aaaaaaaaaaaaaaaaaaa_1" hidden="1">{"'vert'!$A$1:$T$117"}</definedName>
    <definedName name="aaaaaaaaaaaaaaaaaaa_1_1" localSheetId="8" hidden="1">{"'vert'!$A$1:$T$117"}</definedName>
    <definedName name="aaaaaaaaaaaaaaaaaaa_1_1" localSheetId="5" hidden="1">{"'vert'!$A$1:$T$117"}</definedName>
    <definedName name="aaaaaaaaaaaaaaaaaaa_1_1" hidden="1">{"'vert'!$A$1:$T$117"}</definedName>
    <definedName name="aaaaaaaaaaaaaaaaaaa_1_2" localSheetId="8" hidden="1">{"'vert'!$A$1:$T$117"}</definedName>
    <definedName name="aaaaaaaaaaaaaaaaaaa_1_2" localSheetId="5" hidden="1">{"'vert'!$A$1:$T$117"}</definedName>
    <definedName name="aaaaaaaaaaaaaaaaaaa_1_2" hidden="1">{"'vert'!$A$1:$T$117"}</definedName>
    <definedName name="aaaaaaaaaaaaaaaaaaa_2" localSheetId="8" hidden="1">{"'vert'!$A$1:$T$117"}</definedName>
    <definedName name="aaaaaaaaaaaaaaaaaaa_2" localSheetId="5" hidden="1">{"'vert'!$A$1:$T$117"}</definedName>
    <definedName name="aaaaaaaaaaaaaaaaaaa_2" hidden="1">{"'vert'!$A$1:$T$117"}</definedName>
    <definedName name="aaaaaaaaaaaaaaaaaaa_3" localSheetId="8" hidden="1">{"'vert'!$A$1:$T$117"}</definedName>
    <definedName name="aaaaaaaaaaaaaaaaaaa_3" localSheetId="5" hidden="1">{"'vert'!$A$1:$T$117"}</definedName>
    <definedName name="aaaaaaaaaaaaaaaaaaa_3" hidden="1">{"'vert'!$A$1:$T$117"}</definedName>
    <definedName name="aaaaaaaaaaaaaaaaaaaaaaaaaaaaa_1" localSheetId="8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aaaaaaaaaaaaaaaaaaaaaaaaaaaaa_1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aaaaaaaaaaaaaaaaaaaaaaaaaaaaa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aaaaaaaaaaaaaaaaaaaaaaaaaaaaa_1_1" localSheetId="8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aaaaaaaaaaaaaaaaaaaaaaaaaaaaa_1_1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aaaaaaaaaaaaaaaaaaaaaaaaaaaaa_1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aaaaaaaaaaaaaaaaaaaaaaaaaaaaa_1_2" localSheetId="8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aaaaaaaaaaaaaaaaaaaaaaaaaaaaa_1_2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aaaaaaaaaaaaaaaaaaaaaaaaaaaaa_1_2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aaaaaaaaaaaaaaaaaaaaaaaaaaaaa_2" localSheetId="8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aaaaaaaaaaaaaaaaaaaaaaaaaaaaa_2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aaaaaaaaaaaaaaaaaaaaaaaaaaaaa_2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aaaaaaaaaaaaaaaaaaaaaaaaaaaaa_3" localSheetId="8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aaaaaaaaaaaaaaaaaaaaaaaaaaaaa_3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aaaaaaaaaaaaaaaaaaaaaaaaaaaaa_3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aaadd_1" localSheetId="8" hidden="1">{"'vert'!$A$1:$T$117"}</definedName>
    <definedName name="aaadd_1" localSheetId="5" hidden="1">{"'vert'!$A$1:$T$117"}</definedName>
    <definedName name="aaadd_1" hidden="1">{"'vert'!$A$1:$T$117"}</definedName>
    <definedName name="aaadd_1_1" localSheetId="8" hidden="1">{"'vert'!$A$1:$T$117"}</definedName>
    <definedName name="aaadd_1_1" localSheetId="5" hidden="1">{"'vert'!$A$1:$T$117"}</definedName>
    <definedName name="aaadd_1_1" hidden="1">{"'vert'!$A$1:$T$117"}</definedName>
    <definedName name="aaadd_1_2" localSheetId="8" hidden="1">{"'vert'!$A$1:$T$117"}</definedName>
    <definedName name="aaadd_1_2" localSheetId="5" hidden="1">{"'vert'!$A$1:$T$117"}</definedName>
    <definedName name="aaadd_1_2" hidden="1">{"'vert'!$A$1:$T$117"}</definedName>
    <definedName name="aaadd_2" localSheetId="8" hidden="1">{"'vert'!$A$1:$T$117"}</definedName>
    <definedName name="aaadd_2" localSheetId="5" hidden="1">{"'vert'!$A$1:$T$117"}</definedName>
    <definedName name="aaadd_2" hidden="1">{"'vert'!$A$1:$T$117"}</definedName>
    <definedName name="aaadd_3" localSheetId="8" hidden="1">{"'vert'!$A$1:$T$117"}</definedName>
    <definedName name="aaadd_3" localSheetId="5" hidden="1">{"'vert'!$A$1:$T$117"}</definedName>
    <definedName name="aaadd_3" hidden="1">{"'vert'!$A$1:$T$117"}</definedName>
    <definedName name="aaaga_1" localSheetId="8" hidden="1">{"'vert'!$A$1:$T$117"}</definedName>
    <definedName name="aaaga_1" localSheetId="5" hidden="1">{"'vert'!$A$1:$T$117"}</definedName>
    <definedName name="aaaga_1" hidden="1">{"'vert'!$A$1:$T$117"}</definedName>
    <definedName name="aaaga_1_1" localSheetId="8" hidden="1">{"'vert'!$A$1:$T$117"}</definedName>
    <definedName name="aaaga_1_1" localSheetId="5" hidden="1">{"'vert'!$A$1:$T$117"}</definedName>
    <definedName name="aaaga_1_1" hidden="1">{"'vert'!$A$1:$T$117"}</definedName>
    <definedName name="aaaga_1_2" localSheetId="8" hidden="1">{"'vert'!$A$1:$T$117"}</definedName>
    <definedName name="aaaga_1_2" localSheetId="5" hidden="1">{"'vert'!$A$1:$T$117"}</definedName>
    <definedName name="aaaga_1_2" hidden="1">{"'vert'!$A$1:$T$117"}</definedName>
    <definedName name="aaaga_2" localSheetId="8" hidden="1">{"'vert'!$A$1:$T$117"}</definedName>
    <definedName name="aaaga_2" localSheetId="5" hidden="1">{"'vert'!$A$1:$T$117"}</definedName>
    <definedName name="aaaga_2" hidden="1">{"'vert'!$A$1:$T$117"}</definedName>
    <definedName name="aaaga_3" localSheetId="8" hidden="1">{"'vert'!$A$1:$T$117"}</definedName>
    <definedName name="aaaga_3" localSheetId="5" hidden="1">{"'vert'!$A$1:$T$117"}</definedName>
    <definedName name="aaaga_3" hidden="1">{"'vert'!$A$1:$T$117"}</definedName>
    <definedName name="AAB_Addin5" hidden="1">"AAB_Description for addin 5,Description for addin 5,Description for addin 5,Description for addin 5,Description for addin 5,Description for addin 5"</definedName>
    <definedName name="aasljlls" localSheetId="8" hidden="1">{"'vert'!$A$1:$T$117"}</definedName>
    <definedName name="aasljlls" localSheetId="5" hidden="1">{"'vert'!$A$1:$T$117"}</definedName>
    <definedName name="aasljlls" hidden="1">{"'vert'!$A$1:$T$117"}</definedName>
    <definedName name="aasljlls_1" localSheetId="8" hidden="1">{"'vert'!$A$1:$T$117"}</definedName>
    <definedName name="aasljlls_1" localSheetId="5" hidden="1">{"'vert'!$A$1:$T$117"}</definedName>
    <definedName name="aasljlls_1" hidden="1">{"'vert'!$A$1:$T$117"}</definedName>
    <definedName name="aasljlls_1_1" localSheetId="8" hidden="1">{"'vert'!$A$1:$T$117"}</definedName>
    <definedName name="aasljlls_1_1" localSheetId="5" hidden="1">{"'vert'!$A$1:$T$117"}</definedName>
    <definedName name="aasljlls_1_1" hidden="1">{"'vert'!$A$1:$T$117"}</definedName>
    <definedName name="aasljlls_1_1_1" localSheetId="8" hidden="1">{"'vert'!$A$1:$T$117"}</definedName>
    <definedName name="aasljlls_1_1_1" localSheetId="5" hidden="1">{"'vert'!$A$1:$T$117"}</definedName>
    <definedName name="aasljlls_1_1_1" hidden="1">{"'vert'!$A$1:$T$117"}</definedName>
    <definedName name="aasljlls_1_2" localSheetId="8" hidden="1">{"'vert'!$A$1:$T$117"}</definedName>
    <definedName name="aasljlls_1_2" localSheetId="5" hidden="1">{"'vert'!$A$1:$T$117"}</definedName>
    <definedName name="aasljlls_1_2" hidden="1">{"'vert'!$A$1:$T$117"}</definedName>
    <definedName name="aasljlls_2" localSheetId="8" hidden="1">{"'vert'!$A$1:$T$117"}</definedName>
    <definedName name="aasljlls_2" localSheetId="5" hidden="1">{"'vert'!$A$1:$T$117"}</definedName>
    <definedName name="aasljlls_2" hidden="1">{"'vert'!$A$1:$T$117"}</definedName>
    <definedName name="aasljlls_2_1" localSheetId="8" hidden="1">{"'vert'!$A$1:$T$117"}</definedName>
    <definedName name="aasljlls_2_1" localSheetId="5" hidden="1">{"'vert'!$A$1:$T$117"}</definedName>
    <definedName name="aasljlls_2_1" hidden="1">{"'vert'!$A$1:$T$117"}</definedName>
    <definedName name="aasljlls_2_1_1" localSheetId="8" hidden="1">{"'vert'!$A$1:$T$117"}</definedName>
    <definedName name="aasljlls_2_1_1" localSheetId="5" hidden="1">{"'vert'!$A$1:$T$117"}</definedName>
    <definedName name="aasljlls_2_1_1" hidden="1">{"'vert'!$A$1:$T$117"}</definedName>
    <definedName name="aasljlls_2_2" localSheetId="8" hidden="1">{"'vert'!$A$1:$T$117"}</definedName>
    <definedName name="aasljlls_2_2" localSheetId="5" hidden="1">{"'vert'!$A$1:$T$117"}</definedName>
    <definedName name="aasljlls_2_2" hidden="1">{"'vert'!$A$1:$T$117"}</definedName>
    <definedName name="aasljlls_3" localSheetId="8" hidden="1">{"'vert'!$A$1:$T$117"}</definedName>
    <definedName name="aasljlls_3" localSheetId="5" hidden="1">{"'vert'!$A$1:$T$117"}</definedName>
    <definedName name="aasljlls_3" hidden="1">{"'vert'!$A$1:$T$117"}</definedName>
    <definedName name="aasljlls_3_1" localSheetId="8" hidden="1">{"'vert'!$A$1:$T$117"}</definedName>
    <definedName name="aasljlls_3_1" localSheetId="5" hidden="1">{"'vert'!$A$1:$T$117"}</definedName>
    <definedName name="aasljlls_3_1" hidden="1">{"'vert'!$A$1:$T$117"}</definedName>
    <definedName name="aasljlls_4" localSheetId="8" hidden="1">{"'vert'!$A$1:$T$117"}</definedName>
    <definedName name="aasljlls_4" localSheetId="5" hidden="1">{"'vert'!$A$1:$T$117"}</definedName>
    <definedName name="aasljlls_4" hidden="1">{"'vert'!$A$1:$T$117"}</definedName>
    <definedName name="abc" localSheetId="8" hidden="1">{"'vert'!$A$1:$T$117"}</definedName>
    <definedName name="abc" localSheetId="5" hidden="1">{"'vert'!$A$1:$T$117"}</definedName>
    <definedName name="abc" hidden="1">{"'vert'!$A$1:$T$117"}</definedName>
    <definedName name="abc_1" localSheetId="8" hidden="1">{"'vert'!$A$1:$T$117"}</definedName>
    <definedName name="abc_1" localSheetId="5" hidden="1">{"'vert'!$A$1:$T$117"}</definedName>
    <definedName name="abc_1" hidden="1">{"'vert'!$A$1:$T$117"}</definedName>
    <definedName name="abc_1_1" localSheetId="8" hidden="1">{"'vert'!$A$1:$T$117"}</definedName>
    <definedName name="abc_1_1" localSheetId="5" hidden="1">{"'vert'!$A$1:$T$117"}</definedName>
    <definedName name="abc_1_1" hidden="1">{"'vert'!$A$1:$T$117"}</definedName>
    <definedName name="abc_1_1_1" localSheetId="8" hidden="1">{"'vert'!$A$1:$T$117"}</definedName>
    <definedName name="abc_1_1_1" localSheetId="5" hidden="1">{"'vert'!$A$1:$T$117"}</definedName>
    <definedName name="abc_1_1_1" hidden="1">{"'vert'!$A$1:$T$117"}</definedName>
    <definedName name="abc_1_1_1_1" localSheetId="8" hidden="1">{"'vert'!$A$1:$T$117"}</definedName>
    <definedName name="abc_1_1_1_1" localSheetId="5" hidden="1">{"'vert'!$A$1:$T$117"}</definedName>
    <definedName name="abc_1_1_1_1" hidden="1">{"'vert'!$A$1:$T$117"}</definedName>
    <definedName name="abc_1_1_2" localSheetId="8" hidden="1">{"'vert'!$A$1:$T$117"}</definedName>
    <definedName name="abc_1_1_2" localSheetId="5" hidden="1">{"'vert'!$A$1:$T$117"}</definedName>
    <definedName name="abc_1_1_2" hidden="1">{"'vert'!$A$1:$T$117"}</definedName>
    <definedName name="abc_1_2" localSheetId="8" hidden="1">{"'vert'!$A$1:$T$117"}</definedName>
    <definedName name="abc_1_2" localSheetId="5" hidden="1">{"'vert'!$A$1:$T$117"}</definedName>
    <definedName name="abc_1_2" hidden="1">{"'vert'!$A$1:$T$117"}</definedName>
    <definedName name="abc_1_2_1" localSheetId="8" hidden="1">{"'vert'!$A$1:$T$117"}</definedName>
    <definedName name="abc_1_2_1" localSheetId="5" hidden="1">{"'vert'!$A$1:$T$117"}</definedName>
    <definedName name="abc_1_2_1" hidden="1">{"'vert'!$A$1:$T$117"}</definedName>
    <definedName name="abc_1_2_1_1" localSheetId="8" hidden="1">{"'vert'!$A$1:$T$117"}</definedName>
    <definedName name="abc_1_2_1_1" localSheetId="5" hidden="1">{"'vert'!$A$1:$T$117"}</definedName>
    <definedName name="abc_1_2_1_1" hidden="1">{"'vert'!$A$1:$T$117"}</definedName>
    <definedName name="abc_1_2_2" localSheetId="8" hidden="1">{"'vert'!$A$1:$T$117"}</definedName>
    <definedName name="abc_1_2_2" localSheetId="5" hidden="1">{"'vert'!$A$1:$T$117"}</definedName>
    <definedName name="abc_1_2_2" hidden="1">{"'vert'!$A$1:$T$117"}</definedName>
    <definedName name="abc_1_3" localSheetId="8" hidden="1">{"'vert'!$A$1:$T$117"}</definedName>
    <definedName name="abc_1_3" localSheetId="5" hidden="1">{"'vert'!$A$1:$T$117"}</definedName>
    <definedName name="abc_1_3" hidden="1">{"'vert'!$A$1:$T$117"}</definedName>
    <definedName name="abc_1_3_1" localSheetId="8" hidden="1">{"'vert'!$A$1:$T$117"}</definedName>
    <definedName name="abc_1_3_1" localSheetId="5" hidden="1">{"'vert'!$A$1:$T$117"}</definedName>
    <definedName name="abc_1_3_1" hidden="1">{"'vert'!$A$1:$T$117"}</definedName>
    <definedName name="abc_1_4" localSheetId="8" hidden="1">{"'vert'!$A$1:$T$117"}</definedName>
    <definedName name="abc_1_4" localSheetId="5" hidden="1">{"'vert'!$A$1:$T$117"}</definedName>
    <definedName name="abc_1_4" hidden="1">{"'vert'!$A$1:$T$117"}</definedName>
    <definedName name="abc_2" localSheetId="8" hidden="1">{"'vert'!$A$1:$T$117"}</definedName>
    <definedName name="abc_2" localSheetId="5" hidden="1">{"'vert'!$A$1:$T$117"}</definedName>
    <definedName name="abc_2" hidden="1">{"'vert'!$A$1:$T$117"}</definedName>
    <definedName name="abc_2_1" localSheetId="8" hidden="1">{"'vert'!$A$1:$T$117"}</definedName>
    <definedName name="abc_2_1" localSheetId="5" hidden="1">{"'vert'!$A$1:$T$117"}</definedName>
    <definedName name="abc_2_1" hidden="1">{"'vert'!$A$1:$T$117"}</definedName>
    <definedName name="abc_2_1_1" localSheetId="8" hidden="1">{"'vert'!$A$1:$T$117"}</definedName>
    <definedName name="abc_2_1_1" localSheetId="5" hidden="1">{"'vert'!$A$1:$T$117"}</definedName>
    <definedName name="abc_2_1_1" hidden="1">{"'vert'!$A$1:$T$117"}</definedName>
    <definedName name="abc_2_2" localSheetId="8" hidden="1">{"'vert'!$A$1:$T$117"}</definedName>
    <definedName name="abc_2_2" localSheetId="5" hidden="1">{"'vert'!$A$1:$T$117"}</definedName>
    <definedName name="abc_2_2" hidden="1">{"'vert'!$A$1:$T$117"}</definedName>
    <definedName name="abc_3" localSheetId="8" hidden="1">{"'vert'!$A$1:$T$117"}</definedName>
    <definedName name="abc_3" localSheetId="5" hidden="1">{"'vert'!$A$1:$T$117"}</definedName>
    <definedName name="abc_3" hidden="1">{"'vert'!$A$1:$T$117"}</definedName>
    <definedName name="abc_3_1" localSheetId="8" hidden="1">{"'vert'!$A$1:$T$117"}</definedName>
    <definedName name="abc_3_1" localSheetId="5" hidden="1">{"'vert'!$A$1:$T$117"}</definedName>
    <definedName name="abc_3_1" hidden="1">{"'vert'!$A$1:$T$117"}</definedName>
    <definedName name="abc_3_1_1" localSheetId="8" hidden="1">{"'vert'!$A$1:$T$117"}</definedName>
    <definedName name="abc_3_1_1" localSheetId="5" hidden="1">{"'vert'!$A$1:$T$117"}</definedName>
    <definedName name="abc_3_1_1" hidden="1">{"'vert'!$A$1:$T$117"}</definedName>
    <definedName name="abc_3_2" localSheetId="8" hidden="1">{"'vert'!$A$1:$T$117"}</definedName>
    <definedName name="abc_3_2" localSheetId="5" hidden="1">{"'vert'!$A$1:$T$117"}</definedName>
    <definedName name="abc_3_2" hidden="1">{"'vert'!$A$1:$T$117"}</definedName>
    <definedName name="abc_4" localSheetId="8" hidden="1">{"'vert'!$A$1:$T$117"}</definedName>
    <definedName name="abc_4" localSheetId="5" hidden="1">{"'vert'!$A$1:$T$117"}</definedName>
    <definedName name="abc_4" hidden="1">{"'vert'!$A$1:$T$117"}</definedName>
    <definedName name="abc_4_1" localSheetId="8" hidden="1">{"'vert'!$A$1:$T$117"}</definedName>
    <definedName name="abc_4_1" localSheetId="5" hidden="1">{"'vert'!$A$1:$T$117"}</definedName>
    <definedName name="abc_4_1" hidden="1">{"'vert'!$A$1:$T$117"}</definedName>
    <definedName name="abc_5" localSheetId="8" hidden="1">{"'vert'!$A$1:$T$117"}</definedName>
    <definedName name="abc_5" localSheetId="5" hidden="1">{"'vert'!$A$1:$T$117"}</definedName>
    <definedName name="abc_5" hidden="1">{"'vert'!$A$1:$T$117"}</definedName>
    <definedName name="abcd" localSheetId="8" hidden="1">{"'vert'!$A$1:$T$117"}</definedName>
    <definedName name="abcd" localSheetId="5" hidden="1">{"'vert'!$A$1:$T$117"}</definedName>
    <definedName name="abcd" hidden="1">{"'vert'!$A$1:$T$117"}</definedName>
    <definedName name="abcd_1" localSheetId="8" hidden="1">{"'vert'!$A$1:$T$117"}</definedName>
    <definedName name="abcd_1" localSheetId="5" hidden="1">{"'vert'!$A$1:$T$117"}</definedName>
    <definedName name="abcd_1" hidden="1">{"'vert'!$A$1:$T$117"}</definedName>
    <definedName name="abcd_1_1" localSheetId="8" hidden="1">{"'vert'!$A$1:$T$117"}</definedName>
    <definedName name="abcd_1_1" localSheetId="5" hidden="1">{"'vert'!$A$1:$T$117"}</definedName>
    <definedName name="abcd_1_1" hidden="1">{"'vert'!$A$1:$T$117"}</definedName>
    <definedName name="abcd_1_1_1" localSheetId="8" hidden="1">{"'vert'!$A$1:$T$117"}</definedName>
    <definedName name="abcd_1_1_1" localSheetId="5" hidden="1">{"'vert'!$A$1:$T$117"}</definedName>
    <definedName name="abcd_1_1_1" hidden="1">{"'vert'!$A$1:$T$117"}</definedName>
    <definedName name="abcd_1_2" localSheetId="8" hidden="1">{"'vert'!$A$1:$T$117"}</definedName>
    <definedName name="abcd_1_2" localSheetId="5" hidden="1">{"'vert'!$A$1:$T$117"}</definedName>
    <definedName name="abcd_1_2" hidden="1">{"'vert'!$A$1:$T$117"}</definedName>
    <definedName name="abcd_2" localSheetId="8" hidden="1">{"'vert'!$A$1:$T$117"}</definedName>
    <definedName name="abcd_2" localSheetId="5" hidden="1">{"'vert'!$A$1:$T$117"}</definedName>
    <definedName name="abcd_2" hidden="1">{"'vert'!$A$1:$T$117"}</definedName>
    <definedName name="abcd_2_1" localSheetId="8" hidden="1">{"'vert'!$A$1:$T$117"}</definedName>
    <definedName name="abcd_2_1" localSheetId="5" hidden="1">{"'vert'!$A$1:$T$117"}</definedName>
    <definedName name="abcd_2_1" hidden="1">{"'vert'!$A$1:$T$117"}</definedName>
    <definedName name="abcd_2_1_1" localSheetId="8" hidden="1">{"'vert'!$A$1:$T$117"}</definedName>
    <definedName name="abcd_2_1_1" localSheetId="5" hidden="1">{"'vert'!$A$1:$T$117"}</definedName>
    <definedName name="abcd_2_1_1" hidden="1">{"'vert'!$A$1:$T$117"}</definedName>
    <definedName name="abcd_2_2" localSheetId="8" hidden="1">{"'vert'!$A$1:$T$117"}</definedName>
    <definedName name="abcd_2_2" localSheetId="5" hidden="1">{"'vert'!$A$1:$T$117"}</definedName>
    <definedName name="abcd_2_2" hidden="1">{"'vert'!$A$1:$T$117"}</definedName>
    <definedName name="abcd_3" localSheetId="8" hidden="1">{"'vert'!$A$1:$T$117"}</definedName>
    <definedName name="abcd_3" localSheetId="5" hidden="1">{"'vert'!$A$1:$T$117"}</definedName>
    <definedName name="abcd_3" hidden="1">{"'vert'!$A$1:$T$117"}</definedName>
    <definedName name="abcd_3_1" localSheetId="8" hidden="1">{"'vert'!$A$1:$T$117"}</definedName>
    <definedName name="abcd_3_1" localSheetId="5" hidden="1">{"'vert'!$A$1:$T$117"}</definedName>
    <definedName name="abcd_3_1" hidden="1">{"'vert'!$A$1:$T$117"}</definedName>
    <definedName name="abcd_4" localSheetId="8" hidden="1">{"'vert'!$A$1:$T$117"}</definedName>
    <definedName name="abcd_4" localSheetId="5" hidden="1">{"'vert'!$A$1:$T$117"}</definedName>
    <definedName name="abcd_4" hidden="1">{"'vert'!$A$1:$T$117"}</definedName>
    <definedName name="AccessDatabase" hidden="1">"H:\Comps Table\Comp Sheet V4.1 (25th May 2000).mdb"</definedName>
    <definedName name="Actuals_2002">'[10]2002 Exp'!$C$7:$R$147</definedName>
    <definedName name="adf" localSheetId="8" hidden="1">{"FCB_ALL",#N/A,FALSE,"FCB"}</definedName>
    <definedName name="adf" localSheetId="5" hidden="1">{"FCB_ALL",#N/A,FALSE,"FCB"}</definedName>
    <definedName name="adf" hidden="1">{"FCB_ALL",#N/A,FALSE,"FCB"}</definedName>
    <definedName name="adfasf" localSheetId="8" hidden="1">{"'vert'!$A$1:$T$117"}</definedName>
    <definedName name="adfasf" localSheetId="5" hidden="1">{"'vert'!$A$1:$T$117"}</definedName>
    <definedName name="adfasf" hidden="1">{"'vert'!$A$1:$T$117"}</definedName>
    <definedName name="adfasf_1" localSheetId="8" hidden="1">{"'vert'!$A$1:$T$117"}</definedName>
    <definedName name="adfasf_1" localSheetId="5" hidden="1">{"'vert'!$A$1:$T$117"}</definedName>
    <definedName name="adfasf_1" hidden="1">{"'vert'!$A$1:$T$117"}</definedName>
    <definedName name="adfasf_1_1" localSheetId="8" hidden="1">{"'vert'!$A$1:$T$117"}</definedName>
    <definedName name="adfasf_1_1" localSheetId="5" hidden="1">{"'vert'!$A$1:$T$117"}</definedName>
    <definedName name="adfasf_1_1" hidden="1">{"'vert'!$A$1:$T$117"}</definedName>
    <definedName name="adfasf_1_1_1" localSheetId="8" hidden="1">{"'vert'!$A$1:$T$117"}</definedName>
    <definedName name="adfasf_1_1_1" localSheetId="5" hidden="1">{"'vert'!$A$1:$T$117"}</definedName>
    <definedName name="adfasf_1_1_1" hidden="1">{"'vert'!$A$1:$T$117"}</definedName>
    <definedName name="adfasf_1_2" localSheetId="8" hidden="1">{"'vert'!$A$1:$T$117"}</definedName>
    <definedName name="adfasf_1_2" localSheetId="5" hidden="1">{"'vert'!$A$1:$T$117"}</definedName>
    <definedName name="adfasf_1_2" hidden="1">{"'vert'!$A$1:$T$117"}</definedName>
    <definedName name="adfasf_2" localSheetId="8" hidden="1">{"'vert'!$A$1:$T$117"}</definedName>
    <definedName name="adfasf_2" localSheetId="5" hidden="1">{"'vert'!$A$1:$T$117"}</definedName>
    <definedName name="adfasf_2" hidden="1">{"'vert'!$A$1:$T$117"}</definedName>
    <definedName name="adfasf_2_1" localSheetId="8" hidden="1">{"'vert'!$A$1:$T$117"}</definedName>
    <definedName name="adfasf_2_1" localSheetId="5" hidden="1">{"'vert'!$A$1:$T$117"}</definedName>
    <definedName name="adfasf_2_1" hidden="1">{"'vert'!$A$1:$T$117"}</definedName>
    <definedName name="adfasf_2_1_1" localSheetId="8" hidden="1">{"'vert'!$A$1:$T$117"}</definedName>
    <definedName name="adfasf_2_1_1" localSheetId="5" hidden="1">{"'vert'!$A$1:$T$117"}</definedName>
    <definedName name="adfasf_2_1_1" hidden="1">{"'vert'!$A$1:$T$117"}</definedName>
    <definedName name="adfasf_2_2" localSheetId="8" hidden="1">{"'vert'!$A$1:$T$117"}</definedName>
    <definedName name="adfasf_2_2" localSheetId="5" hidden="1">{"'vert'!$A$1:$T$117"}</definedName>
    <definedName name="adfasf_2_2" hidden="1">{"'vert'!$A$1:$T$117"}</definedName>
    <definedName name="adfasf_3" localSheetId="8" hidden="1">{"'vert'!$A$1:$T$117"}</definedName>
    <definedName name="adfasf_3" localSheetId="5" hidden="1">{"'vert'!$A$1:$T$117"}</definedName>
    <definedName name="adfasf_3" hidden="1">{"'vert'!$A$1:$T$117"}</definedName>
    <definedName name="adfasf_3_1" localSheetId="8" hidden="1">{"'vert'!$A$1:$T$117"}</definedName>
    <definedName name="adfasf_3_1" localSheetId="5" hidden="1">{"'vert'!$A$1:$T$117"}</definedName>
    <definedName name="adfasf_3_1" hidden="1">{"'vert'!$A$1:$T$117"}</definedName>
    <definedName name="adfasf_4" localSheetId="8" hidden="1">{"'vert'!$A$1:$T$117"}</definedName>
    <definedName name="adfasf_4" localSheetId="5" hidden="1">{"'vert'!$A$1:$T$117"}</definedName>
    <definedName name="adfasf_4" hidden="1">{"'vert'!$A$1:$T$117"}</definedName>
    <definedName name="adfasfasfd" localSheetId="8" hidden="1">{"'vert'!$A$1:$T$117"}</definedName>
    <definedName name="adfasfasfd" localSheetId="5" hidden="1">{"'vert'!$A$1:$T$117"}</definedName>
    <definedName name="adfasfasfd" hidden="1">{"'vert'!$A$1:$T$117"}</definedName>
    <definedName name="adfasfasfd_1" localSheetId="8" hidden="1">{"'vert'!$A$1:$T$117"}</definedName>
    <definedName name="adfasfasfd_1" localSheetId="5" hidden="1">{"'vert'!$A$1:$T$117"}</definedName>
    <definedName name="adfasfasfd_1" hidden="1">{"'vert'!$A$1:$T$117"}</definedName>
    <definedName name="adfasfasfd_1_1" localSheetId="8" hidden="1">{"'vert'!$A$1:$T$117"}</definedName>
    <definedName name="adfasfasfd_1_1" localSheetId="5" hidden="1">{"'vert'!$A$1:$T$117"}</definedName>
    <definedName name="adfasfasfd_1_1" hidden="1">{"'vert'!$A$1:$T$117"}</definedName>
    <definedName name="adfasfasfd_1_1_1" localSheetId="8" hidden="1">{"'vert'!$A$1:$T$117"}</definedName>
    <definedName name="adfasfasfd_1_1_1" localSheetId="5" hidden="1">{"'vert'!$A$1:$T$117"}</definedName>
    <definedName name="adfasfasfd_1_1_1" hidden="1">{"'vert'!$A$1:$T$117"}</definedName>
    <definedName name="adfasfasfd_1_2" localSheetId="8" hidden="1">{"'vert'!$A$1:$T$117"}</definedName>
    <definedName name="adfasfasfd_1_2" localSheetId="5" hidden="1">{"'vert'!$A$1:$T$117"}</definedName>
    <definedName name="adfasfasfd_1_2" hidden="1">{"'vert'!$A$1:$T$117"}</definedName>
    <definedName name="adfasfasfd_2" localSheetId="8" hidden="1">{"'vert'!$A$1:$T$117"}</definedName>
    <definedName name="adfasfasfd_2" localSheetId="5" hidden="1">{"'vert'!$A$1:$T$117"}</definedName>
    <definedName name="adfasfasfd_2" hidden="1">{"'vert'!$A$1:$T$117"}</definedName>
    <definedName name="adfasfasfd_2_1" localSheetId="8" hidden="1">{"'vert'!$A$1:$T$117"}</definedName>
    <definedName name="adfasfasfd_2_1" localSheetId="5" hidden="1">{"'vert'!$A$1:$T$117"}</definedName>
    <definedName name="adfasfasfd_2_1" hidden="1">{"'vert'!$A$1:$T$117"}</definedName>
    <definedName name="adfasfasfd_2_1_1" localSheetId="8" hidden="1">{"'vert'!$A$1:$T$117"}</definedName>
    <definedName name="adfasfasfd_2_1_1" localSheetId="5" hidden="1">{"'vert'!$A$1:$T$117"}</definedName>
    <definedName name="adfasfasfd_2_1_1" hidden="1">{"'vert'!$A$1:$T$117"}</definedName>
    <definedName name="adfasfasfd_2_2" localSheetId="8" hidden="1">{"'vert'!$A$1:$T$117"}</definedName>
    <definedName name="adfasfasfd_2_2" localSheetId="5" hidden="1">{"'vert'!$A$1:$T$117"}</definedName>
    <definedName name="adfasfasfd_2_2" hidden="1">{"'vert'!$A$1:$T$117"}</definedName>
    <definedName name="adfasfasfd_3" localSheetId="8" hidden="1">{"'vert'!$A$1:$T$117"}</definedName>
    <definedName name="adfasfasfd_3" localSheetId="5" hidden="1">{"'vert'!$A$1:$T$117"}</definedName>
    <definedName name="adfasfasfd_3" hidden="1">{"'vert'!$A$1:$T$117"}</definedName>
    <definedName name="adfasfasfd_3_1" localSheetId="8" hidden="1">{"'vert'!$A$1:$T$117"}</definedName>
    <definedName name="adfasfasfd_3_1" localSheetId="5" hidden="1">{"'vert'!$A$1:$T$117"}</definedName>
    <definedName name="adfasfasfd_3_1" hidden="1">{"'vert'!$A$1:$T$117"}</definedName>
    <definedName name="adfasfasfd_4" localSheetId="8" hidden="1">{"'vert'!$A$1:$T$117"}</definedName>
    <definedName name="adfasfasfd_4" localSheetId="5" hidden="1">{"'vert'!$A$1:$T$117"}</definedName>
    <definedName name="adfasfasfd_4" hidden="1">{"'vert'!$A$1:$T$117"}</definedName>
    <definedName name="adfgdagd_1" localSheetId="8" hidden="1">{"'vert'!$A$1:$T$117"}</definedName>
    <definedName name="adfgdagd_1" localSheetId="5" hidden="1">{"'vert'!$A$1:$T$117"}</definedName>
    <definedName name="adfgdagd_1" hidden="1">{"'vert'!$A$1:$T$117"}</definedName>
    <definedName name="adfgdagd_1_1" localSheetId="8" hidden="1">{"'vert'!$A$1:$T$117"}</definedName>
    <definedName name="adfgdagd_1_1" localSheetId="5" hidden="1">{"'vert'!$A$1:$T$117"}</definedName>
    <definedName name="adfgdagd_1_1" hidden="1">{"'vert'!$A$1:$T$117"}</definedName>
    <definedName name="adfgdagd_1_2" localSheetId="8" hidden="1">{"'vert'!$A$1:$T$117"}</definedName>
    <definedName name="adfgdagd_1_2" localSheetId="5" hidden="1">{"'vert'!$A$1:$T$117"}</definedName>
    <definedName name="adfgdagd_1_2" hidden="1">{"'vert'!$A$1:$T$117"}</definedName>
    <definedName name="adfgdagd_2" localSheetId="8" hidden="1">{"'vert'!$A$1:$T$117"}</definedName>
    <definedName name="adfgdagd_2" localSheetId="5" hidden="1">{"'vert'!$A$1:$T$117"}</definedName>
    <definedName name="adfgdagd_2" hidden="1">{"'vert'!$A$1:$T$117"}</definedName>
    <definedName name="adfgdagd_3" localSheetId="8" hidden="1">{"'vert'!$A$1:$T$117"}</definedName>
    <definedName name="adfgdagd_3" localSheetId="5" hidden="1">{"'vert'!$A$1:$T$117"}</definedName>
    <definedName name="adfgdagd_3" hidden="1">{"'vert'!$A$1:$T$117"}</definedName>
    <definedName name="adfsafasdf" localSheetId="8" hidden="1">{"'weekly data'!$A$2:$AS$36"}</definedName>
    <definedName name="adfsafasdf" localSheetId="5" hidden="1">{"'weekly data'!$A$2:$AS$36"}</definedName>
    <definedName name="adfsafasdf" hidden="1">{"'weekly data'!$A$2:$AS$36"}</definedName>
    <definedName name="adfsafasdf_1" localSheetId="8" hidden="1">{"'weekly data'!$A$2:$AS$36"}</definedName>
    <definedName name="adfsafasdf_1" localSheetId="5" hidden="1">{"'weekly data'!$A$2:$AS$36"}</definedName>
    <definedName name="adfsafasdf_1" hidden="1">{"'weekly data'!$A$2:$AS$36"}</definedName>
    <definedName name="adfsafasdf_1_1" localSheetId="8" hidden="1">{"'weekly data'!$A$2:$AS$36"}</definedName>
    <definedName name="adfsafasdf_1_1" localSheetId="5" hidden="1">{"'weekly data'!$A$2:$AS$36"}</definedName>
    <definedName name="adfsafasdf_1_1" hidden="1">{"'weekly data'!$A$2:$AS$36"}</definedName>
    <definedName name="adfsafasdf_1_1_1" localSheetId="8" hidden="1">{"'weekly data'!$A$2:$AS$36"}</definedName>
    <definedName name="adfsafasdf_1_1_1" localSheetId="5" hidden="1">{"'weekly data'!$A$2:$AS$36"}</definedName>
    <definedName name="adfsafasdf_1_1_1" hidden="1">{"'weekly data'!$A$2:$AS$36"}</definedName>
    <definedName name="adfsafasdf_1_2" localSheetId="8" hidden="1">{"'weekly data'!$A$2:$AS$36"}</definedName>
    <definedName name="adfsafasdf_1_2" localSheetId="5" hidden="1">{"'weekly data'!$A$2:$AS$36"}</definedName>
    <definedName name="adfsafasdf_1_2" hidden="1">{"'weekly data'!$A$2:$AS$36"}</definedName>
    <definedName name="adfsafasdf_2" localSheetId="8" hidden="1">{"'weekly data'!$A$2:$AS$36"}</definedName>
    <definedName name="adfsafasdf_2" localSheetId="5" hidden="1">{"'weekly data'!$A$2:$AS$36"}</definedName>
    <definedName name="adfsafasdf_2" hidden="1">{"'weekly data'!$A$2:$AS$36"}</definedName>
    <definedName name="adfsafasdf_2_1" localSheetId="8" hidden="1">{"'weekly data'!$A$2:$AS$36"}</definedName>
    <definedName name="adfsafasdf_2_1" localSheetId="5" hidden="1">{"'weekly data'!$A$2:$AS$36"}</definedName>
    <definedName name="adfsafasdf_2_1" hidden="1">{"'weekly data'!$A$2:$AS$36"}</definedName>
    <definedName name="adfsafasdf_2_1_1" localSheetId="8" hidden="1">{"'weekly data'!$A$2:$AS$36"}</definedName>
    <definedName name="adfsafasdf_2_1_1" localSheetId="5" hidden="1">{"'weekly data'!$A$2:$AS$36"}</definedName>
    <definedName name="adfsafasdf_2_1_1" hidden="1">{"'weekly data'!$A$2:$AS$36"}</definedName>
    <definedName name="adfsafasdf_2_2" localSheetId="8" hidden="1">{"'weekly data'!$A$2:$AS$36"}</definedName>
    <definedName name="adfsafasdf_2_2" localSheetId="5" hidden="1">{"'weekly data'!$A$2:$AS$36"}</definedName>
    <definedName name="adfsafasdf_2_2" hidden="1">{"'weekly data'!$A$2:$AS$36"}</definedName>
    <definedName name="adfsafasdf_3" localSheetId="8" hidden="1">{"'weekly data'!$A$2:$AS$36"}</definedName>
    <definedName name="adfsafasdf_3" localSheetId="5" hidden="1">{"'weekly data'!$A$2:$AS$36"}</definedName>
    <definedName name="adfsafasdf_3" hidden="1">{"'weekly data'!$A$2:$AS$36"}</definedName>
    <definedName name="adfsafasdf_3_1" localSheetId="8" hidden="1">{"'weekly data'!$A$2:$AS$36"}</definedName>
    <definedName name="adfsafasdf_3_1" localSheetId="5" hidden="1">{"'weekly data'!$A$2:$AS$36"}</definedName>
    <definedName name="adfsafasdf_3_1" hidden="1">{"'weekly data'!$A$2:$AS$36"}</definedName>
    <definedName name="adfsafasdf_4" localSheetId="8" hidden="1">{"'weekly data'!$A$2:$AS$36"}</definedName>
    <definedName name="adfsafasdf_4" localSheetId="5" hidden="1">{"'weekly data'!$A$2:$AS$36"}</definedName>
    <definedName name="adfsafasdf_4" hidden="1">{"'weekly data'!$A$2:$AS$36"}</definedName>
    <definedName name="adfsdf" localSheetId="8" hidden="1">{"'vert'!$A$1:$T$117"}</definedName>
    <definedName name="adfsdf" localSheetId="5" hidden="1">{"'vert'!$A$1:$T$117"}</definedName>
    <definedName name="adfsdf" hidden="1">{"'vert'!$A$1:$T$117"}</definedName>
    <definedName name="adfsdf_1" localSheetId="8" hidden="1">{"'vert'!$A$1:$T$117"}</definedName>
    <definedName name="adfsdf_1" localSheetId="5" hidden="1">{"'vert'!$A$1:$T$117"}</definedName>
    <definedName name="adfsdf_1" hidden="1">{"'vert'!$A$1:$T$117"}</definedName>
    <definedName name="adfsdf_1_1" localSheetId="8" hidden="1">{"'vert'!$A$1:$T$117"}</definedName>
    <definedName name="adfsdf_1_1" localSheetId="5" hidden="1">{"'vert'!$A$1:$T$117"}</definedName>
    <definedName name="adfsdf_1_1" hidden="1">{"'vert'!$A$1:$T$117"}</definedName>
    <definedName name="adfsdf_1_2" localSheetId="8" hidden="1">{"'vert'!$A$1:$T$117"}</definedName>
    <definedName name="adfsdf_1_2" localSheetId="5" hidden="1">{"'vert'!$A$1:$T$117"}</definedName>
    <definedName name="adfsdf_1_2" hidden="1">{"'vert'!$A$1:$T$117"}</definedName>
    <definedName name="adfsdf_2" localSheetId="8" hidden="1">{"'vert'!$A$1:$T$117"}</definedName>
    <definedName name="adfsdf_2" localSheetId="5" hidden="1">{"'vert'!$A$1:$T$117"}</definedName>
    <definedName name="adfsdf_2" hidden="1">{"'vert'!$A$1:$T$117"}</definedName>
    <definedName name="adfsdf_3" localSheetId="8" hidden="1">{"'vert'!$A$1:$T$117"}</definedName>
    <definedName name="adfsdf_3" localSheetId="5" hidden="1">{"'vert'!$A$1:$T$117"}</definedName>
    <definedName name="adfsdf_3" hidden="1">{"'vert'!$A$1:$T$117"}</definedName>
    <definedName name="adiljfh" hidden="1">#REF!</definedName>
    <definedName name="adsfads" localSheetId="8" hidden="1">{"'vert'!$A$1:$T$117"}</definedName>
    <definedName name="adsfads" localSheetId="5" hidden="1">{"'vert'!$A$1:$T$117"}</definedName>
    <definedName name="adsfads" hidden="1">{"'vert'!$A$1:$T$117"}</definedName>
    <definedName name="adsfkljalfdj" localSheetId="8" hidden="1">{"'vert'!$A$1:$T$117"}</definedName>
    <definedName name="adsfkljalfdj" localSheetId="5" hidden="1">{"'vert'!$A$1:$T$117"}</definedName>
    <definedName name="adsfkljalfdj" hidden="1">{"'vert'!$A$1:$T$117"}</definedName>
    <definedName name="aeae" localSheetId="8" hidden="1">{#N/A,#N/A,FALSE,"Trading-Mult ";#N/A,#N/A,FALSE,"Trading-Cap";#N/A,#N/A,FALSE,"Trading-Inc";#N/A,#N/A,FALSE,"Cash Flow";#N/A,#N/A,FALSE,"M&amp;A info"}</definedName>
    <definedName name="aeae" localSheetId="5" hidden="1">{#N/A,#N/A,FALSE,"Trading-Mult ";#N/A,#N/A,FALSE,"Trading-Cap";#N/A,#N/A,FALSE,"Trading-Inc";#N/A,#N/A,FALSE,"Cash Flow";#N/A,#N/A,FALSE,"M&amp;A info"}</definedName>
    <definedName name="aeae" hidden="1">{#N/A,#N/A,FALSE,"Trading-Mult ";#N/A,#N/A,FALSE,"Trading-Cap";#N/A,#N/A,FALSE,"Trading-Inc";#N/A,#N/A,FALSE,"Cash Flow";#N/A,#N/A,FALSE,"M&amp;A info"}</definedName>
    <definedName name="afds" localSheetId="8" hidden="1">{"'vert'!$A$1:$T$117"}</definedName>
    <definedName name="afds" localSheetId="5" hidden="1">{"'vert'!$A$1:$T$117"}</definedName>
    <definedName name="afds" hidden="1">{"'vert'!$A$1:$T$117"}</definedName>
    <definedName name="afds_1" localSheetId="8" hidden="1">{"'vert'!$A$1:$T$117"}</definedName>
    <definedName name="afds_1" localSheetId="5" hidden="1">{"'vert'!$A$1:$T$117"}</definedName>
    <definedName name="afds_1" hidden="1">{"'vert'!$A$1:$T$117"}</definedName>
    <definedName name="afds_1_1" localSheetId="8" hidden="1">{"'vert'!$A$1:$T$117"}</definedName>
    <definedName name="afds_1_1" localSheetId="5" hidden="1">{"'vert'!$A$1:$T$117"}</definedName>
    <definedName name="afds_1_1" hidden="1">{"'vert'!$A$1:$T$117"}</definedName>
    <definedName name="afds_1_2" localSheetId="8" hidden="1">{"'vert'!$A$1:$T$117"}</definedName>
    <definedName name="afds_1_2" localSheetId="5" hidden="1">{"'vert'!$A$1:$T$117"}</definedName>
    <definedName name="afds_1_2" hidden="1">{"'vert'!$A$1:$T$117"}</definedName>
    <definedName name="afds_2" localSheetId="8" hidden="1">{"'vert'!$A$1:$T$117"}</definedName>
    <definedName name="afds_2" localSheetId="5" hidden="1">{"'vert'!$A$1:$T$117"}</definedName>
    <definedName name="afds_2" hidden="1">{"'vert'!$A$1:$T$117"}</definedName>
    <definedName name="afds_3" localSheetId="8" hidden="1">{"'vert'!$A$1:$T$117"}</definedName>
    <definedName name="afds_3" localSheetId="5" hidden="1">{"'vert'!$A$1:$T$117"}</definedName>
    <definedName name="afds_3" hidden="1">{"'vert'!$A$1:$T$117"}</definedName>
    <definedName name="agagafadgf_1" localSheetId="8" hidden="1">{"'vert'!$A$1:$T$117"}</definedName>
    <definedName name="agagafadgf_1" localSheetId="5" hidden="1">{"'vert'!$A$1:$T$117"}</definedName>
    <definedName name="agagafadgf_1" hidden="1">{"'vert'!$A$1:$T$117"}</definedName>
    <definedName name="agagafadgf_1_1" localSheetId="8" hidden="1">{"'vert'!$A$1:$T$117"}</definedName>
    <definedName name="agagafadgf_1_1" localSheetId="5" hidden="1">{"'vert'!$A$1:$T$117"}</definedName>
    <definedName name="agagafadgf_1_1" hidden="1">{"'vert'!$A$1:$T$117"}</definedName>
    <definedName name="agagafadgf_1_2" localSheetId="8" hidden="1">{"'vert'!$A$1:$T$117"}</definedName>
    <definedName name="agagafadgf_1_2" localSheetId="5" hidden="1">{"'vert'!$A$1:$T$117"}</definedName>
    <definedName name="agagafadgf_1_2" hidden="1">{"'vert'!$A$1:$T$117"}</definedName>
    <definedName name="agagafadgf_2" localSheetId="8" hidden="1">{"'vert'!$A$1:$T$117"}</definedName>
    <definedName name="agagafadgf_2" localSheetId="5" hidden="1">{"'vert'!$A$1:$T$117"}</definedName>
    <definedName name="agagafadgf_2" hidden="1">{"'vert'!$A$1:$T$117"}</definedName>
    <definedName name="agagafadgf_3" localSheetId="8" hidden="1">{"'vert'!$A$1:$T$117"}</definedName>
    <definedName name="agagafadgf_3" localSheetId="5" hidden="1">{"'vert'!$A$1:$T$117"}</definedName>
    <definedName name="agagafadgf_3" hidden="1">{"'vert'!$A$1:$T$117"}</definedName>
    <definedName name="agagda_1" localSheetId="8" hidden="1">{"'vert'!$A$1:$T$117"}</definedName>
    <definedName name="agagda_1" localSheetId="5" hidden="1">{"'vert'!$A$1:$T$117"}</definedName>
    <definedName name="agagda_1" hidden="1">{"'vert'!$A$1:$T$117"}</definedName>
    <definedName name="agagda_1_1" localSheetId="8" hidden="1">{"'vert'!$A$1:$T$117"}</definedName>
    <definedName name="agagda_1_1" localSheetId="5" hidden="1">{"'vert'!$A$1:$T$117"}</definedName>
    <definedName name="agagda_1_1" hidden="1">{"'vert'!$A$1:$T$117"}</definedName>
    <definedName name="agagda_1_2" localSheetId="8" hidden="1">{"'vert'!$A$1:$T$117"}</definedName>
    <definedName name="agagda_1_2" localSheetId="5" hidden="1">{"'vert'!$A$1:$T$117"}</definedName>
    <definedName name="agagda_1_2" hidden="1">{"'vert'!$A$1:$T$117"}</definedName>
    <definedName name="agagda_2" localSheetId="8" hidden="1">{"'vert'!$A$1:$T$117"}</definedName>
    <definedName name="agagda_2" localSheetId="5" hidden="1">{"'vert'!$A$1:$T$117"}</definedName>
    <definedName name="agagda_2" hidden="1">{"'vert'!$A$1:$T$117"}</definedName>
    <definedName name="agagda_3" localSheetId="8" hidden="1">{"'vert'!$A$1:$T$117"}</definedName>
    <definedName name="agagda_3" localSheetId="5" hidden="1">{"'vert'!$A$1:$T$117"}</definedName>
    <definedName name="agagda_3" hidden="1">{"'vert'!$A$1:$T$117"}</definedName>
    <definedName name="agdagdafgadgf_1" localSheetId="8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agdagdafgadgf_1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agdagdafgadgf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agdagdafgadgf_1_1" localSheetId="8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agdagdafgadgf_1_1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agdagdafgadgf_1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agdagdafgadgf_1_2" localSheetId="8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agdagdafgadgf_1_2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agdagdafgadgf_1_2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agdagdafgadgf_2" localSheetId="8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agdagdafgadgf_2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agdagdafgadgf_2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agdagdafgadgf_3" localSheetId="8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agdagdafgadgf_3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agdagdafgadgf_3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agfagadgdagfda_1" localSheetId="8" hidden="1">{"'vert'!$A$1:$T$117"}</definedName>
    <definedName name="agfagadgdagfda_1" localSheetId="5" hidden="1">{"'vert'!$A$1:$T$117"}</definedName>
    <definedName name="agfagadgdagfda_1" hidden="1">{"'vert'!$A$1:$T$117"}</definedName>
    <definedName name="agfagadgdagfda_1_1" localSheetId="8" hidden="1">{"'vert'!$A$1:$T$117"}</definedName>
    <definedName name="agfagadgdagfda_1_1" localSheetId="5" hidden="1">{"'vert'!$A$1:$T$117"}</definedName>
    <definedName name="agfagadgdagfda_1_1" hidden="1">{"'vert'!$A$1:$T$117"}</definedName>
    <definedName name="agfagadgdagfda_1_2" localSheetId="8" hidden="1">{"'vert'!$A$1:$T$117"}</definedName>
    <definedName name="agfagadgdagfda_1_2" localSheetId="5" hidden="1">{"'vert'!$A$1:$T$117"}</definedName>
    <definedName name="agfagadgdagfda_1_2" hidden="1">{"'vert'!$A$1:$T$117"}</definedName>
    <definedName name="agfagadgdagfda_2" localSheetId="8" hidden="1">{"'vert'!$A$1:$T$117"}</definedName>
    <definedName name="agfagadgdagfda_2" localSheetId="5" hidden="1">{"'vert'!$A$1:$T$117"}</definedName>
    <definedName name="agfagadgdagfda_2" hidden="1">{"'vert'!$A$1:$T$117"}</definedName>
    <definedName name="agfagadgdagfda_3" localSheetId="8" hidden="1">{"'vert'!$A$1:$T$117"}</definedName>
    <definedName name="agfagadgdagfda_3" localSheetId="5" hidden="1">{"'vert'!$A$1:$T$117"}</definedName>
    <definedName name="agfagadgdagfda_3" hidden="1">{"'vert'!$A$1:$T$117"}</definedName>
    <definedName name="agfagff_1" localSheetId="8" hidden="1">{"'vert'!$A$1:$T$117"}</definedName>
    <definedName name="agfagff_1" localSheetId="5" hidden="1">{"'vert'!$A$1:$T$117"}</definedName>
    <definedName name="agfagff_1" hidden="1">{"'vert'!$A$1:$T$117"}</definedName>
    <definedName name="agfagff_1_1" localSheetId="8" hidden="1">{"'vert'!$A$1:$T$117"}</definedName>
    <definedName name="agfagff_1_1" localSheetId="5" hidden="1">{"'vert'!$A$1:$T$117"}</definedName>
    <definedName name="agfagff_1_1" hidden="1">{"'vert'!$A$1:$T$117"}</definedName>
    <definedName name="agfagff_1_2" localSheetId="8" hidden="1">{"'vert'!$A$1:$T$117"}</definedName>
    <definedName name="agfagff_1_2" localSheetId="5" hidden="1">{"'vert'!$A$1:$T$117"}</definedName>
    <definedName name="agfagff_1_2" hidden="1">{"'vert'!$A$1:$T$117"}</definedName>
    <definedName name="agfagff_2" localSheetId="8" hidden="1">{"'vert'!$A$1:$T$117"}</definedName>
    <definedName name="agfagff_2" localSheetId="5" hidden="1">{"'vert'!$A$1:$T$117"}</definedName>
    <definedName name="agfagff_2" hidden="1">{"'vert'!$A$1:$T$117"}</definedName>
    <definedName name="agfagff_3" localSheetId="8" hidden="1">{"'vert'!$A$1:$T$117"}</definedName>
    <definedName name="agfagff_3" localSheetId="5" hidden="1">{"'vert'!$A$1:$T$117"}</definedName>
    <definedName name="agfagff_3" hidden="1">{"'vert'!$A$1:$T$117"}</definedName>
    <definedName name="agg" localSheetId="8" hidden="1">{"'vert'!$A$1:$T$117"}</definedName>
    <definedName name="agg" localSheetId="5" hidden="1">{"'vert'!$A$1:$T$117"}</definedName>
    <definedName name="agg" hidden="1">{"'vert'!$A$1:$T$117"}</definedName>
    <definedName name="ajalfdj" localSheetId="8" hidden="1">{"'vert'!$A$1:$T$117"}</definedName>
    <definedName name="ajalfdj" localSheetId="5" hidden="1">{"'vert'!$A$1:$T$117"}</definedName>
    <definedName name="ajalfdj" hidden="1">{"'vert'!$A$1:$T$117"}</definedName>
    <definedName name="ajalfdj_1" localSheetId="8" hidden="1">{"'vert'!$A$1:$T$117"}</definedName>
    <definedName name="ajalfdj_1" localSheetId="5" hidden="1">{"'vert'!$A$1:$T$117"}</definedName>
    <definedName name="ajalfdj_1" hidden="1">{"'vert'!$A$1:$T$117"}</definedName>
    <definedName name="ajalfdj_1_1" localSheetId="8" hidden="1">{"'vert'!$A$1:$T$117"}</definedName>
    <definedName name="ajalfdj_1_1" localSheetId="5" hidden="1">{"'vert'!$A$1:$T$117"}</definedName>
    <definedName name="ajalfdj_1_1" hidden="1">{"'vert'!$A$1:$T$117"}</definedName>
    <definedName name="ajalfdj_1_1_1" localSheetId="8" hidden="1">{"'vert'!$A$1:$T$117"}</definedName>
    <definedName name="ajalfdj_1_1_1" localSheetId="5" hidden="1">{"'vert'!$A$1:$T$117"}</definedName>
    <definedName name="ajalfdj_1_1_1" hidden="1">{"'vert'!$A$1:$T$117"}</definedName>
    <definedName name="ajalfdj_1_1_1_1" localSheetId="8" hidden="1">{"'vert'!$A$1:$T$117"}</definedName>
    <definedName name="ajalfdj_1_1_1_1" localSheetId="5" hidden="1">{"'vert'!$A$1:$T$117"}</definedName>
    <definedName name="ajalfdj_1_1_1_1" hidden="1">{"'vert'!$A$1:$T$117"}</definedName>
    <definedName name="ajalfdj_1_1_2" localSheetId="8" hidden="1">{"'vert'!$A$1:$T$117"}</definedName>
    <definedName name="ajalfdj_1_1_2" localSheetId="5" hidden="1">{"'vert'!$A$1:$T$117"}</definedName>
    <definedName name="ajalfdj_1_1_2" hidden="1">{"'vert'!$A$1:$T$117"}</definedName>
    <definedName name="ajalfdj_1_2" localSheetId="8" hidden="1">{"'vert'!$A$1:$T$117"}</definedName>
    <definedName name="ajalfdj_1_2" localSheetId="5" hidden="1">{"'vert'!$A$1:$T$117"}</definedName>
    <definedName name="ajalfdj_1_2" hidden="1">{"'vert'!$A$1:$T$117"}</definedName>
    <definedName name="ajalfdj_1_2_1" localSheetId="8" hidden="1">{"'vert'!$A$1:$T$117"}</definedName>
    <definedName name="ajalfdj_1_2_1" localSheetId="5" hidden="1">{"'vert'!$A$1:$T$117"}</definedName>
    <definedName name="ajalfdj_1_2_1" hidden="1">{"'vert'!$A$1:$T$117"}</definedName>
    <definedName name="ajalfdj_1_2_1_1" localSheetId="8" hidden="1">{"'vert'!$A$1:$T$117"}</definedName>
    <definedName name="ajalfdj_1_2_1_1" localSheetId="5" hidden="1">{"'vert'!$A$1:$T$117"}</definedName>
    <definedName name="ajalfdj_1_2_1_1" hidden="1">{"'vert'!$A$1:$T$117"}</definedName>
    <definedName name="ajalfdj_1_2_2" localSheetId="8" hidden="1">{"'vert'!$A$1:$T$117"}</definedName>
    <definedName name="ajalfdj_1_2_2" localSheetId="5" hidden="1">{"'vert'!$A$1:$T$117"}</definedName>
    <definedName name="ajalfdj_1_2_2" hidden="1">{"'vert'!$A$1:$T$117"}</definedName>
    <definedName name="ajalfdj_1_3" localSheetId="8" hidden="1">{"'vert'!$A$1:$T$117"}</definedName>
    <definedName name="ajalfdj_1_3" localSheetId="5" hidden="1">{"'vert'!$A$1:$T$117"}</definedName>
    <definedName name="ajalfdj_1_3" hidden="1">{"'vert'!$A$1:$T$117"}</definedName>
    <definedName name="ajalfdj_1_3_1" localSheetId="8" hidden="1">{"'vert'!$A$1:$T$117"}</definedName>
    <definedName name="ajalfdj_1_3_1" localSheetId="5" hidden="1">{"'vert'!$A$1:$T$117"}</definedName>
    <definedName name="ajalfdj_1_3_1" hidden="1">{"'vert'!$A$1:$T$117"}</definedName>
    <definedName name="ajalfdj_1_4" localSheetId="8" hidden="1">{"'vert'!$A$1:$T$117"}</definedName>
    <definedName name="ajalfdj_1_4" localSheetId="5" hidden="1">{"'vert'!$A$1:$T$117"}</definedName>
    <definedName name="ajalfdj_1_4" hidden="1">{"'vert'!$A$1:$T$117"}</definedName>
    <definedName name="ajalfdj_2" localSheetId="8" hidden="1">{"'vert'!$A$1:$T$117"}</definedName>
    <definedName name="ajalfdj_2" localSheetId="5" hidden="1">{"'vert'!$A$1:$T$117"}</definedName>
    <definedName name="ajalfdj_2" hidden="1">{"'vert'!$A$1:$T$117"}</definedName>
    <definedName name="ajalfdj_2_1" localSheetId="8" hidden="1">{"'vert'!$A$1:$T$117"}</definedName>
    <definedName name="ajalfdj_2_1" localSheetId="5" hidden="1">{"'vert'!$A$1:$T$117"}</definedName>
    <definedName name="ajalfdj_2_1" hidden="1">{"'vert'!$A$1:$T$117"}</definedName>
    <definedName name="ajalfdj_2_1_1" localSheetId="8" hidden="1">{"'vert'!$A$1:$T$117"}</definedName>
    <definedName name="ajalfdj_2_1_1" localSheetId="5" hidden="1">{"'vert'!$A$1:$T$117"}</definedName>
    <definedName name="ajalfdj_2_1_1" hidden="1">{"'vert'!$A$1:$T$117"}</definedName>
    <definedName name="ajalfdj_2_2" localSheetId="8" hidden="1">{"'vert'!$A$1:$T$117"}</definedName>
    <definedName name="ajalfdj_2_2" localSheetId="5" hidden="1">{"'vert'!$A$1:$T$117"}</definedName>
    <definedName name="ajalfdj_2_2" hidden="1">{"'vert'!$A$1:$T$117"}</definedName>
    <definedName name="ajalfdj_3" localSheetId="8" hidden="1">{"'vert'!$A$1:$T$117"}</definedName>
    <definedName name="ajalfdj_3" localSheetId="5" hidden="1">{"'vert'!$A$1:$T$117"}</definedName>
    <definedName name="ajalfdj_3" hidden="1">{"'vert'!$A$1:$T$117"}</definedName>
    <definedName name="ajalfdj_3_1" localSheetId="8" hidden="1">{"'vert'!$A$1:$T$117"}</definedName>
    <definedName name="ajalfdj_3_1" localSheetId="5" hidden="1">{"'vert'!$A$1:$T$117"}</definedName>
    <definedName name="ajalfdj_3_1" hidden="1">{"'vert'!$A$1:$T$117"}</definedName>
    <definedName name="ajalfdj_3_1_1" localSheetId="8" hidden="1">{"'vert'!$A$1:$T$117"}</definedName>
    <definedName name="ajalfdj_3_1_1" localSheetId="5" hidden="1">{"'vert'!$A$1:$T$117"}</definedName>
    <definedName name="ajalfdj_3_1_1" hidden="1">{"'vert'!$A$1:$T$117"}</definedName>
    <definedName name="ajalfdj_3_2" localSheetId="8" hidden="1">{"'vert'!$A$1:$T$117"}</definedName>
    <definedName name="ajalfdj_3_2" localSheetId="5" hidden="1">{"'vert'!$A$1:$T$117"}</definedName>
    <definedName name="ajalfdj_3_2" hidden="1">{"'vert'!$A$1:$T$117"}</definedName>
    <definedName name="ajalfdj_4" localSheetId="8" hidden="1">{"'vert'!$A$1:$T$117"}</definedName>
    <definedName name="ajalfdj_4" localSheetId="5" hidden="1">{"'vert'!$A$1:$T$117"}</definedName>
    <definedName name="ajalfdj_4" hidden="1">{"'vert'!$A$1:$T$117"}</definedName>
    <definedName name="ajalfdj_4_1" localSheetId="8" hidden="1">{"'vert'!$A$1:$T$117"}</definedName>
    <definedName name="ajalfdj_4_1" localSheetId="5" hidden="1">{"'vert'!$A$1:$T$117"}</definedName>
    <definedName name="ajalfdj_4_1" hidden="1">{"'vert'!$A$1:$T$117"}</definedName>
    <definedName name="ajalfdj_5" localSheetId="8" hidden="1">{"'vert'!$A$1:$T$117"}</definedName>
    <definedName name="ajalfdj_5" localSheetId="5" hidden="1">{"'vert'!$A$1:$T$117"}</definedName>
    <definedName name="ajalfdj_5" hidden="1">{"'vert'!$A$1:$T$117"}</definedName>
    <definedName name="ajalfdj1" localSheetId="8" hidden="1">{"'vert'!$A$1:$T$117"}</definedName>
    <definedName name="ajalfdj1" localSheetId="5" hidden="1">{"'vert'!$A$1:$T$117"}</definedName>
    <definedName name="ajalfdj1" hidden="1">{"'vert'!$A$1:$T$117"}</definedName>
    <definedName name="ajalfdj1_1" localSheetId="8" hidden="1">{"'vert'!$A$1:$T$117"}</definedName>
    <definedName name="ajalfdj1_1" localSheetId="5" hidden="1">{"'vert'!$A$1:$T$117"}</definedName>
    <definedName name="ajalfdj1_1" hidden="1">{"'vert'!$A$1:$T$117"}</definedName>
    <definedName name="ajalfdj1_1_1" localSheetId="8" hidden="1">{"'vert'!$A$1:$T$117"}</definedName>
    <definedName name="ajalfdj1_1_1" localSheetId="5" hidden="1">{"'vert'!$A$1:$T$117"}</definedName>
    <definedName name="ajalfdj1_1_1" hidden="1">{"'vert'!$A$1:$T$117"}</definedName>
    <definedName name="ajalfdj1_1_2" localSheetId="8" hidden="1">{"'vert'!$A$1:$T$117"}</definedName>
    <definedName name="ajalfdj1_1_2" localSheetId="5" hidden="1">{"'vert'!$A$1:$T$117"}</definedName>
    <definedName name="ajalfdj1_1_2" hidden="1">{"'vert'!$A$1:$T$117"}</definedName>
    <definedName name="ajalfdj1_2" localSheetId="8" hidden="1">{"'vert'!$A$1:$T$117"}</definedName>
    <definedName name="ajalfdj1_2" localSheetId="5" hidden="1">{"'vert'!$A$1:$T$117"}</definedName>
    <definedName name="ajalfdj1_2" hidden="1">{"'vert'!$A$1:$T$117"}</definedName>
    <definedName name="ajalfdj1_3" localSheetId="8" hidden="1">{"'vert'!$A$1:$T$117"}</definedName>
    <definedName name="ajalfdj1_3" localSheetId="5" hidden="1">{"'vert'!$A$1:$T$117"}</definedName>
    <definedName name="ajalfdj1_3" hidden="1">{"'vert'!$A$1:$T$117"}</definedName>
    <definedName name="ajalfdj2" localSheetId="8" hidden="1">{"'vert'!$A$1:$T$117"}</definedName>
    <definedName name="ajalfdj2" localSheetId="5" hidden="1">{"'vert'!$A$1:$T$117"}</definedName>
    <definedName name="ajalfdj2" hidden="1">{"'vert'!$A$1:$T$117"}</definedName>
    <definedName name="ajalfdj2_1" localSheetId="8" hidden="1">{"'vert'!$A$1:$T$117"}</definedName>
    <definedName name="ajalfdj2_1" localSheetId="5" hidden="1">{"'vert'!$A$1:$T$117"}</definedName>
    <definedName name="ajalfdj2_1" hidden="1">{"'vert'!$A$1:$T$117"}</definedName>
    <definedName name="ajalfdj2_1_1" localSheetId="8" hidden="1">{"'vert'!$A$1:$T$117"}</definedName>
    <definedName name="ajalfdj2_1_1" localSheetId="5" hidden="1">{"'vert'!$A$1:$T$117"}</definedName>
    <definedName name="ajalfdj2_1_1" hidden="1">{"'vert'!$A$1:$T$117"}</definedName>
    <definedName name="ajalfdj2_1_1_1" localSheetId="8" hidden="1">{"'vert'!$A$1:$T$117"}</definedName>
    <definedName name="ajalfdj2_1_1_1" localSheetId="5" hidden="1">{"'vert'!$A$1:$T$117"}</definedName>
    <definedName name="ajalfdj2_1_1_1" hidden="1">{"'vert'!$A$1:$T$117"}</definedName>
    <definedName name="ajalfdj2_1_2" localSheetId="8" hidden="1">{"'vert'!$A$1:$T$117"}</definedName>
    <definedName name="ajalfdj2_1_2" localSheetId="5" hidden="1">{"'vert'!$A$1:$T$117"}</definedName>
    <definedName name="ajalfdj2_1_2" hidden="1">{"'vert'!$A$1:$T$117"}</definedName>
    <definedName name="ajalfdj2_2" localSheetId="8" hidden="1">{"'vert'!$A$1:$T$117"}</definedName>
    <definedName name="ajalfdj2_2" localSheetId="5" hidden="1">{"'vert'!$A$1:$T$117"}</definedName>
    <definedName name="ajalfdj2_2" hidden="1">{"'vert'!$A$1:$T$117"}</definedName>
    <definedName name="ajalfdj2_2_1" localSheetId="8" hidden="1">{"'vert'!$A$1:$T$117"}</definedName>
    <definedName name="ajalfdj2_2_1" localSheetId="5" hidden="1">{"'vert'!$A$1:$T$117"}</definedName>
    <definedName name="ajalfdj2_2_1" hidden="1">{"'vert'!$A$1:$T$117"}</definedName>
    <definedName name="ajalfdj2_2_1_1" localSheetId="8" hidden="1">{"'vert'!$A$1:$T$117"}</definedName>
    <definedName name="ajalfdj2_2_1_1" localSheetId="5" hidden="1">{"'vert'!$A$1:$T$117"}</definedName>
    <definedName name="ajalfdj2_2_1_1" hidden="1">{"'vert'!$A$1:$T$117"}</definedName>
    <definedName name="ajalfdj2_2_2" localSheetId="8" hidden="1">{"'vert'!$A$1:$T$117"}</definedName>
    <definedName name="ajalfdj2_2_2" localSheetId="5" hidden="1">{"'vert'!$A$1:$T$117"}</definedName>
    <definedName name="ajalfdj2_2_2" hidden="1">{"'vert'!$A$1:$T$117"}</definedName>
    <definedName name="ajalfdj2_3" localSheetId="8" hidden="1">{"'vert'!$A$1:$T$117"}</definedName>
    <definedName name="ajalfdj2_3" localSheetId="5" hidden="1">{"'vert'!$A$1:$T$117"}</definedName>
    <definedName name="ajalfdj2_3" hidden="1">{"'vert'!$A$1:$T$117"}</definedName>
    <definedName name="ajalfdj2_3_1" localSheetId="8" hidden="1">{"'vert'!$A$1:$T$117"}</definedName>
    <definedName name="ajalfdj2_3_1" localSheetId="5" hidden="1">{"'vert'!$A$1:$T$117"}</definedName>
    <definedName name="ajalfdj2_3_1" hidden="1">{"'vert'!$A$1:$T$117"}</definedName>
    <definedName name="ajalfdj2_4" localSheetId="8" hidden="1">{"'vert'!$A$1:$T$117"}</definedName>
    <definedName name="ajalfdj2_4" localSheetId="5" hidden="1">{"'vert'!$A$1:$T$117"}</definedName>
    <definedName name="ajalfdj2_4" hidden="1">{"'vert'!$A$1:$T$117"}</definedName>
    <definedName name="ajalfdj9" localSheetId="8" hidden="1">{"'vert'!$A$1:$T$117"}</definedName>
    <definedName name="ajalfdj9" localSheetId="5" hidden="1">{"'vert'!$A$1:$T$117"}</definedName>
    <definedName name="ajalfdj9" hidden="1">{"'vert'!$A$1:$T$117"}</definedName>
    <definedName name="ajalfdj9_1" localSheetId="8" hidden="1">{"'vert'!$A$1:$T$117"}</definedName>
    <definedName name="ajalfdj9_1" localSheetId="5" hidden="1">{"'vert'!$A$1:$T$117"}</definedName>
    <definedName name="ajalfdj9_1" hidden="1">{"'vert'!$A$1:$T$117"}</definedName>
    <definedName name="ajalfdj9_1_1" localSheetId="8" hidden="1">{"'vert'!$A$1:$T$117"}</definedName>
    <definedName name="ajalfdj9_1_1" localSheetId="5" hidden="1">{"'vert'!$A$1:$T$117"}</definedName>
    <definedName name="ajalfdj9_1_1" hidden="1">{"'vert'!$A$1:$T$117"}</definedName>
    <definedName name="ajalfdj9_1_1_1" localSheetId="8" hidden="1">{"'vert'!$A$1:$T$117"}</definedName>
    <definedName name="ajalfdj9_1_1_1" localSheetId="5" hidden="1">{"'vert'!$A$1:$T$117"}</definedName>
    <definedName name="ajalfdj9_1_1_1" hidden="1">{"'vert'!$A$1:$T$117"}</definedName>
    <definedName name="ajalfdj9_1_2" localSheetId="8" hidden="1">{"'vert'!$A$1:$T$117"}</definedName>
    <definedName name="ajalfdj9_1_2" localSheetId="5" hidden="1">{"'vert'!$A$1:$T$117"}</definedName>
    <definedName name="ajalfdj9_1_2" hidden="1">{"'vert'!$A$1:$T$117"}</definedName>
    <definedName name="ajalfdj9_2" localSheetId="8" hidden="1">{"'vert'!$A$1:$T$117"}</definedName>
    <definedName name="ajalfdj9_2" localSheetId="5" hidden="1">{"'vert'!$A$1:$T$117"}</definedName>
    <definedName name="ajalfdj9_2" hidden="1">{"'vert'!$A$1:$T$117"}</definedName>
    <definedName name="ajalfdj9_2_1" localSheetId="8" hidden="1">{"'vert'!$A$1:$T$117"}</definedName>
    <definedName name="ajalfdj9_2_1" localSheetId="5" hidden="1">{"'vert'!$A$1:$T$117"}</definedName>
    <definedName name="ajalfdj9_2_1" hidden="1">{"'vert'!$A$1:$T$117"}</definedName>
    <definedName name="ajalfdj9_2_1_1" localSheetId="8" hidden="1">{"'vert'!$A$1:$T$117"}</definedName>
    <definedName name="ajalfdj9_2_1_1" localSheetId="5" hidden="1">{"'vert'!$A$1:$T$117"}</definedName>
    <definedName name="ajalfdj9_2_1_1" hidden="1">{"'vert'!$A$1:$T$117"}</definedName>
    <definedName name="ajalfdj9_2_2" localSheetId="8" hidden="1">{"'vert'!$A$1:$T$117"}</definedName>
    <definedName name="ajalfdj9_2_2" localSheetId="5" hidden="1">{"'vert'!$A$1:$T$117"}</definedName>
    <definedName name="ajalfdj9_2_2" hidden="1">{"'vert'!$A$1:$T$117"}</definedName>
    <definedName name="ajalfdj9_3" localSheetId="8" hidden="1">{"'vert'!$A$1:$T$117"}</definedName>
    <definedName name="ajalfdj9_3" localSheetId="5" hidden="1">{"'vert'!$A$1:$T$117"}</definedName>
    <definedName name="ajalfdj9_3" hidden="1">{"'vert'!$A$1:$T$117"}</definedName>
    <definedName name="ajalfdj9_3_1" localSheetId="8" hidden="1">{"'vert'!$A$1:$T$117"}</definedName>
    <definedName name="ajalfdj9_3_1" localSheetId="5" hidden="1">{"'vert'!$A$1:$T$117"}</definedName>
    <definedName name="ajalfdj9_3_1" hidden="1">{"'vert'!$A$1:$T$117"}</definedName>
    <definedName name="ajalfdj9_4" localSheetId="8" hidden="1">{"'vert'!$A$1:$T$117"}</definedName>
    <definedName name="ajalfdj9_4" localSheetId="5" hidden="1">{"'vert'!$A$1:$T$117"}</definedName>
    <definedName name="ajalfdj9_4" hidden="1">{"'vert'!$A$1:$T$117"}</definedName>
    <definedName name="anscount" hidden="1">1</definedName>
    <definedName name="Appendix" localSheetId="8" hidden="1">{"'vert'!$A$1:$T$117"}</definedName>
    <definedName name="Appendix" localSheetId="5" hidden="1">{"'vert'!$A$1:$T$117"}</definedName>
    <definedName name="Appendix" hidden="1">{"'vert'!$A$1:$T$117"}</definedName>
    <definedName name="Appendix_1" localSheetId="8" hidden="1">{"'vert'!$A$1:$T$117"}</definedName>
    <definedName name="Appendix_1" localSheetId="5" hidden="1">{"'vert'!$A$1:$T$117"}</definedName>
    <definedName name="Appendix_1" hidden="1">{"'vert'!$A$1:$T$117"}</definedName>
    <definedName name="Appendix_1_1" localSheetId="8" hidden="1">{"'vert'!$A$1:$T$117"}</definedName>
    <definedName name="Appendix_1_1" localSheetId="5" hidden="1">{"'vert'!$A$1:$T$117"}</definedName>
    <definedName name="Appendix_1_1" hidden="1">{"'vert'!$A$1:$T$117"}</definedName>
    <definedName name="Appendix_1_1_1" localSheetId="8" hidden="1">{"'vert'!$A$1:$T$117"}</definedName>
    <definedName name="Appendix_1_1_1" localSheetId="5" hidden="1">{"'vert'!$A$1:$T$117"}</definedName>
    <definedName name="Appendix_1_1_1" hidden="1">{"'vert'!$A$1:$T$117"}</definedName>
    <definedName name="Appendix_1_2" localSheetId="8" hidden="1">{"'vert'!$A$1:$T$117"}</definedName>
    <definedName name="Appendix_1_2" localSheetId="5" hidden="1">{"'vert'!$A$1:$T$117"}</definedName>
    <definedName name="Appendix_1_2" hidden="1">{"'vert'!$A$1:$T$117"}</definedName>
    <definedName name="Appendix_2" localSheetId="8" hidden="1">{"'vert'!$A$1:$T$117"}</definedName>
    <definedName name="Appendix_2" localSheetId="5" hidden="1">{"'vert'!$A$1:$T$117"}</definedName>
    <definedName name="Appendix_2" hidden="1">{"'vert'!$A$1:$T$117"}</definedName>
    <definedName name="Appendix_2_1" localSheetId="8" hidden="1">{"'vert'!$A$1:$T$117"}</definedName>
    <definedName name="Appendix_2_1" localSheetId="5" hidden="1">{"'vert'!$A$1:$T$117"}</definedName>
    <definedName name="Appendix_2_1" hidden="1">{"'vert'!$A$1:$T$117"}</definedName>
    <definedName name="Appendix_2_1_1" localSheetId="8" hidden="1">{"'vert'!$A$1:$T$117"}</definedName>
    <definedName name="Appendix_2_1_1" localSheetId="5" hidden="1">{"'vert'!$A$1:$T$117"}</definedName>
    <definedName name="Appendix_2_1_1" hidden="1">{"'vert'!$A$1:$T$117"}</definedName>
    <definedName name="Appendix_2_2" localSheetId="8" hidden="1">{"'vert'!$A$1:$T$117"}</definedName>
    <definedName name="Appendix_2_2" localSheetId="5" hidden="1">{"'vert'!$A$1:$T$117"}</definedName>
    <definedName name="Appendix_2_2" hidden="1">{"'vert'!$A$1:$T$117"}</definedName>
    <definedName name="Appendix_3" localSheetId="8" hidden="1">{"'vert'!$A$1:$T$117"}</definedName>
    <definedName name="Appendix_3" localSheetId="5" hidden="1">{"'vert'!$A$1:$T$117"}</definedName>
    <definedName name="Appendix_3" hidden="1">{"'vert'!$A$1:$T$117"}</definedName>
    <definedName name="Appendix_3_1" localSheetId="8" hidden="1">{"'vert'!$A$1:$T$117"}</definedName>
    <definedName name="Appendix_3_1" localSheetId="5" hidden="1">{"'vert'!$A$1:$T$117"}</definedName>
    <definedName name="Appendix_3_1" hidden="1">{"'vert'!$A$1:$T$117"}</definedName>
    <definedName name="Appendix_4" localSheetId="8" hidden="1">{"'vert'!$A$1:$T$117"}</definedName>
    <definedName name="Appendix_4" localSheetId="5" hidden="1">{"'vert'!$A$1:$T$117"}</definedName>
    <definedName name="Appendix_4" hidden="1">{"'vert'!$A$1:$T$117"}</definedName>
    <definedName name="appendix4" localSheetId="8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ppendix4" localSheetId="5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ppendix4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ppII" localSheetId="8" hidden="1">{"'vert'!$A$1:$T$117"}</definedName>
    <definedName name="AppII" localSheetId="5" hidden="1">{"'vert'!$A$1:$T$117"}</definedName>
    <definedName name="AppII" hidden="1">{"'vert'!$A$1:$T$117"}</definedName>
    <definedName name="AppII_1" localSheetId="8" hidden="1">{"'vert'!$A$1:$T$117"}</definedName>
    <definedName name="AppII_1" localSheetId="5" hidden="1">{"'vert'!$A$1:$T$117"}</definedName>
    <definedName name="AppII_1" hidden="1">{"'vert'!$A$1:$T$117"}</definedName>
    <definedName name="AppII_1_1" localSheetId="8" hidden="1">{"'vert'!$A$1:$T$117"}</definedName>
    <definedName name="AppII_1_1" localSheetId="5" hidden="1">{"'vert'!$A$1:$T$117"}</definedName>
    <definedName name="AppII_1_1" hidden="1">{"'vert'!$A$1:$T$117"}</definedName>
    <definedName name="AppII_1_1_1" localSheetId="8" hidden="1">{"'vert'!$A$1:$T$117"}</definedName>
    <definedName name="AppII_1_1_1" localSheetId="5" hidden="1">{"'vert'!$A$1:$T$117"}</definedName>
    <definedName name="AppII_1_1_1" hidden="1">{"'vert'!$A$1:$T$117"}</definedName>
    <definedName name="AppII_1_2" localSheetId="8" hidden="1">{"'vert'!$A$1:$T$117"}</definedName>
    <definedName name="AppII_1_2" localSheetId="5" hidden="1">{"'vert'!$A$1:$T$117"}</definedName>
    <definedName name="AppII_1_2" hidden="1">{"'vert'!$A$1:$T$117"}</definedName>
    <definedName name="AppII_2" localSheetId="8" hidden="1">{"'vert'!$A$1:$T$117"}</definedName>
    <definedName name="AppII_2" localSheetId="5" hidden="1">{"'vert'!$A$1:$T$117"}</definedName>
    <definedName name="AppII_2" hidden="1">{"'vert'!$A$1:$T$117"}</definedName>
    <definedName name="AppII_2_1" localSheetId="8" hidden="1">{"'vert'!$A$1:$T$117"}</definedName>
    <definedName name="AppII_2_1" localSheetId="5" hidden="1">{"'vert'!$A$1:$T$117"}</definedName>
    <definedName name="AppII_2_1" hidden="1">{"'vert'!$A$1:$T$117"}</definedName>
    <definedName name="AppII_2_1_1" localSheetId="8" hidden="1">{"'vert'!$A$1:$T$117"}</definedName>
    <definedName name="AppII_2_1_1" localSheetId="5" hidden="1">{"'vert'!$A$1:$T$117"}</definedName>
    <definedName name="AppII_2_1_1" hidden="1">{"'vert'!$A$1:$T$117"}</definedName>
    <definedName name="AppII_2_2" localSheetId="8" hidden="1">{"'vert'!$A$1:$T$117"}</definedName>
    <definedName name="AppII_2_2" localSheetId="5" hidden="1">{"'vert'!$A$1:$T$117"}</definedName>
    <definedName name="AppII_2_2" hidden="1">{"'vert'!$A$1:$T$117"}</definedName>
    <definedName name="AppII_3" localSheetId="8" hidden="1">{"'vert'!$A$1:$T$117"}</definedName>
    <definedName name="AppII_3" localSheetId="5" hidden="1">{"'vert'!$A$1:$T$117"}</definedName>
    <definedName name="AppII_3" hidden="1">{"'vert'!$A$1:$T$117"}</definedName>
    <definedName name="AppII_3_1" localSheetId="8" hidden="1">{"'vert'!$A$1:$T$117"}</definedName>
    <definedName name="AppII_3_1" localSheetId="5" hidden="1">{"'vert'!$A$1:$T$117"}</definedName>
    <definedName name="AppII_3_1" hidden="1">{"'vert'!$A$1:$T$117"}</definedName>
    <definedName name="AppII_4" localSheetId="8" hidden="1">{"'vert'!$A$1:$T$117"}</definedName>
    <definedName name="AppII_4" localSheetId="5" hidden="1">{"'vert'!$A$1:$T$117"}</definedName>
    <definedName name="AppII_4" hidden="1">{"'vert'!$A$1:$T$117"}</definedName>
    <definedName name="aqe_1" localSheetId="8" hidden="1">{"'vert'!$A$1:$T$117"}</definedName>
    <definedName name="aqe_1" localSheetId="5" hidden="1">{"'vert'!$A$1:$T$117"}</definedName>
    <definedName name="aqe_1" hidden="1">{"'vert'!$A$1:$T$117"}</definedName>
    <definedName name="aqe_1_1" localSheetId="8" hidden="1">{"'vert'!$A$1:$T$117"}</definedName>
    <definedName name="aqe_1_1" localSheetId="5" hidden="1">{"'vert'!$A$1:$T$117"}</definedName>
    <definedName name="aqe_1_1" hidden="1">{"'vert'!$A$1:$T$117"}</definedName>
    <definedName name="aqe_1_2" localSheetId="8" hidden="1">{"'vert'!$A$1:$T$117"}</definedName>
    <definedName name="aqe_1_2" localSheetId="5" hidden="1">{"'vert'!$A$1:$T$117"}</definedName>
    <definedName name="aqe_1_2" hidden="1">{"'vert'!$A$1:$T$117"}</definedName>
    <definedName name="aqe_2" localSheetId="8" hidden="1">{"'vert'!$A$1:$T$117"}</definedName>
    <definedName name="aqe_2" localSheetId="5" hidden="1">{"'vert'!$A$1:$T$117"}</definedName>
    <definedName name="aqe_2" hidden="1">{"'vert'!$A$1:$T$117"}</definedName>
    <definedName name="aqe_3" localSheetId="8" hidden="1">{"'vert'!$A$1:$T$117"}</definedName>
    <definedName name="aqe_3" localSheetId="5" hidden="1">{"'vert'!$A$1:$T$117"}</definedName>
    <definedName name="aqe_3" hidden="1">{"'vert'!$A$1:$T$117"}</definedName>
    <definedName name="arbitrary" localSheetId="8" hidden="1">{"'vert'!$A$1:$T$117"}</definedName>
    <definedName name="arbitrary" localSheetId="5" hidden="1">{"'vert'!$A$1:$T$117"}</definedName>
    <definedName name="arbitrary" hidden="1">{"'vert'!$A$1:$T$117"}</definedName>
    <definedName name="are" localSheetId="8" hidden="1">{#N/A,#N/A,FALSE,"Sheet1"}</definedName>
    <definedName name="are" localSheetId="5" hidden="1">{#N/A,#N/A,FALSE,"Sheet1"}</definedName>
    <definedName name="are" hidden="1">{#N/A,#N/A,FALSE,"Sheet1"}</definedName>
    <definedName name="ARPU" localSheetId="8" hidden="1">{"FCB_ALL",#N/A,FALSE,"FCB"}</definedName>
    <definedName name="ARPU" localSheetId="5" hidden="1">{"FCB_ALL",#N/A,FALSE,"FCB"}</definedName>
    <definedName name="ARPU" hidden="1">{"FCB_ALL",#N/A,FALSE,"FCB"}</definedName>
    <definedName name="as" localSheetId="8" hidden="1">{"'vert'!$A$1:$T$117"}</definedName>
    <definedName name="as" localSheetId="5" hidden="1">{"'vert'!$A$1:$T$117"}</definedName>
    <definedName name="as" hidden="1">{"'vert'!$A$1:$T$117"}</definedName>
    <definedName name="as_1" localSheetId="8" hidden="1">{"'vert'!$A$1:$T$117"}</definedName>
    <definedName name="as_1" localSheetId="5" hidden="1">{"'vert'!$A$1:$T$117"}</definedName>
    <definedName name="as_1" hidden="1">{"'vert'!$A$1:$T$117"}</definedName>
    <definedName name="as_1_1" localSheetId="8" hidden="1">{"'vert'!$A$1:$T$117"}</definedName>
    <definedName name="as_1_1" localSheetId="5" hidden="1">{"'vert'!$A$1:$T$117"}</definedName>
    <definedName name="as_1_1" hidden="1">{"'vert'!$A$1:$T$117"}</definedName>
    <definedName name="as_1_2" localSheetId="8" hidden="1">{"'vert'!$A$1:$T$117"}</definedName>
    <definedName name="as_1_2" localSheetId="5" hidden="1">{"'vert'!$A$1:$T$117"}</definedName>
    <definedName name="as_1_2" hidden="1">{"'vert'!$A$1:$T$117"}</definedName>
    <definedName name="as_2" localSheetId="8" hidden="1">{"'vert'!$A$1:$T$117"}</definedName>
    <definedName name="as_2" localSheetId="5" hidden="1">{"'vert'!$A$1:$T$117"}</definedName>
    <definedName name="as_2" hidden="1">{"'vert'!$A$1:$T$117"}</definedName>
    <definedName name="as_3" localSheetId="8" hidden="1">{"'vert'!$A$1:$T$117"}</definedName>
    <definedName name="as_3" localSheetId="5" hidden="1">{"'vert'!$A$1:$T$117"}</definedName>
    <definedName name="as_3" hidden="1">{"'vert'!$A$1:$T$117"}</definedName>
    <definedName name="AS2DocOpenMode" hidden="1">"AS2DocumentEdit"</definedName>
    <definedName name="asd" localSheetId="8" hidden="1">{"FCB_ALL",#N/A,FALSE,"FCB";"GREY_ALL",#N/A,FALSE,"GREY"}</definedName>
    <definedName name="asd" localSheetId="5" hidden="1">{"FCB_ALL",#N/A,FALSE,"FCB";"GREY_ALL",#N/A,FALSE,"GREY"}</definedName>
    <definedName name="asd" hidden="1">{"FCB_ALL",#N/A,FALSE,"FCB";"GREY_ALL",#N/A,FALSE,"GREY"}</definedName>
    <definedName name="asdas" localSheetId="8" hidden="1">{"'vert'!$A$1:$T$117"}</definedName>
    <definedName name="asdas" localSheetId="5" hidden="1">{"'vert'!$A$1:$T$117"}</definedName>
    <definedName name="asdas" hidden="1">{"'vert'!$A$1:$T$117"}</definedName>
    <definedName name="asdasd" localSheetId="8" hidden="1">{"'weekly data'!$A$2:$AS$36"}</definedName>
    <definedName name="asdasd" localSheetId="5" hidden="1">{"'weekly data'!$A$2:$AS$36"}</definedName>
    <definedName name="asdasd" hidden="1">{"'weekly data'!$A$2:$AS$36"}</definedName>
    <definedName name="asdasd_1" localSheetId="8" hidden="1">{"'weekly data'!$A$2:$AS$36"}</definedName>
    <definedName name="asdasd_1" localSheetId="5" hidden="1">{"'weekly data'!$A$2:$AS$36"}</definedName>
    <definedName name="asdasd_1" hidden="1">{"'weekly data'!$A$2:$AS$36"}</definedName>
    <definedName name="asdasd_1_1" localSheetId="8" hidden="1">{"'weekly data'!$A$2:$AS$36"}</definedName>
    <definedName name="asdasd_1_1" localSheetId="5" hidden="1">{"'weekly data'!$A$2:$AS$36"}</definedName>
    <definedName name="asdasd_1_1" hidden="1">{"'weekly data'!$A$2:$AS$36"}</definedName>
    <definedName name="asdasd_1_2" localSheetId="8" hidden="1">{"'weekly data'!$A$2:$AS$36"}</definedName>
    <definedName name="asdasd_1_2" localSheetId="5" hidden="1">{"'weekly data'!$A$2:$AS$36"}</definedName>
    <definedName name="asdasd_1_2" hidden="1">{"'weekly data'!$A$2:$AS$36"}</definedName>
    <definedName name="asdasd_2" localSheetId="8" hidden="1">{"'weekly data'!$A$2:$AS$36"}</definedName>
    <definedName name="asdasd_2" localSheetId="5" hidden="1">{"'weekly data'!$A$2:$AS$36"}</definedName>
    <definedName name="asdasd_2" hidden="1">{"'weekly data'!$A$2:$AS$36"}</definedName>
    <definedName name="asdasd_3" localSheetId="8" hidden="1">{"'weekly data'!$A$2:$AS$36"}</definedName>
    <definedName name="asdasd_3" localSheetId="5" hidden="1">{"'weekly data'!$A$2:$AS$36"}</definedName>
    <definedName name="asdasd_3" hidden="1">{"'weekly data'!$A$2:$AS$36"}</definedName>
    <definedName name="asdasdasd" localSheetId="8" hidden="1">{"'vert'!$A$1:$T$117"}</definedName>
    <definedName name="asdasdasd" localSheetId="5" hidden="1">{"'vert'!$A$1:$T$117"}</definedName>
    <definedName name="asdasdasd" hidden="1">{"'vert'!$A$1:$T$117"}</definedName>
    <definedName name="asdasdasd_1" localSheetId="8" hidden="1">{"'vert'!$A$1:$T$117"}</definedName>
    <definedName name="asdasdasd_1" localSheetId="5" hidden="1">{"'vert'!$A$1:$T$117"}</definedName>
    <definedName name="asdasdasd_1" hidden="1">{"'vert'!$A$1:$T$117"}</definedName>
    <definedName name="asdasdasd_1_1" localSheetId="8" hidden="1">{"'vert'!$A$1:$T$117"}</definedName>
    <definedName name="asdasdasd_1_1" localSheetId="5" hidden="1">{"'vert'!$A$1:$T$117"}</definedName>
    <definedName name="asdasdasd_1_1" hidden="1">{"'vert'!$A$1:$T$117"}</definedName>
    <definedName name="asdasdasd_1_2" localSheetId="8" hidden="1">{"'vert'!$A$1:$T$117"}</definedName>
    <definedName name="asdasdasd_1_2" localSheetId="5" hidden="1">{"'vert'!$A$1:$T$117"}</definedName>
    <definedName name="asdasdasd_1_2" hidden="1">{"'vert'!$A$1:$T$117"}</definedName>
    <definedName name="asdasdasd_2" localSheetId="8" hidden="1">{"'vert'!$A$1:$T$117"}</definedName>
    <definedName name="asdasdasd_2" localSheetId="5" hidden="1">{"'vert'!$A$1:$T$117"}</definedName>
    <definedName name="asdasdasd_2" hidden="1">{"'vert'!$A$1:$T$117"}</definedName>
    <definedName name="asdasdasd_3" localSheetId="8" hidden="1">{"'vert'!$A$1:$T$117"}</definedName>
    <definedName name="asdasdasd_3" localSheetId="5" hidden="1">{"'vert'!$A$1:$T$117"}</definedName>
    <definedName name="asdasdasd_3" hidden="1">{"'vert'!$A$1:$T$117"}</definedName>
    <definedName name="asdasgg" localSheetId="8" hidden="1">{"'weekly data'!$A$2:$AS$36"}</definedName>
    <definedName name="asdasgg" localSheetId="5" hidden="1">{"'weekly data'!$A$2:$AS$36"}</definedName>
    <definedName name="asdasgg" hidden="1">{"'weekly data'!$A$2:$AS$36"}</definedName>
    <definedName name="asdasgg_1" localSheetId="8" hidden="1">{"'weekly data'!$A$2:$AS$36"}</definedName>
    <definedName name="asdasgg_1" localSheetId="5" hidden="1">{"'weekly data'!$A$2:$AS$36"}</definedName>
    <definedName name="asdasgg_1" hidden="1">{"'weekly data'!$A$2:$AS$36"}</definedName>
    <definedName name="asdasgg_1_1" localSheetId="8" hidden="1">{"'weekly data'!$A$2:$AS$36"}</definedName>
    <definedName name="asdasgg_1_1" localSheetId="5" hidden="1">{"'weekly data'!$A$2:$AS$36"}</definedName>
    <definedName name="asdasgg_1_1" hidden="1">{"'weekly data'!$A$2:$AS$36"}</definedName>
    <definedName name="asdasgg_1_2" localSheetId="8" hidden="1">{"'weekly data'!$A$2:$AS$36"}</definedName>
    <definedName name="asdasgg_1_2" localSheetId="5" hidden="1">{"'weekly data'!$A$2:$AS$36"}</definedName>
    <definedName name="asdasgg_1_2" hidden="1">{"'weekly data'!$A$2:$AS$36"}</definedName>
    <definedName name="asdasgg_2" localSheetId="8" hidden="1">{"'weekly data'!$A$2:$AS$36"}</definedName>
    <definedName name="asdasgg_2" localSheetId="5" hidden="1">{"'weekly data'!$A$2:$AS$36"}</definedName>
    <definedName name="asdasgg_2" hidden="1">{"'weekly data'!$A$2:$AS$36"}</definedName>
    <definedName name="asdasgg_3" localSheetId="8" hidden="1">{"'weekly data'!$A$2:$AS$36"}</definedName>
    <definedName name="asdasgg_3" localSheetId="5" hidden="1">{"'weekly data'!$A$2:$AS$36"}</definedName>
    <definedName name="asdasgg_3" hidden="1">{"'weekly data'!$A$2:$AS$36"}</definedName>
    <definedName name="asdf" localSheetId="8" hidden="1">{"'weekly data'!$A$2:$AS$36"}</definedName>
    <definedName name="asdf" localSheetId="5" hidden="1">{"'weekly data'!$A$2:$AS$36"}</definedName>
    <definedName name="asdf" hidden="1">{"'weekly data'!$A$2:$AS$36"}</definedName>
    <definedName name="asdf_1" localSheetId="8" hidden="1">{"'weekly data'!$A$2:$AS$36"}</definedName>
    <definedName name="asdf_1" localSheetId="5" hidden="1">{"'weekly data'!$A$2:$AS$36"}</definedName>
    <definedName name="asdf_1" hidden="1">{"'weekly data'!$A$2:$AS$36"}</definedName>
    <definedName name="asdf_1_1" localSheetId="8" hidden="1">{"'weekly data'!$A$2:$AS$36"}</definedName>
    <definedName name="asdf_1_1" localSheetId="5" hidden="1">{"'weekly data'!$A$2:$AS$36"}</definedName>
    <definedName name="asdf_1_1" hidden="1">{"'weekly data'!$A$2:$AS$36"}</definedName>
    <definedName name="asdf_1_1_1" localSheetId="8" hidden="1">{"'weekly data'!$A$2:$AS$36"}</definedName>
    <definedName name="asdf_1_1_1" localSheetId="5" hidden="1">{"'weekly data'!$A$2:$AS$36"}</definedName>
    <definedName name="asdf_1_1_1" hidden="1">{"'weekly data'!$A$2:$AS$36"}</definedName>
    <definedName name="asdf_1_2" localSheetId="8" hidden="1">{"'weekly data'!$A$2:$AS$36"}</definedName>
    <definedName name="asdf_1_2" localSheetId="5" hidden="1">{"'weekly data'!$A$2:$AS$36"}</definedName>
    <definedName name="asdf_1_2" hidden="1">{"'weekly data'!$A$2:$AS$36"}</definedName>
    <definedName name="asdf_2" localSheetId="8" hidden="1">{"'weekly data'!$A$2:$AS$36"}</definedName>
    <definedName name="asdf_2" localSheetId="5" hidden="1">{"'weekly data'!$A$2:$AS$36"}</definedName>
    <definedName name="asdf_2" hidden="1">{"'weekly data'!$A$2:$AS$36"}</definedName>
    <definedName name="asdf_2_1" localSheetId="8" hidden="1">{"'weekly data'!$A$2:$AS$36"}</definedName>
    <definedName name="asdf_2_1" localSheetId="5" hidden="1">{"'weekly data'!$A$2:$AS$36"}</definedName>
    <definedName name="asdf_2_1" hidden="1">{"'weekly data'!$A$2:$AS$36"}</definedName>
    <definedName name="asdf_2_1_1" localSheetId="8" hidden="1">{"'weekly data'!$A$2:$AS$36"}</definedName>
    <definedName name="asdf_2_1_1" localSheetId="5" hidden="1">{"'weekly data'!$A$2:$AS$36"}</definedName>
    <definedName name="asdf_2_1_1" hidden="1">{"'weekly data'!$A$2:$AS$36"}</definedName>
    <definedName name="asdf_2_2" localSheetId="8" hidden="1">{"'weekly data'!$A$2:$AS$36"}</definedName>
    <definedName name="asdf_2_2" localSheetId="5" hidden="1">{"'weekly data'!$A$2:$AS$36"}</definedName>
    <definedName name="asdf_2_2" hidden="1">{"'weekly data'!$A$2:$AS$36"}</definedName>
    <definedName name="asdf_3" localSheetId="8" hidden="1">{"'weekly data'!$A$2:$AS$36"}</definedName>
    <definedName name="asdf_3" localSheetId="5" hidden="1">{"'weekly data'!$A$2:$AS$36"}</definedName>
    <definedName name="asdf_3" hidden="1">{"'weekly data'!$A$2:$AS$36"}</definedName>
    <definedName name="asdf_3_1" localSheetId="8" hidden="1">{"'weekly data'!$A$2:$AS$36"}</definedName>
    <definedName name="asdf_3_1" localSheetId="5" hidden="1">{"'weekly data'!$A$2:$AS$36"}</definedName>
    <definedName name="asdf_3_1" hidden="1">{"'weekly data'!$A$2:$AS$36"}</definedName>
    <definedName name="asdf_4" localSheetId="8" hidden="1">{"'weekly data'!$A$2:$AS$36"}</definedName>
    <definedName name="asdf_4" localSheetId="5" hidden="1">{"'weekly data'!$A$2:$AS$36"}</definedName>
    <definedName name="asdf_4" hidden="1">{"'weekly data'!$A$2:$AS$36"}</definedName>
    <definedName name="asdfasdf" localSheetId="8" hidden="1">{"'weekly data'!$A$2:$AS$36"}</definedName>
    <definedName name="asdfasdf" localSheetId="5" hidden="1">{"'weekly data'!$A$2:$AS$36"}</definedName>
    <definedName name="asdfasdf" hidden="1">{"'weekly data'!$A$2:$AS$36"}</definedName>
    <definedName name="asdfasdf_1" localSheetId="8" hidden="1">{"'weekly data'!$A$2:$AS$36"}</definedName>
    <definedName name="asdfasdf_1" localSheetId="5" hidden="1">{"'weekly data'!$A$2:$AS$36"}</definedName>
    <definedName name="asdfasdf_1" hidden="1">{"'weekly data'!$A$2:$AS$36"}</definedName>
    <definedName name="asdfasdf_1_1" localSheetId="8" hidden="1">{"'weekly data'!$A$2:$AS$36"}</definedName>
    <definedName name="asdfasdf_1_1" localSheetId="5" hidden="1">{"'weekly data'!$A$2:$AS$36"}</definedName>
    <definedName name="asdfasdf_1_1" hidden="1">{"'weekly data'!$A$2:$AS$36"}</definedName>
    <definedName name="asdfasdf_1_1_1" localSheetId="8" hidden="1">{"'weekly data'!$A$2:$AS$36"}</definedName>
    <definedName name="asdfasdf_1_1_1" localSheetId="5" hidden="1">{"'weekly data'!$A$2:$AS$36"}</definedName>
    <definedName name="asdfasdf_1_1_1" hidden="1">{"'weekly data'!$A$2:$AS$36"}</definedName>
    <definedName name="asdfasdf_1_2" localSheetId="8" hidden="1">{"'weekly data'!$A$2:$AS$36"}</definedName>
    <definedName name="asdfasdf_1_2" localSheetId="5" hidden="1">{"'weekly data'!$A$2:$AS$36"}</definedName>
    <definedName name="asdfasdf_1_2" hidden="1">{"'weekly data'!$A$2:$AS$36"}</definedName>
    <definedName name="asdfasdf_2" localSheetId="8" hidden="1">{"'weekly data'!$A$2:$AS$36"}</definedName>
    <definedName name="asdfasdf_2" localSheetId="5" hidden="1">{"'weekly data'!$A$2:$AS$36"}</definedName>
    <definedName name="asdfasdf_2" hidden="1">{"'weekly data'!$A$2:$AS$36"}</definedName>
    <definedName name="asdfasdf_2_1" localSheetId="8" hidden="1">{"'weekly data'!$A$2:$AS$36"}</definedName>
    <definedName name="asdfasdf_2_1" localSheetId="5" hidden="1">{"'weekly data'!$A$2:$AS$36"}</definedName>
    <definedName name="asdfasdf_2_1" hidden="1">{"'weekly data'!$A$2:$AS$36"}</definedName>
    <definedName name="asdfasdf_2_1_1" localSheetId="8" hidden="1">{"'weekly data'!$A$2:$AS$36"}</definedName>
    <definedName name="asdfasdf_2_1_1" localSheetId="5" hidden="1">{"'weekly data'!$A$2:$AS$36"}</definedName>
    <definedName name="asdfasdf_2_1_1" hidden="1">{"'weekly data'!$A$2:$AS$36"}</definedName>
    <definedName name="asdfasdf_2_2" localSheetId="8" hidden="1">{"'weekly data'!$A$2:$AS$36"}</definedName>
    <definedName name="asdfasdf_2_2" localSheetId="5" hidden="1">{"'weekly data'!$A$2:$AS$36"}</definedName>
    <definedName name="asdfasdf_2_2" hidden="1">{"'weekly data'!$A$2:$AS$36"}</definedName>
    <definedName name="asdfasdf_3" localSheetId="8" hidden="1">{"'weekly data'!$A$2:$AS$36"}</definedName>
    <definedName name="asdfasdf_3" localSheetId="5" hidden="1">{"'weekly data'!$A$2:$AS$36"}</definedName>
    <definedName name="asdfasdf_3" hidden="1">{"'weekly data'!$A$2:$AS$36"}</definedName>
    <definedName name="asdfasdf_3_1" localSheetId="8" hidden="1">{"'weekly data'!$A$2:$AS$36"}</definedName>
    <definedName name="asdfasdf_3_1" localSheetId="5" hidden="1">{"'weekly data'!$A$2:$AS$36"}</definedName>
    <definedName name="asdfasdf_3_1" hidden="1">{"'weekly data'!$A$2:$AS$36"}</definedName>
    <definedName name="asdfasdf_4" localSheetId="8" hidden="1">{"'weekly data'!$A$2:$AS$36"}</definedName>
    <definedName name="asdfasdf_4" localSheetId="5" hidden="1">{"'weekly data'!$A$2:$AS$36"}</definedName>
    <definedName name="asdfasdf_4" hidden="1">{"'weekly data'!$A$2:$AS$36"}</definedName>
    <definedName name="asdfasdfasdf" localSheetId="8" hidden="1">{"'weekly data'!$A$2:$AS$36"}</definedName>
    <definedName name="asdfasdfasdf" localSheetId="5" hidden="1">{"'weekly data'!$A$2:$AS$36"}</definedName>
    <definedName name="asdfasdfasdf" hidden="1">{"'weekly data'!$A$2:$AS$36"}</definedName>
    <definedName name="asdfasdfasdf_1" localSheetId="8" hidden="1">{"'weekly data'!$A$2:$AS$36"}</definedName>
    <definedName name="asdfasdfasdf_1" localSheetId="5" hidden="1">{"'weekly data'!$A$2:$AS$36"}</definedName>
    <definedName name="asdfasdfasdf_1" hidden="1">{"'weekly data'!$A$2:$AS$36"}</definedName>
    <definedName name="asdfasdfasdf_1_1" localSheetId="8" hidden="1">{"'weekly data'!$A$2:$AS$36"}</definedName>
    <definedName name="asdfasdfasdf_1_1" localSheetId="5" hidden="1">{"'weekly data'!$A$2:$AS$36"}</definedName>
    <definedName name="asdfasdfasdf_1_1" hidden="1">{"'weekly data'!$A$2:$AS$36"}</definedName>
    <definedName name="asdfasdfasdf_1_1_1" localSheetId="8" hidden="1">{"'weekly data'!$A$2:$AS$36"}</definedName>
    <definedName name="asdfasdfasdf_1_1_1" localSheetId="5" hidden="1">{"'weekly data'!$A$2:$AS$36"}</definedName>
    <definedName name="asdfasdfasdf_1_1_1" hidden="1">{"'weekly data'!$A$2:$AS$36"}</definedName>
    <definedName name="asdfasdfasdf_1_2" localSheetId="8" hidden="1">{"'weekly data'!$A$2:$AS$36"}</definedName>
    <definedName name="asdfasdfasdf_1_2" localSheetId="5" hidden="1">{"'weekly data'!$A$2:$AS$36"}</definedName>
    <definedName name="asdfasdfasdf_1_2" hidden="1">{"'weekly data'!$A$2:$AS$36"}</definedName>
    <definedName name="asdfasdfasdf_2" localSheetId="8" hidden="1">{"'weekly data'!$A$2:$AS$36"}</definedName>
    <definedName name="asdfasdfasdf_2" localSheetId="5" hidden="1">{"'weekly data'!$A$2:$AS$36"}</definedName>
    <definedName name="asdfasdfasdf_2" hidden="1">{"'weekly data'!$A$2:$AS$36"}</definedName>
    <definedName name="asdfasdfasdf_2_1" localSheetId="8" hidden="1">{"'weekly data'!$A$2:$AS$36"}</definedName>
    <definedName name="asdfasdfasdf_2_1" localSheetId="5" hidden="1">{"'weekly data'!$A$2:$AS$36"}</definedName>
    <definedName name="asdfasdfasdf_2_1" hidden="1">{"'weekly data'!$A$2:$AS$36"}</definedName>
    <definedName name="asdfasdfasdf_2_1_1" localSheetId="8" hidden="1">{"'weekly data'!$A$2:$AS$36"}</definedName>
    <definedName name="asdfasdfasdf_2_1_1" localSheetId="5" hidden="1">{"'weekly data'!$A$2:$AS$36"}</definedName>
    <definedName name="asdfasdfasdf_2_1_1" hidden="1">{"'weekly data'!$A$2:$AS$36"}</definedName>
    <definedName name="asdfasdfasdf_2_2" localSheetId="8" hidden="1">{"'weekly data'!$A$2:$AS$36"}</definedName>
    <definedName name="asdfasdfasdf_2_2" localSheetId="5" hidden="1">{"'weekly data'!$A$2:$AS$36"}</definedName>
    <definedName name="asdfasdfasdf_2_2" hidden="1">{"'weekly data'!$A$2:$AS$36"}</definedName>
    <definedName name="asdfasdfasdf_3" localSheetId="8" hidden="1">{"'weekly data'!$A$2:$AS$36"}</definedName>
    <definedName name="asdfasdfasdf_3" localSheetId="5" hidden="1">{"'weekly data'!$A$2:$AS$36"}</definedName>
    <definedName name="asdfasdfasdf_3" hidden="1">{"'weekly data'!$A$2:$AS$36"}</definedName>
    <definedName name="asdfasdfasdf_3_1" localSheetId="8" hidden="1">{"'weekly data'!$A$2:$AS$36"}</definedName>
    <definedName name="asdfasdfasdf_3_1" localSheetId="5" hidden="1">{"'weekly data'!$A$2:$AS$36"}</definedName>
    <definedName name="asdfasdfasdf_3_1" hidden="1">{"'weekly data'!$A$2:$AS$36"}</definedName>
    <definedName name="asdfasdfasdf_4" localSheetId="8" hidden="1">{"'weekly data'!$A$2:$AS$36"}</definedName>
    <definedName name="asdfasdfasdf_4" localSheetId="5" hidden="1">{"'weekly data'!$A$2:$AS$36"}</definedName>
    <definedName name="asdfasdfasdf_4" hidden="1">{"'weekly data'!$A$2:$AS$36"}</definedName>
    <definedName name="asdff" localSheetId="8" hidden="1">{"'vert'!$A$1:$T$117"}</definedName>
    <definedName name="asdff" localSheetId="5" hidden="1">{"'vert'!$A$1:$T$117"}</definedName>
    <definedName name="asdff" hidden="1">{"'vert'!$A$1:$T$117"}</definedName>
    <definedName name="asdff_1" localSheetId="8" hidden="1">{"'vert'!$A$1:$T$117"}</definedName>
    <definedName name="asdff_1" localSheetId="5" hidden="1">{"'vert'!$A$1:$T$117"}</definedName>
    <definedName name="asdff_1" hidden="1">{"'vert'!$A$1:$T$117"}</definedName>
    <definedName name="asdff_1_1" localSheetId="8" hidden="1">{"'vert'!$A$1:$T$117"}</definedName>
    <definedName name="asdff_1_1" localSheetId="5" hidden="1">{"'vert'!$A$1:$T$117"}</definedName>
    <definedName name="asdff_1_1" hidden="1">{"'vert'!$A$1:$T$117"}</definedName>
    <definedName name="asdff_1_2" localSheetId="8" hidden="1">{"'vert'!$A$1:$T$117"}</definedName>
    <definedName name="asdff_1_2" localSheetId="5" hidden="1">{"'vert'!$A$1:$T$117"}</definedName>
    <definedName name="asdff_1_2" hidden="1">{"'vert'!$A$1:$T$117"}</definedName>
    <definedName name="asdff_2" localSheetId="8" hidden="1">{"'vert'!$A$1:$T$117"}</definedName>
    <definedName name="asdff_2" localSheetId="5" hidden="1">{"'vert'!$A$1:$T$117"}</definedName>
    <definedName name="asdff_2" hidden="1">{"'vert'!$A$1:$T$117"}</definedName>
    <definedName name="asdff_3" localSheetId="8" hidden="1">{"'vert'!$A$1:$T$117"}</definedName>
    <definedName name="asdff_3" localSheetId="5" hidden="1">{"'vert'!$A$1:$T$117"}</definedName>
    <definedName name="asdff_3" hidden="1">{"'vert'!$A$1:$T$117"}</definedName>
    <definedName name="asdfff" localSheetId="8" hidden="1">{"'vert'!$A$1:$T$117"}</definedName>
    <definedName name="asdfff" localSheetId="5" hidden="1">{"'vert'!$A$1:$T$117"}</definedName>
    <definedName name="asdfff" hidden="1">{"'vert'!$A$1:$T$117"}</definedName>
    <definedName name="asdfff_1" localSheetId="8" hidden="1">{"'vert'!$A$1:$T$117"}</definedName>
    <definedName name="asdfff_1" localSheetId="5" hidden="1">{"'vert'!$A$1:$T$117"}</definedName>
    <definedName name="asdfff_1" hidden="1">{"'vert'!$A$1:$T$117"}</definedName>
    <definedName name="asdfff_1_1" localSheetId="8" hidden="1">{"'vert'!$A$1:$T$117"}</definedName>
    <definedName name="asdfff_1_1" localSheetId="5" hidden="1">{"'vert'!$A$1:$T$117"}</definedName>
    <definedName name="asdfff_1_1" hidden="1">{"'vert'!$A$1:$T$117"}</definedName>
    <definedName name="asdfff_1_2" localSheetId="8" hidden="1">{"'vert'!$A$1:$T$117"}</definedName>
    <definedName name="asdfff_1_2" localSheetId="5" hidden="1">{"'vert'!$A$1:$T$117"}</definedName>
    <definedName name="asdfff_1_2" hidden="1">{"'vert'!$A$1:$T$117"}</definedName>
    <definedName name="asdfff_2" localSheetId="8" hidden="1">{"'vert'!$A$1:$T$117"}</definedName>
    <definedName name="asdfff_2" localSheetId="5" hidden="1">{"'vert'!$A$1:$T$117"}</definedName>
    <definedName name="asdfff_2" hidden="1">{"'vert'!$A$1:$T$117"}</definedName>
    <definedName name="asdfff_3" localSheetId="8" hidden="1">{"'vert'!$A$1:$T$117"}</definedName>
    <definedName name="asdfff_3" localSheetId="5" hidden="1">{"'vert'!$A$1:$T$117"}</definedName>
    <definedName name="asdfff_3" hidden="1">{"'vert'!$A$1:$T$117"}</definedName>
    <definedName name="asdffff" localSheetId="8" hidden="1">{"'vert'!$A$1:$T$117"}</definedName>
    <definedName name="asdffff" localSheetId="5" hidden="1">{"'vert'!$A$1:$T$117"}</definedName>
    <definedName name="asdffff" hidden="1">{"'vert'!$A$1:$T$117"}</definedName>
    <definedName name="asdffff_1" localSheetId="8" hidden="1">{"'vert'!$A$1:$T$117"}</definedName>
    <definedName name="asdffff_1" localSheetId="5" hidden="1">{"'vert'!$A$1:$T$117"}</definedName>
    <definedName name="asdffff_1" hidden="1">{"'vert'!$A$1:$T$117"}</definedName>
    <definedName name="asdffff_1_1" localSheetId="8" hidden="1">{"'vert'!$A$1:$T$117"}</definedName>
    <definedName name="asdffff_1_1" localSheetId="5" hidden="1">{"'vert'!$A$1:$T$117"}</definedName>
    <definedName name="asdffff_1_1" hidden="1">{"'vert'!$A$1:$T$117"}</definedName>
    <definedName name="asdffff_1_2" localSheetId="8" hidden="1">{"'vert'!$A$1:$T$117"}</definedName>
    <definedName name="asdffff_1_2" localSheetId="5" hidden="1">{"'vert'!$A$1:$T$117"}</definedName>
    <definedName name="asdffff_1_2" hidden="1">{"'vert'!$A$1:$T$117"}</definedName>
    <definedName name="asdffff_2" localSheetId="8" hidden="1">{"'vert'!$A$1:$T$117"}</definedName>
    <definedName name="asdffff_2" localSheetId="5" hidden="1">{"'vert'!$A$1:$T$117"}</definedName>
    <definedName name="asdffff_2" hidden="1">{"'vert'!$A$1:$T$117"}</definedName>
    <definedName name="asdffff_3" localSheetId="8" hidden="1">{"'vert'!$A$1:$T$117"}</definedName>
    <definedName name="asdffff_3" localSheetId="5" hidden="1">{"'vert'!$A$1:$T$117"}</definedName>
    <definedName name="asdffff_3" hidden="1">{"'vert'!$A$1:$T$117"}</definedName>
    <definedName name="asdffffff" localSheetId="8" hidden="1">{"'vert'!$A$1:$T$117"}</definedName>
    <definedName name="asdffffff" localSheetId="5" hidden="1">{"'vert'!$A$1:$T$117"}</definedName>
    <definedName name="asdffffff" hidden="1">{"'vert'!$A$1:$T$117"}</definedName>
    <definedName name="asdffffff_1" localSheetId="8" hidden="1">{"'vert'!$A$1:$T$117"}</definedName>
    <definedName name="asdffffff_1" localSheetId="5" hidden="1">{"'vert'!$A$1:$T$117"}</definedName>
    <definedName name="asdffffff_1" hidden="1">{"'vert'!$A$1:$T$117"}</definedName>
    <definedName name="asdffffff_1_1" localSheetId="8" hidden="1">{"'vert'!$A$1:$T$117"}</definedName>
    <definedName name="asdffffff_1_1" localSheetId="5" hidden="1">{"'vert'!$A$1:$T$117"}</definedName>
    <definedName name="asdffffff_1_1" hidden="1">{"'vert'!$A$1:$T$117"}</definedName>
    <definedName name="asdffffff_1_2" localSheetId="8" hidden="1">{"'vert'!$A$1:$T$117"}</definedName>
    <definedName name="asdffffff_1_2" localSheetId="5" hidden="1">{"'vert'!$A$1:$T$117"}</definedName>
    <definedName name="asdffffff_1_2" hidden="1">{"'vert'!$A$1:$T$117"}</definedName>
    <definedName name="asdffffff_2" localSheetId="8" hidden="1">{"'vert'!$A$1:$T$117"}</definedName>
    <definedName name="asdffffff_2" localSheetId="5" hidden="1">{"'vert'!$A$1:$T$117"}</definedName>
    <definedName name="asdffffff_2" hidden="1">{"'vert'!$A$1:$T$117"}</definedName>
    <definedName name="asdffffff_3" localSheetId="8" hidden="1">{"'vert'!$A$1:$T$117"}</definedName>
    <definedName name="asdffffff_3" localSheetId="5" hidden="1">{"'vert'!$A$1:$T$117"}</definedName>
    <definedName name="asdffffff_3" hidden="1">{"'vert'!$A$1:$T$117"}</definedName>
    <definedName name="asdfffffff" localSheetId="8" hidden="1">{"'vert'!$A$1:$T$117"}</definedName>
    <definedName name="asdfffffff" localSheetId="5" hidden="1">{"'vert'!$A$1:$T$117"}</definedName>
    <definedName name="asdfffffff" hidden="1">{"'vert'!$A$1:$T$117"}</definedName>
    <definedName name="asdfffffff_1" localSheetId="8" hidden="1">{"'vert'!$A$1:$T$117"}</definedName>
    <definedName name="asdfffffff_1" localSheetId="5" hidden="1">{"'vert'!$A$1:$T$117"}</definedName>
    <definedName name="asdfffffff_1" hidden="1">{"'vert'!$A$1:$T$117"}</definedName>
    <definedName name="asdfffffff_1_1" localSheetId="8" hidden="1">{"'vert'!$A$1:$T$117"}</definedName>
    <definedName name="asdfffffff_1_1" localSheetId="5" hidden="1">{"'vert'!$A$1:$T$117"}</definedName>
    <definedName name="asdfffffff_1_1" hidden="1">{"'vert'!$A$1:$T$117"}</definedName>
    <definedName name="asdfffffff_1_2" localSheetId="8" hidden="1">{"'vert'!$A$1:$T$117"}</definedName>
    <definedName name="asdfffffff_1_2" localSheetId="5" hidden="1">{"'vert'!$A$1:$T$117"}</definedName>
    <definedName name="asdfffffff_1_2" hidden="1">{"'vert'!$A$1:$T$117"}</definedName>
    <definedName name="asdfffffff_2" localSheetId="8" hidden="1">{"'vert'!$A$1:$T$117"}</definedName>
    <definedName name="asdfffffff_2" localSheetId="5" hidden="1">{"'vert'!$A$1:$T$117"}</definedName>
    <definedName name="asdfffffff_2" hidden="1">{"'vert'!$A$1:$T$117"}</definedName>
    <definedName name="asdfffffff_3" localSheetId="8" hidden="1">{"'vert'!$A$1:$T$117"}</definedName>
    <definedName name="asdfffffff_3" localSheetId="5" hidden="1">{"'vert'!$A$1:$T$117"}</definedName>
    <definedName name="asdfffffff_3" hidden="1">{"'vert'!$A$1:$T$117"}</definedName>
    <definedName name="asdz" localSheetId="8" hidden="1">{"'weekly data'!$A$2:$AS$36"}</definedName>
    <definedName name="asdz" localSheetId="5" hidden="1">{"'weekly data'!$A$2:$AS$36"}</definedName>
    <definedName name="asdz" hidden="1">{"'weekly data'!$A$2:$AS$36"}</definedName>
    <definedName name="asfadfasdfsadfsadfsafsdfsdf" localSheetId="8" hidden="1">{"'vert'!$A$1:$T$117"}</definedName>
    <definedName name="asfadfasdfsadfsadfsafsdfsdf" localSheetId="5" hidden="1">{"'vert'!$A$1:$T$117"}</definedName>
    <definedName name="asfadfasdfsadfsadfsafsdfsdf" hidden="1">{"'vert'!$A$1:$T$117"}</definedName>
    <definedName name="asfadfasdfsadfsadfsafsdfsdf_1" localSheetId="8" hidden="1">{"'vert'!$A$1:$T$117"}</definedName>
    <definedName name="asfadfasdfsadfsadfsafsdfsdf_1" localSheetId="5" hidden="1">{"'vert'!$A$1:$T$117"}</definedName>
    <definedName name="asfadfasdfsadfsadfsafsdfsdf_1" hidden="1">{"'vert'!$A$1:$T$117"}</definedName>
    <definedName name="asfadfasdfsadfsadfsafsdfsdf_1_1" localSheetId="8" hidden="1">{"'vert'!$A$1:$T$117"}</definedName>
    <definedName name="asfadfasdfsadfsadfsafsdfsdf_1_1" localSheetId="5" hidden="1">{"'vert'!$A$1:$T$117"}</definedName>
    <definedName name="asfadfasdfsadfsadfsafsdfsdf_1_1" hidden="1">{"'vert'!$A$1:$T$117"}</definedName>
    <definedName name="asfadfasdfsadfsadfsafsdfsdf_1_1_1" localSheetId="8" hidden="1">{"'vert'!$A$1:$T$117"}</definedName>
    <definedName name="asfadfasdfsadfsadfsafsdfsdf_1_1_1" localSheetId="5" hidden="1">{"'vert'!$A$1:$T$117"}</definedName>
    <definedName name="asfadfasdfsadfsadfsafsdfsdf_1_1_1" hidden="1">{"'vert'!$A$1:$T$117"}</definedName>
    <definedName name="asfadfasdfsadfsadfsafsdfsdf_1_2" localSheetId="8" hidden="1">{"'vert'!$A$1:$T$117"}</definedName>
    <definedName name="asfadfasdfsadfsadfsafsdfsdf_1_2" localSheetId="5" hidden="1">{"'vert'!$A$1:$T$117"}</definedName>
    <definedName name="asfadfasdfsadfsadfsafsdfsdf_1_2" hidden="1">{"'vert'!$A$1:$T$117"}</definedName>
    <definedName name="asfadfasdfsadfsadfsafsdfsdf_2" localSheetId="8" hidden="1">{"'vert'!$A$1:$T$117"}</definedName>
    <definedName name="asfadfasdfsadfsadfsafsdfsdf_2" localSheetId="5" hidden="1">{"'vert'!$A$1:$T$117"}</definedName>
    <definedName name="asfadfasdfsadfsadfsafsdfsdf_2" hidden="1">{"'vert'!$A$1:$T$117"}</definedName>
    <definedName name="asfadfasdfsadfsadfsafsdfsdf_2_1" localSheetId="8" hidden="1">{"'vert'!$A$1:$T$117"}</definedName>
    <definedName name="asfadfasdfsadfsadfsafsdfsdf_2_1" localSheetId="5" hidden="1">{"'vert'!$A$1:$T$117"}</definedName>
    <definedName name="asfadfasdfsadfsadfsafsdfsdf_2_1" hidden="1">{"'vert'!$A$1:$T$117"}</definedName>
    <definedName name="asfadfasdfsadfsadfsafsdfsdf_2_1_1" localSheetId="8" hidden="1">{"'vert'!$A$1:$T$117"}</definedName>
    <definedName name="asfadfasdfsadfsadfsafsdfsdf_2_1_1" localSheetId="5" hidden="1">{"'vert'!$A$1:$T$117"}</definedName>
    <definedName name="asfadfasdfsadfsadfsafsdfsdf_2_1_1" hidden="1">{"'vert'!$A$1:$T$117"}</definedName>
    <definedName name="asfadfasdfsadfsadfsafsdfsdf_2_2" localSheetId="8" hidden="1">{"'vert'!$A$1:$T$117"}</definedName>
    <definedName name="asfadfasdfsadfsadfsafsdfsdf_2_2" localSheetId="5" hidden="1">{"'vert'!$A$1:$T$117"}</definedName>
    <definedName name="asfadfasdfsadfsadfsafsdfsdf_2_2" hidden="1">{"'vert'!$A$1:$T$117"}</definedName>
    <definedName name="asfadfasdfsadfsadfsafsdfsdf_3" localSheetId="8" hidden="1">{"'vert'!$A$1:$T$117"}</definedName>
    <definedName name="asfadfasdfsadfsadfsafsdfsdf_3" localSheetId="5" hidden="1">{"'vert'!$A$1:$T$117"}</definedName>
    <definedName name="asfadfasdfsadfsadfsafsdfsdf_3" hidden="1">{"'vert'!$A$1:$T$117"}</definedName>
    <definedName name="asfadfasdfsadfsadfsafsdfsdf_3_1" localSheetId="8" hidden="1">{"'vert'!$A$1:$T$117"}</definedName>
    <definedName name="asfadfasdfsadfsadfsafsdfsdf_3_1" localSheetId="5" hidden="1">{"'vert'!$A$1:$T$117"}</definedName>
    <definedName name="asfadfasdfsadfsadfsafsdfsdf_3_1" hidden="1">{"'vert'!$A$1:$T$117"}</definedName>
    <definedName name="asfadfasdfsadfsadfsafsdfsdf_4" localSheetId="8" hidden="1">{"'vert'!$A$1:$T$117"}</definedName>
    <definedName name="asfadfasdfsadfsadfsafsdfsdf_4" localSheetId="5" hidden="1">{"'vert'!$A$1:$T$117"}</definedName>
    <definedName name="asfadfasdfsadfsadfsafsdfsdf_4" hidden="1">{"'vert'!$A$1:$T$117"}</definedName>
    <definedName name="asfasfasfasfasdf" localSheetId="8" hidden="1">{"'weekly data'!$A$2:$AS$36"}</definedName>
    <definedName name="asfasfasfasfasdf" localSheetId="5" hidden="1">{"'weekly data'!$A$2:$AS$36"}</definedName>
    <definedName name="asfasfasfasfasdf" hidden="1">{"'weekly data'!$A$2:$AS$36"}</definedName>
    <definedName name="asfasfasfasfasdf_1" localSheetId="8" hidden="1">{"'weekly data'!$A$2:$AS$36"}</definedName>
    <definedName name="asfasfasfasfasdf_1" localSheetId="5" hidden="1">{"'weekly data'!$A$2:$AS$36"}</definedName>
    <definedName name="asfasfasfasfasdf_1" hidden="1">{"'weekly data'!$A$2:$AS$36"}</definedName>
    <definedName name="asfasfasfasfasdf_1_1" localSheetId="8" hidden="1">{"'weekly data'!$A$2:$AS$36"}</definedName>
    <definedName name="asfasfasfasfasdf_1_1" localSheetId="5" hidden="1">{"'weekly data'!$A$2:$AS$36"}</definedName>
    <definedName name="asfasfasfasfasdf_1_1" hidden="1">{"'weekly data'!$A$2:$AS$36"}</definedName>
    <definedName name="asfasfasfasfasdf_1_1_1" localSheetId="8" hidden="1">{"'weekly data'!$A$2:$AS$36"}</definedName>
    <definedName name="asfasfasfasfasdf_1_1_1" localSheetId="5" hidden="1">{"'weekly data'!$A$2:$AS$36"}</definedName>
    <definedName name="asfasfasfasfasdf_1_1_1" hidden="1">{"'weekly data'!$A$2:$AS$36"}</definedName>
    <definedName name="asfasfasfasfasdf_1_2" localSheetId="8" hidden="1">{"'weekly data'!$A$2:$AS$36"}</definedName>
    <definedName name="asfasfasfasfasdf_1_2" localSheetId="5" hidden="1">{"'weekly data'!$A$2:$AS$36"}</definedName>
    <definedName name="asfasfasfasfasdf_1_2" hidden="1">{"'weekly data'!$A$2:$AS$36"}</definedName>
    <definedName name="asfasfasfasfasdf_2" localSheetId="8" hidden="1">{"'weekly data'!$A$2:$AS$36"}</definedName>
    <definedName name="asfasfasfasfasdf_2" localSheetId="5" hidden="1">{"'weekly data'!$A$2:$AS$36"}</definedName>
    <definedName name="asfasfasfasfasdf_2" hidden="1">{"'weekly data'!$A$2:$AS$36"}</definedName>
    <definedName name="asfasfasfasfasdf_2_1" localSheetId="8" hidden="1">{"'weekly data'!$A$2:$AS$36"}</definedName>
    <definedName name="asfasfasfasfasdf_2_1" localSheetId="5" hidden="1">{"'weekly data'!$A$2:$AS$36"}</definedName>
    <definedName name="asfasfasfasfasdf_2_1" hidden="1">{"'weekly data'!$A$2:$AS$36"}</definedName>
    <definedName name="asfasfasfasfasdf_2_1_1" localSheetId="8" hidden="1">{"'weekly data'!$A$2:$AS$36"}</definedName>
    <definedName name="asfasfasfasfasdf_2_1_1" localSheetId="5" hidden="1">{"'weekly data'!$A$2:$AS$36"}</definedName>
    <definedName name="asfasfasfasfasdf_2_1_1" hidden="1">{"'weekly data'!$A$2:$AS$36"}</definedName>
    <definedName name="asfasfasfasfasdf_2_2" localSheetId="8" hidden="1">{"'weekly data'!$A$2:$AS$36"}</definedName>
    <definedName name="asfasfasfasfasdf_2_2" localSheetId="5" hidden="1">{"'weekly data'!$A$2:$AS$36"}</definedName>
    <definedName name="asfasfasfasfasdf_2_2" hidden="1">{"'weekly data'!$A$2:$AS$36"}</definedName>
    <definedName name="asfasfasfasfasdf_3" localSheetId="8" hidden="1">{"'weekly data'!$A$2:$AS$36"}</definedName>
    <definedName name="asfasfasfasfasdf_3" localSheetId="5" hidden="1">{"'weekly data'!$A$2:$AS$36"}</definedName>
    <definedName name="asfasfasfasfasdf_3" hidden="1">{"'weekly data'!$A$2:$AS$36"}</definedName>
    <definedName name="asfasfasfasfasdf_3_1" localSheetId="8" hidden="1">{"'weekly data'!$A$2:$AS$36"}</definedName>
    <definedName name="asfasfasfasfasdf_3_1" localSheetId="5" hidden="1">{"'weekly data'!$A$2:$AS$36"}</definedName>
    <definedName name="asfasfasfasfasdf_3_1" hidden="1">{"'weekly data'!$A$2:$AS$36"}</definedName>
    <definedName name="asfasfasfasfasdf_4" localSheetId="8" hidden="1">{"'weekly data'!$A$2:$AS$36"}</definedName>
    <definedName name="asfasfasfasfasdf_4" localSheetId="5" hidden="1">{"'weekly data'!$A$2:$AS$36"}</definedName>
    <definedName name="asfasfasfasfasdf_4" hidden="1">{"'weekly data'!$A$2:$AS$36"}</definedName>
    <definedName name="asfasfasfsafdsafsaf" localSheetId="8" hidden="1">{"'vert'!$A$1:$T$117"}</definedName>
    <definedName name="asfasfasfsafdsafsaf" localSheetId="5" hidden="1">{"'vert'!$A$1:$T$117"}</definedName>
    <definedName name="asfasfasfsafdsafsaf" hidden="1">{"'vert'!$A$1:$T$117"}</definedName>
    <definedName name="asfasfasfsafdsafsaf_1" localSheetId="8" hidden="1">{"'vert'!$A$1:$T$117"}</definedName>
    <definedName name="asfasfasfsafdsafsaf_1" localSheetId="5" hidden="1">{"'vert'!$A$1:$T$117"}</definedName>
    <definedName name="asfasfasfsafdsafsaf_1" hidden="1">{"'vert'!$A$1:$T$117"}</definedName>
    <definedName name="asfasfasfsafdsafsaf_1_1" localSheetId="8" hidden="1">{"'vert'!$A$1:$T$117"}</definedName>
    <definedName name="asfasfasfsafdsafsaf_1_1" localSheetId="5" hidden="1">{"'vert'!$A$1:$T$117"}</definedName>
    <definedName name="asfasfasfsafdsafsaf_1_1" hidden="1">{"'vert'!$A$1:$T$117"}</definedName>
    <definedName name="asfasfasfsafdsafsaf_1_1_1" localSheetId="8" hidden="1">{"'vert'!$A$1:$T$117"}</definedName>
    <definedName name="asfasfasfsafdsafsaf_1_1_1" localSheetId="5" hidden="1">{"'vert'!$A$1:$T$117"}</definedName>
    <definedName name="asfasfasfsafdsafsaf_1_1_1" hidden="1">{"'vert'!$A$1:$T$117"}</definedName>
    <definedName name="asfasfasfsafdsafsaf_1_2" localSheetId="8" hidden="1">{"'vert'!$A$1:$T$117"}</definedName>
    <definedName name="asfasfasfsafdsafsaf_1_2" localSheetId="5" hidden="1">{"'vert'!$A$1:$T$117"}</definedName>
    <definedName name="asfasfasfsafdsafsaf_1_2" hidden="1">{"'vert'!$A$1:$T$117"}</definedName>
    <definedName name="asfasfasfsafdsafsaf_2" localSheetId="8" hidden="1">{"'vert'!$A$1:$T$117"}</definedName>
    <definedName name="asfasfasfsafdsafsaf_2" localSheetId="5" hidden="1">{"'vert'!$A$1:$T$117"}</definedName>
    <definedName name="asfasfasfsafdsafsaf_2" hidden="1">{"'vert'!$A$1:$T$117"}</definedName>
    <definedName name="asfasfasfsafdsafsaf_2_1" localSheetId="8" hidden="1">{"'vert'!$A$1:$T$117"}</definedName>
    <definedName name="asfasfasfsafdsafsaf_2_1" localSheetId="5" hidden="1">{"'vert'!$A$1:$T$117"}</definedName>
    <definedName name="asfasfasfsafdsafsaf_2_1" hidden="1">{"'vert'!$A$1:$T$117"}</definedName>
    <definedName name="asfasfasfsafdsafsaf_2_1_1" localSheetId="8" hidden="1">{"'vert'!$A$1:$T$117"}</definedName>
    <definedName name="asfasfasfsafdsafsaf_2_1_1" localSheetId="5" hidden="1">{"'vert'!$A$1:$T$117"}</definedName>
    <definedName name="asfasfasfsafdsafsaf_2_1_1" hidden="1">{"'vert'!$A$1:$T$117"}</definedName>
    <definedName name="asfasfasfsafdsafsaf_2_2" localSheetId="8" hidden="1">{"'vert'!$A$1:$T$117"}</definedName>
    <definedName name="asfasfasfsafdsafsaf_2_2" localSheetId="5" hidden="1">{"'vert'!$A$1:$T$117"}</definedName>
    <definedName name="asfasfasfsafdsafsaf_2_2" hidden="1">{"'vert'!$A$1:$T$117"}</definedName>
    <definedName name="asfasfasfsafdsafsaf_3" localSheetId="8" hidden="1">{"'vert'!$A$1:$T$117"}</definedName>
    <definedName name="asfasfasfsafdsafsaf_3" localSheetId="5" hidden="1">{"'vert'!$A$1:$T$117"}</definedName>
    <definedName name="asfasfasfsafdsafsaf_3" hidden="1">{"'vert'!$A$1:$T$117"}</definedName>
    <definedName name="asfasfasfsafdsafsaf_3_1" localSheetId="8" hidden="1">{"'vert'!$A$1:$T$117"}</definedName>
    <definedName name="asfasfasfsafdsafsaf_3_1" localSheetId="5" hidden="1">{"'vert'!$A$1:$T$117"}</definedName>
    <definedName name="asfasfasfsafdsafsaf_3_1" hidden="1">{"'vert'!$A$1:$T$117"}</definedName>
    <definedName name="asfasfasfsafdsafsaf_4" localSheetId="8" hidden="1">{"'vert'!$A$1:$T$117"}</definedName>
    <definedName name="asfasfasfsafdsafsaf_4" localSheetId="5" hidden="1">{"'vert'!$A$1:$T$117"}</definedName>
    <definedName name="asfasfasfsafdsafsaf_4" hidden="1">{"'vert'!$A$1:$T$117"}</definedName>
    <definedName name="asfasfdasfasdfasdfasf" localSheetId="8" hidden="1">{"'weekly data'!$A$2:$AS$36"}</definedName>
    <definedName name="asfasfdasfasdfasdfasf" localSheetId="5" hidden="1">{"'weekly data'!$A$2:$AS$36"}</definedName>
    <definedName name="asfasfdasfasdfasdfasf" hidden="1">{"'weekly data'!$A$2:$AS$36"}</definedName>
    <definedName name="asfasfdasfasdfasdfasf_1" localSheetId="8" hidden="1">{"'weekly data'!$A$2:$AS$36"}</definedName>
    <definedName name="asfasfdasfasdfasdfasf_1" localSheetId="5" hidden="1">{"'weekly data'!$A$2:$AS$36"}</definedName>
    <definedName name="asfasfdasfasdfasdfasf_1" hidden="1">{"'weekly data'!$A$2:$AS$36"}</definedName>
    <definedName name="asfasfdasfasdfasdfasf_1_1" localSheetId="8" hidden="1">{"'weekly data'!$A$2:$AS$36"}</definedName>
    <definedName name="asfasfdasfasdfasdfasf_1_1" localSheetId="5" hidden="1">{"'weekly data'!$A$2:$AS$36"}</definedName>
    <definedName name="asfasfdasfasdfasdfasf_1_1" hidden="1">{"'weekly data'!$A$2:$AS$36"}</definedName>
    <definedName name="asfasfdasfasdfasdfasf_1_1_1" localSheetId="8" hidden="1">{"'weekly data'!$A$2:$AS$36"}</definedName>
    <definedName name="asfasfdasfasdfasdfasf_1_1_1" localSheetId="5" hidden="1">{"'weekly data'!$A$2:$AS$36"}</definedName>
    <definedName name="asfasfdasfasdfasdfasf_1_1_1" hidden="1">{"'weekly data'!$A$2:$AS$36"}</definedName>
    <definedName name="asfasfdasfasdfasdfasf_1_2" localSheetId="8" hidden="1">{"'weekly data'!$A$2:$AS$36"}</definedName>
    <definedName name="asfasfdasfasdfasdfasf_1_2" localSheetId="5" hidden="1">{"'weekly data'!$A$2:$AS$36"}</definedName>
    <definedName name="asfasfdasfasdfasdfasf_1_2" hidden="1">{"'weekly data'!$A$2:$AS$36"}</definedName>
    <definedName name="asfasfdasfasdfasdfasf_2" localSheetId="8" hidden="1">{"'weekly data'!$A$2:$AS$36"}</definedName>
    <definedName name="asfasfdasfasdfasdfasf_2" localSheetId="5" hidden="1">{"'weekly data'!$A$2:$AS$36"}</definedName>
    <definedName name="asfasfdasfasdfasdfasf_2" hidden="1">{"'weekly data'!$A$2:$AS$36"}</definedName>
    <definedName name="asfasfdasfasdfasdfasf_2_1" localSheetId="8" hidden="1">{"'weekly data'!$A$2:$AS$36"}</definedName>
    <definedName name="asfasfdasfasdfasdfasf_2_1" localSheetId="5" hidden="1">{"'weekly data'!$A$2:$AS$36"}</definedName>
    <definedName name="asfasfdasfasdfasdfasf_2_1" hidden="1">{"'weekly data'!$A$2:$AS$36"}</definedName>
    <definedName name="asfasfdasfasdfasdfasf_2_1_1" localSheetId="8" hidden="1">{"'weekly data'!$A$2:$AS$36"}</definedName>
    <definedName name="asfasfdasfasdfasdfasf_2_1_1" localSheetId="5" hidden="1">{"'weekly data'!$A$2:$AS$36"}</definedName>
    <definedName name="asfasfdasfasdfasdfasf_2_1_1" hidden="1">{"'weekly data'!$A$2:$AS$36"}</definedName>
    <definedName name="asfasfdasfasdfasdfasf_2_2" localSheetId="8" hidden="1">{"'weekly data'!$A$2:$AS$36"}</definedName>
    <definedName name="asfasfdasfasdfasdfasf_2_2" localSheetId="5" hidden="1">{"'weekly data'!$A$2:$AS$36"}</definedName>
    <definedName name="asfasfdasfasdfasdfasf_2_2" hidden="1">{"'weekly data'!$A$2:$AS$36"}</definedName>
    <definedName name="asfasfdasfasdfasdfasf_3" localSheetId="8" hidden="1">{"'weekly data'!$A$2:$AS$36"}</definedName>
    <definedName name="asfasfdasfasdfasdfasf_3" localSheetId="5" hidden="1">{"'weekly data'!$A$2:$AS$36"}</definedName>
    <definedName name="asfasfdasfasdfasdfasf_3" hidden="1">{"'weekly data'!$A$2:$AS$36"}</definedName>
    <definedName name="asfasfdasfasdfasdfasf_3_1" localSheetId="8" hidden="1">{"'weekly data'!$A$2:$AS$36"}</definedName>
    <definedName name="asfasfdasfasdfasdfasf_3_1" localSheetId="5" hidden="1">{"'weekly data'!$A$2:$AS$36"}</definedName>
    <definedName name="asfasfdasfasdfasdfasf_3_1" hidden="1">{"'weekly data'!$A$2:$AS$36"}</definedName>
    <definedName name="asfasfdasfasdfasdfasf_4" localSheetId="8" hidden="1">{"'weekly data'!$A$2:$AS$36"}</definedName>
    <definedName name="asfasfdasfasdfasdfasf_4" localSheetId="5" hidden="1">{"'weekly data'!$A$2:$AS$36"}</definedName>
    <definedName name="asfasfdasfasdfasdfasf_4" hidden="1">{"'weekly data'!$A$2:$AS$36"}</definedName>
    <definedName name="asfasfdasfdsafasf" localSheetId="8" hidden="1">{"'weekly data'!$A$2:$AS$36"}</definedName>
    <definedName name="asfasfdasfdsafasf" localSheetId="5" hidden="1">{"'weekly data'!$A$2:$AS$36"}</definedName>
    <definedName name="asfasfdasfdsafasf" hidden="1">{"'weekly data'!$A$2:$AS$36"}</definedName>
    <definedName name="asfasfdasfdsafasf_1" localSheetId="8" hidden="1">{"'weekly data'!$A$2:$AS$36"}</definedName>
    <definedName name="asfasfdasfdsafasf_1" localSheetId="5" hidden="1">{"'weekly data'!$A$2:$AS$36"}</definedName>
    <definedName name="asfasfdasfdsafasf_1" hidden="1">{"'weekly data'!$A$2:$AS$36"}</definedName>
    <definedName name="asfasfdasfdsafasf_1_1" localSheetId="8" hidden="1">{"'weekly data'!$A$2:$AS$36"}</definedName>
    <definedName name="asfasfdasfdsafasf_1_1" localSheetId="5" hidden="1">{"'weekly data'!$A$2:$AS$36"}</definedName>
    <definedName name="asfasfdasfdsafasf_1_1" hidden="1">{"'weekly data'!$A$2:$AS$36"}</definedName>
    <definedName name="asfasfdasfdsafasf_1_1_1" localSheetId="8" hidden="1">{"'weekly data'!$A$2:$AS$36"}</definedName>
    <definedName name="asfasfdasfdsafasf_1_1_1" localSheetId="5" hidden="1">{"'weekly data'!$A$2:$AS$36"}</definedName>
    <definedName name="asfasfdasfdsafasf_1_1_1" hidden="1">{"'weekly data'!$A$2:$AS$36"}</definedName>
    <definedName name="asfasfdasfdsafasf_1_2" localSheetId="8" hidden="1">{"'weekly data'!$A$2:$AS$36"}</definedName>
    <definedName name="asfasfdasfdsafasf_1_2" localSheetId="5" hidden="1">{"'weekly data'!$A$2:$AS$36"}</definedName>
    <definedName name="asfasfdasfdsafasf_1_2" hidden="1">{"'weekly data'!$A$2:$AS$36"}</definedName>
    <definedName name="asfasfdasfdsafasf_2" localSheetId="8" hidden="1">{"'weekly data'!$A$2:$AS$36"}</definedName>
    <definedName name="asfasfdasfdsafasf_2" localSheetId="5" hidden="1">{"'weekly data'!$A$2:$AS$36"}</definedName>
    <definedName name="asfasfdasfdsafasf_2" hidden="1">{"'weekly data'!$A$2:$AS$36"}</definedName>
    <definedName name="asfasfdasfdsafasf_2_1" localSheetId="8" hidden="1">{"'weekly data'!$A$2:$AS$36"}</definedName>
    <definedName name="asfasfdasfdsafasf_2_1" localSheetId="5" hidden="1">{"'weekly data'!$A$2:$AS$36"}</definedName>
    <definedName name="asfasfdasfdsafasf_2_1" hidden="1">{"'weekly data'!$A$2:$AS$36"}</definedName>
    <definedName name="asfasfdasfdsafasf_2_1_1" localSheetId="8" hidden="1">{"'weekly data'!$A$2:$AS$36"}</definedName>
    <definedName name="asfasfdasfdsafasf_2_1_1" localSheetId="5" hidden="1">{"'weekly data'!$A$2:$AS$36"}</definedName>
    <definedName name="asfasfdasfdsafasf_2_1_1" hidden="1">{"'weekly data'!$A$2:$AS$36"}</definedName>
    <definedName name="asfasfdasfdsafasf_2_2" localSheetId="8" hidden="1">{"'weekly data'!$A$2:$AS$36"}</definedName>
    <definedName name="asfasfdasfdsafasf_2_2" localSheetId="5" hidden="1">{"'weekly data'!$A$2:$AS$36"}</definedName>
    <definedName name="asfasfdasfdsafasf_2_2" hidden="1">{"'weekly data'!$A$2:$AS$36"}</definedName>
    <definedName name="asfasfdasfdsafasf_3" localSheetId="8" hidden="1">{"'weekly data'!$A$2:$AS$36"}</definedName>
    <definedName name="asfasfdasfdsafasf_3" localSheetId="5" hidden="1">{"'weekly data'!$A$2:$AS$36"}</definedName>
    <definedName name="asfasfdasfdsafasf_3" hidden="1">{"'weekly data'!$A$2:$AS$36"}</definedName>
    <definedName name="asfasfdasfdsafasf_3_1" localSheetId="8" hidden="1">{"'weekly data'!$A$2:$AS$36"}</definedName>
    <definedName name="asfasfdasfdsafasf_3_1" localSheetId="5" hidden="1">{"'weekly data'!$A$2:$AS$36"}</definedName>
    <definedName name="asfasfdasfdsafasf_3_1" hidden="1">{"'weekly data'!$A$2:$AS$36"}</definedName>
    <definedName name="asfasfdasfdsafasf_4" localSheetId="8" hidden="1">{"'weekly data'!$A$2:$AS$36"}</definedName>
    <definedName name="asfasfdasfdsafasf_4" localSheetId="5" hidden="1">{"'weekly data'!$A$2:$AS$36"}</definedName>
    <definedName name="asfasfdasfdsafasf_4" hidden="1">{"'weekly data'!$A$2:$AS$36"}</definedName>
    <definedName name="atr" localSheetId="8" hidden="1">{"'vert'!$A$1:$T$117"}</definedName>
    <definedName name="atr" localSheetId="5" hidden="1">{"'vert'!$A$1:$T$117"}</definedName>
    <definedName name="atr" hidden="1">{"'vert'!$A$1:$T$117"}</definedName>
    <definedName name="atr_1" localSheetId="8" hidden="1">{"'vert'!$A$1:$T$117"}</definedName>
    <definedName name="atr_1" localSheetId="5" hidden="1">{"'vert'!$A$1:$T$117"}</definedName>
    <definedName name="atr_1" hidden="1">{"'vert'!$A$1:$T$117"}</definedName>
    <definedName name="atr_1_1" localSheetId="8" hidden="1">{"'vert'!$A$1:$T$117"}</definedName>
    <definedName name="atr_1_1" localSheetId="5" hidden="1">{"'vert'!$A$1:$T$117"}</definedName>
    <definedName name="atr_1_1" hidden="1">{"'vert'!$A$1:$T$117"}</definedName>
    <definedName name="atr_1_2" localSheetId="8" hidden="1">{"'vert'!$A$1:$T$117"}</definedName>
    <definedName name="atr_1_2" localSheetId="5" hidden="1">{"'vert'!$A$1:$T$117"}</definedName>
    <definedName name="atr_1_2" hidden="1">{"'vert'!$A$1:$T$117"}</definedName>
    <definedName name="atr_2" localSheetId="8" hidden="1">{"'vert'!$A$1:$T$117"}</definedName>
    <definedName name="atr_2" localSheetId="5" hidden="1">{"'vert'!$A$1:$T$117"}</definedName>
    <definedName name="atr_2" hidden="1">{"'vert'!$A$1:$T$117"}</definedName>
    <definedName name="atr_3" localSheetId="8" hidden="1">{"'vert'!$A$1:$T$117"}</definedName>
    <definedName name="atr_3" localSheetId="5" hidden="1">{"'vert'!$A$1:$T$117"}</definedName>
    <definedName name="atr_3" hidden="1">{"'vert'!$A$1:$T$117"}</definedName>
    <definedName name="atws" localSheetId="8" hidden="1">{"'vert'!$A$1:$T$117"}</definedName>
    <definedName name="atws" localSheetId="5" hidden="1">{"'vert'!$A$1:$T$117"}</definedName>
    <definedName name="atws" hidden="1">{"'vert'!$A$1:$T$117"}</definedName>
    <definedName name="atws_1" localSheetId="8" hidden="1">{"'vert'!$A$1:$T$117"}</definedName>
    <definedName name="atws_1" localSheetId="5" hidden="1">{"'vert'!$A$1:$T$117"}</definedName>
    <definedName name="atws_1" hidden="1">{"'vert'!$A$1:$T$117"}</definedName>
    <definedName name="atws_1_1" localSheetId="8" hidden="1">{"'vert'!$A$1:$T$117"}</definedName>
    <definedName name="atws_1_1" localSheetId="5" hidden="1">{"'vert'!$A$1:$T$117"}</definedName>
    <definedName name="atws_1_1" hidden="1">{"'vert'!$A$1:$T$117"}</definedName>
    <definedName name="atws_1_2" localSheetId="8" hidden="1">{"'vert'!$A$1:$T$117"}</definedName>
    <definedName name="atws_1_2" localSheetId="5" hidden="1">{"'vert'!$A$1:$T$117"}</definedName>
    <definedName name="atws_1_2" hidden="1">{"'vert'!$A$1:$T$117"}</definedName>
    <definedName name="atws_2" localSheetId="8" hidden="1">{"'vert'!$A$1:$T$117"}</definedName>
    <definedName name="atws_2" localSheetId="5" hidden="1">{"'vert'!$A$1:$T$117"}</definedName>
    <definedName name="atws_2" hidden="1">{"'vert'!$A$1:$T$117"}</definedName>
    <definedName name="atws_3" localSheetId="8" hidden="1">{"'vert'!$A$1:$T$117"}</definedName>
    <definedName name="atws_3" localSheetId="5" hidden="1">{"'vert'!$A$1:$T$117"}</definedName>
    <definedName name="atws_3" hidden="1">{"'vert'!$A$1:$T$117"}</definedName>
    <definedName name="awe_1" localSheetId="8" hidden="1">{"'vert'!$A$1:$T$117"}</definedName>
    <definedName name="awe_1" localSheetId="5" hidden="1">{"'vert'!$A$1:$T$117"}</definedName>
    <definedName name="awe_1" hidden="1">{"'vert'!$A$1:$T$117"}</definedName>
    <definedName name="awe_1_1" localSheetId="8" hidden="1">{"'vert'!$A$1:$T$117"}</definedName>
    <definedName name="awe_1_1" localSheetId="5" hidden="1">{"'vert'!$A$1:$T$117"}</definedName>
    <definedName name="awe_1_1" hidden="1">{"'vert'!$A$1:$T$117"}</definedName>
    <definedName name="awe_1_2" localSheetId="8" hidden="1">{"'vert'!$A$1:$T$117"}</definedName>
    <definedName name="awe_1_2" localSheetId="5" hidden="1">{"'vert'!$A$1:$T$117"}</definedName>
    <definedName name="awe_1_2" hidden="1">{"'vert'!$A$1:$T$117"}</definedName>
    <definedName name="awe_2" localSheetId="8" hidden="1">{"'vert'!$A$1:$T$117"}</definedName>
    <definedName name="awe_2" localSheetId="5" hidden="1">{"'vert'!$A$1:$T$117"}</definedName>
    <definedName name="awe_2" hidden="1">{"'vert'!$A$1:$T$117"}</definedName>
    <definedName name="awe_3" localSheetId="8" hidden="1">{"'vert'!$A$1:$T$117"}</definedName>
    <definedName name="awe_3" localSheetId="5" hidden="1">{"'vert'!$A$1:$T$117"}</definedName>
    <definedName name="awe_3" hidden="1">{"'vert'!$A$1:$T$117"}</definedName>
    <definedName name="b" localSheetId="8" hidden="1">{"'weekly data'!$A$2:$AS$36"}</definedName>
    <definedName name="b" localSheetId="5" hidden="1">{"'weekly data'!$A$2:$AS$36"}</definedName>
    <definedName name="b" hidden="1">{"'weekly data'!$A$2:$AS$36"}</definedName>
    <definedName name="b_1" localSheetId="8" hidden="1">{"'vert'!$A$1:$T$117"}</definedName>
    <definedName name="b_1" localSheetId="5" hidden="1">{"'vert'!$A$1:$T$117"}</definedName>
    <definedName name="b_1" hidden="1">{"'vert'!$A$1:$T$117"}</definedName>
    <definedName name="b_1_1" localSheetId="8" hidden="1">{"'vert'!$A$1:$T$117"}</definedName>
    <definedName name="b_1_1" localSheetId="5" hidden="1">{"'vert'!$A$1:$T$117"}</definedName>
    <definedName name="b_1_1" hidden="1">{"'vert'!$A$1:$T$117"}</definedName>
    <definedName name="b_1_1_1" localSheetId="8" hidden="1">{"'vert'!$A$1:$T$117"}</definedName>
    <definedName name="b_1_1_1" localSheetId="5" hidden="1">{"'vert'!$A$1:$T$117"}</definedName>
    <definedName name="b_1_1_1" hidden="1">{"'vert'!$A$1:$T$117"}</definedName>
    <definedName name="b_1_2" localSheetId="8" hidden="1">{"'vert'!$A$1:$T$117"}</definedName>
    <definedName name="b_1_2" localSheetId="5" hidden="1">{"'vert'!$A$1:$T$117"}</definedName>
    <definedName name="b_1_2" hidden="1">{"'vert'!$A$1:$T$117"}</definedName>
    <definedName name="b_2" localSheetId="8" hidden="1">{"'vert'!$A$1:$T$117"}</definedName>
    <definedName name="b_2" localSheetId="5" hidden="1">{"'vert'!$A$1:$T$117"}</definedName>
    <definedName name="b_2" hidden="1">{"'vert'!$A$1:$T$117"}</definedName>
    <definedName name="b_2_1" localSheetId="8" hidden="1">{"'vert'!$A$1:$T$117"}</definedName>
    <definedName name="b_2_1" localSheetId="5" hidden="1">{"'vert'!$A$1:$T$117"}</definedName>
    <definedName name="b_2_1" hidden="1">{"'vert'!$A$1:$T$117"}</definedName>
    <definedName name="b_2_1_1" localSheetId="8" hidden="1">{"'vert'!$A$1:$T$117"}</definedName>
    <definedName name="b_2_1_1" localSheetId="5" hidden="1">{"'vert'!$A$1:$T$117"}</definedName>
    <definedName name="b_2_1_1" hidden="1">{"'vert'!$A$1:$T$117"}</definedName>
    <definedName name="b_2_2" localSheetId="8" hidden="1">{"'vert'!$A$1:$T$117"}</definedName>
    <definedName name="b_2_2" localSheetId="5" hidden="1">{"'vert'!$A$1:$T$117"}</definedName>
    <definedName name="b_2_2" hidden="1">{"'vert'!$A$1:$T$117"}</definedName>
    <definedName name="b_3" localSheetId="8" hidden="1">{"'vert'!$A$1:$T$117"}</definedName>
    <definedName name="b_3" localSheetId="5" hidden="1">{"'vert'!$A$1:$T$117"}</definedName>
    <definedName name="b_3" hidden="1">{"'vert'!$A$1:$T$117"}</definedName>
    <definedName name="b_3_1" localSheetId="8" hidden="1">{"'vert'!$A$1:$T$117"}</definedName>
    <definedName name="b_3_1" localSheetId="5" hidden="1">{"'vert'!$A$1:$T$117"}</definedName>
    <definedName name="b_3_1" hidden="1">{"'vert'!$A$1:$T$117"}</definedName>
    <definedName name="b_4" localSheetId="8" hidden="1">{"'vert'!$A$1:$T$117"}</definedName>
    <definedName name="b_4" localSheetId="5" hidden="1">{"'vert'!$A$1:$T$117"}</definedName>
    <definedName name="b_4" hidden="1">{"'vert'!$A$1:$T$117"}</definedName>
    <definedName name="backslide" localSheetId="8" hidden="1">{"'vert'!$A$1:$T$117"}</definedName>
    <definedName name="backslide" localSheetId="5" hidden="1">{"'vert'!$A$1:$T$117"}</definedName>
    <definedName name="backslide" hidden="1">{"'vert'!$A$1:$T$117"}</definedName>
    <definedName name="backslide_1" localSheetId="8" hidden="1">{"'vert'!$A$1:$T$117"}</definedName>
    <definedName name="backslide_1" localSheetId="5" hidden="1">{"'vert'!$A$1:$T$117"}</definedName>
    <definedName name="backslide_1" hidden="1">{"'vert'!$A$1:$T$117"}</definedName>
    <definedName name="backslide_1_1" localSheetId="8" hidden="1">{"'vert'!$A$1:$T$117"}</definedName>
    <definedName name="backslide_1_1" localSheetId="5" hidden="1">{"'vert'!$A$1:$T$117"}</definedName>
    <definedName name="backslide_1_1" hidden="1">{"'vert'!$A$1:$T$117"}</definedName>
    <definedName name="backslide_1_1_1" localSheetId="8" hidden="1">{"'vert'!$A$1:$T$117"}</definedName>
    <definedName name="backslide_1_1_1" localSheetId="5" hidden="1">{"'vert'!$A$1:$T$117"}</definedName>
    <definedName name="backslide_1_1_1" hidden="1">{"'vert'!$A$1:$T$117"}</definedName>
    <definedName name="backslide_1_2" localSheetId="8" hidden="1">{"'vert'!$A$1:$T$117"}</definedName>
    <definedName name="backslide_1_2" localSheetId="5" hidden="1">{"'vert'!$A$1:$T$117"}</definedName>
    <definedName name="backslide_1_2" hidden="1">{"'vert'!$A$1:$T$117"}</definedName>
    <definedName name="backslide_2" localSheetId="8" hidden="1">{"'vert'!$A$1:$T$117"}</definedName>
    <definedName name="backslide_2" localSheetId="5" hidden="1">{"'vert'!$A$1:$T$117"}</definedName>
    <definedName name="backslide_2" hidden="1">{"'vert'!$A$1:$T$117"}</definedName>
    <definedName name="backslide_2_1" localSheetId="8" hidden="1">{"'vert'!$A$1:$T$117"}</definedName>
    <definedName name="backslide_2_1" localSheetId="5" hidden="1">{"'vert'!$A$1:$T$117"}</definedName>
    <definedName name="backslide_2_1" hidden="1">{"'vert'!$A$1:$T$117"}</definedName>
    <definedName name="backslide_2_1_1" localSheetId="8" hidden="1">{"'vert'!$A$1:$T$117"}</definedName>
    <definedName name="backslide_2_1_1" localSheetId="5" hidden="1">{"'vert'!$A$1:$T$117"}</definedName>
    <definedName name="backslide_2_1_1" hidden="1">{"'vert'!$A$1:$T$117"}</definedName>
    <definedName name="backslide_2_2" localSheetId="8" hidden="1">{"'vert'!$A$1:$T$117"}</definedName>
    <definedName name="backslide_2_2" localSheetId="5" hidden="1">{"'vert'!$A$1:$T$117"}</definedName>
    <definedName name="backslide_2_2" hidden="1">{"'vert'!$A$1:$T$117"}</definedName>
    <definedName name="backslide_3" localSheetId="8" hidden="1">{"'vert'!$A$1:$T$117"}</definedName>
    <definedName name="backslide_3" localSheetId="5" hidden="1">{"'vert'!$A$1:$T$117"}</definedName>
    <definedName name="backslide_3" hidden="1">{"'vert'!$A$1:$T$117"}</definedName>
    <definedName name="backslide_3_1" localSheetId="8" hidden="1">{"'vert'!$A$1:$T$117"}</definedName>
    <definedName name="backslide_3_1" localSheetId="5" hidden="1">{"'vert'!$A$1:$T$117"}</definedName>
    <definedName name="backslide_3_1" hidden="1">{"'vert'!$A$1:$T$117"}</definedName>
    <definedName name="backslide_4" localSheetId="8" hidden="1">{"'vert'!$A$1:$T$117"}</definedName>
    <definedName name="backslide_4" localSheetId="5" hidden="1">{"'vert'!$A$1:$T$117"}</definedName>
    <definedName name="backslide_4" hidden="1">{"'vert'!$A$1:$T$117"}</definedName>
    <definedName name="bad" localSheetId="8" hidden="1">{"'vert'!$A$1:$T$117"}</definedName>
    <definedName name="bad" localSheetId="5" hidden="1">{"'vert'!$A$1:$T$117"}</definedName>
    <definedName name="bad" hidden="1">{"'vert'!$A$1:$T$117"}</definedName>
    <definedName name="bad_1" localSheetId="8" hidden="1">{"'vert'!$A$1:$T$117"}</definedName>
    <definedName name="bad_1" localSheetId="5" hidden="1">{"'vert'!$A$1:$T$117"}</definedName>
    <definedName name="bad_1" hidden="1">{"'vert'!$A$1:$T$117"}</definedName>
    <definedName name="bad_1_1" localSheetId="8" hidden="1">{"'vert'!$A$1:$T$117"}</definedName>
    <definedName name="bad_1_1" localSheetId="5" hidden="1">{"'vert'!$A$1:$T$117"}</definedName>
    <definedName name="bad_1_1" hidden="1">{"'vert'!$A$1:$T$117"}</definedName>
    <definedName name="bad_1_1_1" localSheetId="8" hidden="1">{"'vert'!$A$1:$T$117"}</definedName>
    <definedName name="bad_1_1_1" localSheetId="5" hidden="1">{"'vert'!$A$1:$T$117"}</definedName>
    <definedName name="bad_1_1_1" hidden="1">{"'vert'!$A$1:$T$117"}</definedName>
    <definedName name="bad_1_2" localSheetId="8" hidden="1">{"'vert'!$A$1:$T$117"}</definedName>
    <definedName name="bad_1_2" localSheetId="5" hidden="1">{"'vert'!$A$1:$T$117"}</definedName>
    <definedName name="bad_1_2" hidden="1">{"'vert'!$A$1:$T$117"}</definedName>
    <definedName name="bad_2" localSheetId="8" hidden="1">{"'vert'!$A$1:$T$117"}</definedName>
    <definedName name="bad_2" localSheetId="5" hidden="1">{"'vert'!$A$1:$T$117"}</definedName>
    <definedName name="bad_2" hidden="1">{"'vert'!$A$1:$T$117"}</definedName>
    <definedName name="bad_2_1" localSheetId="8" hidden="1">{"'vert'!$A$1:$T$117"}</definedName>
    <definedName name="bad_2_1" localSheetId="5" hidden="1">{"'vert'!$A$1:$T$117"}</definedName>
    <definedName name="bad_2_1" hidden="1">{"'vert'!$A$1:$T$117"}</definedName>
    <definedName name="bad_2_1_1" localSheetId="8" hidden="1">{"'vert'!$A$1:$T$117"}</definedName>
    <definedName name="bad_2_1_1" localSheetId="5" hidden="1">{"'vert'!$A$1:$T$117"}</definedName>
    <definedName name="bad_2_1_1" hidden="1">{"'vert'!$A$1:$T$117"}</definedName>
    <definedName name="bad_2_2" localSheetId="8" hidden="1">{"'vert'!$A$1:$T$117"}</definedName>
    <definedName name="bad_2_2" localSheetId="5" hidden="1">{"'vert'!$A$1:$T$117"}</definedName>
    <definedName name="bad_2_2" hidden="1">{"'vert'!$A$1:$T$117"}</definedName>
    <definedName name="bad_3" localSheetId="8" hidden="1">{"'vert'!$A$1:$T$117"}</definedName>
    <definedName name="bad_3" localSheetId="5" hidden="1">{"'vert'!$A$1:$T$117"}</definedName>
    <definedName name="bad_3" hidden="1">{"'vert'!$A$1:$T$117"}</definedName>
    <definedName name="bad_3_1" localSheetId="8" hidden="1">{"'vert'!$A$1:$T$117"}</definedName>
    <definedName name="bad_3_1" localSheetId="5" hidden="1">{"'vert'!$A$1:$T$117"}</definedName>
    <definedName name="bad_3_1" hidden="1">{"'vert'!$A$1:$T$117"}</definedName>
    <definedName name="bad_4" localSheetId="8" hidden="1">{"'vert'!$A$1:$T$117"}</definedName>
    <definedName name="bad_4" localSheetId="5" hidden="1">{"'vert'!$A$1:$T$117"}</definedName>
    <definedName name="bad_4" hidden="1">{"'vert'!$A$1:$T$117"}</definedName>
    <definedName name="bar" localSheetId="8" hidden="1">{"'vert'!$A$1:$T$117"}</definedName>
    <definedName name="bar" localSheetId="5" hidden="1">{"'vert'!$A$1:$T$117"}</definedName>
    <definedName name="bar" hidden="1">{"'vert'!$A$1:$T$117"}</definedName>
    <definedName name="bbb" localSheetId="8" hidden="1">{"'vert'!$A$1:$T$117"}</definedName>
    <definedName name="bbb" localSheetId="5" hidden="1">{"'vert'!$A$1:$T$117"}</definedName>
    <definedName name="bbb" hidden="1">{"'vert'!$A$1:$T$117"}</definedName>
    <definedName name="bbb_1" localSheetId="8" hidden="1">{"'vert'!$A$1:$T$117"}</definedName>
    <definedName name="bbb_1" localSheetId="5" hidden="1">{"'vert'!$A$1:$T$117"}</definedName>
    <definedName name="bbb_1" hidden="1">{"'vert'!$A$1:$T$117"}</definedName>
    <definedName name="bbb_1_1" localSheetId="8" hidden="1">{"'vert'!$A$1:$T$117"}</definedName>
    <definedName name="bbb_1_1" localSheetId="5" hidden="1">{"'vert'!$A$1:$T$117"}</definedName>
    <definedName name="bbb_1_1" hidden="1">{"'vert'!$A$1:$T$117"}</definedName>
    <definedName name="bbb_1_1_1" localSheetId="8" hidden="1">{"'vert'!$A$1:$T$117"}</definedName>
    <definedName name="bbb_1_1_1" localSheetId="5" hidden="1">{"'vert'!$A$1:$T$117"}</definedName>
    <definedName name="bbb_1_1_1" hidden="1">{"'vert'!$A$1:$T$117"}</definedName>
    <definedName name="bbb_1_2" localSheetId="8" hidden="1">{"'vert'!$A$1:$T$117"}</definedName>
    <definedName name="bbb_1_2" localSheetId="5" hidden="1">{"'vert'!$A$1:$T$117"}</definedName>
    <definedName name="bbb_1_2" hidden="1">{"'vert'!$A$1:$T$117"}</definedName>
    <definedName name="bbb_2" localSheetId="8" hidden="1">{"'vert'!$A$1:$T$117"}</definedName>
    <definedName name="bbb_2" localSheetId="5" hidden="1">{"'vert'!$A$1:$T$117"}</definedName>
    <definedName name="bbb_2" hidden="1">{"'vert'!$A$1:$T$117"}</definedName>
    <definedName name="bbb_2_1" localSheetId="8" hidden="1">{"'vert'!$A$1:$T$117"}</definedName>
    <definedName name="bbb_2_1" localSheetId="5" hidden="1">{"'vert'!$A$1:$T$117"}</definedName>
    <definedName name="bbb_2_1" hidden="1">{"'vert'!$A$1:$T$117"}</definedName>
    <definedName name="bbb_2_1_1" localSheetId="8" hidden="1">{"'vert'!$A$1:$T$117"}</definedName>
    <definedName name="bbb_2_1_1" localSheetId="5" hidden="1">{"'vert'!$A$1:$T$117"}</definedName>
    <definedName name="bbb_2_1_1" hidden="1">{"'vert'!$A$1:$T$117"}</definedName>
    <definedName name="bbb_2_2" localSheetId="8" hidden="1">{"'vert'!$A$1:$T$117"}</definedName>
    <definedName name="bbb_2_2" localSheetId="5" hidden="1">{"'vert'!$A$1:$T$117"}</definedName>
    <definedName name="bbb_2_2" hidden="1">{"'vert'!$A$1:$T$117"}</definedName>
    <definedName name="bbb_3" localSheetId="8" hidden="1">{"'vert'!$A$1:$T$117"}</definedName>
    <definedName name="bbb_3" localSheetId="5" hidden="1">{"'vert'!$A$1:$T$117"}</definedName>
    <definedName name="bbb_3" hidden="1">{"'vert'!$A$1:$T$117"}</definedName>
    <definedName name="bbb_3_1" localSheetId="8" hidden="1">{"'vert'!$A$1:$T$117"}</definedName>
    <definedName name="bbb_3_1" localSheetId="5" hidden="1">{"'vert'!$A$1:$T$117"}</definedName>
    <definedName name="bbb_3_1" hidden="1">{"'vert'!$A$1:$T$117"}</definedName>
    <definedName name="bbb_4" localSheetId="8" hidden="1">{"'vert'!$A$1:$T$117"}</definedName>
    <definedName name="bbb_4" localSheetId="5" hidden="1">{"'vert'!$A$1:$T$117"}</definedName>
    <definedName name="bbb_4" hidden="1">{"'vert'!$A$1:$T$117"}</definedName>
    <definedName name="bbbbb" localSheetId="8" hidden="1">{"'vert'!$A$1:$T$117"}</definedName>
    <definedName name="bbbbb" localSheetId="5" hidden="1">{"'vert'!$A$1:$T$117"}</definedName>
    <definedName name="bbbbb" hidden="1">{"'vert'!$A$1:$T$117"}</definedName>
    <definedName name="bbbbb_1" localSheetId="8" hidden="1">{"'vert'!$A$1:$T$117"}</definedName>
    <definedName name="bbbbb_1" localSheetId="5" hidden="1">{"'vert'!$A$1:$T$117"}</definedName>
    <definedName name="bbbbb_1" hidden="1">{"'vert'!$A$1:$T$117"}</definedName>
    <definedName name="bbbbb_1_1" localSheetId="8" hidden="1">{"'vert'!$A$1:$T$117"}</definedName>
    <definedName name="bbbbb_1_1" localSheetId="5" hidden="1">{"'vert'!$A$1:$T$117"}</definedName>
    <definedName name="bbbbb_1_1" hidden="1">{"'vert'!$A$1:$T$117"}</definedName>
    <definedName name="bbbbb_1_2" localSheetId="8" hidden="1">{"'vert'!$A$1:$T$117"}</definedName>
    <definedName name="bbbbb_1_2" localSheetId="5" hidden="1">{"'vert'!$A$1:$T$117"}</definedName>
    <definedName name="bbbbb_1_2" hidden="1">{"'vert'!$A$1:$T$117"}</definedName>
    <definedName name="bbbbb_2" localSheetId="8" hidden="1">{"'vert'!$A$1:$T$117"}</definedName>
    <definedName name="bbbbb_2" localSheetId="5" hidden="1">{"'vert'!$A$1:$T$117"}</definedName>
    <definedName name="bbbbb_2" hidden="1">{"'vert'!$A$1:$T$117"}</definedName>
    <definedName name="bbbbb_3" localSheetId="8" hidden="1">{"'vert'!$A$1:$T$117"}</definedName>
    <definedName name="bbbbb_3" localSheetId="5" hidden="1">{"'vert'!$A$1:$T$117"}</definedName>
    <definedName name="bbbbb_3" hidden="1">{"'vert'!$A$1:$T$117"}</definedName>
    <definedName name="bbbbbbbbbbb" localSheetId="8" hidden="1">{"'vert'!$A$1:$T$117"}</definedName>
    <definedName name="bbbbbbbbbbb" localSheetId="5" hidden="1">{"'vert'!$A$1:$T$117"}</definedName>
    <definedName name="bbbbbbbbbbb" hidden="1">{"'vert'!$A$1:$T$117"}</definedName>
    <definedName name="bbbbbbbbbbb_1" localSheetId="8" hidden="1">{"'vert'!$A$1:$T$117"}</definedName>
    <definedName name="bbbbbbbbbbb_1" localSheetId="5" hidden="1">{"'vert'!$A$1:$T$117"}</definedName>
    <definedName name="bbbbbbbbbbb_1" hidden="1">{"'vert'!$A$1:$T$117"}</definedName>
    <definedName name="bbbbbbbbbbb_1_1" localSheetId="8" hidden="1">{"'vert'!$A$1:$T$117"}</definedName>
    <definedName name="bbbbbbbbbbb_1_1" localSheetId="5" hidden="1">{"'vert'!$A$1:$T$117"}</definedName>
    <definedName name="bbbbbbbbbbb_1_1" hidden="1">{"'vert'!$A$1:$T$117"}</definedName>
    <definedName name="bbbbbbbbbbb_1_2" localSheetId="8" hidden="1">{"'vert'!$A$1:$T$117"}</definedName>
    <definedName name="bbbbbbbbbbb_1_2" localSheetId="5" hidden="1">{"'vert'!$A$1:$T$117"}</definedName>
    <definedName name="bbbbbbbbbbb_1_2" hidden="1">{"'vert'!$A$1:$T$117"}</definedName>
    <definedName name="bbbbbbbbbbb_2" localSheetId="8" hidden="1">{"'vert'!$A$1:$T$117"}</definedName>
    <definedName name="bbbbbbbbbbb_2" localSheetId="5" hidden="1">{"'vert'!$A$1:$T$117"}</definedName>
    <definedName name="bbbbbbbbbbb_2" hidden="1">{"'vert'!$A$1:$T$117"}</definedName>
    <definedName name="bbbbbbbbbbb_3" localSheetId="8" hidden="1">{"'vert'!$A$1:$T$117"}</definedName>
    <definedName name="bbbbbbbbbbb_3" localSheetId="5" hidden="1">{"'vert'!$A$1:$T$117"}</definedName>
    <definedName name="bbbbbbbbbbb_3" hidden="1">{"'vert'!$A$1:$T$117"}</definedName>
    <definedName name="bbbbbbbbbbbbb" localSheetId="8" hidden="1">{"'vert'!$A$1:$T$117"}</definedName>
    <definedName name="bbbbbbbbbbbbb" localSheetId="5" hidden="1">{"'vert'!$A$1:$T$117"}</definedName>
    <definedName name="bbbbbbbbbbbbb" hidden="1">{"'vert'!$A$1:$T$117"}</definedName>
    <definedName name="bbbbbbbbbbbbb_1" localSheetId="8" hidden="1">{"'vert'!$A$1:$T$117"}</definedName>
    <definedName name="bbbbbbbbbbbbb_1" localSheetId="5" hidden="1">{"'vert'!$A$1:$T$117"}</definedName>
    <definedName name="bbbbbbbbbbbbb_1" hidden="1">{"'vert'!$A$1:$T$117"}</definedName>
    <definedName name="bbbbbbbbbbbbb_1_1" localSheetId="8" hidden="1">{"'vert'!$A$1:$T$117"}</definedName>
    <definedName name="bbbbbbbbbbbbb_1_1" localSheetId="5" hidden="1">{"'vert'!$A$1:$T$117"}</definedName>
    <definedName name="bbbbbbbbbbbbb_1_1" hidden="1">{"'vert'!$A$1:$T$117"}</definedName>
    <definedName name="bbbbbbbbbbbbb_1_2" localSheetId="8" hidden="1">{"'vert'!$A$1:$T$117"}</definedName>
    <definedName name="bbbbbbbbbbbbb_1_2" localSheetId="5" hidden="1">{"'vert'!$A$1:$T$117"}</definedName>
    <definedName name="bbbbbbbbbbbbb_1_2" hidden="1">{"'vert'!$A$1:$T$117"}</definedName>
    <definedName name="bbbbbbbbbbbbb_2" localSheetId="8" hidden="1">{"'vert'!$A$1:$T$117"}</definedName>
    <definedName name="bbbbbbbbbbbbb_2" localSheetId="5" hidden="1">{"'vert'!$A$1:$T$117"}</definedName>
    <definedName name="bbbbbbbbbbbbb_2" hidden="1">{"'vert'!$A$1:$T$117"}</definedName>
    <definedName name="bbbbbbbbbbbbb_3" localSheetId="8" hidden="1">{"'vert'!$A$1:$T$117"}</definedName>
    <definedName name="bbbbbbbbbbbbb_3" localSheetId="5" hidden="1">{"'vert'!$A$1:$T$117"}</definedName>
    <definedName name="bbbbbbbbbbbbb_3" hidden="1">{"'vert'!$A$1:$T$117"}</definedName>
    <definedName name="bbbbbbbbbbbbbbbbb" localSheetId="8" hidden="1">{"'vert'!$A$1:$T$117"}</definedName>
    <definedName name="bbbbbbbbbbbbbbbbb" localSheetId="5" hidden="1">{"'vert'!$A$1:$T$117"}</definedName>
    <definedName name="bbbbbbbbbbbbbbbbb" hidden="1">{"'vert'!$A$1:$T$117"}</definedName>
    <definedName name="bbbbbbbbbbbbbbbbb_1" localSheetId="8" hidden="1">{"'vert'!$A$1:$T$117"}</definedName>
    <definedName name="bbbbbbbbbbbbbbbbb_1" localSheetId="5" hidden="1">{"'vert'!$A$1:$T$117"}</definedName>
    <definedName name="bbbbbbbbbbbbbbbbb_1" hidden="1">{"'vert'!$A$1:$T$117"}</definedName>
    <definedName name="bbbbbbbbbbbbbbbbb_1_1" localSheetId="8" hidden="1">{"'vert'!$A$1:$T$117"}</definedName>
    <definedName name="bbbbbbbbbbbbbbbbb_1_1" localSheetId="5" hidden="1">{"'vert'!$A$1:$T$117"}</definedName>
    <definedName name="bbbbbbbbbbbbbbbbb_1_1" hidden="1">{"'vert'!$A$1:$T$117"}</definedName>
    <definedName name="bbbbbbbbbbbbbbbbb_1_2" localSheetId="8" hidden="1">{"'vert'!$A$1:$T$117"}</definedName>
    <definedName name="bbbbbbbbbbbbbbbbb_1_2" localSheetId="5" hidden="1">{"'vert'!$A$1:$T$117"}</definedName>
    <definedName name="bbbbbbbbbbbbbbbbb_1_2" hidden="1">{"'vert'!$A$1:$T$117"}</definedName>
    <definedName name="bbbbbbbbbbbbbbbbb_2" localSheetId="8" hidden="1">{"'vert'!$A$1:$T$117"}</definedName>
    <definedName name="bbbbbbbbbbbbbbbbb_2" localSheetId="5" hidden="1">{"'vert'!$A$1:$T$117"}</definedName>
    <definedName name="bbbbbbbbbbbbbbbbb_2" hidden="1">{"'vert'!$A$1:$T$117"}</definedName>
    <definedName name="bbbbbbbbbbbbbbbbb_3" localSheetId="8" hidden="1">{"'vert'!$A$1:$T$117"}</definedName>
    <definedName name="bbbbbbbbbbbbbbbbb_3" localSheetId="5" hidden="1">{"'vert'!$A$1:$T$117"}</definedName>
    <definedName name="bbbbbbbbbbbbbbbbb_3" hidden="1">{"'vert'!$A$1:$T$117"}</definedName>
    <definedName name="bhf" localSheetId="8" hidden="1">{"'vert'!$A$1:$T$117"}</definedName>
    <definedName name="bhf" localSheetId="5" hidden="1">{"'vert'!$A$1:$T$117"}</definedName>
    <definedName name="bhf" hidden="1">{"'vert'!$A$1:$T$117"}</definedName>
    <definedName name="bhf_1" localSheetId="8" hidden="1">{"'vert'!$A$1:$T$117"}</definedName>
    <definedName name="bhf_1" localSheetId="5" hidden="1">{"'vert'!$A$1:$T$117"}</definedName>
    <definedName name="bhf_1" hidden="1">{"'vert'!$A$1:$T$117"}</definedName>
    <definedName name="bhf_1_1" localSheetId="8" hidden="1">{"'vert'!$A$1:$T$117"}</definedName>
    <definedName name="bhf_1_1" localSheetId="5" hidden="1">{"'vert'!$A$1:$T$117"}</definedName>
    <definedName name="bhf_1_1" hidden="1">{"'vert'!$A$1:$T$117"}</definedName>
    <definedName name="bhf_1_2" localSheetId="8" hidden="1">{"'vert'!$A$1:$T$117"}</definedName>
    <definedName name="bhf_1_2" localSheetId="5" hidden="1">{"'vert'!$A$1:$T$117"}</definedName>
    <definedName name="bhf_1_2" hidden="1">{"'vert'!$A$1:$T$117"}</definedName>
    <definedName name="bhf_2" localSheetId="8" hidden="1">{"'vert'!$A$1:$T$117"}</definedName>
    <definedName name="bhf_2" localSheetId="5" hidden="1">{"'vert'!$A$1:$T$117"}</definedName>
    <definedName name="bhf_2" hidden="1">{"'vert'!$A$1:$T$117"}</definedName>
    <definedName name="bhf_3" localSheetId="8" hidden="1">{"'vert'!$A$1:$T$117"}</definedName>
    <definedName name="bhf_3" localSheetId="5" hidden="1">{"'vert'!$A$1:$T$117"}</definedName>
    <definedName name="bhf_3" hidden="1">{"'vert'!$A$1:$T$117"}</definedName>
    <definedName name="bla" localSheetId="8" hidden="1">{"'vert'!$A$1:$T$117"}</definedName>
    <definedName name="bla" localSheetId="5" hidden="1">{"'vert'!$A$1:$T$117"}</definedName>
    <definedName name="bla" hidden="1">{"'vert'!$A$1:$T$117"}</definedName>
    <definedName name="bla_1" localSheetId="8" hidden="1">{"'vert'!$A$1:$T$117"}</definedName>
    <definedName name="bla_1" localSheetId="5" hidden="1">{"'vert'!$A$1:$T$117"}</definedName>
    <definedName name="bla_1" hidden="1">{"'vert'!$A$1:$T$117"}</definedName>
    <definedName name="bla_1_1" localSheetId="8" hidden="1">{"'vert'!$A$1:$T$117"}</definedName>
    <definedName name="bla_1_1" localSheetId="5" hidden="1">{"'vert'!$A$1:$T$117"}</definedName>
    <definedName name="bla_1_1" hidden="1">{"'vert'!$A$1:$T$117"}</definedName>
    <definedName name="bla_1_1_1" localSheetId="8" hidden="1">{"'vert'!$A$1:$T$117"}</definedName>
    <definedName name="bla_1_1_1" localSheetId="5" hidden="1">{"'vert'!$A$1:$T$117"}</definedName>
    <definedName name="bla_1_1_1" hidden="1">{"'vert'!$A$1:$T$117"}</definedName>
    <definedName name="bla_1_2" localSheetId="8" hidden="1">{"'vert'!$A$1:$T$117"}</definedName>
    <definedName name="bla_1_2" localSheetId="5" hidden="1">{"'vert'!$A$1:$T$117"}</definedName>
    <definedName name="bla_1_2" hidden="1">{"'vert'!$A$1:$T$117"}</definedName>
    <definedName name="bla_2" localSheetId="8" hidden="1">{"'vert'!$A$1:$T$117"}</definedName>
    <definedName name="bla_2" localSheetId="5" hidden="1">{"'vert'!$A$1:$T$117"}</definedName>
    <definedName name="bla_2" hidden="1">{"'vert'!$A$1:$T$117"}</definedName>
    <definedName name="bla_2_1" localSheetId="8" hidden="1">{"'vert'!$A$1:$T$117"}</definedName>
    <definedName name="bla_2_1" localSheetId="5" hidden="1">{"'vert'!$A$1:$T$117"}</definedName>
    <definedName name="bla_2_1" hidden="1">{"'vert'!$A$1:$T$117"}</definedName>
    <definedName name="bla_2_1_1" localSheetId="8" hidden="1">{"'vert'!$A$1:$T$117"}</definedName>
    <definedName name="bla_2_1_1" localSheetId="5" hidden="1">{"'vert'!$A$1:$T$117"}</definedName>
    <definedName name="bla_2_1_1" hidden="1">{"'vert'!$A$1:$T$117"}</definedName>
    <definedName name="bla_2_2" localSheetId="8" hidden="1">{"'vert'!$A$1:$T$117"}</definedName>
    <definedName name="bla_2_2" localSheetId="5" hidden="1">{"'vert'!$A$1:$T$117"}</definedName>
    <definedName name="bla_2_2" hidden="1">{"'vert'!$A$1:$T$117"}</definedName>
    <definedName name="bla_3" localSheetId="8" hidden="1">{"'vert'!$A$1:$T$117"}</definedName>
    <definedName name="bla_3" localSheetId="5" hidden="1">{"'vert'!$A$1:$T$117"}</definedName>
    <definedName name="bla_3" hidden="1">{"'vert'!$A$1:$T$117"}</definedName>
    <definedName name="bla_3_1" localSheetId="8" hidden="1">{"'vert'!$A$1:$T$117"}</definedName>
    <definedName name="bla_3_1" localSheetId="5" hidden="1">{"'vert'!$A$1:$T$117"}</definedName>
    <definedName name="bla_3_1" hidden="1">{"'vert'!$A$1:$T$117"}</definedName>
    <definedName name="bla_4" localSheetId="8" hidden="1">{"'vert'!$A$1:$T$117"}</definedName>
    <definedName name="bla_4" localSheetId="5" hidden="1">{"'vert'!$A$1:$T$117"}</definedName>
    <definedName name="bla_4" hidden="1">{"'vert'!$A$1:$T$117"}</definedName>
    <definedName name="blah" localSheetId="8" hidden="1">{"'vert'!$A$1:$T$117"}</definedName>
    <definedName name="blah" localSheetId="5" hidden="1">{"'vert'!$A$1:$T$117"}</definedName>
    <definedName name="blah" hidden="1">{"'vert'!$A$1:$T$117"}</definedName>
    <definedName name="blah_1" localSheetId="8" hidden="1">{"'vert'!$A$1:$T$117"}</definedName>
    <definedName name="blah_1" localSheetId="5" hidden="1">{"'vert'!$A$1:$T$117"}</definedName>
    <definedName name="blah_1" hidden="1">{"'vert'!$A$1:$T$117"}</definedName>
    <definedName name="blah_1_1" localSheetId="8" hidden="1">{"'vert'!$A$1:$T$117"}</definedName>
    <definedName name="blah_1_1" localSheetId="5" hidden="1">{"'vert'!$A$1:$T$117"}</definedName>
    <definedName name="blah_1_1" hidden="1">{"'vert'!$A$1:$T$117"}</definedName>
    <definedName name="blah_1_1_1" localSheetId="8" hidden="1">{"'vert'!$A$1:$T$117"}</definedName>
    <definedName name="blah_1_1_1" localSheetId="5" hidden="1">{"'vert'!$A$1:$T$117"}</definedName>
    <definedName name="blah_1_1_1" hidden="1">{"'vert'!$A$1:$T$117"}</definedName>
    <definedName name="blah_1_2" localSheetId="8" hidden="1">{"'vert'!$A$1:$T$117"}</definedName>
    <definedName name="blah_1_2" localSheetId="5" hidden="1">{"'vert'!$A$1:$T$117"}</definedName>
    <definedName name="blah_1_2" hidden="1">{"'vert'!$A$1:$T$117"}</definedName>
    <definedName name="blah_2" localSheetId="8" hidden="1">{"'vert'!$A$1:$T$117"}</definedName>
    <definedName name="blah_2" localSheetId="5" hidden="1">{"'vert'!$A$1:$T$117"}</definedName>
    <definedName name="blah_2" hidden="1">{"'vert'!$A$1:$T$117"}</definedName>
    <definedName name="blah_2_1" localSheetId="8" hidden="1">{"'vert'!$A$1:$T$117"}</definedName>
    <definedName name="blah_2_1" localSheetId="5" hidden="1">{"'vert'!$A$1:$T$117"}</definedName>
    <definedName name="blah_2_1" hidden="1">{"'vert'!$A$1:$T$117"}</definedName>
    <definedName name="blah_2_1_1" localSheetId="8" hidden="1">{"'vert'!$A$1:$T$117"}</definedName>
    <definedName name="blah_2_1_1" localSheetId="5" hidden="1">{"'vert'!$A$1:$T$117"}</definedName>
    <definedName name="blah_2_1_1" hidden="1">{"'vert'!$A$1:$T$117"}</definedName>
    <definedName name="blah_2_2" localSheetId="8" hidden="1">{"'vert'!$A$1:$T$117"}</definedName>
    <definedName name="blah_2_2" localSheetId="5" hidden="1">{"'vert'!$A$1:$T$117"}</definedName>
    <definedName name="blah_2_2" hidden="1">{"'vert'!$A$1:$T$117"}</definedName>
    <definedName name="blah_3" localSheetId="8" hidden="1">{"'vert'!$A$1:$T$117"}</definedName>
    <definedName name="blah_3" localSheetId="5" hidden="1">{"'vert'!$A$1:$T$117"}</definedName>
    <definedName name="blah_3" hidden="1">{"'vert'!$A$1:$T$117"}</definedName>
    <definedName name="blah_3_1" localSheetId="8" hidden="1">{"'vert'!$A$1:$T$117"}</definedName>
    <definedName name="blah_3_1" localSheetId="5" hidden="1">{"'vert'!$A$1:$T$117"}</definedName>
    <definedName name="blah_3_1" hidden="1">{"'vert'!$A$1:$T$117"}</definedName>
    <definedName name="blah_4" localSheetId="8" hidden="1">{"'vert'!$A$1:$T$117"}</definedName>
    <definedName name="blah_4" localSheetId="5" hidden="1">{"'vert'!$A$1:$T$117"}</definedName>
    <definedName name="blah_4" hidden="1">{"'vert'!$A$1:$T$117"}</definedName>
    <definedName name="blahblahwk26wbr" localSheetId="8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blahblahwk26wbr" localSheetId="5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blahblahwk26wbr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BNE_MESSAGES_HIDDEN" hidden="1">#REF!</definedName>
    <definedName name="boatluck" localSheetId="8" hidden="1">{"'vert'!$A$1:$T$117"}</definedName>
    <definedName name="boatluck" localSheetId="5" hidden="1">{"'vert'!$A$1:$T$117"}</definedName>
    <definedName name="boatluck" hidden="1">{"'vert'!$A$1:$T$117"}</definedName>
    <definedName name="boatluck_1" localSheetId="8" hidden="1">{"'vert'!$A$1:$T$117"}</definedName>
    <definedName name="boatluck_1" localSheetId="5" hidden="1">{"'vert'!$A$1:$T$117"}</definedName>
    <definedName name="boatluck_1" hidden="1">{"'vert'!$A$1:$T$117"}</definedName>
    <definedName name="boatluck_1_1" localSheetId="8" hidden="1">{"'vert'!$A$1:$T$117"}</definedName>
    <definedName name="boatluck_1_1" localSheetId="5" hidden="1">{"'vert'!$A$1:$T$117"}</definedName>
    <definedName name="boatluck_1_1" hidden="1">{"'vert'!$A$1:$T$117"}</definedName>
    <definedName name="boatluck_1_1_1" localSheetId="8" hidden="1">{"'vert'!$A$1:$T$117"}</definedName>
    <definedName name="boatluck_1_1_1" localSheetId="5" hidden="1">{"'vert'!$A$1:$T$117"}</definedName>
    <definedName name="boatluck_1_1_1" hidden="1">{"'vert'!$A$1:$T$117"}</definedName>
    <definedName name="boatluck_1_2" localSheetId="8" hidden="1">{"'vert'!$A$1:$T$117"}</definedName>
    <definedName name="boatluck_1_2" localSheetId="5" hidden="1">{"'vert'!$A$1:$T$117"}</definedName>
    <definedName name="boatluck_1_2" hidden="1">{"'vert'!$A$1:$T$117"}</definedName>
    <definedName name="boatluck_2" localSheetId="8" hidden="1">{"'vert'!$A$1:$T$117"}</definedName>
    <definedName name="boatluck_2" localSheetId="5" hidden="1">{"'vert'!$A$1:$T$117"}</definedName>
    <definedName name="boatluck_2" hidden="1">{"'vert'!$A$1:$T$117"}</definedName>
    <definedName name="boatluck_2_1" localSheetId="8" hidden="1">{"'vert'!$A$1:$T$117"}</definedName>
    <definedName name="boatluck_2_1" localSheetId="5" hidden="1">{"'vert'!$A$1:$T$117"}</definedName>
    <definedName name="boatluck_2_1" hidden="1">{"'vert'!$A$1:$T$117"}</definedName>
    <definedName name="boatluck_2_1_1" localSheetId="8" hidden="1">{"'vert'!$A$1:$T$117"}</definedName>
    <definedName name="boatluck_2_1_1" localSheetId="5" hidden="1">{"'vert'!$A$1:$T$117"}</definedName>
    <definedName name="boatluck_2_1_1" hidden="1">{"'vert'!$A$1:$T$117"}</definedName>
    <definedName name="boatluck_2_2" localSheetId="8" hidden="1">{"'vert'!$A$1:$T$117"}</definedName>
    <definedName name="boatluck_2_2" localSheetId="5" hidden="1">{"'vert'!$A$1:$T$117"}</definedName>
    <definedName name="boatluck_2_2" hidden="1">{"'vert'!$A$1:$T$117"}</definedName>
    <definedName name="boatluck_3" localSheetId="8" hidden="1">{"'vert'!$A$1:$T$117"}</definedName>
    <definedName name="boatluck_3" localSheetId="5" hidden="1">{"'vert'!$A$1:$T$117"}</definedName>
    <definedName name="boatluck_3" hidden="1">{"'vert'!$A$1:$T$117"}</definedName>
    <definedName name="boatluck_3_1" localSheetId="8" hidden="1">{"'vert'!$A$1:$T$117"}</definedName>
    <definedName name="boatluck_3_1" localSheetId="5" hidden="1">{"'vert'!$A$1:$T$117"}</definedName>
    <definedName name="boatluck_3_1" hidden="1">{"'vert'!$A$1:$T$117"}</definedName>
    <definedName name="boatluck_4" localSheetId="8" hidden="1">{"'vert'!$A$1:$T$117"}</definedName>
    <definedName name="boatluck_4" localSheetId="5" hidden="1">{"'vert'!$A$1:$T$117"}</definedName>
    <definedName name="boatluck_4" hidden="1">{"'vert'!$A$1:$T$117"}</definedName>
    <definedName name="ca" localSheetId="8" hidden="1">{"'vert'!$A$1:$T$117"}</definedName>
    <definedName name="ca" localSheetId="5" hidden="1">{"'vert'!$A$1:$T$117"}</definedName>
    <definedName name="ca" hidden="1">{"'vert'!$A$1:$T$117"}</definedName>
    <definedName name="CAD">[11]Admin!$AG$8</definedName>
    <definedName name="Calendar10Month">#REF!</definedName>
    <definedName name="Calendar10MonthOption">#N/A</definedName>
    <definedName name="Calendar10Year">#REF!</definedName>
    <definedName name="Calendar11Month">#REF!</definedName>
    <definedName name="Calendar11MonthOption">#N/A</definedName>
    <definedName name="Calendar11Year">#REF!</definedName>
    <definedName name="Calendar12Month">#REF!</definedName>
    <definedName name="Calendar12MonthOption">#N/A</definedName>
    <definedName name="Calendar12Year">#REF!</definedName>
    <definedName name="Calendar1Month">#REF!</definedName>
    <definedName name="Calendar1MonthOption">#N/A</definedName>
    <definedName name="Calendar1Year">#REF!</definedName>
    <definedName name="Calendar2Month">#REF!</definedName>
    <definedName name="Calendar2MonthOption">#N/A</definedName>
    <definedName name="Calendar2Year">#REF!</definedName>
    <definedName name="Calendar3Month">#REF!</definedName>
    <definedName name="Calendar3MonthOption">#N/A</definedName>
    <definedName name="Calendar3Year">#REF!</definedName>
    <definedName name="Calendar4Month">#REF!</definedName>
    <definedName name="Calendar4MonthOption">#N/A</definedName>
    <definedName name="Calendar4Year">#REF!</definedName>
    <definedName name="Calendar5Month">#REF!</definedName>
    <definedName name="Calendar5MonthOption">#N/A</definedName>
    <definedName name="Calendar5Year">#REF!</definedName>
    <definedName name="Calendar6Month">#REF!</definedName>
    <definedName name="Calendar6MonthOption">#N/A</definedName>
    <definedName name="Calendar6Year">#REF!</definedName>
    <definedName name="Calendar7Month">#REF!</definedName>
    <definedName name="Calendar7MonthOption">#N/A</definedName>
    <definedName name="Calendar7Year">#REF!</definedName>
    <definedName name="Calendar8Month">#REF!</definedName>
    <definedName name="Calendar8MonthOption">#N/A</definedName>
    <definedName name="Calendar8Year">#REF!</definedName>
    <definedName name="Calendar9Month">#REF!</definedName>
    <definedName name="Calendar9MonthOption">#N/A</definedName>
    <definedName name="Calendar9Year">#REF!</definedName>
    <definedName name="Category">[12]definition!$C$3:$C$19</definedName>
    <definedName name="cb_sChart16EBA7BA_opts" hidden="1">"1, 1, 1, False, 2, True, False, , 0, False, True, 1, 2"</definedName>
    <definedName name="cb_sChart1AC0211C_opts" hidden="1">"1, 1, 1, False, 2, False, False, , 0, False, False, 2, 2"</definedName>
    <definedName name="cb_sChart1AC021B3_opts" hidden="1">"1, 1, 1, False, 2, False, False, , 0, False, False, 2, 2"</definedName>
    <definedName name="cb_sChart1AC02226_opts" hidden="1">"1, 1, 1, False, 2, False, False, , 0, False, False, 2, 2"</definedName>
    <definedName name="cb_sChart1AC02446_opts" hidden="1">"1, 1, 1, False, 2, True, False, , 0, False, True, 2, 2"</definedName>
    <definedName name="cb_sChart1AC02765_opts" hidden="1">"1, 1, 1, False, 2, True, False, , 0, False, True, 2, 2"</definedName>
    <definedName name="cb_sChart1AC027D9_opts" hidden="1">"1, 1, 1, False, 2, True, False, , 0, False, True, 2, 2"</definedName>
    <definedName name="ccc" localSheetId="8" hidden="1">{"'vert'!$A$1:$T$117"}</definedName>
    <definedName name="ccc" localSheetId="5" hidden="1">{"'vert'!$A$1:$T$117"}</definedName>
    <definedName name="ccc" hidden="1">{"'vert'!$A$1:$T$117"}</definedName>
    <definedName name="ccc_1" localSheetId="8" hidden="1">{"'vert'!$A$1:$T$117"}</definedName>
    <definedName name="ccc_1" localSheetId="5" hidden="1">{"'vert'!$A$1:$T$117"}</definedName>
    <definedName name="ccc_1" hidden="1">{"'vert'!$A$1:$T$117"}</definedName>
    <definedName name="ccc_1_1" localSheetId="8" hidden="1">{"'vert'!$A$1:$T$117"}</definedName>
    <definedName name="ccc_1_1" localSheetId="5" hidden="1">{"'vert'!$A$1:$T$117"}</definedName>
    <definedName name="ccc_1_1" hidden="1">{"'vert'!$A$1:$T$117"}</definedName>
    <definedName name="ccc_1_2" localSheetId="8" hidden="1">{"'vert'!$A$1:$T$117"}</definedName>
    <definedName name="ccc_1_2" localSheetId="5" hidden="1">{"'vert'!$A$1:$T$117"}</definedName>
    <definedName name="ccc_1_2" hidden="1">{"'vert'!$A$1:$T$117"}</definedName>
    <definedName name="ccc_2" localSheetId="8" hidden="1">{"'vert'!$A$1:$T$117"}</definedName>
    <definedName name="ccc_2" localSheetId="5" hidden="1">{"'vert'!$A$1:$T$117"}</definedName>
    <definedName name="ccc_2" hidden="1">{"'vert'!$A$1:$T$117"}</definedName>
    <definedName name="ccc_3" localSheetId="8" hidden="1">{"'vert'!$A$1:$T$117"}</definedName>
    <definedName name="ccc_3" localSheetId="5" hidden="1">{"'vert'!$A$1:$T$117"}</definedName>
    <definedName name="ccc_3" hidden="1">{"'vert'!$A$1:$T$117"}</definedName>
    <definedName name="cccccc" localSheetId="8" hidden="1">{"'weekly data'!$A$2:$AS$36"}</definedName>
    <definedName name="cccccc" localSheetId="5" hidden="1">{"'weekly data'!$A$2:$AS$36"}</definedName>
    <definedName name="cccccc" hidden="1">{"'weekly data'!$A$2:$AS$36"}</definedName>
    <definedName name="cccccc_1" localSheetId="8" hidden="1">{"'weekly data'!$A$2:$AS$36"}</definedName>
    <definedName name="cccccc_1" localSheetId="5" hidden="1">{"'weekly data'!$A$2:$AS$36"}</definedName>
    <definedName name="cccccc_1" hidden="1">{"'weekly data'!$A$2:$AS$36"}</definedName>
    <definedName name="cccccc_1_1" localSheetId="8" hidden="1">{"'weekly data'!$A$2:$AS$36"}</definedName>
    <definedName name="cccccc_1_1" localSheetId="5" hidden="1">{"'weekly data'!$A$2:$AS$36"}</definedName>
    <definedName name="cccccc_1_1" hidden="1">{"'weekly data'!$A$2:$AS$36"}</definedName>
    <definedName name="cccccc_1_2" localSheetId="8" hidden="1">{"'weekly data'!$A$2:$AS$36"}</definedName>
    <definedName name="cccccc_1_2" localSheetId="5" hidden="1">{"'weekly data'!$A$2:$AS$36"}</definedName>
    <definedName name="cccccc_1_2" hidden="1">{"'weekly data'!$A$2:$AS$36"}</definedName>
    <definedName name="cccccc_2" localSheetId="8" hidden="1">{"'weekly data'!$A$2:$AS$36"}</definedName>
    <definedName name="cccccc_2" localSheetId="5" hidden="1">{"'weekly data'!$A$2:$AS$36"}</definedName>
    <definedName name="cccccc_2" hidden="1">{"'weekly data'!$A$2:$AS$36"}</definedName>
    <definedName name="cccccc_3" localSheetId="8" hidden="1">{"'weekly data'!$A$2:$AS$36"}</definedName>
    <definedName name="cccccc_3" localSheetId="5" hidden="1">{"'weekly data'!$A$2:$AS$36"}</definedName>
    <definedName name="cccccc_3" hidden="1">{"'weekly data'!$A$2:$AS$36"}</definedName>
    <definedName name="ccccccc" localSheetId="8" hidden="1">{"'weekly data'!$A$2:$AS$36"}</definedName>
    <definedName name="ccccccc" localSheetId="5" hidden="1">{"'weekly data'!$A$2:$AS$36"}</definedName>
    <definedName name="ccccccc" hidden="1">{"'weekly data'!$A$2:$AS$36"}</definedName>
    <definedName name="ccccccc_1" localSheetId="8" hidden="1">{"'weekly data'!$A$2:$AS$36"}</definedName>
    <definedName name="ccccccc_1" localSheetId="5" hidden="1">{"'weekly data'!$A$2:$AS$36"}</definedName>
    <definedName name="ccccccc_1" hidden="1">{"'weekly data'!$A$2:$AS$36"}</definedName>
    <definedName name="ccccccc_1_1" localSheetId="8" hidden="1">{"'weekly data'!$A$2:$AS$36"}</definedName>
    <definedName name="ccccccc_1_1" localSheetId="5" hidden="1">{"'weekly data'!$A$2:$AS$36"}</definedName>
    <definedName name="ccccccc_1_1" hidden="1">{"'weekly data'!$A$2:$AS$36"}</definedName>
    <definedName name="ccccccc_1_2" localSheetId="8" hidden="1">{"'weekly data'!$A$2:$AS$36"}</definedName>
    <definedName name="ccccccc_1_2" localSheetId="5" hidden="1">{"'weekly data'!$A$2:$AS$36"}</definedName>
    <definedName name="ccccccc_1_2" hidden="1">{"'weekly data'!$A$2:$AS$36"}</definedName>
    <definedName name="ccccccc_2" localSheetId="8" hidden="1">{"'weekly data'!$A$2:$AS$36"}</definedName>
    <definedName name="ccccccc_2" localSheetId="5" hidden="1">{"'weekly data'!$A$2:$AS$36"}</definedName>
    <definedName name="ccccccc_2" hidden="1">{"'weekly data'!$A$2:$AS$36"}</definedName>
    <definedName name="ccccccc_3" localSheetId="8" hidden="1">{"'weekly data'!$A$2:$AS$36"}</definedName>
    <definedName name="ccccccc_3" localSheetId="5" hidden="1">{"'weekly data'!$A$2:$AS$36"}</definedName>
    <definedName name="ccccccc_3" hidden="1">{"'weekly data'!$A$2:$AS$36"}</definedName>
    <definedName name="ccccccccc" localSheetId="8" hidden="1">{"'vert'!$A$1:$T$117"}</definedName>
    <definedName name="ccccccccc" localSheetId="5" hidden="1">{"'vert'!$A$1:$T$117"}</definedName>
    <definedName name="ccccccccc" hidden="1">{"'vert'!$A$1:$T$117"}</definedName>
    <definedName name="ccccccccc_1" localSheetId="8" hidden="1">{"'vert'!$A$1:$T$117"}</definedName>
    <definedName name="ccccccccc_1" localSheetId="5" hidden="1">{"'vert'!$A$1:$T$117"}</definedName>
    <definedName name="ccccccccc_1" hidden="1">{"'vert'!$A$1:$T$117"}</definedName>
    <definedName name="ccccccccc_1_1" localSheetId="8" hidden="1">{"'vert'!$A$1:$T$117"}</definedName>
    <definedName name="ccccccccc_1_1" localSheetId="5" hidden="1">{"'vert'!$A$1:$T$117"}</definedName>
    <definedName name="ccccccccc_1_1" hidden="1">{"'vert'!$A$1:$T$117"}</definedName>
    <definedName name="ccccccccc_1_2" localSheetId="8" hidden="1">{"'vert'!$A$1:$T$117"}</definedName>
    <definedName name="ccccccccc_1_2" localSheetId="5" hidden="1">{"'vert'!$A$1:$T$117"}</definedName>
    <definedName name="ccccccccc_1_2" hidden="1">{"'vert'!$A$1:$T$117"}</definedName>
    <definedName name="ccccccccc_2" localSheetId="8" hidden="1">{"'vert'!$A$1:$T$117"}</definedName>
    <definedName name="ccccccccc_2" localSheetId="5" hidden="1">{"'vert'!$A$1:$T$117"}</definedName>
    <definedName name="ccccccccc_2" hidden="1">{"'vert'!$A$1:$T$117"}</definedName>
    <definedName name="ccccccccc_3" localSheetId="8" hidden="1">{"'vert'!$A$1:$T$117"}</definedName>
    <definedName name="ccccccccc_3" localSheetId="5" hidden="1">{"'vert'!$A$1:$T$117"}</definedName>
    <definedName name="ccccccccc_3" hidden="1">{"'vert'!$A$1:$T$117"}</definedName>
    <definedName name="cccccccccccccc" localSheetId="8" hidden="1">{"'vert'!$A$1:$T$117"}</definedName>
    <definedName name="cccccccccccccc" localSheetId="5" hidden="1">{"'vert'!$A$1:$T$117"}</definedName>
    <definedName name="cccccccccccccc" hidden="1">{"'vert'!$A$1:$T$117"}</definedName>
    <definedName name="cccccccccccccc_1" localSheetId="8" hidden="1">{"'vert'!$A$1:$T$117"}</definedName>
    <definedName name="cccccccccccccc_1" localSheetId="5" hidden="1">{"'vert'!$A$1:$T$117"}</definedName>
    <definedName name="cccccccccccccc_1" hidden="1">{"'vert'!$A$1:$T$117"}</definedName>
    <definedName name="cccccccccccccc_1_1" localSheetId="8" hidden="1">{"'vert'!$A$1:$T$117"}</definedName>
    <definedName name="cccccccccccccc_1_1" localSheetId="5" hidden="1">{"'vert'!$A$1:$T$117"}</definedName>
    <definedName name="cccccccccccccc_1_1" hidden="1">{"'vert'!$A$1:$T$117"}</definedName>
    <definedName name="cccccccccccccc_1_2" localSheetId="8" hidden="1">{"'vert'!$A$1:$T$117"}</definedName>
    <definedName name="cccccccccccccc_1_2" localSheetId="5" hidden="1">{"'vert'!$A$1:$T$117"}</definedName>
    <definedName name="cccccccccccccc_1_2" hidden="1">{"'vert'!$A$1:$T$117"}</definedName>
    <definedName name="cccccccccccccc_2" localSheetId="8" hidden="1">{"'vert'!$A$1:$T$117"}</definedName>
    <definedName name="cccccccccccccc_2" localSheetId="5" hidden="1">{"'vert'!$A$1:$T$117"}</definedName>
    <definedName name="cccccccccccccc_2" hidden="1">{"'vert'!$A$1:$T$117"}</definedName>
    <definedName name="cccccccccccccc_3" localSheetId="8" hidden="1">{"'vert'!$A$1:$T$117"}</definedName>
    <definedName name="cccccccccccccc_3" localSheetId="5" hidden="1">{"'vert'!$A$1:$T$117"}</definedName>
    <definedName name="cccccccccccccc_3" hidden="1">{"'vert'!$A$1:$T$117"}</definedName>
    <definedName name="CCName">'[13]CC ID'!$B$1</definedName>
    <definedName name="CCNumber">'[13]CC ID'!$B$2</definedName>
    <definedName name="Channel">'[14]3P GMS YTD MS'!$Z$2:$Z$1048576</definedName>
    <definedName name="CIQWBGuid" hidden="1">"8c78b3a0-4a42-434d-a532-77660d522d77"</definedName>
    <definedName name="CIS" localSheetId="8" hidden="1">{"'vert'!$A$1:$T$117"}</definedName>
    <definedName name="CIS" localSheetId="5" hidden="1">{"'vert'!$A$1:$T$117"}</definedName>
    <definedName name="CIS" hidden="1">{"'vert'!$A$1:$T$117"}</definedName>
    <definedName name="CNY">[11]Admin!$AG$13</definedName>
    <definedName name="cole" localSheetId="8" hidden="1">{"'vert'!$A$1:$T$117"}</definedName>
    <definedName name="cole" localSheetId="5" hidden="1">{"'vert'!$A$1:$T$117"}</definedName>
    <definedName name="cole" hidden="1">{"'vert'!$A$1:$T$117"}</definedName>
    <definedName name="cole_1" localSheetId="8" hidden="1">{"'vert'!$A$1:$T$117"}</definedName>
    <definedName name="cole_1" localSheetId="5" hidden="1">{"'vert'!$A$1:$T$117"}</definedName>
    <definedName name="cole_1" hidden="1">{"'vert'!$A$1:$T$117"}</definedName>
    <definedName name="cole_1_1" localSheetId="8" hidden="1">{"'vert'!$A$1:$T$117"}</definedName>
    <definedName name="cole_1_1" localSheetId="5" hidden="1">{"'vert'!$A$1:$T$117"}</definedName>
    <definedName name="cole_1_1" hidden="1">{"'vert'!$A$1:$T$117"}</definedName>
    <definedName name="cole_1_1_1" localSheetId="8" hidden="1">{"'vert'!$A$1:$T$117"}</definedName>
    <definedName name="cole_1_1_1" localSheetId="5" hidden="1">{"'vert'!$A$1:$T$117"}</definedName>
    <definedName name="cole_1_1_1" hidden="1">{"'vert'!$A$1:$T$117"}</definedName>
    <definedName name="cole_1_2" localSheetId="8" hidden="1">{"'vert'!$A$1:$T$117"}</definedName>
    <definedName name="cole_1_2" localSheetId="5" hidden="1">{"'vert'!$A$1:$T$117"}</definedName>
    <definedName name="cole_1_2" hidden="1">{"'vert'!$A$1:$T$117"}</definedName>
    <definedName name="cole_2" localSheetId="8" hidden="1">{"'vert'!$A$1:$T$117"}</definedName>
    <definedName name="cole_2" localSheetId="5" hidden="1">{"'vert'!$A$1:$T$117"}</definedName>
    <definedName name="cole_2" hidden="1">{"'vert'!$A$1:$T$117"}</definedName>
    <definedName name="cole_2_1" localSheetId="8" hidden="1">{"'vert'!$A$1:$T$117"}</definedName>
    <definedName name="cole_2_1" localSheetId="5" hidden="1">{"'vert'!$A$1:$T$117"}</definedName>
    <definedName name="cole_2_1" hidden="1">{"'vert'!$A$1:$T$117"}</definedName>
    <definedName name="cole_2_1_1" localSheetId="8" hidden="1">{"'vert'!$A$1:$T$117"}</definedName>
    <definedName name="cole_2_1_1" localSheetId="5" hidden="1">{"'vert'!$A$1:$T$117"}</definedName>
    <definedName name="cole_2_1_1" hidden="1">{"'vert'!$A$1:$T$117"}</definedName>
    <definedName name="cole_2_2" localSheetId="8" hidden="1">{"'vert'!$A$1:$T$117"}</definedName>
    <definedName name="cole_2_2" localSheetId="5" hidden="1">{"'vert'!$A$1:$T$117"}</definedName>
    <definedName name="cole_2_2" hidden="1">{"'vert'!$A$1:$T$117"}</definedName>
    <definedName name="cole_3" localSheetId="8" hidden="1">{"'vert'!$A$1:$T$117"}</definedName>
    <definedName name="cole_3" localSheetId="5" hidden="1">{"'vert'!$A$1:$T$117"}</definedName>
    <definedName name="cole_3" hidden="1">{"'vert'!$A$1:$T$117"}</definedName>
    <definedName name="cole_3_1" localSheetId="8" hidden="1">{"'vert'!$A$1:$T$117"}</definedName>
    <definedName name="cole_3_1" localSheetId="5" hidden="1">{"'vert'!$A$1:$T$117"}</definedName>
    <definedName name="cole_3_1" hidden="1">{"'vert'!$A$1:$T$117"}</definedName>
    <definedName name="cole_4" localSheetId="8" hidden="1">{"'vert'!$A$1:$T$117"}</definedName>
    <definedName name="cole_4" localSheetId="5" hidden="1">{"'vert'!$A$1:$T$117"}</definedName>
    <definedName name="cole_4" hidden="1">{"'vert'!$A$1:$T$117"}</definedName>
    <definedName name="cole1" localSheetId="8" hidden="1">{"'vert'!$A$1:$T$117"}</definedName>
    <definedName name="cole1" localSheetId="5" hidden="1">{"'vert'!$A$1:$T$117"}</definedName>
    <definedName name="cole1" hidden="1">{"'vert'!$A$1:$T$117"}</definedName>
    <definedName name="cole1_1" localSheetId="8" hidden="1">{"'vert'!$A$1:$T$117"}</definedName>
    <definedName name="cole1_1" localSheetId="5" hidden="1">{"'vert'!$A$1:$T$117"}</definedName>
    <definedName name="cole1_1" hidden="1">{"'vert'!$A$1:$T$117"}</definedName>
    <definedName name="cole1_1_1" localSheetId="8" hidden="1">{"'vert'!$A$1:$T$117"}</definedName>
    <definedName name="cole1_1_1" localSheetId="5" hidden="1">{"'vert'!$A$1:$T$117"}</definedName>
    <definedName name="cole1_1_1" hidden="1">{"'vert'!$A$1:$T$117"}</definedName>
    <definedName name="cole1_1_1_1" localSheetId="8" hidden="1">{"'vert'!$A$1:$T$117"}</definedName>
    <definedName name="cole1_1_1_1" localSheetId="5" hidden="1">{"'vert'!$A$1:$T$117"}</definedName>
    <definedName name="cole1_1_1_1" hidden="1">{"'vert'!$A$1:$T$117"}</definedName>
    <definedName name="cole1_1_2" localSheetId="8" hidden="1">{"'vert'!$A$1:$T$117"}</definedName>
    <definedName name="cole1_1_2" localSheetId="5" hidden="1">{"'vert'!$A$1:$T$117"}</definedName>
    <definedName name="cole1_1_2" hidden="1">{"'vert'!$A$1:$T$117"}</definedName>
    <definedName name="cole1_2" localSheetId="8" hidden="1">{"'vert'!$A$1:$T$117"}</definedName>
    <definedName name="cole1_2" localSheetId="5" hidden="1">{"'vert'!$A$1:$T$117"}</definedName>
    <definedName name="cole1_2" hidden="1">{"'vert'!$A$1:$T$117"}</definedName>
    <definedName name="cole1_2_1" localSheetId="8" hidden="1">{"'vert'!$A$1:$T$117"}</definedName>
    <definedName name="cole1_2_1" localSheetId="5" hidden="1">{"'vert'!$A$1:$T$117"}</definedName>
    <definedName name="cole1_2_1" hidden="1">{"'vert'!$A$1:$T$117"}</definedName>
    <definedName name="cole1_2_1_1" localSheetId="8" hidden="1">{"'vert'!$A$1:$T$117"}</definedName>
    <definedName name="cole1_2_1_1" localSheetId="5" hidden="1">{"'vert'!$A$1:$T$117"}</definedName>
    <definedName name="cole1_2_1_1" hidden="1">{"'vert'!$A$1:$T$117"}</definedName>
    <definedName name="cole1_2_2" localSheetId="8" hidden="1">{"'vert'!$A$1:$T$117"}</definedName>
    <definedName name="cole1_2_2" localSheetId="5" hidden="1">{"'vert'!$A$1:$T$117"}</definedName>
    <definedName name="cole1_2_2" hidden="1">{"'vert'!$A$1:$T$117"}</definedName>
    <definedName name="cole1_3" localSheetId="8" hidden="1">{"'vert'!$A$1:$T$117"}</definedName>
    <definedName name="cole1_3" localSheetId="5" hidden="1">{"'vert'!$A$1:$T$117"}</definedName>
    <definedName name="cole1_3" hidden="1">{"'vert'!$A$1:$T$117"}</definedName>
    <definedName name="cole1_3_1" localSheetId="8" hidden="1">{"'vert'!$A$1:$T$117"}</definedName>
    <definedName name="cole1_3_1" localSheetId="5" hidden="1">{"'vert'!$A$1:$T$117"}</definedName>
    <definedName name="cole1_3_1" hidden="1">{"'vert'!$A$1:$T$117"}</definedName>
    <definedName name="cole1_4" localSheetId="8" hidden="1">{"'vert'!$A$1:$T$117"}</definedName>
    <definedName name="cole1_4" localSheetId="5" hidden="1">{"'vert'!$A$1:$T$117"}</definedName>
    <definedName name="cole1_4" hidden="1">{"'vert'!$A$1:$T$117"}</definedName>
    <definedName name="cole2" localSheetId="8" hidden="1">{"'weekly data'!$A$2:$AS$36"}</definedName>
    <definedName name="cole2" localSheetId="5" hidden="1">{"'weekly data'!$A$2:$AS$36"}</definedName>
    <definedName name="cole2" hidden="1">{"'weekly data'!$A$2:$AS$36"}</definedName>
    <definedName name="cole2_1" localSheetId="8" hidden="1">{"'weekly data'!$A$2:$AS$36"}</definedName>
    <definedName name="cole2_1" localSheetId="5" hidden="1">{"'weekly data'!$A$2:$AS$36"}</definedName>
    <definedName name="cole2_1" hidden="1">{"'weekly data'!$A$2:$AS$36"}</definedName>
    <definedName name="cole2_1_1" localSheetId="8" hidden="1">{"'weekly data'!$A$2:$AS$36"}</definedName>
    <definedName name="cole2_1_1" localSheetId="5" hidden="1">{"'weekly data'!$A$2:$AS$36"}</definedName>
    <definedName name="cole2_1_1" hidden="1">{"'weekly data'!$A$2:$AS$36"}</definedName>
    <definedName name="cole2_1_1_1" localSheetId="8" hidden="1">{"'weekly data'!$A$2:$AS$36"}</definedName>
    <definedName name="cole2_1_1_1" localSheetId="5" hidden="1">{"'weekly data'!$A$2:$AS$36"}</definedName>
    <definedName name="cole2_1_1_1" hidden="1">{"'weekly data'!$A$2:$AS$36"}</definedName>
    <definedName name="cole2_1_2" localSheetId="8" hidden="1">{"'weekly data'!$A$2:$AS$36"}</definedName>
    <definedName name="cole2_1_2" localSheetId="5" hidden="1">{"'weekly data'!$A$2:$AS$36"}</definedName>
    <definedName name="cole2_1_2" hidden="1">{"'weekly data'!$A$2:$AS$36"}</definedName>
    <definedName name="cole2_2" localSheetId="8" hidden="1">{"'weekly data'!$A$2:$AS$36"}</definedName>
    <definedName name="cole2_2" localSheetId="5" hidden="1">{"'weekly data'!$A$2:$AS$36"}</definedName>
    <definedName name="cole2_2" hidden="1">{"'weekly data'!$A$2:$AS$36"}</definedName>
    <definedName name="cole2_2_1" localSheetId="8" hidden="1">{"'weekly data'!$A$2:$AS$36"}</definedName>
    <definedName name="cole2_2_1" localSheetId="5" hidden="1">{"'weekly data'!$A$2:$AS$36"}</definedName>
    <definedName name="cole2_2_1" hidden="1">{"'weekly data'!$A$2:$AS$36"}</definedName>
    <definedName name="cole2_2_1_1" localSheetId="8" hidden="1">{"'weekly data'!$A$2:$AS$36"}</definedName>
    <definedName name="cole2_2_1_1" localSheetId="5" hidden="1">{"'weekly data'!$A$2:$AS$36"}</definedName>
    <definedName name="cole2_2_1_1" hidden="1">{"'weekly data'!$A$2:$AS$36"}</definedName>
    <definedName name="cole2_2_2" localSheetId="8" hidden="1">{"'weekly data'!$A$2:$AS$36"}</definedName>
    <definedName name="cole2_2_2" localSheetId="5" hidden="1">{"'weekly data'!$A$2:$AS$36"}</definedName>
    <definedName name="cole2_2_2" hidden="1">{"'weekly data'!$A$2:$AS$36"}</definedName>
    <definedName name="cole2_3" localSheetId="8" hidden="1">{"'weekly data'!$A$2:$AS$36"}</definedName>
    <definedName name="cole2_3" localSheetId="5" hidden="1">{"'weekly data'!$A$2:$AS$36"}</definedName>
    <definedName name="cole2_3" hidden="1">{"'weekly data'!$A$2:$AS$36"}</definedName>
    <definedName name="cole2_3_1" localSheetId="8" hidden="1">{"'weekly data'!$A$2:$AS$36"}</definedName>
    <definedName name="cole2_3_1" localSheetId="5" hidden="1">{"'weekly data'!$A$2:$AS$36"}</definedName>
    <definedName name="cole2_3_1" hidden="1">{"'weekly data'!$A$2:$AS$36"}</definedName>
    <definedName name="cole2_4" localSheetId="8" hidden="1">{"'weekly data'!$A$2:$AS$36"}</definedName>
    <definedName name="cole2_4" localSheetId="5" hidden="1">{"'weekly data'!$A$2:$AS$36"}</definedName>
    <definedName name="cole2_4" hidden="1">{"'weekly data'!$A$2:$AS$36"}</definedName>
    <definedName name="Cole333" localSheetId="8" hidden="1">{"'weekly data'!$A$2:$AS$36"}</definedName>
    <definedName name="Cole333" localSheetId="5" hidden="1">{"'weekly data'!$A$2:$AS$36"}</definedName>
    <definedName name="Cole333" hidden="1">{"'weekly data'!$A$2:$AS$36"}</definedName>
    <definedName name="Cole333_1" localSheetId="8" hidden="1">{"'weekly data'!$A$2:$AS$36"}</definedName>
    <definedName name="Cole333_1" localSheetId="5" hidden="1">{"'weekly data'!$A$2:$AS$36"}</definedName>
    <definedName name="Cole333_1" hidden="1">{"'weekly data'!$A$2:$AS$36"}</definedName>
    <definedName name="Cole333_1_1" localSheetId="8" hidden="1">{"'weekly data'!$A$2:$AS$36"}</definedName>
    <definedName name="Cole333_1_1" localSheetId="5" hidden="1">{"'weekly data'!$A$2:$AS$36"}</definedName>
    <definedName name="Cole333_1_1" hidden="1">{"'weekly data'!$A$2:$AS$36"}</definedName>
    <definedName name="Cole333_1_1_1" localSheetId="8" hidden="1">{"'weekly data'!$A$2:$AS$36"}</definedName>
    <definedName name="Cole333_1_1_1" localSheetId="5" hidden="1">{"'weekly data'!$A$2:$AS$36"}</definedName>
    <definedName name="Cole333_1_1_1" hidden="1">{"'weekly data'!$A$2:$AS$36"}</definedName>
    <definedName name="Cole333_1_2" localSheetId="8" hidden="1">{"'weekly data'!$A$2:$AS$36"}</definedName>
    <definedName name="Cole333_1_2" localSheetId="5" hidden="1">{"'weekly data'!$A$2:$AS$36"}</definedName>
    <definedName name="Cole333_1_2" hidden="1">{"'weekly data'!$A$2:$AS$36"}</definedName>
    <definedName name="Cole333_2" localSheetId="8" hidden="1">{"'weekly data'!$A$2:$AS$36"}</definedName>
    <definedName name="Cole333_2" localSheetId="5" hidden="1">{"'weekly data'!$A$2:$AS$36"}</definedName>
    <definedName name="Cole333_2" hidden="1">{"'weekly data'!$A$2:$AS$36"}</definedName>
    <definedName name="Cole333_2_1" localSheetId="8" hidden="1">{"'weekly data'!$A$2:$AS$36"}</definedName>
    <definedName name="Cole333_2_1" localSheetId="5" hidden="1">{"'weekly data'!$A$2:$AS$36"}</definedName>
    <definedName name="Cole333_2_1" hidden="1">{"'weekly data'!$A$2:$AS$36"}</definedName>
    <definedName name="Cole333_2_1_1" localSheetId="8" hidden="1">{"'weekly data'!$A$2:$AS$36"}</definedName>
    <definedName name="Cole333_2_1_1" localSheetId="5" hidden="1">{"'weekly data'!$A$2:$AS$36"}</definedName>
    <definedName name="Cole333_2_1_1" hidden="1">{"'weekly data'!$A$2:$AS$36"}</definedName>
    <definedName name="Cole333_2_2" localSheetId="8" hidden="1">{"'weekly data'!$A$2:$AS$36"}</definedName>
    <definedName name="Cole333_2_2" localSheetId="5" hidden="1">{"'weekly data'!$A$2:$AS$36"}</definedName>
    <definedName name="Cole333_2_2" hidden="1">{"'weekly data'!$A$2:$AS$36"}</definedName>
    <definedName name="Cole333_3" localSheetId="8" hidden="1">{"'weekly data'!$A$2:$AS$36"}</definedName>
    <definedName name="Cole333_3" localSheetId="5" hidden="1">{"'weekly data'!$A$2:$AS$36"}</definedName>
    <definedName name="Cole333_3" hidden="1">{"'weekly data'!$A$2:$AS$36"}</definedName>
    <definedName name="Cole333_3_1" localSheetId="8" hidden="1">{"'weekly data'!$A$2:$AS$36"}</definedName>
    <definedName name="Cole333_3_1" localSheetId="5" hidden="1">{"'weekly data'!$A$2:$AS$36"}</definedName>
    <definedName name="Cole333_3_1" hidden="1">{"'weekly data'!$A$2:$AS$36"}</definedName>
    <definedName name="Cole333_4" localSheetId="8" hidden="1">{"'weekly data'!$A$2:$AS$36"}</definedName>
    <definedName name="Cole333_4" localSheetId="5" hidden="1">{"'weekly data'!$A$2:$AS$36"}</definedName>
    <definedName name="Cole333_4" hidden="1">{"'weekly data'!$A$2:$AS$36"}</definedName>
    <definedName name="ColumnTitleRegion1..H12.1">#REF!</definedName>
    <definedName name="ColumnTitleRegion10..H54.1">#REF!</definedName>
    <definedName name="ColumnTitleRegion11..C56.1">#REF!</definedName>
    <definedName name="ColumnTitleRegion12..D56.1">#REF!</definedName>
    <definedName name="ColumnTitleRegion13..H68.1">#REF!</definedName>
    <definedName name="ColumnTitleRegion14..C70.1">#REF!</definedName>
    <definedName name="ColumnTitleRegion15..D70.1">#REF!</definedName>
    <definedName name="ColumnTitleRegion16..H82.1">#REF!</definedName>
    <definedName name="ColumnTitleRegion17..C84.1">#REF!</definedName>
    <definedName name="ColumnTitleRegion18..D84.1">#REF!</definedName>
    <definedName name="ColumnTitleRegion19..H96.1">#REF!</definedName>
    <definedName name="ColumnTitleRegion2..C14.1">#REF!</definedName>
    <definedName name="ColumnTitleRegion20..C98.1">#REF!</definedName>
    <definedName name="ColumnTitleRegion21..D98.1">#REF!</definedName>
    <definedName name="ColumnTitleRegion22..H110.1">#REF!</definedName>
    <definedName name="ColumnTitleRegion23..C112.1">#REF!</definedName>
    <definedName name="ColumnTitleRegion24..D112.1">#REF!</definedName>
    <definedName name="ColumnTitleRegion25..H124.1">#REF!</definedName>
    <definedName name="ColumnTitleRegion26..C126.1">#REF!</definedName>
    <definedName name="ColumnTitleRegion27..D126.1">#REF!</definedName>
    <definedName name="ColumnTitleRegion28..H138.1">#REF!</definedName>
    <definedName name="ColumnTitleRegion29..C140.1">#REF!</definedName>
    <definedName name="ColumnTitleRegion3..D14.1">#REF!</definedName>
    <definedName name="ColumnTitleRegion30..D140.1">#REF!</definedName>
    <definedName name="ColumnTitleRegion31..H152.1">#REF!</definedName>
    <definedName name="ColumnTitleRegion32..C154.1">#REF!</definedName>
    <definedName name="ColumnTitleRegion33..D154.1">#REF!</definedName>
    <definedName name="ColumnTitleRegion34..H166.1">#REF!</definedName>
    <definedName name="ColumnTitleRegion35..C168.1">#REF!</definedName>
    <definedName name="ColumnTitleRegion36..D168.1">#REF!</definedName>
    <definedName name="ColumnTitleRegion4..H26.1">#REF!</definedName>
    <definedName name="ColumnTitleRegion5..C28.1">#REF!</definedName>
    <definedName name="ColumnTitleRegion6..D28.1">#REF!</definedName>
    <definedName name="ColumnTitleRegion7..H40.1">#REF!</definedName>
    <definedName name="ColumnTitleRegion8..C42.1">#REF!</definedName>
    <definedName name="ColumnTitleRegion9..D42.1">#REF!</definedName>
    <definedName name="compresult" localSheetId="8" hidden="1">{"FCB_ALL",#N/A,FALSE,"FCB"}</definedName>
    <definedName name="compresult" localSheetId="5" hidden="1">{"FCB_ALL",#N/A,FALSE,"FCB"}</definedName>
    <definedName name="compresult" hidden="1">{"FCB_ALL",#N/A,FALSE,"FCB"}</definedName>
    <definedName name="compresults" localSheetId="8" hidden="1">{"FCB_ALL",#N/A,FALSE,"FCB"}</definedName>
    <definedName name="compresults" localSheetId="5" hidden="1">{"FCB_ALL",#N/A,FALSE,"FCB"}</definedName>
    <definedName name="compresults" hidden="1">{"FCB_ALL",#N/A,FALSE,"FCB"}</definedName>
    <definedName name="compresults2" localSheetId="8" hidden="1">{"FCB_ALL",#N/A,FALSE,"FCB"}</definedName>
    <definedName name="compresults2" localSheetId="5" hidden="1">{"FCB_ALL",#N/A,FALSE,"FCB"}</definedName>
    <definedName name="compresults2" hidden="1">{"FCB_ALL",#N/A,FALSE,"FCB"}</definedName>
    <definedName name="coop" localSheetId="8" hidden="1">{"'vert'!$A$1:$T$117"}</definedName>
    <definedName name="coop" localSheetId="5" hidden="1">{"'vert'!$A$1:$T$117"}</definedName>
    <definedName name="coop" hidden="1">{"'vert'!$A$1:$T$117"}</definedName>
    <definedName name="coop_1" localSheetId="8" hidden="1">{"'vert'!$A$1:$T$117"}</definedName>
    <definedName name="coop_1" localSheetId="5" hidden="1">{"'vert'!$A$1:$T$117"}</definedName>
    <definedName name="coop_1" hidden="1">{"'vert'!$A$1:$T$117"}</definedName>
    <definedName name="coop_1_1" localSheetId="8" hidden="1">{"'vert'!$A$1:$T$117"}</definedName>
    <definedName name="coop_1_1" localSheetId="5" hidden="1">{"'vert'!$A$1:$T$117"}</definedName>
    <definedName name="coop_1_1" hidden="1">{"'vert'!$A$1:$T$117"}</definedName>
    <definedName name="coop_1_2" localSheetId="8" hidden="1">{"'vert'!$A$1:$T$117"}</definedName>
    <definedName name="coop_1_2" localSheetId="5" hidden="1">{"'vert'!$A$1:$T$117"}</definedName>
    <definedName name="coop_1_2" hidden="1">{"'vert'!$A$1:$T$117"}</definedName>
    <definedName name="coop_2" localSheetId="8" hidden="1">{"'vert'!$A$1:$T$117"}</definedName>
    <definedName name="coop_2" localSheetId="5" hidden="1">{"'vert'!$A$1:$T$117"}</definedName>
    <definedName name="coop_2" hidden="1">{"'vert'!$A$1:$T$117"}</definedName>
    <definedName name="coop_3" localSheetId="8" hidden="1">{"'vert'!$A$1:$T$117"}</definedName>
    <definedName name="coop_3" localSheetId="5" hidden="1">{"'vert'!$A$1:$T$117"}</definedName>
    <definedName name="coop_3" hidden="1">{"'vert'!$A$1:$T$117"}</definedName>
    <definedName name="coop2" localSheetId="8" hidden="1">{"'vert'!$A$1:$T$117"}</definedName>
    <definedName name="coop2" localSheetId="5" hidden="1">{"'vert'!$A$1:$T$117"}</definedName>
    <definedName name="coop2" hidden="1">{"'vert'!$A$1:$T$117"}</definedName>
    <definedName name="coop2_1" localSheetId="8" hidden="1">{"'vert'!$A$1:$T$117"}</definedName>
    <definedName name="coop2_1" localSheetId="5" hidden="1">{"'vert'!$A$1:$T$117"}</definedName>
    <definedName name="coop2_1" hidden="1">{"'vert'!$A$1:$T$117"}</definedName>
    <definedName name="coop2_1_1" localSheetId="8" hidden="1">{"'vert'!$A$1:$T$117"}</definedName>
    <definedName name="coop2_1_1" localSheetId="5" hidden="1">{"'vert'!$A$1:$T$117"}</definedName>
    <definedName name="coop2_1_1" hidden="1">{"'vert'!$A$1:$T$117"}</definedName>
    <definedName name="coop2_1_1_1" localSheetId="8" hidden="1">{"'vert'!$A$1:$T$117"}</definedName>
    <definedName name="coop2_1_1_1" localSheetId="5" hidden="1">{"'vert'!$A$1:$T$117"}</definedName>
    <definedName name="coop2_1_1_1" hidden="1">{"'vert'!$A$1:$T$117"}</definedName>
    <definedName name="coop2_1_1_1_1" localSheetId="8" hidden="1">{"'vert'!$A$1:$T$117"}</definedName>
    <definedName name="coop2_1_1_1_1" localSheetId="5" hidden="1">{"'vert'!$A$1:$T$117"}</definedName>
    <definedName name="coop2_1_1_1_1" hidden="1">{"'vert'!$A$1:$T$117"}</definedName>
    <definedName name="coop2_1_1_2" localSheetId="8" hidden="1">{"'vert'!$A$1:$T$117"}</definedName>
    <definedName name="coop2_1_1_2" localSheetId="5" hidden="1">{"'vert'!$A$1:$T$117"}</definedName>
    <definedName name="coop2_1_1_2" hidden="1">{"'vert'!$A$1:$T$117"}</definedName>
    <definedName name="coop2_1_2" localSheetId="8" hidden="1">{"'vert'!$A$1:$T$117"}</definedName>
    <definedName name="coop2_1_2" localSheetId="5" hidden="1">{"'vert'!$A$1:$T$117"}</definedName>
    <definedName name="coop2_1_2" hidden="1">{"'vert'!$A$1:$T$117"}</definedName>
    <definedName name="coop2_1_2_1" localSheetId="8" hidden="1">{"'vert'!$A$1:$T$117"}</definedName>
    <definedName name="coop2_1_2_1" localSheetId="5" hidden="1">{"'vert'!$A$1:$T$117"}</definedName>
    <definedName name="coop2_1_2_1" hidden="1">{"'vert'!$A$1:$T$117"}</definedName>
    <definedName name="coop2_1_2_1_1" localSheetId="8" hidden="1">{"'vert'!$A$1:$T$117"}</definedName>
    <definedName name="coop2_1_2_1_1" localSheetId="5" hidden="1">{"'vert'!$A$1:$T$117"}</definedName>
    <definedName name="coop2_1_2_1_1" hidden="1">{"'vert'!$A$1:$T$117"}</definedName>
    <definedName name="coop2_1_2_2" localSheetId="8" hidden="1">{"'vert'!$A$1:$T$117"}</definedName>
    <definedName name="coop2_1_2_2" localSheetId="5" hidden="1">{"'vert'!$A$1:$T$117"}</definedName>
    <definedName name="coop2_1_2_2" hidden="1">{"'vert'!$A$1:$T$117"}</definedName>
    <definedName name="coop2_1_3" localSheetId="8" hidden="1">{"'vert'!$A$1:$T$117"}</definedName>
    <definedName name="coop2_1_3" localSheetId="5" hidden="1">{"'vert'!$A$1:$T$117"}</definedName>
    <definedName name="coop2_1_3" hidden="1">{"'vert'!$A$1:$T$117"}</definedName>
    <definedName name="coop2_1_3_1" localSheetId="8" hidden="1">{"'vert'!$A$1:$T$117"}</definedName>
    <definedName name="coop2_1_3_1" localSheetId="5" hidden="1">{"'vert'!$A$1:$T$117"}</definedName>
    <definedName name="coop2_1_3_1" hidden="1">{"'vert'!$A$1:$T$117"}</definedName>
    <definedName name="coop2_1_4" localSheetId="8" hidden="1">{"'vert'!$A$1:$T$117"}</definedName>
    <definedName name="coop2_1_4" localSheetId="5" hidden="1">{"'vert'!$A$1:$T$117"}</definedName>
    <definedName name="coop2_1_4" hidden="1">{"'vert'!$A$1:$T$117"}</definedName>
    <definedName name="coop2_2" localSheetId="8" hidden="1">{"'vert'!$A$1:$T$117"}</definedName>
    <definedName name="coop2_2" localSheetId="5" hidden="1">{"'vert'!$A$1:$T$117"}</definedName>
    <definedName name="coop2_2" hidden="1">{"'vert'!$A$1:$T$117"}</definedName>
    <definedName name="coop2_2_1" localSheetId="8" hidden="1">{"'vert'!$A$1:$T$117"}</definedName>
    <definedName name="coop2_2_1" localSheetId="5" hidden="1">{"'vert'!$A$1:$T$117"}</definedName>
    <definedName name="coop2_2_1" hidden="1">{"'vert'!$A$1:$T$117"}</definedName>
    <definedName name="coop2_2_1_1" localSheetId="8" hidden="1">{"'vert'!$A$1:$T$117"}</definedName>
    <definedName name="coop2_2_1_1" localSheetId="5" hidden="1">{"'vert'!$A$1:$T$117"}</definedName>
    <definedName name="coop2_2_1_1" hidden="1">{"'vert'!$A$1:$T$117"}</definedName>
    <definedName name="coop2_2_2" localSheetId="8" hidden="1">{"'vert'!$A$1:$T$117"}</definedName>
    <definedName name="coop2_2_2" localSheetId="5" hidden="1">{"'vert'!$A$1:$T$117"}</definedName>
    <definedName name="coop2_2_2" hidden="1">{"'vert'!$A$1:$T$117"}</definedName>
    <definedName name="coop2_3" localSheetId="8" hidden="1">{"'vert'!$A$1:$T$117"}</definedName>
    <definedName name="coop2_3" localSheetId="5" hidden="1">{"'vert'!$A$1:$T$117"}</definedName>
    <definedName name="coop2_3" hidden="1">{"'vert'!$A$1:$T$117"}</definedName>
    <definedName name="coop2_3_1" localSheetId="8" hidden="1">{"'vert'!$A$1:$T$117"}</definedName>
    <definedName name="coop2_3_1" localSheetId="5" hidden="1">{"'vert'!$A$1:$T$117"}</definedName>
    <definedName name="coop2_3_1" hidden="1">{"'vert'!$A$1:$T$117"}</definedName>
    <definedName name="coop2_3_1_1" localSheetId="8" hidden="1">{"'vert'!$A$1:$T$117"}</definedName>
    <definedName name="coop2_3_1_1" localSheetId="5" hidden="1">{"'vert'!$A$1:$T$117"}</definedName>
    <definedName name="coop2_3_1_1" hidden="1">{"'vert'!$A$1:$T$117"}</definedName>
    <definedName name="coop2_3_2" localSheetId="8" hidden="1">{"'vert'!$A$1:$T$117"}</definedName>
    <definedName name="coop2_3_2" localSheetId="5" hidden="1">{"'vert'!$A$1:$T$117"}</definedName>
    <definedName name="coop2_3_2" hidden="1">{"'vert'!$A$1:$T$117"}</definedName>
    <definedName name="coop2_4" localSheetId="8" hidden="1">{"'vert'!$A$1:$T$117"}</definedName>
    <definedName name="coop2_4" localSheetId="5" hidden="1">{"'vert'!$A$1:$T$117"}</definedName>
    <definedName name="coop2_4" hidden="1">{"'vert'!$A$1:$T$117"}</definedName>
    <definedName name="coop2_4_1" localSheetId="8" hidden="1">{"'vert'!$A$1:$T$117"}</definedName>
    <definedName name="coop2_4_1" localSheetId="5" hidden="1">{"'vert'!$A$1:$T$117"}</definedName>
    <definedName name="coop2_4_1" hidden="1">{"'vert'!$A$1:$T$117"}</definedName>
    <definedName name="coop2_5" localSheetId="8" hidden="1">{"'vert'!$A$1:$T$117"}</definedName>
    <definedName name="coop2_5" localSheetId="5" hidden="1">{"'vert'!$A$1:$T$117"}</definedName>
    <definedName name="coop2_5" hidden="1">{"'vert'!$A$1:$T$117"}</definedName>
    <definedName name="copie" localSheetId="8" hidden="1">{"'vert'!$A$1:$T$117"}</definedName>
    <definedName name="copie" localSheetId="5" hidden="1">{"'vert'!$A$1:$T$117"}</definedName>
    <definedName name="copie" hidden="1">{"'vert'!$A$1:$T$117"}</definedName>
    <definedName name="copy" localSheetId="8" hidden="1">{"'vert'!$A$1:$T$117"}</definedName>
    <definedName name="copy" localSheetId="5" hidden="1">{"'vert'!$A$1:$T$117"}</definedName>
    <definedName name="copy" hidden="1">{"'vert'!$A$1:$T$117"}</definedName>
    <definedName name="copy_1" localSheetId="8" hidden="1">{"'vert'!$A$1:$T$117"}</definedName>
    <definedName name="copy_1" localSheetId="5" hidden="1">{"'vert'!$A$1:$T$117"}</definedName>
    <definedName name="copy_1" hidden="1">{"'vert'!$A$1:$T$117"}</definedName>
    <definedName name="copy_1_1" localSheetId="8" hidden="1">{"'vert'!$A$1:$T$117"}</definedName>
    <definedName name="copy_1_1" localSheetId="5" hidden="1">{"'vert'!$A$1:$T$117"}</definedName>
    <definedName name="copy_1_1" hidden="1">{"'vert'!$A$1:$T$117"}</definedName>
    <definedName name="copy_1_1_1" localSheetId="8" hidden="1">{"'vert'!$A$1:$T$117"}</definedName>
    <definedName name="copy_1_1_1" localSheetId="5" hidden="1">{"'vert'!$A$1:$T$117"}</definedName>
    <definedName name="copy_1_1_1" hidden="1">{"'vert'!$A$1:$T$117"}</definedName>
    <definedName name="copy_1_2" localSheetId="8" hidden="1">{"'vert'!$A$1:$T$117"}</definedName>
    <definedName name="copy_1_2" localSheetId="5" hidden="1">{"'vert'!$A$1:$T$117"}</definedName>
    <definedName name="copy_1_2" hidden="1">{"'vert'!$A$1:$T$117"}</definedName>
    <definedName name="copy_2" localSheetId="8" hidden="1">{"'vert'!$A$1:$T$117"}</definedName>
    <definedName name="copy_2" localSheetId="5" hidden="1">{"'vert'!$A$1:$T$117"}</definedName>
    <definedName name="copy_2" hidden="1">{"'vert'!$A$1:$T$117"}</definedName>
    <definedName name="copy_2_1" localSheetId="8" hidden="1">{"'vert'!$A$1:$T$117"}</definedName>
    <definedName name="copy_2_1" localSheetId="5" hidden="1">{"'vert'!$A$1:$T$117"}</definedName>
    <definedName name="copy_2_1" hidden="1">{"'vert'!$A$1:$T$117"}</definedName>
    <definedName name="copy_2_1_1" localSheetId="8" hidden="1">{"'vert'!$A$1:$T$117"}</definedName>
    <definedName name="copy_2_1_1" localSheetId="5" hidden="1">{"'vert'!$A$1:$T$117"}</definedName>
    <definedName name="copy_2_1_1" hidden="1">{"'vert'!$A$1:$T$117"}</definedName>
    <definedName name="copy_2_2" localSheetId="8" hidden="1">{"'vert'!$A$1:$T$117"}</definedName>
    <definedName name="copy_2_2" localSheetId="5" hidden="1">{"'vert'!$A$1:$T$117"}</definedName>
    <definedName name="copy_2_2" hidden="1">{"'vert'!$A$1:$T$117"}</definedName>
    <definedName name="copy_3" localSheetId="8" hidden="1">{"'vert'!$A$1:$T$117"}</definedName>
    <definedName name="copy_3" localSheetId="5" hidden="1">{"'vert'!$A$1:$T$117"}</definedName>
    <definedName name="copy_3" hidden="1">{"'vert'!$A$1:$T$117"}</definedName>
    <definedName name="copy_3_1" localSheetId="8" hidden="1">{"'vert'!$A$1:$T$117"}</definedName>
    <definedName name="copy_3_1" localSheetId="5" hidden="1">{"'vert'!$A$1:$T$117"}</definedName>
    <definedName name="copy_3_1" hidden="1">{"'vert'!$A$1:$T$117"}</definedName>
    <definedName name="copy_4" localSheetId="8" hidden="1">{"'vert'!$A$1:$T$117"}</definedName>
    <definedName name="copy_4" localSheetId="5" hidden="1">{"'vert'!$A$1:$T$117"}</definedName>
    <definedName name="copy_4" hidden="1">{"'vert'!$A$1:$T$117"}</definedName>
    <definedName name="Countries">[11]Admin!$G$7:$G$18</definedName>
    <definedName name="Country">[15]Lists!$D$33:$D$41</definedName>
    <definedName name="css" localSheetId="8" hidden="1">{"'vert'!$A$1:$T$117"}</definedName>
    <definedName name="css" localSheetId="5" hidden="1">{"'vert'!$A$1:$T$117"}</definedName>
    <definedName name="css" hidden="1">{"'vert'!$A$1:$T$117"}</definedName>
    <definedName name="css_1" localSheetId="8" hidden="1">{"'vert'!$A$1:$T$117"}</definedName>
    <definedName name="css_1" localSheetId="5" hidden="1">{"'vert'!$A$1:$T$117"}</definedName>
    <definedName name="css_1" hidden="1">{"'vert'!$A$1:$T$117"}</definedName>
    <definedName name="css_1_1" localSheetId="8" hidden="1">{"'vert'!$A$1:$T$117"}</definedName>
    <definedName name="css_1_1" localSheetId="5" hidden="1">{"'vert'!$A$1:$T$117"}</definedName>
    <definedName name="css_1_1" hidden="1">{"'vert'!$A$1:$T$117"}</definedName>
    <definedName name="css_1_2" localSheetId="8" hidden="1">{"'vert'!$A$1:$T$117"}</definedName>
    <definedName name="css_1_2" localSheetId="5" hidden="1">{"'vert'!$A$1:$T$117"}</definedName>
    <definedName name="css_1_2" hidden="1">{"'vert'!$A$1:$T$117"}</definedName>
    <definedName name="css_2" localSheetId="8" hidden="1">{"'vert'!$A$1:$T$117"}</definedName>
    <definedName name="css_2" localSheetId="5" hidden="1">{"'vert'!$A$1:$T$117"}</definedName>
    <definedName name="css_2" hidden="1">{"'vert'!$A$1:$T$117"}</definedName>
    <definedName name="css_3" localSheetId="8" hidden="1">{"'vert'!$A$1:$T$117"}</definedName>
    <definedName name="css_3" localSheetId="5" hidden="1">{"'vert'!$A$1:$T$117"}</definedName>
    <definedName name="css_3" hidden="1">{"'vert'!$A$1:$T$117"}</definedName>
    <definedName name="curr" localSheetId="8" hidden="1">{"'vert'!$A$1:$T$117"}</definedName>
    <definedName name="curr" localSheetId="5" hidden="1">{"'vert'!$A$1:$T$117"}</definedName>
    <definedName name="curr" hidden="1">{"'vert'!$A$1:$T$117"}</definedName>
    <definedName name="curr_1" localSheetId="8" hidden="1">{"'vert'!$A$1:$T$117"}</definedName>
    <definedName name="curr_1" localSheetId="5" hidden="1">{"'vert'!$A$1:$T$117"}</definedName>
    <definedName name="curr_1" hidden="1">{"'vert'!$A$1:$T$117"}</definedName>
    <definedName name="curr_1_1" localSheetId="8" hidden="1">{"'vert'!$A$1:$T$117"}</definedName>
    <definedName name="curr_1_1" localSheetId="5" hidden="1">{"'vert'!$A$1:$T$117"}</definedName>
    <definedName name="curr_1_1" hidden="1">{"'vert'!$A$1:$T$117"}</definedName>
    <definedName name="curr_1_1_1" localSheetId="8" hidden="1">{"'vert'!$A$1:$T$117"}</definedName>
    <definedName name="curr_1_1_1" localSheetId="5" hidden="1">{"'vert'!$A$1:$T$117"}</definedName>
    <definedName name="curr_1_1_1" hidden="1">{"'vert'!$A$1:$T$117"}</definedName>
    <definedName name="curr_1_2" localSheetId="8" hidden="1">{"'vert'!$A$1:$T$117"}</definedName>
    <definedName name="curr_1_2" localSheetId="5" hidden="1">{"'vert'!$A$1:$T$117"}</definedName>
    <definedName name="curr_1_2" hidden="1">{"'vert'!$A$1:$T$117"}</definedName>
    <definedName name="curr_2" localSheetId="8" hidden="1">{"'vert'!$A$1:$T$117"}</definedName>
    <definedName name="curr_2" localSheetId="5" hidden="1">{"'vert'!$A$1:$T$117"}</definedName>
    <definedName name="curr_2" hidden="1">{"'vert'!$A$1:$T$117"}</definedName>
    <definedName name="curr_2_1" localSheetId="8" hidden="1">{"'vert'!$A$1:$T$117"}</definedName>
    <definedName name="curr_2_1" localSheetId="5" hidden="1">{"'vert'!$A$1:$T$117"}</definedName>
    <definedName name="curr_2_1" hidden="1">{"'vert'!$A$1:$T$117"}</definedName>
    <definedName name="curr_2_1_1" localSheetId="8" hidden="1">{"'vert'!$A$1:$T$117"}</definedName>
    <definedName name="curr_2_1_1" localSheetId="5" hidden="1">{"'vert'!$A$1:$T$117"}</definedName>
    <definedName name="curr_2_1_1" hidden="1">{"'vert'!$A$1:$T$117"}</definedName>
    <definedName name="curr_2_2" localSheetId="8" hidden="1">{"'vert'!$A$1:$T$117"}</definedName>
    <definedName name="curr_2_2" localSheetId="5" hidden="1">{"'vert'!$A$1:$T$117"}</definedName>
    <definedName name="curr_2_2" hidden="1">{"'vert'!$A$1:$T$117"}</definedName>
    <definedName name="curr_3" localSheetId="8" hidden="1">{"'vert'!$A$1:$T$117"}</definedName>
    <definedName name="curr_3" localSheetId="5" hidden="1">{"'vert'!$A$1:$T$117"}</definedName>
    <definedName name="curr_3" hidden="1">{"'vert'!$A$1:$T$117"}</definedName>
    <definedName name="curr_3_1" localSheetId="8" hidden="1">{"'vert'!$A$1:$T$117"}</definedName>
    <definedName name="curr_3_1" localSheetId="5" hidden="1">{"'vert'!$A$1:$T$117"}</definedName>
    <definedName name="curr_3_1" hidden="1">{"'vert'!$A$1:$T$117"}</definedName>
    <definedName name="curr_4" localSheetId="8" hidden="1">{"'vert'!$A$1:$T$117"}</definedName>
    <definedName name="curr_4" localSheetId="5" hidden="1">{"'vert'!$A$1:$T$117"}</definedName>
    <definedName name="curr_4" hidden="1">{"'vert'!$A$1:$T$117"}</definedName>
    <definedName name="Curr_Qtr">[16]Input!$B$7</definedName>
    <definedName name="current">[17]CurrYear_V1!$M$5</definedName>
    <definedName name="current_1" localSheetId="8" hidden="1">{"'vert'!$A$1:$T$117"}</definedName>
    <definedName name="current_1" localSheetId="5" hidden="1">{"'vert'!$A$1:$T$117"}</definedName>
    <definedName name="current_1" hidden="1">{"'vert'!$A$1:$T$117"}</definedName>
    <definedName name="current_1_1" localSheetId="8" hidden="1">{"'vert'!$A$1:$T$117"}</definedName>
    <definedName name="current_1_1" localSheetId="5" hidden="1">{"'vert'!$A$1:$T$117"}</definedName>
    <definedName name="current_1_1" hidden="1">{"'vert'!$A$1:$T$117"}</definedName>
    <definedName name="current_1_1_1" localSheetId="8" hidden="1">{"'vert'!$A$1:$T$117"}</definedName>
    <definedName name="current_1_1_1" localSheetId="5" hidden="1">{"'vert'!$A$1:$T$117"}</definedName>
    <definedName name="current_1_1_1" hidden="1">{"'vert'!$A$1:$T$117"}</definedName>
    <definedName name="current_1_2" localSheetId="8" hidden="1">{"'vert'!$A$1:$T$117"}</definedName>
    <definedName name="current_1_2" localSheetId="5" hidden="1">{"'vert'!$A$1:$T$117"}</definedName>
    <definedName name="current_1_2" hidden="1">{"'vert'!$A$1:$T$117"}</definedName>
    <definedName name="current_2" localSheetId="8" hidden="1">{"'vert'!$A$1:$T$117"}</definedName>
    <definedName name="current_2" localSheetId="5" hidden="1">{"'vert'!$A$1:$T$117"}</definedName>
    <definedName name="current_2" hidden="1">{"'vert'!$A$1:$T$117"}</definedName>
    <definedName name="current_2_1" localSheetId="8" hidden="1">{"'vert'!$A$1:$T$117"}</definedName>
    <definedName name="current_2_1" localSheetId="5" hidden="1">{"'vert'!$A$1:$T$117"}</definedName>
    <definedName name="current_2_1" hidden="1">{"'vert'!$A$1:$T$117"}</definedName>
    <definedName name="current_2_1_1" localSheetId="8" hidden="1">{"'vert'!$A$1:$T$117"}</definedName>
    <definedName name="current_2_1_1" localSheetId="5" hidden="1">{"'vert'!$A$1:$T$117"}</definedName>
    <definedName name="current_2_1_1" hidden="1">{"'vert'!$A$1:$T$117"}</definedName>
    <definedName name="current_2_2" localSheetId="8" hidden="1">{"'vert'!$A$1:$T$117"}</definedName>
    <definedName name="current_2_2" localSheetId="5" hidden="1">{"'vert'!$A$1:$T$117"}</definedName>
    <definedName name="current_2_2" hidden="1">{"'vert'!$A$1:$T$117"}</definedName>
    <definedName name="current_3" localSheetId="8" hidden="1">{"'vert'!$A$1:$T$117"}</definedName>
    <definedName name="current_3" localSheetId="5" hidden="1">{"'vert'!$A$1:$T$117"}</definedName>
    <definedName name="current_3" hidden="1">{"'vert'!$A$1:$T$117"}</definedName>
    <definedName name="current_3_1" localSheetId="8" hidden="1">{"'vert'!$A$1:$T$117"}</definedName>
    <definedName name="current_3_1" localSheetId="5" hidden="1">{"'vert'!$A$1:$T$117"}</definedName>
    <definedName name="current_3_1" hidden="1">{"'vert'!$A$1:$T$117"}</definedName>
    <definedName name="current_4" localSheetId="8" hidden="1">{"'vert'!$A$1:$T$117"}</definedName>
    <definedName name="current_4" localSheetId="5" hidden="1">{"'vert'!$A$1:$T$117"}</definedName>
    <definedName name="current_4" hidden="1">{"'vert'!$A$1:$T$117"}</definedName>
    <definedName name="Current_Month">[16]Input!$B$2</definedName>
    <definedName name="currentest" localSheetId="8" hidden="1">{"'vert'!$A$1:$T$117"}</definedName>
    <definedName name="currentest" localSheetId="5" hidden="1">{"'vert'!$A$1:$T$117"}</definedName>
    <definedName name="currentest" hidden="1">{"'vert'!$A$1:$T$117"}</definedName>
    <definedName name="currentest_1" localSheetId="8" hidden="1">{"'vert'!$A$1:$T$117"}</definedName>
    <definedName name="currentest_1" localSheetId="5" hidden="1">{"'vert'!$A$1:$T$117"}</definedName>
    <definedName name="currentest_1" hidden="1">{"'vert'!$A$1:$T$117"}</definedName>
    <definedName name="currentest_1_1" localSheetId="8" hidden="1">{"'vert'!$A$1:$T$117"}</definedName>
    <definedName name="currentest_1_1" localSheetId="5" hidden="1">{"'vert'!$A$1:$T$117"}</definedName>
    <definedName name="currentest_1_1" hidden="1">{"'vert'!$A$1:$T$117"}</definedName>
    <definedName name="currentest_1_1_1" localSheetId="8" hidden="1">{"'vert'!$A$1:$T$117"}</definedName>
    <definedName name="currentest_1_1_1" localSheetId="5" hidden="1">{"'vert'!$A$1:$T$117"}</definedName>
    <definedName name="currentest_1_1_1" hidden="1">{"'vert'!$A$1:$T$117"}</definedName>
    <definedName name="currentest_1_2" localSheetId="8" hidden="1">{"'vert'!$A$1:$T$117"}</definedName>
    <definedName name="currentest_1_2" localSheetId="5" hidden="1">{"'vert'!$A$1:$T$117"}</definedName>
    <definedName name="currentest_1_2" hidden="1">{"'vert'!$A$1:$T$117"}</definedName>
    <definedName name="currentest_2" localSheetId="8" hidden="1">{"'vert'!$A$1:$T$117"}</definedName>
    <definedName name="currentest_2" localSheetId="5" hidden="1">{"'vert'!$A$1:$T$117"}</definedName>
    <definedName name="currentest_2" hidden="1">{"'vert'!$A$1:$T$117"}</definedName>
    <definedName name="currentest_2_1" localSheetId="8" hidden="1">{"'vert'!$A$1:$T$117"}</definedName>
    <definedName name="currentest_2_1" localSheetId="5" hidden="1">{"'vert'!$A$1:$T$117"}</definedName>
    <definedName name="currentest_2_1" hidden="1">{"'vert'!$A$1:$T$117"}</definedName>
    <definedName name="currentest_2_1_1" localSheetId="8" hidden="1">{"'vert'!$A$1:$T$117"}</definedName>
    <definedName name="currentest_2_1_1" localSheetId="5" hidden="1">{"'vert'!$A$1:$T$117"}</definedName>
    <definedName name="currentest_2_1_1" hidden="1">{"'vert'!$A$1:$T$117"}</definedName>
    <definedName name="currentest_2_2" localSheetId="8" hidden="1">{"'vert'!$A$1:$T$117"}</definedName>
    <definedName name="currentest_2_2" localSheetId="5" hidden="1">{"'vert'!$A$1:$T$117"}</definedName>
    <definedName name="currentest_2_2" hidden="1">{"'vert'!$A$1:$T$117"}</definedName>
    <definedName name="currentest_3" localSheetId="8" hidden="1">{"'vert'!$A$1:$T$117"}</definedName>
    <definedName name="currentest_3" localSheetId="5" hidden="1">{"'vert'!$A$1:$T$117"}</definedName>
    <definedName name="currentest_3" hidden="1">{"'vert'!$A$1:$T$117"}</definedName>
    <definedName name="currentest_3_1" localSheetId="8" hidden="1">{"'vert'!$A$1:$T$117"}</definedName>
    <definedName name="currentest_3_1" localSheetId="5" hidden="1">{"'vert'!$A$1:$T$117"}</definedName>
    <definedName name="currentest_3_1" hidden="1">{"'vert'!$A$1:$T$117"}</definedName>
    <definedName name="currentest_4" localSheetId="8" hidden="1">{"'vert'!$A$1:$T$117"}</definedName>
    <definedName name="currentest_4" localSheetId="5" hidden="1">{"'vert'!$A$1:$T$117"}</definedName>
    <definedName name="currentest_4" hidden="1">{"'vert'!$A$1:$T$117"}</definedName>
    <definedName name="CurYear">[11]Admin!$E$2</definedName>
    <definedName name="Cwvu.GREY_ALL." hidden="1">#REF!</definedName>
    <definedName name="d" hidden="1">[18]Scorecard!$AP$3</definedName>
    <definedName name="da" localSheetId="8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da" localSheetId="5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da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dadfa" localSheetId="8" hidden="1">{"'vert'!$A$1:$T$117"}</definedName>
    <definedName name="dadfa" localSheetId="5" hidden="1">{"'vert'!$A$1:$T$117"}</definedName>
    <definedName name="dadfa" hidden="1">{"'vert'!$A$1:$T$117"}</definedName>
    <definedName name="dadfa_1" localSheetId="8" hidden="1">{"'vert'!$A$1:$T$117"}</definedName>
    <definedName name="dadfa_1" localSheetId="5" hidden="1">{"'vert'!$A$1:$T$117"}</definedName>
    <definedName name="dadfa_1" hidden="1">{"'vert'!$A$1:$T$117"}</definedName>
    <definedName name="dadfa_1_1" localSheetId="8" hidden="1">{"'vert'!$A$1:$T$117"}</definedName>
    <definedName name="dadfa_1_1" localSheetId="5" hidden="1">{"'vert'!$A$1:$T$117"}</definedName>
    <definedName name="dadfa_1_1" hidden="1">{"'vert'!$A$1:$T$117"}</definedName>
    <definedName name="dadfa_1_2" localSheetId="8" hidden="1">{"'vert'!$A$1:$T$117"}</definedName>
    <definedName name="dadfa_1_2" localSheetId="5" hidden="1">{"'vert'!$A$1:$T$117"}</definedName>
    <definedName name="dadfa_1_2" hidden="1">{"'vert'!$A$1:$T$117"}</definedName>
    <definedName name="dadfa_2" localSheetId="8" hidden="1">{"'vert'!$A$1:$T$117"}</definedName>
    <definedName name="dadfa_2" localSheetId="5" hidden="1">{"'vert'!$A$1:$T$117"}</definedName>
    <definedName name="dadfa_2" hidden="1">{"'vert'!$A$1:$T$117"}</definedName>
    <definedName name="dadfa_3" localSheetId="8" hidden="1">{"'vert'!$A$1:$T$117"}</definedName>
    <definedName name="dadfa_3" localSheetId="5" hidden="1">{"'vert'!$A$1:$T$117"}</definedName>
    <definedName name="dadfa_3" hidden="1">{"'vert'!$A$1:$T$117"}</definedName>
    <definedName name="dare" localSheetId="8" hidden="1">{#N/A,#N/A,FALSE,"Sheet1"}</definedName>
    <definedName name="dare" localSheetId="5" hidden="1">{#N/A,#N/A,FALSE,"Sheet1"}</definedName>
    <definedName name="dare" hidden="1">{#N/A,#N/A,FALSE,"Sheet1"}</definedName>
    <definedName name="dasdaawww" localSheetId="8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dasdaawww" localSheetId="5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dasdaawww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dasdasda" localSheetId="8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dasdasda" localSheetId="5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dasdasda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dasfgads" localSheetId="8" hidden="1">{"'vert'!$A$1:$T$117"}</definedName>
    <definedName name="dasfgads" localSheetId="5" hidden="1">{"'vert'!$A$1:$T$117"}</definedName>
    <definedName name="dasfgads" hidden="1">{"'vert'!$A$1:$T$117"}</definedName>
    <definedName name="dasfgads_1" localSheetId="8" hidden="1">{"'vert'!$A$1:$T$117"}</definedName>
    <definedName name="dasfgads_1" localSheetId="5" hidden="1">{"'vert'!$A$1:$T$117"}</definedName>
    <definedName name="dasfgads_1" hidden="1">{"'vert'!$A$1:$T$117"}</definedName>
    <definedName name="dasfgads_1_1" localSheetId="8" hidden="1">{"'vert'!$A$1:$T$117"}</definedName>
    <definedName name="dasfgads_1_1" localSheetId="5" hidden="1">{"'vert'!$A$1:$T$117"}</definedName>
    <definedName name="dasfgads_1_1" hidden="1">{"'vert'!$A$1:$T$117"}</definedName>
    <definedName name="dasfgads_1_2" localSheetId="8" hidden="1">{"'vert'!$A$1:$T$117"}</definedName>
    <definedName name="dasfgads_1_2" localSheetId="5" hidden="1">{"'vert'!$A$1:$T$117"}</definedName>
    <definedName name="dasfgads_1_2" hidden="1">{"'vert'!$A$1:$T$117"}</definedName>
    <definedName name="dasfgads_2" localSheetId="8" hidden="1">{"'vert'!$A$1:$T$117"}</definedName>
    <definedName name="dasfgads_2" localSheetId="5" hidden="1">{"'vert'!$A$1:$T$117"}</definedName>
    <definedName name="dasfgads_2" hidden="1">{"'vert'!$A$1:$T$117"}</definedName>
    <definedName name="dasfgads_3" localSheetId="8" hidden="1">{"'vert'!$A$1:$T$117"}</definedName>
    <definedName name="dasfgads_3" localSheetId="5" hidden="1">{"'vert'!$A$1:$T$117"}</definedName>
    <definedName name="dasfgads_3" hidden="1">{"'vert'!$A$1:$T$117"}</definedName>
    <definedName name="Days" localSheetId="8">{0,1,2,3,4,5,6}</definedName>
    <definedName name="Days" localSheetId="5">{0,1,2,3,4,5,6}</definedName>
    <definedName name="Days">{0,1,2,3,4,5,6}</definedName>
    <definedName name="dd" localSheetId="8" hidden="1">{"'vert'!$A$1:$T$117"}</definedName>
    <definedName name="dd" localSheetId="5" hidden="1">{"'vert'!$A$1:$T$117"}</definedName>
    <definedName name="dd" hidden="1">{"'vert'!$A$1:$T$117"}</definedName>
    <definedName name="dddd" localSheetId="8" hidden="1">{#N/A,#N/A,TRUE,"Cover";#N/A,#N/A,TRUE,"Sum";#N/A,#N/A,TRUE,"SubsRev";#N/A,#N/A,TRUE,"CapEx";#N/A,#N/A,TRUE,"OpEx";#N/A,#N/A,TRUE,"SUs";#N/A,#N/A,TRUE,"OrgChart";#N/A,#N/A,TRUE,"Staff";#N/A,#N/A,TRUE,"P&amp;L";#N/A,#N/A,TRUE,"Cash";#N/A,#N/A,TRUE,"BS";#N/A,#N/A,TRUE,"Valuation";#N/A,#N/A,TRUE,"CapEx-Assumptions";#N/A,#N/A,TRUE,"OpEx-Assumptions"}</definedName>
    <definedName name="dddd" localSheetId="5" hidden="1">{#N/A,#N/A,TRUE,"Cover";#N/A,#N/A,TRUE,"Sum";#N/A,#N/A,TRUE,"SubsRev";#N/A,#N/A,TRUE,"CapEx";#N/A,#N/A,TRUE,"OpEx";#N/A,#N/A,TRUE,"SUs";#N/A,#N/A,TRUE,"OrgChart";#N/A,#N/A,TRUE,"Staff";#N/A,#N/A,TRUE,"P&amp;L";#N/A,#N/A,TRUE,"Cash";#N/A,#N/A,TRUE,"BS";#N/A,#N/A,TRUE,"Valuation";#N/A,#N/A,TRUE,"CapEx-Assumptions";#N/A,#N/A,TRUE,"OpEx-Assumptions"}</definedName>
    <definedName name="dddd" hidden="1">{#N/A,#N/A,TRUE,"Cover";#N/A,#N/A,TRUE,"Sum";#N/A,#N/A,TRUE,"SubsRev";#N/A,#N/A,TRUE,"CapEx";#N/A,#N/A,TRUE,"OpEx";#N/A,#N/A,TRUE,"SUs";#N/A,#N/A,TRUE,"OrgChart";#N/A,#N/A,TRUE,"Staff";#N/A,#N/A,TRUE,"P&amp;L";#N/A,#N/A,TRUE,"Cash";#N/A,#N/A,TRUE,"BS";#N/A,#N/A,TRUE,"Valuation";#N/A,#N/A,TRUE,"CapEx-Assumptions";#N/A,#N/A,TRUE,"OpEx-Assumptions"}</definedName>
    <definedName name="ddddd" localSheetId="8" hidden="1">{"'vert'!$A$1:$T$117"}</definedName>
    <definedName name="ddddd" localSheetId="5" hidden="1">{"'vert'!$A$1:$T$117"}</definedName>
    <definedName name="ddddd" hidden="1">{"'vert'!$A$1:$T$117"}</definedName>
    <definedName name="ddddd_1" localSheetId="8" hidden="1">{"'vert'!$A$1:$T$117"}</definedName>
    <definedName name="ddddd_1" localSheetId="5" hidden="1">{"'vert'!$A$1:$T$117"}</definedName>
    <definedName name="ddddd_1" hidden="1">{"'vert'!$A$1:$T$117"}</definedName>
    <definedName name="ddddd_1_1" localSheetId="8" hidden="1">{"'vert'!$A$1:$T$117"}</definedName>
    <definedName name="ddddd_1_1" localSheetId="5" hidden="1">{"'vert'!$A$1:$T$117"}</definedName>
    <definedName name="ddddd_1_1" hidden="1">{"'vert'!$A$1:$T$117"}</definedName>
    <definedName name="ddddd_1_1_1" localSheetId="8" hidden="1">{"'vert'!$A$1:$T$117"}</definedName>
    <definedName name="ddddd_1_1_1" localSheetId="5" hidden="1">{"'vert'!$A$1:$T$117"}</definedName>
    <definedName name="ddddd_1_1_1" hidden="1">{"'vert'!$A$1:$T$117"}</definedName>
    <definedName name="ddddd_1_2" localSheetId="8" hidden="1">{"'vert'!$A$1:$T$117"}</definedName>
    <definedName name="ddddd_1_2" localSheetId="5" hidden="1">{"'vert'!$A$1:$T$117"}</definedName>
    <definedName name="ddddd_1_2" hidden="1">{"'vert'!$A$1:$T$117"}</definedName>
    <definedName name="ddddd_2" localSheetId="8" hidden="1">{"'vert'!$A$1:$T$117"}</definedName>
    <definedName name="ddddd_2" localSheetId="5" hidden="1">{"'vert'!$A$1:$T$117"}</definedName>
    <definedName name="ddddd_2" hidden="1">{"'vert'!$A$1:$T$117"}</definedName>
    <definedName name="ddddd_2_1" localSheetId="8" hidden="1">{"'vert'!$A$1:$T$117"}</definedName>
    <definedName name="ddddd_2_1" localSheetId="5" hidden="1">{"'vert'!$A$1:$T$117"}</definedName>
    <definedName name="ddddd_2_1" hidden="1">{"'vert'!$A$1:$T$117"}</definedName>
    <definedName name="ddddd_2_1_1" localSheetId="8" hidden="1">{"'vert'!$A$1:$T$117"}</definedName>
    <definedName name="ddddd_2_1_1" localSheetId="5" hidden="1">{"'vert'!$A$1:$T$117"}</definedName>
    <definedName name="ddddd_2_1_1" hidden="1">{"'vert'!$A$1:$T$117"}</definedName>
    <definedName name="ddddd_2_2" localSheetId="8" hidden="1">{"'vert'!$A$1:$T$117"}</definedName>
    <definedName name="ddddd_2_2" localSheetId="5" hidden="1">{"'vert'!$A$1:$T$117"}</definedName>
    <definedName name="ddddd_2_2" hidden="1">{"'vert'!$A$1:$T$117"}</definedName>
    <definedName name="ddddd_3" localSheetId="8" hidden="1">{"'vert'!$A$1:$T$117"}</definedName>
    <definedName name="ddddd_3" localSheetId="5" hidden="1">{"'vert'!$A$1:$T$117"}</definedName>
    <definedName name="ddddd_3" hidden="1">{"'vert'!$A$1:$T$117"}</definedName>
    <definedName name="ddddd_3_1" localSheetId="8" hidden="1">{"'vert'!$A$1:$T$117"}</definedName>
    <definedName name="ddddd_3_1" localSheetId="5" hidden="1">{"'vert'!$A$1:$T$117"}</definedName>
    <definedName name="ddddd_3_1" hidden="1">{"'vert'!$A$1:$T$117"}</definedName>
    <definedName name="ddddd_4" localSheetId="8" hidden="1">{"'vert'!$A$1:$T$117"}</definedName>
    <definedName name="ddddd_4" localSheetId="5" hidden="1">{"'vert'!$A$1:$T$117"}</definedName>
    <definedName name="ddddd_4" hidden="1">{"'vert'!$A$1:$T$117"}</definedName>
    <definedName name="dddddd_1" localSheetId="8" hidden="1">{"'vert'!$A$1:$T$117"}</definedName>
    <definedName name="dddddd_1" localSheetId="5" hidden="1">{"'vert'!$A$1:$T$117"}</definedName>
    <definedName name="dddddd_1" hidden="1">{"'vert'!$A$1:$T$117"}</definedName>
    <definedName name="dddddd_1_1" localSheetId="8" hidden="1">{"'vert'!$A$1:$T$117"}</definedName>
    <definedName name="dddddd_1_1" localSheetId="5" hidden="1">{"'vert'!$A$1:$T$117"}</definedName>
    <definedName name="dddddd_1_1" hidden="1">{"'vert'!$A$1:$T$117"}</definedName>
    <definedName name="dddddd_1_2" localSheetId="8" hidden="1">{"'vert'!$A$1:$T$117"}</definedName>
    <definedName name="dddddd_1_2" localSheetId="5" hidden="1">{"'vert'!$A$1:$T$117"}</definedName>
    <definedName name="dddddd_1_2" hidden="1">{"'vert'!$A$1:$T$117"}</definedName>
    <definedName name="dddddd_2" localSheetId="8" hidden="1">{"'vert'!$A$1:$T$117"}</definedName>
    <definedName name="dddddd_2" localSheetId="5" hidden="1">{"'vert'!$A$1:$T$117"}</definedName>
    <definedName name="dddddd_2" hidden="1">{"'vert'!$A$1:$T$117"}</definedName>
    <definedName name="dddddd_3" localSheetId="8" hidden="1">{"'vert'!$A$1:$T$117"}</definedName>
    <definedName name="dddddd_3" localSheetId="5" hidden="1">{"'vert'!$A$1:$T$117"}</definedName>
    <definedName name="dddddd_3" hidden="1">{"'vert'!$A$1:$T$117"}</definedName>
    <definedName name="dddsfdsfd" localSheetId="8" hidden="1">{"'vert'!$A$1:$T$117"}</definedName>
    <definedName name="dddsfdsfd" localSheetId="5" hidden="1">{"'vert'!$A$1:$T$117"}</definedName>
    <definedName name="dddsfdsfd" hidden="1">{"'vert'!$A$1:$T$117"}</definedName>
    <definedName name="dddsfdsfd_1" localSheetId="8" hidden="1">{"'vert'!$A$1:$T$117"}</definedName>
    <definedName name="dddsfdsfd_1" localSheetId="5" hidden="1">{"'vert'!$A$1:$T$117"}</definedName>
    <definedName name="dddsfdsfd_1" hidden="1">{"'vert'!$A$1:$T$117"}</definedName>
    <definedName name="dddsfdsfd_1_1" localSheetId="8" hidden="1">{"'vert'!$A$1:$T$117"}</definedName>
    <definedName name="dddsfdsfd_1_1" localSheetId="5" hidden="1">{"'vert'!$A$1:$T$117"}</definedName>
    <definedName name="dddsfdsfd_1_1" hidden="1">{"'vert'!$A$1:$T$117"}</definedName>
    <definedName name="dddsfdsfd_1_2" localSheetId="8" hidden="1">{"'vert'!$A$1:$T$117"}</definedName>
    <definedName name="dddsfdsfd_1_2" localSheetId="5" hidden="1">{"'vert'!$A$1:$T$117"}</definedName>
    <definedName name="dddsfdsfd_1_2" hidden="1">{"'vert'!$A$1:$T$117"}</definedName>
    <definedName name="dddsfdsfd_2" localSheetId="8" hidden="1">{"'vert'!$A$1:$T$117"}</definedName>
    <definedName name="dddsfdsfd_2" localSheetId="5" hidden="1">{"'vert'!$A$1:$T$117"}</definedName>
    <definedName name="dddsfdsfd_2" hidden="1">{"'vert'!$A$1:$T$117"}</definedName>
    <definedName name="dddsfdsfd_3" localSheetId="8" hidden="1">{"'vert'!$A$1:$T$117"}</definedName>
    <definedName name="dddsfdsfd_3" localSheetId="5" hidden="1">{"'vert'!$A$1:$T$117"}</definedName>
    <definedName name="dddsfdsfd_3" hidden="1">{"'vert'!$A$1:$T$117"}</definedName>
    <definedName name="de" hidden="1">#REF!</definedName>
    <definedName name="DE_final" localSheetId="8" hidden="1">{"'vert'!$A$1:$T$117"}</definedName>
    <definedName name="DE_final" localSheetId="5" hidden="1">{"'vert'!$A$1:$T$117"}</definedName>
    <definedName name="DE_final" hidden="1">{"'vert'!$A$1:$T$117"}</definedName>
    <definedName name="DE_final_1" localSheetId="8" hidden="1">{"'vert'!$A$1:$T$117"}</definedName>
    <definedName name="DE_final_1" localSheetId="5" hidden="1">{"'vert'!$A$1:$T$117"}</definedName>
    <definedName name="DE_final_1" hidden="1">{"'vert'!$A$1:$T$117"}</definedName>
    <definedName name="DE_final_1_1" localSheetId="8" hidden="1">{"'vert'!$A$1:$T$117"}</definedName>
    <definedName name="DE_final_1_1" localSheetId="5" hidden="1">{"'vert'!$A$1:$T$117"}</definedName>
    <definedName name="DE_final_1_1" hidden="1">{"'vert'!$A$1:$T$117"}</definedName>
    <definedName name="DE_final_1_1_1" localSheetId="8" hidden="1">{"'vert'!$A$1:$T$117"}</definedName>
    <definedName name="DE_final_1_1_1" localSheetId="5" hidden="1">{"'vert'!$A$1:$T$117"}</definedName>
    <definedName name="DE_final_1_1_1" hidden="1">{"'vert'!$A$1:$T$117"}</definedName>
    <definedName name="DE_final_1_2" localSheetId="8" hidden="1">{"'vert'!$A$1:$T$117"}</definedName>
    <definedName name="DE_final_1_2" localSheetId="5" hidden="1">{"'vert'!$A$1:$T$117"}</definedName>
    <definedName name="DE_final_1_2" hidden="1">{"'vert'!$A$1:$T$117"}</definedName>
    <definedName name="DE_final_2" localSheetId="8" hidden="1">{"'vert'!$A$1:$T$117"}</definedName>
    <definedName name="DE_final_2" localSheetId="5" hidden="1">{"'vert'!$A$1:$T$117"}</definedName>
    <definedName name="DE_final_2" hidden="1">{"'vert'!$A$1:$T$117"}</definedName>
    <definedName name="DE_final_2_1" localSheetId="8" hidden="1">{"'vert'!$A$1:$T$117"}</definedName>
    <definedName name="DE_final_2_1" localSheetId="5" hidden="1">{"'vert'!$A$1:$T$117"}</definedName>
    <definedName name="DE_final_2_1" hidden="1">{"'vert'!$A$1:$T$117"}</definedName>
    <definedName name="DE_final_2_1_1" localSheetId="8" hidden="1">{"'vert'!$A$1:$T$117"}</definedName>
    <definedName name="DE_final_2_1_1" localSheetId="5" hidden="1">{"'vert'!$A$1:$T$117"}</definedName>
    <definedName name="DE_final_2_1_1" hidden="1">{"'vert'!$A$1:$T$117"}</definedName>
    <definedName name="DE_final_2_2" localSheetId="8" hidden="1">{"'vert'!$A$1:$T$117"}</definedName>
    <definedName name="DE_final_2_2" localSheetId="5" hidden="1">{"'vert'!$A$1:$T$117"}</definedName>
    <definedName name="DE_final_2_2" hidden="1">{"'vert'!$A$1:$T$117"}</definedName>
    <definedName name="DE_final_3" localSheetId="8" hidden="1">{"'vert'!$A$1:$T$117"}</definedName>
    <definedName name="DE_final_3" localSheetId="5" hidden="1">{"'vert'!$A$1:$T$117"}</definedName>
    <definedName name="DE_final_3" hidden="1">{"'vert'!$A$1:$T$117"}</definedName>
    <definedName name="DE_final_3_1" localSheetId="8" hidden="1">{"'vert'!$A$1:$T$117"}</definedName>
    <definedName name="DE_final_3_1" localSheetId="5" hidden="1">{"'vert'!$A$1:$T$117"}</definedName>
    <definedName name="DE_final_3_1" hidden="1">{"'vert'!$A$1:$T$117"}</definedName>
    <definedName name="DE_final_4" localSheetId="8" hidden="1">{"'vert'!$A$1:$T$117"}</definedName>
    <definedName name="DE_final_4" localSheetId="5" hidden="1">{"'vert'!$A$1:$T$117"}</definedName>
    <definedName name="DE_final_4" hidden="1">{"'vert'!$A$1:$T$117"}</definedName>
    <definedName name="ded" hidden="1">#REF!</definedName>
    <definedName name="dee" localSheetId="8" hidden="1">{#N/A,#N/A,FALSE,"Trading-Mult ";#N/A,#N/A,FALSE,"Trading-Cap";#N/A,#N/A,FALSE,"Trading-Inc";#N/A,#N/A,FALSE,"Cash Flow";#N/A,#N/A,FALSE,"M&amp;A info"}</definedName>
    <definedName name="dee" localSheetId="5" hidden="1">{#N/A,#N/A,FALSE,"Trading-Mult ";#N/A,#N/A,FALSE,"Trading-Cap";#N/A,#N/A,FALSE,"Trading-Inc";#N/A,#N/A,FALSE,"Cash Flow";#N/A,#N/A,FALSE,"M&amp;A info"}</definedName>
    <definedName name="dee" hidden="1">{#N/A,#N/A,FALSE,"Trading-Mult ";#N/A,#N/A,FALSE,"Trading-Cap";#N/A,#N/A,FALSE,"Trading-Inc";#N/A,#N/A,FALSE,"Cash Flow";#N/A,#N/A,FALSE,"M&amp;A info"}</definedName>
    <definedName name="def" localSheetId="8" hidden="1">{"'vert'!$A$1:$T$117"}</definedName>
    <definedName name="def" localSheetId="5" hidden="1">{"'vert'!$A$1:$T$117"}</definedName>
    <definedName name="def" hidden="1">{"'vert'!$A$1:$T$117"}</definedName>
    <definedName name="def_1" localSheetId="8" hidden="1">{"'vert'!$A$1:$T$117"}</definedName>
    <definedName name="def_1" localSheetId="5" hidden="1">{"'vert'!$A$1:$T$117"}</definedName>
    <definedName name="def_1" hidden="1">{"'vert'!$A$1:$T$117"}</definedName>
    <definedName name="def_1_1" localSheetId="8" hidden="1">{"'vert'!$A$1:$T$117"}</definedName>
    <definedName name="def_1_1" localSheetId="5" hidden="1">{"'vert'!$A$1:$T$117"}</definedName>
    <definedName name="def_1_1" hidden="1">{"'vert'!$A$1:$T$117"}</definedName>
    <definedName name="def_1_1_1" localSheetId="8" hidden="1">{"'vert'!$A$1:$T$117"}</definedName>
    <definedName name="def_1_1_1" localSheetId="5" hidden="1">{"'vert'!$A$1:$T$117"}</definedName>
    <definedName name="def_1_1_1" hidden="1">{"'vert'!$A$1:$T$117"}</definedName>
    <definedName name="def_1_1_1_1" localSheetId="8" hidden="1">{"'vert'!$A$1:$T$117"}</definedName>
    <definedName name="def_1_1_1_1" localSheetId="5" hidden="1">{"'vert'!$A$1:$T$117"}</definedName>
    <definedName name="def_1_1_1_1" hidden="1">{"'vert'!$A$1:$T$117"}</definedName>
    <definedName name="def_1_1_2" localSheetId="8" hidden="1">{"'vert'!$A$1:$T$117"}</definedName>
    <definedName name="def_1_1_2" localSheetId="5" hidden="1">{"'vert'!$A$1:$T$117"}</definedName>
    <definedName name="def_1_1_2" hidden="1">{"'vert'!$A$1:$T$117"}</definedName>
    <definedName name="def_1_2" localSheetId="8" hidden="1">{"'vert'!$A$1:$T$117"}</definedName>
    <definedName name="def_1_2" localSheetId="5" hidden="1">{"'vert'!$A$1:$T$117"}</definedName>
    <definedName name="def_1_2" hidden="1">{"'vert'!$A$1:$T$117"}</definedName>
    <definedName name="def_1_2_1" localSheetId="8" hidden="1">{"'vert'!$A$1:$T$117"}</definedName>
    <definedName name="def_1_2_1" localSheetId="5" hidden="1">{"'vert'!$A$1:$T$117"}</definedName>
    <definedName name="def_1_2_1" hidden="1">{"'vert'!$A$1:$T$117"}</definedName>
    <definedName name="def_1_2_1_1" localSheetId="8" hidden="1">{"'vert'!$A$1:$T$117"}</definedName>
    <definedName name="def_1_2_1_1" localSheetId="5" hidden="1">{"'vert'!$A$1:$T$117"}</definedName>
    <definedName name="def_1_2_1_1" hidden="1">{"'vert'!$A$1:$T$117"}</definedName>
    <definedName name="def_1_2_2" localSheetId="8" hidden="1">{"'vert'!$A$1:$T$117"}</definedName>
    <definedName name="def_1_2_2" localSheetId="5" hidden="1">{"'vert'!$A$1:$T$117"}</definedName>
    <definedName name="def_1_2_2" hidden="1">{"'vert'!$A$1:$T$117"}</definedName>
    <definedName name="def_1_3" localSheetId="8" hidden="1">{"'vert'!$A$1:$T$117"}</definedName>
    <definedName name="def_1_3" localSheetId="5" hidden="1">{"'vert'!$A$1:$T$117"}</definedName>
    <definedName name="def_1_3" hidden="1">{"'vert'!$A$1:$T$117"}</definedName>
    <definedName name="def_1_3_1" localSheetId="8" hidden="1">{"'vert'!$A$1:$T$117"}</definedName>
    <definedName name="def_1_3_1" localSheetId="5" hidden="1">{"'vert'!$A$1:$T$117"}</definedName>
    <definedName name="def_1_3_1" hidden="1">{"'vert'!$A$1:$T$117"}</definedName>
    <definedName name="def_1_4" localSheetId="8" hidden="1">{"'vert'!$A$1:$T$117"}</definedName>
    <definedName name="def_1_4" localSheetId="5" hidden="1">{"'vert'!$A$1:$T$117"}</definedName>
    <definedName name="def_1_4" hidden="1">{"'vert'!$A$1:$T$117"}</definedName>
    <definedName name="def_2" localSheetId="8" hidden="1">{"'vert'!$A$1:$T$117"}</definedName>
    <definedName name="def_2" localSheetId="5" hidden="1">{"'vert'!$A$1:$T$117"}</definedName>
    <definedName name="def_2" hidden="1">{"'vert'!$A$1:$T$117"}</definedName>
    <definedName name="def_2_1" localSheetId="8" hidden="1">{"'vert'!$A$1:$T$117"}</definedName>
    <definedName name="def_2_1" localSheetId="5" hidden="1">{"'vert'!$A$1:$T$117"}</definedName>
    <definedName name="def_2_1" hidden="1">{"'vert'!$A$1:$T$117"}</definedName>
    <definedName name="def_2_1_1" localSheetId="8" hidden="1">{"'vert'!$A$1:$T$117"}</definedName>
    <definedName name="def_2_1_1" localSheetId="5" hidden="1">{"'vert'!$A$1:$T$117"}</definedName>
    <definedName name="def_2_1_1" hidden="1">{"'vert'!$A$1:$T$117"}</definedName>
    <definedName name="def_2_2" localSheetId="8" hidden="1">{"'vert'!$A$1:$T$117"}</definedName>
    <definedName name="def_2_2" localSheetId="5" hidden="1">{"'vert'!$A$1:$T$117"}</definedName>
    <definedName name="def_2_2" hidden="1">{"'vert'!$A$1:$T$117"}</definedName>
    <definedName name="def_3" localSheetId="8" hidden="1">{"'vert'!$A$1:$T$117"}</definedName>
    <definedName name="def_3" localSheetId="5" hidden="1">{"'vert'!$A$1:$T$117"}</definedName>
    <definedName name="def_3" hidden="1">{"'vert'!$A$1:$T$117"}</definedName>
    <definedName name="def_3_1" localSheetId="8" hidden="1">{"'vert'!$A$1:$T$117"}</definedName>
    <definedName name="def_3_1" localSheetId="5" hidden="1">{"'vert'!$A$1:$T$117"}</definedName>
    <definedName name="def_3_1" hidden="1">{"'vert'!$A$1:$T$117"}</definedName>
    <definedName name="def_3_1_1" localSheetId="8" hidden="1">{"'vert'!$A$1:$T$117"}</definedName>
    <definedName name="def_3_1_1" localSheetId="5" hidden="1">{"'vert'!$A$1:$T$117"}</definedName>
    <definedName name="def_3_1_1" hidden="1">{"'vert'!$A$1:$T$117"}</definedName>
    <definedName name="def_3_2" localSheetId="8" hidden="1">{"'vert'!$A$1:$T$117"}</definedName>
    <definedName name="def_3_2" localSheetId="5" hidden="1">{"'vert'!$A$1:$T$117"}</definedName>
    <definedName name="def_3_2" hidden="1">{"'vert'!$A$1:$T$117"}</definedName>
    <definedName name="def_4" localSheetId="8" hidden="1">{"'vert'!$A$1:$T$117"}</definedName>
    <definedName name="def_4" localSheetId="5" hidden="1">{"'vert'!$A$1:$T$117"}</definedName>
    <definedName name="def_4" hidden="1">{"'vert'!$A$1:$T$117"}</definedName>
    <definedName name="def_4_1" localSheetId="8" hidden="1">{"'vert'!$A$1:$T$117"}</definedName>
    <definedName name="def_4_1" localSheetId="5" hidden="1">{"'vert'!$A$1:$T$117"}</definedName>
    <definedName name="def_4_1" hidden="1">{"'vert'!$A$1:$T$117"}</definedName>
    <definedName name="def_5" localSheetId="8" hidden="1">{"'vert'!$A$1:$T$117"}</definedName>
    <definedName name="def_5" localSheetId="5" hidden="1">{"'vert'!$A$1:$T$117"}</definedName>
    <definedName name="def_5" hidden="1">{"'vert'!$A$1:$T$117"}</definedName>
    <definedName name="dfd" localSheetId="8" hidden="1">{"'vert'!$A$1:$T$117"}</definedName>
    <definedName name="dfd" localSheetId="5" hidden="1">{"'vert'!$A$1:$T$117"}</definedName>
    <definedName name="dfd" hidden="1">{"'vert'!$A$1:$T$117"}</definedName>
    <definedName name="dfd_1" localSheetId="8" hidden="1">{"'vert'!$A$1:$T$117"}</definedName>
    <definedName name="dfd_1" localSheetId="5" hidden="1">{"'vert'!$A$1:$T$117"}</definedName>
    <definedName name="dfd_1" hidden="1">{"'vert'!$A$1:$T$117"}</definedName>
    <definedName name="dfd_1_1" localSheetId="8" hidden="1">{"'vert'!$A$1:$T$117"}</definedName>
    <definedName name="dfd_1_1" localSheetId="5" hidden="1">{"'vert'!$A$1:$T$117"}</definedName>
    <definedName name="dfd_1_1" hidden="1">{"'vert'!$A$1:$T$117"}</definedName>
    <definedName name="dfd_1_2" localSheetId="8" hidden="1">{"'vert'!$A$1:$T$117"}</definedName>
    <definedName name="dfd_1_2" localSheetId="5" hidden="1">{"'vert'!$A$1:$T$117"}</definedName>
    <definedName name="dfd_1_2" hidden="1">{"'vert'!$A$1:$T$117"}</definedName>
    <definedName name="dfd_2" localSheetId="8" hidden="1">{"'vert'!$A$1:$T$117"}</definedName>
    <definedName name="dfd_2" localSheetId="5" hidden="1">{"'vert'!$A$1:$T$117"}</definedName>
    <definedName name="dfd_2" hidden="1">{"'vert'!$A$1:$T$117"}</definedName>
    <definedName name="dfd_3" localSheetId="8" hidden="1">{"'vert'!$A$1:$T$117"}</definedName>
    <definedName name="dfd_3" localSheetId="5" hidden="1">{"'vert'!$A$1:$T$117"}</definedName>
    <definedName name="dfd_3" hidden="1">{"'vert'!$A$1:$T$117"}</definedName>
    <definedName name="dfdf" hidden="1">#REF!</definedName>
    <definedName name="dfdjk" localSheetId="8" hidden="1">{"'vert'!$A$1:$T$117"}</definedName>
    <definedName name="dfdjk" localSheetId="5" hidden="1">{"'vert'!$A$1:$T$117"}</definedName>
    <definedName name="dfdjk" hidden="1">{"'vert'!$A$1:$T$117"}</definedName>
    <definedName name="dfdjk_1" localSheetId="8" hidden="1">{"'vert'!$A$1:$T$117"}</definedName>
    <definedName name="dfdjk_1" localSheetId="5" hidden="1">{"'vert'!$A$1:$T$117"}</definedName>
    <definedName name="dfdjk_1" hidden="1">{"'vert'!$A$1:$T$117"}</definedName>
    <definedName name="dfdjk_1_1" localSheetId="8" hidden="1">{"'vert'!$A$1:$T$117"}</definedName>
    <definedName name="dfdjk_1_1" localSheetId="5" hidden="1">{"'vert'!$A$1:$T$117"}</definedName>
    <definedName name="dfdjk_1_1" hidden="1">{"'vert'!$A$1:$T$117"}</definedName>
    <definedName name="dfdjk_1_2" localSheetId="8" hidden="1">{"'vert'!$A$1:$T$117"}</definedName>
    <definedName name="dfdjk_1_2" localSheetId="5" hidden="1">{"'vert'!$A$1:$T$117"}</definedName>
    <definedName name="dfdjk_1_2" hidden="1">{"'vert'!$A$1:$T$117"}</definedName>
    <definedName name="dfdjk_2" localSheetId="8" hidden="1">{"'vert'!$A$1:$T$117"}</definedName>
    <definedName name="dfdjk_2" localSheetId="5" hidden="1">{"'vert'!$A$1:$T$117"}</definedName>
    <definedName name="dfdjk_2" hidden="1">{"'vert'!$A$1:$T$117"}</definedName>
    <definedName name="dfdjk_3" localSheetId="8" hidden="1">{"'vert'!$A$1:$T$117"}</definedName>
    <definedName name="dfdjk_3" localSheetId="5" hidden="1">{"'vert'!$A$1:$T$117"}</definedName>
    <definedName name="dfdjk_3" hidden="1">{"'vert'!$A$1:$T$117"}</definedName>
    <definedName name="dfdslfj" localSheetId="8" hidden="1">{"'vert'!$A$1:$T$117"}</definedName>
    <definedName name="dfdslfj" localSheetId="5" hidden="1">{"'vert'!$A$1:$T$117"}</definedName>
    <definedName name="dfdslfj" hidden="1">{"'vert'!$A$1:$T$117"}</definedName>
    <definedName name="dfdslfj_1" localSheetId="8" hidden="1">{"'vert'!$A$1:$T$117"}</definedName>
    <definedName name="dfdslfj_1" localSheetId="5" hidden="1">{"'vert'!$A$1:$T$117"}</definedName>
    <definedName name="dfdslfj_1" hidden="1">{"'vert'!$A$1:$T$117"}</definedName>
    <definedName name="dfdslfj_1_1" localSheetId="8" hidden="1">{"'vert'!$A$1:$T$117"}</definedName>
    <definedName name="dfdslfj_1_1" localSheetId="5" hidden="1">{"'vert'!$A$1:$T$117"}</definedName>
    <definedName name="dfdslfj_1_1" hidden="1">{"'vert'!$A$1:$T$117"}</definedName>
    <definedName name="dfdslfj_1_2" localSheetId="8" hidden="1">{"'vert'!$A$1:$T$117"}</definedName>
    <definedName name="dfdslfj_1_2" localSheetId="5" hidden="1">{"'vert'!$A$1:$T$117"}</definedName>
    <definedName name="dfdslfj_1_2" hidden="1">{"'vert'!$A$1:$T$117"}</definedName>
    <definedName name="dfdslfj_2" localSheetId="8" hidden="1">{"'vert'!$A$1:$T$117"}</definedName>
    <definedName name="dfdslfj_2" localSheetId="5" hidden="1">{"'vert'!$A$1:$T$117"}</definedName>
    <definedName name="dfdslfj_2" hidden="1">{"'vert'!$A$1:$T$117"}</definedName>
    <definedName name="dfdslfj_3" localSheetId="8" hidden="1">{"'vert'!$A$1:$T$117"}</definedName>
    <definedName name="dfdslfj_3" localSheetId="5" hidden="1">{"'vert'!$A$1:$T$117"}</definedName>
    <definedName name="dfdslfj_3" hidden="1">{"'vert'!$A$1:$T$117"}</definedName>
    <definedName name="dff" localSheetId="8" hidden="1">{0}</definedName>
    <definedName name="dff" localSheetId="5" hidden="1">{0}</definedName>
    <definedName name="dff" hidden="1">{0}</definedName>
    <definedName name="dfgdsfg" localSheetId="8" hidden="1">{"'vert'!$A$1:$T$117"}</definedName>
    <definedName name="dfgdsfg" localSheetId="5" hidden="1">{"'vert'!$A$1:$T$117"}</definedName>
    <definedName name="dfgdsfg" hidden="1">{"'vert'!$A$1:$T$117"}</definedName>
    <definedName name="dfgdsfg_1" localSheetId="8" hidden="1">{"'vert'!$A$1:$T$117"}</definedName>
    <definedName name="dfgdsfg_1" localSheetId="5" hidden="1">{"'vert'!$A$1:$T$117"}</definedName>
    <definedName name="dfgdsfg_1" hidden="1">{"'vert'!$A$1:$T$117"}</definedName>
    <definedName name="dfgdsfg_1_1" localSheetId="8" hidden="1">{"'vert'!$A$1:$T$117"}</definedName>
    <definedName name="dfgdsfg_1_1" localSheetId="5" hidden="1">{"'vert'!$A$1:$T$117"}</definedName>
    <definedName name="dfgdsfg_1_1" hidden="1">{"'vert'!$A$1:$T$117"}</definedName>
    <definedName name="dfgdsfg_1_1_1" localSheetId="8" hidden="1">{"'vert'!$A$1:$T$117"}</definedName>
    <definedName name="dfgdsfg_1_1_1" localSheetId="5" hidden="1">{"'vert'!$A$1:$T$117"}</definedName>
    <definedName name="dfgdsfg_1_1_1" hidden="1">{"'vert'!$A$1:$T$117"}</definedName>
    <definedName name="dfgdsfg_1_1_1_1" localSheetId="8" hidden="1">{"'vert'!$A$1:$T$117"}</definedName>
    <definedName name="dfgdsfg_1_1_1_1" localSheetId="5" hidden="1">{"'vert'!$A$1:$T$117"}</definedName>
    <definedName name="dfgdsfg_1_1_1_1" hidden="1">{"'vert'!$A$1:$T$117"}</definedName>
    <definedName name="dfgdsfg_1_1_2" localSheetId="8" hidden="1">{"'vert'!$A$1:$T$117"}</definedName>
    <definedName name="dfgdsfg_1_1_2" localSheetId="5" hidden="1">{"'vert'!$A$1:$T$117"}</definedName>
    <definedName name="dfgdsfg_1_1_2" hidden="1">{"'vert'!$A$1:$T$117"}</definedName>
    <definedName name="dfgdsfg_1_2" localSheetId="8" hidden="1">{"'vert'!$A$1:$T$117"}</definedName>
    <definedName name="dfgdsfg_1_2" localSheetId="5" hidden="1">{"'vert'!$A$1:$T$117"}</definedName>
    <definedName name="dfgdsfg_1_2" hidden="1">{"'vert'!$A$1:$T$117"}</definedName>
    <definedName name="dfgdsfg_1_2_1" localSheetId="8" hidden="1">{"'vert'!$A$1:$T$117"}</definedName>
    <definedName name="dfgdsfg_1_2_1" localSheetId="5" hidden="1">{"'vert'!$A$1:$T$117"}</definedName>
    <definedName name="dfgdsfg_1_2_1" hidden="1">{"'vert'!$A$1:$T$117"}</definedName>
    <definedName name="dfgdsfg_1_2_1_1" localSheetId="8" hidden="1">{"'vert'!$A$1:$T$117"}</definedName>
    <definedName name="dfgdsfg_1_2_1_1" localSheetId="5" hidden="1">{"'vert'!$A$1:$T$117"}</definedName>
    <definedName name="dfgdsfg_1_2_1_1" hidden="1">{"'vert'!$A$1:$T$117"}</definedName>
    <definedName name="dfgdsfg_1_2_2" localSheetId="8" hidden="1">{"'vert'!$A$1:$T$117"}</definedName>
    <definedName name="dfgdsfg_1_2_2" localSheetId="5" hidden="1">{"'vert'!$A$1:$T$117"}</definedName>
    <definedName name="dfgdsfg_1_2_2" hidden="1">{"'vert'!$A$1:$T$117"}</definedName>
    <definedName name="dfgdsfg_1_3" localSheetId="8" hidden="1">{"'vert'!$A$1:$T$117"}</definedName>
    <definedName name="dfgdsfg_1_3" localSheetId="5" hidden="1">{"'vert'!$A$1:$T$117"}</definedName>
    <definedName name="dfgdsfg_1_3" hidden="1">{"'vert'!$A$1:$T$117"}</definedName>
    <definedName name="dfgdsfg_1_3_1" localSheetId="8" hidden="1">{"'vert'!$A$1:$T$117"}</definedName>
    <definedName name="dfgdsfg_1_3_1" localSheetId="5" hidden="1">{"'vert'!$A$1:$T$117"}</definedName>
    <definedName name="dfgdsfg_1_3_1" hidden="1">{"'vert'!$A$1:$T$117"}</definedName>
    <definedName name="dfgdsfg_1_4" localSheetId="8" hidden="1">{"'vert'!$A$1:$T$117"}</definedName>
    <definedName name="dfgdsfg_1_4" localSheetId="5" hidden="1">{"'vert'!$A$1:$T$117"}</definedName>
    <definedName name="dfgdsfg_1_4" hidden="1">{"'vert'!$A$1:$T$117"}</definedName>
    <definedName name="dfgdsfg_2" localSheetId="8" hidden="1">{"'vert'!$A$1:$T$117"}</definedName>
    <definedName name="dfgdsfg_2" localSheetId="5" hidden="1">{"'vert'!$A$1:$T$117"}</definedName>
    <definedName name="dfgdsfg_2" hidden="1">{"'vert'!$A$1:$T$117"}</definedName>
    <definedName name="dfgdsfg_2_1" localSheetId="8" hidden="1">{"'vert'!$A$1:$T$117"}</definedName>
    <definedName name="dfgdsfg_2_1" localSheetId="5" hidden="1">{"'vert'!$A$1:$T$117"}</definedName>
    <definedName name="dfgdsfg_2_1" hidden="1">{"'vert'!$A$1:$T$117"}</definedName>
    <definedName name="dfgdsfg_2_1_1" localSheetId="8" hidden="1">{"'vert'!$A$1:$T$117"}</definedName>
    <definedName name="dfgdsfg_2_1_1" localSheetId="5" hidden="1">{"'vert'!$A$1:$T$117"}</definedName>
    <definedName name="dfgdsfg_2_1_1" hidden="1">{"'vert'!$A$1:$T$117"}</definedName>
    <definedName name="dfgdsfg_2_2" localSheetId="8" hidden="1">{"'vert'!$A$1:$T$117"}</definedName>
    <definedName name="dfgdsfg_2_2" localSheetId="5" hidden="1">{"'vert'!$A$1:$T$117"}</definedName>
    <definedName name="dfgdsfg_2_2" hidden="1">{"'vert'!$A$1:$T$117"}</definedName>
    <definedName name="dfgdsfg_3" localSheetId="8" hidden="1">{"'vert'!$A$1:$T$117"}</definedName>
    <definedName name="dfgdsfg_3" localSheetId="5" hidden="1">{"'vert'!$A$1:$T$117"}</definedName>
    <definedName name="dfgdsfg_3" hidden="1">{"'vert'!$A$1:$T$117"}</definedName>
    <definedName name="dfgdsfg_3_1" localSheetId="8" hidden="1">{"'vert'!$A$1:$T$117"}</definedName>
    <definedName name="dfgdsfg_3_1" localSheetId="5" hidden="1">{"'vert'!$A$1:$T$117"}</definedName>
    <definedName name="dfgdsfg_3_1" hidden="1">{"'vert'!$A$1:$T$117"}</definedName>
    <definedName name="dfgdsfg_3_1_1" localSheetId="8" hidden="1">{"'vert'!$A$1:$T$117"}</definedName>
    <definedName name="dfgdsfg_3_1_1" localSheetId="5" hidden="1">{"'vert'!$A$1:$T$117"}</definedName>
    <definedName name="dfgdsfg_3_1_1" hidden="1">{"'vert'!$A$1:$T$117"}</definedName>
    <definedName name="dfgdsfg_3_2" localSheetId="8" hidden="1">{"'vert'!$A$1:$T$117"}</definedName>
    <definedName name="dfgdsfg_3_2" localSheetId="5" hidden="1">{"'vert'!$A$1:$T$117"}</definedName>
    <definedName name="dfgdsfg_3_2" hidden="1">{"'vert'!$A$1:$T$117"}</definedName>
    <definedName name="dfgdsfg_4" localSheetId="8" hidden="1">{"'vert'!$A$1:$T$117"}</definedName>
    <definedName name="dfgdsfg_4" localSheetId="5" hidden="1">{"'vert'!$A$1:$T$117"}</definedName>
    <definedName name="dfgdsfg_4" hidden="1">{"'vert'!$A$1:$T$117"}</definedName>
    <definedName name="dfgdsfg_4_1" localSheetId="8" hidden="1">{"'vert'!$A$1:$T$117"}</definedName>
    <definedName name="dfgdsfg_4_1" localSheetId="5" hidden="1">{"'vert'!$A$1:$T$117"}</definedName>
    <definedName name="dfgdsfg_4_1" hidden="1">{"'vert'!$A$1:$T$117"}</definedName>
    <definedName name="dfgdsfg_5" localSheetId="8" hidden="1">{"'vert'!$A$1:$T$117"}</definedName>
    <definedName name="dfgdsfg_5" localSheetId="5" hidden="1">{"'vert'!$A$1:$T$117"}</definedName>
    <definedName name="dfgdsfg_5" hidden="1">{"'vert'!$A$1:$T$117"}</definedName>
    <definedName name="dfkjtrgj" localSheetId="8" hidden="1">{"'vert'!$A$1:$T$117"}</definedName>
    <definedName name="dfkjtrgj" localSheetId="5" hidden="1">{"'vert'!$A$1:$T$117"}</definedName>
    <definedName name="dfkjtrgj" hidden="1">{"'vert'!$A$1:$T$117"}</definedName>
    <definedName name="dfkjtrgj_1" localSheetId="8" hidden="1">{"'vert'!$A$1:$T$117"}</definedName>
    <definedName name="dfkjtrgj_1" localSheetId="5" hidden="1">{"'vert'!$A$1:$T$117"}</definedName>
    <definedName name="dfkjtrgj_1" hidden="1">{"'vert'!$A$1:$T$117"}</definedName>
    <definedName name="dfkjtrgj_1_1" localSheetId="8" hidden="1">{"'vert'!$A$1:$T$117"}</definedName>
    <definedName name="dfkjtrgj_1_1" localSheetId="5" hidden="1">{"'vert'!$A$1:$T$117"}</definedName>
    <definedName name="dfkjtrgj_1_1" hidden="1">{"'vert'!$A$1:$T$117"}</definedName>
    <definedName name="dfkjtrgj_1_2" localSheetId="8" hidden="1">{"'vert'!$A$1:$T$117"}</definedName>
    <definedName name="dfkjtrgj_1_2" localSheetId="5" hidden="1">{"'vert'!$A$1:$T$117"}</definedName>
    <definedName name="dfkjtrgj_1_2" hidden="1">{"'vert'!$A$1:$T$117"}</definedName>
    <definedName name="dfkjtrgj_2" localSheetId="8" hidden="1">{"'vert'!$A$1:$T$117"}</definedName>
    <definedName name="dfkjtrgj_2" localSheetId="5" hidden="1">{"'vert'!$A$1:$T$117"}</definedName>
    <definedName name="dfkjtrgj_2" hidden="1">{"'vert'!$A$1:$T$117"}</definedName>
    <definedName name="dfkjtrgj_3" localSheetId="8" hidden="1">{"'vert'!$A$1:$T$117"}</definedName>
    <definedName name="dfkjtrgj_3" localSheetId="5" hidden="1">{"'vert'!$A$1:$T$117"}</definedName>
    <definedName name="dfkjtrgj_3" hidden="1">{"'vert'!$A$1:$T$117"}</definedName>
    <definedName name="DFSD" hidden="1">#REF!</definedName>
    <definedName name="dirtydog" localSheetId="8" hidden="1">{"'weekly data'!$A$2:$AS$36"}</definedName>
    <definedName name="dirtydog" localSheetId="5" hidden="1">{"'weekly data'!$A$2:$AS$36"}</definedName>
    <definedName name="dirtydog" hidden="1">{"'weekly data'!$A$2:$AS$36"}</definedName>
    <definedName name="dirtydog_1" localSheetId="8" hidden="1">{"'weekly data'!$A$2:$AS$36"}</definedName>
    <definedName name="dirtydog_1" localSheetId="5" hidden="1">{"'weekly data'!$A$2:$AS$36"}</definedName>
    <definedName name="dirtydog_1" hidden="1">{"'weekly data'!$A$2:$AS$36"}</definedName>
    <definedName name="dirtydog_1_1" localSheetId="8" hidden="1">{"'weekly data'!$A$2:$AS$36"}</definedName>
    <definedName name="dirtydog_1_1" localSheetId="5" hidden="1">{"'weekly data'!$A$2:$AS$36"}</definedName>
    <definedName name="dirtydog_1_1" hidden="1">{"'weekly data'!$A$2:$AS$36"}</definedName>
    <definedName name="dirtydog_1_1_1" localSheetId="8" hidden="1">{"'weekly data'!$A$2:$AS$36"}</definedName>
    <definedName name="dirtydog_1_1_1" localSheetId="5" hidden="1">{"'weekly data'!$A$2:$AS$36"}</definedName>
    <definedName name="dirtydog_1_1_1" hidden="1">{"'weekly data'!$A$2:$AS$36"}</definedName>
    <definedName name="dirtydog_1_2" localSheetId="8" hidden="1">{"'weekly data'!$A$2:$AS$36"}</definedName>
    <definedName name="dirtydog_1_2" localSheetId="5" hidden="1">{"'weekly data'!$A$2:$AS$36"}</definedName>
    <definedName name="dirtydog_1_2" hidden="1">{"'weekly data'!$A$2:$AS$36"}</definedName>
    <definedName name="dirtydog_2" localSheetId="8" hidden="1">{"'weekly data'!$A$2:$AS$36"}</definedName>
    <definedName name="dirtydog_2" localSheetId="5" hidden="1">{"'weekly data'!$A$2:$AS$36"}</definedName>
    <definedName name="dirtydog_2" hidden="1">{"'weekly data'!$A$2:$AS$36"}</definedName>
    <definedName name="dirtydog_2_1" localSheetId="8" hidden="1">{"'weekly data'!$A$2:$AS$36"}</definedName>
    <definedName name="dirtydog_2_1" localSheetId="5" hidden="1">{"'weekly data'!$A$2:$AS$36"}</definedName>
    <definedName name="dirtydog_2_1" hidden="1">{"'weekly data'!$A$2:$AS$36"}</definedName>
    <definedName name="dirtydog_2_1_1" localSheetId="8" hidden="1">{"'weekly data'!$A$2:$AS$36"}</definedName>
    <definedName name="dirtydog_2_1_1" localSheetId="5" hidden="1">{"'weekly data'!$A$2:$AS$36"}</definedName>
    <definedName name="dirtydog_2_1_1" hidden="1">{"'weekly data'!$A$2:$AS$36"}</definedName>
    <definedName name="dirtydog_2_2" localSheetId="8" hidden="1">{"'weekly data'!$A$2:$AS$36"}</definedName>
    <definedName name="dirtydog_2_2" localSheetId="5" hidden="1">{"'weekly data'!$A$2:$AS$36"}</definedName>
    <definedName name="dirtydog_2_2" hidden="1">{"'weekly data'!$A$2:$AS$36"}</definedName>
    <definedName name="dirtydog_3" localSheetId="8" hidden="1">{"'weekly data'!$A$2:$AS$36"}</definedName>
    <definedName name="dirtydog_3" localSheetId="5" hidden="1">{"'weekly data'!$A$2:$AS$36"}</definedName>
    <definedName name="dirtydog_3" hidden="1">{"'weekly data'!$A$2:$AS$36"}</definedName>
    <definedName name="dirtydog_3_1" localSheetId="8" hidden="1">{"'weekly data'!$A$2:$AS$36"}</definedName>
    <definedName name="dirtydog_3_1" localSheetId="5" hidden="1">{"'weekly data'!$A$2:$AS$36"}</definedName>
    <definedName name="dirtydog_3_1" hidden="1">{"'weekly data'!$A$2:$AS$36"}</definedName>
    <definedName name="dirtydog_4" localSheetId="8" hidden="1">{"'weekly data'!$A$2:$AS$36"}</definedName>
    <definedName name="dirtydog_4" localSheetId="5" hidden="1">{"'weekly data'!$A$2:$AS$36"}</definedName>
    <definedName name="dirtydog_4" hidden="1">{"'weekly data'!$A$2:$AS$36"}</definedName>
    <definedName name="djfkdf" localSheetId="8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djfkdf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djfkdf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djfkdf_1" localSheetId="8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djfkdf_1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djfkdf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djfkdf_1_1" localSheetId="8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djfkdf_1_1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djfkdf_1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djfkdf_1_2" localSheetId="8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djfkdf_1_2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djfkdf_1_2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djfkdf_2" localSheetId="8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djfkdf_2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djfkdf_2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djfkdf_3" localSheetId="8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djfkdf_3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djfkdf_3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dl" localSheetId="8" hidden="1">{#N/A,#N/A,FALSE,"Sheet1"}</definedName>
    <definedName name="dl" localSheetId="5" hidden="1">{#N/A,#N/A,FALSE,"Sheet1"}</definedName>
    <definedName name="dl" hidden="1">{#N/A,#N/A,FALSE,"Sheet1"}</definedName>
    <definedName name="dlfjds" localSheetId="8" hidden="1">{"'vert'!$A$1:$T$117"}</definedName>
    <definedName name="dlfjds" localSheetId="5" hidden="1">{"'vert'!$A$1:$T$117"}</definedName>
    <definedName name="dlfjds" hidden="1">{"'vert'!$A$1:$T$117"}</definedName>
    <definedName name="dlfjds_1" localSheetId="8" hidden="1">{"'vert'!$A$1:$T$117"}</definedName>
    <definedName name="dlfjds_1" localSheetId="5" hidden="1">{"'vert'!$A$1:$T$117"}</definedName>
    <definedName name="dlfjds_1" hidden="1">{"'vert'!$A$1:$T$117"}</definedName>
    <definedName name="dlfjds_1_1" localSheetId="8" hidden="1">{"'vert'!$A$1:$T$117"}</definedName>
    <definedName name="dlfjds_1_1" localSheetId="5" hidden="1">{"'vert'!$A$1:$T$117"}</definedName>
    <definedName name="dlfjds_1_1" hidden="1">{"'vert'!$A$1:$T$117"}</definedName>
    <definedName name="dlfjds_1_2" localSheetId="8" hidden="1">{"'vert'!$A$1:$T$117"}</definedName>
    <definedName name="dlfjds_1_2" localSheetId="5" hidden="1">{"'vert'!$A$1:$T$117"}</definedName>
    <definedName name="dlfjds_1_2" hidden="1">{"'vert'!$A$1:$T$117"}</definedName>
    <definedName name="dlfjds_2" localSheetId="8" hidden="1">{"'vert'!$A$1:$T$117"}</definedName>
    <definedName name="dlfjds_2" localSheetId="5" hidden="1">{"'vert'!$A$1:$T$117"}</definedName>
    <definedName name="dlfjds_2" hidden="1">{"'vert'!$A$1:$T$117"}</definedName>
    <definedName name="dlfjds_3" localSheetId="8" hidden="1">{"'vert'!$A$1:$T$117"}</definedName>
    <definedName name="dlfjds_3" localSheetId="5" hidden="1">{"'vert'!$A$1:$T$117"}</definedName>
    <definedName name="dlfjds_3" hidden="1">{"'vert'!$A$1:$T$117"}</definedName>
    <definedName name="Drive_prospect_to_leads_email_open_rate_to_XX___US">'[19]Goal List'!#REF!</definedName>
    <definedName name="dsds222" localSheetId="8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dsds222" localSheetId="5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dsds22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dsdsds" localSheetId="8" hidden="1">{"'vert'!$A$1:$T$117"}</definedName>
    <definedName name="dsdsds" localSheetId="5" hidden="1">{"'vert'!$A$1:$T$117"}</definedName>
    <definedName name="dsdsds" hidden="1">{"'vert'!$A$1:$T$117"}</definedName>
    <definedName name="dsdsds_1" localSheetId="8" hidden="1">{"'vert'!$A$1:$T$117"}</definedName>
    <definedName name="dsdsds_1" localSheetId="5" hidden="1">{"'vert'!$A$1:$T$117"}</definedName>
    <definedName name="dsdsds_1" hidden="1">{"'vert'!$A$1:$T$117"}</definedName>
    <definedName name="dsdsds_1_1" localSheetId="8" hidden="1">{"'vert'!$A$1:$T$117"}</definedName>
    <definedName name="dsdsds_1_1" localSheetId="5" hidden="1">{"'vert'!$A$1:$T$117"}</definedName>
    <definedName name="dsdsds_1_1" hidden="1">{"'vert'!$A$1:$T$117"}</definedName>
    <definedName name="dsdsds_1_1_1" localSheetId="8" hidden="1">{"'vert'!$A$1:$T$117"}</definedName>
    <definedName name="dsdsds_1_1_1" localSheetId="5" hidden="1">{"'vert'!$A$1:$T$117"}</definedName>
    <definedName name="dsdsds_1_1_1" hidden="1">{"'vert'!$A$1:$T$117"}</definedName>
    <definedName name="dsdsds_1_2" localSheetId="8" hidden="1">{"'vert'!$A$1:$T$117"}</definedName>
    <definedName name="dsdsds_1_2" localSheetId="5" hidden="1">{"'vert'!$A$1:$T$117"}</definedName>
    <definedName name="dsdsds_1_2" hidden="1">{"'vert'!$A$1:$T$117"}</definedName>
    <definedName name="dsdsds_2" localSheetId="8" hidden="1">{"'vert'!$A$1:$T$117"}</definedName>
    <definedName name="dsdsds_2" localSheetId="5" hidden="1">{"'vert'!$A$1:$T$117"}</definedName>
    <definedName name="dsdsds_2" hidden="1">{"'vert'!$A$1:$T$117"}</definedName>
    <definedName name="dsdsds_2_1" localSheetId="8" hidden="1">{"'vert'!$A$1:$T$117"}</definedName>
    <definedName name="dsdsds_2_1" localSheetId="5" hidden="1">{"'vert'!$A$1:$T$117"}</definedName>
    <definedName name="dsdsds_2_1" hidden="1">{"'vert'!$A$1:$T$117"}</definedName>
    <definedName name="dsdsds_2_1_1" localSheetId="8" hidden="1">{"'vert'!$A$1:$T$117"}</definedName>
    <definedName name="dsdsds_2_1_1" localSheetId="5" hidden="1">{"'vert'!$A$1:$T$117"}</definedName>
    <definedName name="dsdsds_2_1_1" hidden="1">{"'vert'!$A$1:$T$117"}</definedName>
    <definedName name="dsdsds_2_2" localSheetId="8" hidden="1">{"'vert'!$A$1:$T$117"}</definedName>
    <definedName name="dsdsds_2_2" localSheetId="5" hidden="1">{"'vert'!$A$1:$T$117"}</definedName>
    <definedName name="dsdsds_2_2" hidden="1">{"'vert'!$A$1:$T$117"}</definedName>
    <definedName name="dsdsds_3" localSheetId="8" hidden="1">{"'vert'!$A$1:$T$117"}</definedName>
    <definedName name="dsdsds_3" localSheetId="5" hidden="1">{"'vert'!$A$1:$T$117"}</definedName>
    <definedName name="dsdsds_3" hidden="1">{"'vert'!$A$1:$T$117"}</definedName>
    <definedName name="dsdsds_3_1" localSheetId="8" hidden="1">{"'vert'!$A$1:$T$117"}</definedName>
    <definedName name="dsdsds_3_1" localSheetId="5" hidden="1">{"'vert'!$A$1:$T$117"}</definedName>
    <definedName name="dsdsds_3_1" hidden="1">{"'vert'!$A$1:$T$117"}</definedName>
    <definedName name="dsdsds_4" localSheetId="8" hidden="1">{"'vert'!$A$1:$T$117"}</definedName>
    <definedName name="dsdsds_4" localSheetId="5" hidden="1">{"'vert'!$A$1:$T$117"}</definedName>
    <definedName name="dsdsds_4" hidden="1">{"'vert'!$A$1:$T$117"}</definedName>
    <definedName name="dsfadaew" localSheetId="8" hidden="1">{"'vert'!$A$1:$T$117"}</definedName>
    <definedName name="dsfadaew" localSheetId="5" hidden="1">{"'vert'!$A$1:$T$117"}</definedName>
    <definedName name="dsfadaew" hidden="1">{"'vert'!$A$1:$T$117"}</definedName>
    <definedName name="dsfds" localSheetId="8" hidden="1">{"'vert'!$A$1:$T$117"}</definedName>
    <definedName name="dsfds" localSheetId="5" hidden="1">{"'vert'!$A$1:$T$117"}</definedName>
    <definedName name="dsfds" hidden="1">{"'vert'!$A$1:$T$117"}</definedName>
    <definedName name="dsfds_1" localSheetId="8" hidden="1">{"'vert'!$A$1:$T$117"}</definedName>
    <definedName name="dsfds_1" localSheetId="5" hidden="1">{"'vert'!$A$1:$T$117"}</definedName>
    <definedName name="dsfds_1" hidden="1">{"'vert'!$A$1:$T$117"}</definedName>
    <definedName name="dsfds_1_1" localSheetId="8" hidden="1">{"'vert'!$A$1:$T$117"}</definedName>
    <definedName name="dsfds_1_1" localSheetId="5" hidden="1">{"'vert'!$A$1:$T$117"}</definedName>
    <definedName name="dsfds_1_1" hidden="1">{"'vert'!$A$1:$T$117"}</definedName>
    <definedName name="dsfds_1_2" localSheetId="8" hidden="1">{"'vert'!$A$1:$T$117"}</definedName>
    <definedName name="dsfds_1_2" localSheetId="5" hidden="1">{"'vert'!$A$1:$T$117"}</definedName>
    <definedName name="dsfds_1_2" hidden="1">{"'vert'!$A$1:$T$117"}</definedName>
    <definedName name="dsfds_2" localSheetId="8" hidden="1">{"'vert'!$A$1:$T$117"}</definedName>
    <definedName name="dsfds_2" localSheetId="5" hidden="1">{"'vert'!$A$1:$T$117"}</definedName>
    <definedName name="dsfds_2" hidden="1">{"'vert'!$A$1:$T$117"}</definedName>
    <definedName name="dsfds_3" localSheetId="8" hidden="1">{"'vert'!$A$1:$T$117"}</definedName>
    <definedName name="dsfds_3" localSheetId="5" hidden="1">{"'vert'!$A$1:$T$117"}</definedName>
    <definedName name="dsfds_3" hidden="1">{"'vert'!$A$1:$T$117"}</definedName>
    <definedName name="dsfff" localSheetId="8" hidden="1">{"'vert'!$A$1:$T$117"}</definedName>
    <definedName name="dsfff" localSheetId="5" hidden="1">{"'vert'!$A$1:$T$117"}</definedName>
    <definedName name="dsfff" hidden="1">{"'vert'!$A$1:$T$117"}</definedName>
    <definedName name="dsfff_1" localSheetId="8" hidden="1">{"'vert'!$A$1:$T$117"}</definedName>
    <definedName name="dsfff_1" localSheetId="5" hidden="1">{"'vert'!$A$1:$T$117"}</definedName>
    <definedName name="dsfff_1" hidden="1">{"'vert'!$A$1:$T$117"}</definedName>
    <definedName name="dsfff_1_1" localSheetId="8" hidden="1">{"'vert'!$A$1:$T$117"}</definedName>
    <definedName name="dsfff_1_1" localSheetId="5" hidden="1">{"'vert'!$A$1:$T$117"}</definedName>
    <definedName name="dsfff_1_1" hidden="1">{"'vert'!$A$1:$T$117"}</definedName>
    <definedName name="dsfff_1_2" localSheetId="8" hidden="1">{"'vert'!$A$1:$T$117"}</definedName>
    <definedName name="dsfff_1_2" localSheetId="5" hidden="1">{"'vert'!$A$1:$T$117"}</definedName>
    <definedName name="dsfff_1_2" hidden="1">{"'vert'!$A$1:$T$117"}</definedName>
    <definedName name="dsfff_2" localSheetId="8" hidden="1">{"'vert'!$A$1:$T$117"}</definedName>
    <definedName name="dsfff_2" localSheetId="5" hidden="1">{"'vert'!$A$1:$T$117"}</definedName>
    <definedName name="dsfff_2" hidden="1">{"'vert'!$A$1:$T$117"}</definedName>
    <definedName name="dsfff_3" localSheetId="8" hidden="1">{"'vert'!$A$1:$T$117"}</definedName>
    <definedName name="dsfff_3" localSheetId="5" hidden="1">{"'vert'!$A$1:$T$117"}</definedName>
    <definedName name="dsfff_3" hidden="1">{"'vert'!$A$1:$T$117"}</definedName>
    <definedName name="dssd" localSheetId="8" hidden="1">{"'vert'!$A$1:$T$117"}</definedName>
    <definedName name="dssd" localSheetId="5" hidden="1">{"'vert'!$A$1:$T$117"}</definedName>
    <definedName name="dssd" hidden="1">{"'vert'!$A$1:$T$117"}</definedName>
    <definedName name="dssd_1" localSheetId="8" hidden="1">{"'vert'!$A$1:$T$117"}</definedName>
    <definedName name="dssd_1" localSheetId="5" hidden="1">{"'vert'!$A$1:$T$117"}</definedName>
    <definedName name="dssd_1" hidden="1">{"'vert'!$A$1:$T$117"}</definedName>
    <definedName name="dssd_1_1" localSheetId="8" hidden="1">{"'vert'!$A$1:$T$117"}</definedName>
    <definedName name="dssd_1_1" localSheetId="5" hidden="1">{"'vert'!$A$1:$T$117"}</definedName>
    <definedName name="dssd_1_1" hidden="1">{"'vert'!$A$1:$T$117"}</definedName>
    <definedName name="dssd_1_1_1" localSheetId="8" hidden="1">{"'vert'!$A$1:$T$117"}</definedName>
    <definedName name="dssd_1_1_1" localSheetId="5" hidden="1">{"'vert'!$A$1:$T$117"}</definedName>
    <definedName name="dssd_1_1_1" hidden="1">{"'vert'!$A$1:$T$117"}</definedName>
    <definedName name="dssd_1_2" localSheetId="8" hidden="1">{"'vert'!$A$1:$T$117"}</definedName>
    <definedName name="dssd_1_2" localSheetId="5" hidden="1">{"'vert'!$A$1:$T$117"}</definedName>
    <definedName name="dssd_1_2" hidden="1">{"'vert'!$A$1:$T$117"}</definedName>
    <definedName name="dssd_2" localSheetId="8" hidden="1">{"'vert'!$A$1:$T$117"}</definedName>
    <definedName name="dssd_2" localSheetId="5" hidden="1">{"'vert'!$A$1:$T$117"}</definedName>
    <definedName name="dssd_2" hidden="1">{"'vert'!$A$1:$T$117"}</definedName>
    <definedName name="dssd_2_1" localSheetId="8" hidden="1">{"'vert'!$A$1:$T$117"}</definedName>
    <definedName name="dssd_2_1" localSheetId="5" hidden="1">{"'vert'!$A$1:$T$117"}</definedName>
    <definedName name="dssd_2_1" hidden="1">{"'vert'!$A$1:$T$117"}</definedName>
    <definedName name="dssd_2_1_1" localSheetId="8" hidden="1">{"'vert'!$A$1:$T$117"}</definedName>
    <definedName name="dssd_2_1_1" localSheetId="5" hidden="1">{"'vert'!$A$1:$T$117"}</definedName>
    <definedName name="dssd_2_1_1" hidden="1">{"'vert'!$A$1:$T$117"}</definedName>
    <definedName name="dssd_2_2" localSheetId="8" hidden="1">{"'vert'!$A$1:$T$117"}</definedName>
    <definedName name="dssd_2_2" localSheetId="5" hidden="1">{"'vert'!$A$1:$T$117"}</definedName>
    <definedName name="dssd_2_2" hidden="1">{"'vert'!$A$1:$T$117"}</definedName>
    <definedName name="dssd_3" localSheetId="8" hidden="1">{"'vert'!$A$1:$T$117"}</definedName>
    <definedName name="dssd_3" localSheetId="5" hidden="1">{"'vert'!$A$1:$T$117"}</definedName>
    <definedName name="dssd_3" hidden="1">{"'vert'!$A$1:$T$117"}</definedName>
    <definedName name="dssd_3_1" localSheetId="8" hidden="1">{"'vert'!$A$1:$T$117"}</definedName>
    <definedName name="dssd_3_1" localSheetId="5" hidden="1">{"'vert'!$A$1:$T$117"}</definedName>
    <definedName name="dssd_3_1" hidden="1">{"'vert'!$A$1:$T$117"}</definedName>
    <definedName name="dssd_4" localSheetId="8" hidden="1">{"'vert'!$A$1:$T$117"}</definedName>
    <definedName name="dssd_4" localSheetId="5" hidden="1">{"'vert'!$A$1:$T$117"}</definedName>
    <definedName name="dssd_4" hidden="1">{"'vert'!$A$1:$T$117"}</definedName>
    <definedName name="e" localSheetId="8" hidden="1">{"'vert'!$A$1:$T$117"}</definedName>
    <definedName name="e" localSheetId="5" hidden="1">{"'vert'!$A$1:$T$117"}</definedName>
    <definedName name="e" hidden="1">{"'vert'!$A$1:$T$117"}</definedName>
    <definedName name="eare" localSheetId="8" hidden="1">{"FCB_ALL",#N/A,FALSE,"FCB"}</definedName>
    <definedName name="eare" localSheetId="5" hidden="1">{"FCB_ALL",#N/A,FALSE,"FCB"}</definedName>
    <definedName name="eare" hidden="1">{"FCB_ALL",#N/A,FALSE,"FCB"}</definedName>
    <definedName name="earea" localSheetId="8" hidden="1">{#N/A,#N/A,FALSE,"Sheet1"}</definedName>
    <definedName name="earea" localSheetId="5" hidden="1">{#N/A,#N/A,FALSE,"Sheet1"}</definedName>
    <definedName name="earea" hidden="1">{#N/A,#N/A,FALSE,"Sheet1"}</definedName>
    <definedName name="eareare" localSheetId="8" hidden="1">{"FCB_ALL",#N/A,FALSE,"FCB"}</definedName>
    <definedName name="eareare" localSheetId="5" hidden="1">{"FCB_ALL",#N/A,FALSE,"FCB"}</definedName>
    <definedName name="eareare" hidden="1">{"FCB_ALL",#N/A,FALSE,"FCB"}</definedName>
    <definedName name="earer" localSheetId="8" hidden="1">{#N/A,#N/A,FALSE,"Sheet1"}</definedName>
    <definedName name="earer" localSheetId="5" hidden="1">{#N/A,#N/A,FALSE,"Sheet1"}</definedName>
    <definedName name="earer" hidden="1">{#N/A,#N/A,FALSE,"Sheet1"}</definedName>
    <definedName name="eccccebknlliujvbjlnbijentjldfjnbucvflktfvt" localSheetId="8" hidden="1">{"'vert'!$A$1:$T$117"}</definedName>
    <definedName name="eccccebknlliujvbjlnbijentjldfjnbucvflktfvt" localSheetId="5" hidden="1">{"'vert'!$A$1:$T$117"}</definedName>
    <definedName name="eccccebknlliujvbjlnbijentjldfjnbucvflktfvt" hidden="1">{"'vert'!$A$1:$T$117"}</definedName>
    <definedName name="ee" localSheetId="8" hidden="1">{"FCB_ALL",#N/A,FALSE,"FCB"}</definedName>
    <definedName name="ee" localSheetId="5" hidden="1">{"FCB_ALL",#N/A,FALSE,"FCB"}</definedName>
    <definedName name="ee" hidden="1">{"FCB_ALL",#N/A,FALSE,"FCB"}</definedName>
    <definedName name="eee" localSheetId="8" hidden="1">{"'weekly data'!$A$2:$AS$36"}</definedName>
    <definedName name="eee" localSheetId="5" hidden="1">{"'weekly data'!$A$2:$AS$36"}</definedName>
    <definedName name="eee" hidden="1">{"'weekly data'!$A$2:$AS$36"}</definedName>
    <definedName name="eee_1" localSheetId="8" hidden="1">{"'weekly data'!$A$2:$AS$36"}</definedName>
    <definedName name="eee_1" localSheetId="5" hidden="1">{"'weekly data'!$A$2:$AS$36"}</definedName>
    <definedName name="eee_1" hidden="1">{"'weekly data'!$A$2:$AS$36"}</definedName>
    <definedName name="eee_1_1" localSheetId="8" hidden="1">{"'weekly data'!$A$2:$AS$36"}</definedName>
    <definedName name="eee_1_1" localSheetId="5" hidden="1">{"'weekly data'!$A$2:$AS$36"}</definedName>
    <definedName name="eee_1_1" hidden="1">{"'weekly data'!$A$2:$AS$36"}</definedName>
    <definedName name="eee_1_2" localSheetId="8" hidden="1">{"'weekly data'!$A$2:$AS$36"}</definedName>
    <definedName name="eee_1_2" localSheetId="5" hidden="1">{"'weekly data'!$A$2:$AS$36"}</definedName>
    <definedName name="eee_1_2" hidden="1">{"'weekly data'!$A$2:$AS$36"}</definedName>
    <definedName name="eee_2" localSheetId="8" hidden="1">{"'weekly data'!$A$2:$AS$36"}</definedName>
    <definedName name="eee_2" localSheetId="5" hidden="1">{"'weekly data'!$A$2:$AS$36"}</definedName>
    <definedName name="eee_2" hidden="1">{"'weekly data'!$A$2:$AS$36"}</definedName>
    <definedName name="eee_3" localSheetId="8" hidden="1">{"'weekly data'!$A$2:$AS$36"}</definedName>
    <definedName name="eee_3" localSheetId="5" hidden="1">{"'weekly data'!$A$2:$AS$36"}</definedName>
    <definedName name="eee_3" hidden="1">{"'weekly data'!$A$2:$AS$36"}</definedName>
    <definedName name="eeee" localSheetId="8" hidden="1">{"'vert'!$A$1:$T$117"}</definedName>
    <definedName name="eeee" localSheetId="5" hidden="1">{"'vert'!$A$1:$T$117"}</definedName>
    <definedName name="eeee" hidden="1">{"'vert'!$A$1:$T$117"}</definedName>
    <definedName name="eeeee" localSheetId="8" hidden="1">{"'vert'!$A$1:$T$117"}</definedName>
    <definedName name="eeeee" localSheetId="5" hidden="1">{"'vert'!$A$1:$T$117"}</definedName>
    <definedName name="eeeee" hidden="1">{"'vert'!$A$1:$T$117"}</definedName>
    <definedName name="eeeee_1" localSheetId="8" hidden="1">{"'vert'!$A$1:$T$117"}</definedName>
    <definedName name="eeeee_1" localSheetId="5" hidden="1">{"'vert'!$A$1:$T$117"}</definedName>
    <definedName name="eeeee_1" hidden="1">{"'vert'!$A$1:$T$117"}</definedName>
    <definedName name="eeeee_1_1" localSheetId="8" hidden="1">{"'vert'!$A$1:$T$117"}</definedName>
    <definedName name="eeeee_1_1" localSheetId="5" hidden="1">{"'vert'!$A$1:$T$117"}</definedName>
    <definedName name="eeeee_1_1" hidden="1">{"'vert'!$A$1:$T$117"}</definedName>
    <definedName name="eeeee_1_1_1" localSheetId="8" hidden="1">{"'vert'!$A$1:$T$117"}</definedName>
    <definedName name="eeeee_1_1_1" localSheetId="5" hidden="1">{"'vert'!$A$1:$T$117"}</definedName>
    <definedName name="eeeee_1_1_1" hidden="1">{"'vert'!$A$1:$T$117"}</definedName>
    <definedName name="eeeee_1_2" localSheetId="8" hidden="1">{"'vert'!$A$1:$T$117"}</definedName>
    <definedName name="eeeee_1_2" localSheetId="5" hidden="1">{"'vert'!$A$1:$T$117"}</definedName>
    <definedName name="eeeee_1_2" hidden="1">{"'vert'!$A$1:$T$117"}</definedName>
    <definedName name="eeeee_2" localSheetId="8" hidden="1">{"'vert'!$A$1:$T$117"}</definedName>
    <definedName name="eeeee_2" localSheetId="5" hidden="1">{"'vert'!$A$1:$T$117"}</definedName>
    <definedName name="eeeee_2" hidden="1">{"'vert'!$A$1:$T$117"}</definedName>
    <definedName name="eeeee_2_1" localSheetId="8" hidden="1">{"'vert'!$A$1:$T$117"}</definedName>
    <definedName name="eeeee_2_1" localSheetId="5" hidden="1">{"'vert'!$A$1:$T$117"}</definedName>
    <definedName name="eeeee_2_1" hidden="1">{"'vert'!$A$1:$T$117"}</definedName>
    <definedName name="eeeee_2_1_1" localSheetId="8" hidden="1">{"'vert'!$A$1:$T$117"}</definedName>
    <definedName name="eeeee_2_1_1" localSheetId="5" hidden="1">{"'vert'!$A$1:$T$117"}</definedName>
    <definedName name="eeeee_2_1_1" hidden="1">{"'vert'!$A$1:$T$117"}</definedName>
    <definedName name="eeeee_2_2" localSheetId="8" hidden="1">{"'vert'!$A$1:$T$117"}</definedName>
    <definedName name="eeeee_2_2" localSheetId="5" hidden="1">{"'vert'!$A$1:$T$117"}</definedName>
    <definedName name="eeeee_2_2" hidden="1">{"'vert'!$A$1:$T$117"}</definedName>
    <definedName name="eeeee_3" localSheetId="8" hidden="1">{"'vert'!$A$1:$T$117"}</definedName>
    <definedName name="eeeee_3" localSheetId="5" hidden="1">{"'vert'!$A$1:$T$117"}</definedName>
    <definedName name="eeeee_3" hidden="1">{"'vert'!$A$1:$T$117"}</definedName>
    <definedName name="eeeee_3_1" localSheetId="8" hidden="1">{"'vert'!$A$1:$T$117"}</definedName>
    <definedName name="eeeee_3_1" localSheetId="5" hidden="1">{"'vert'!$A$1:$T$117"}</definedName>
    <definedName name="eeeee_3_1" hidden="1">{"'vert'!$A$1:$T$117"}</definedName>
    <definedName name="eeeee_4" localSheetId="8" hidden="1">{"'vert'!$A$1:$T$117"}</definedName>
    <definedName name="eeeee_4" localSheetId="5" hidden="1">{"'vert'!$A$1:$T$117"}</definedName>
    <definedName name="eeeee_4" hidden="1">{"'vert'!$A$1:$T$117"}</definedName>
    <definedName name="emily" localSheetId="8" hidden="1">{#N/A,#N/A,FALSE,"Calc";#N/A,#N/A,FALSE,"Sensitivity";#N/A,#N/A,FALSE,"LT Earn.Dil.";#N/A,#N/A,FALSE,"Dil. AVP"}</definedName>
    <definedName name="emily" localSheetId="5" hidden="1">{#N/A,#N/A,FALSE,"Calc";#N/A,#N/A,FALSE,"Sensitivity";#N/A,#N/A,FALSE,"LT Earn.Dil.";#N/A,#N/A,FALSE,"Dil. AVP"}</definedName>
    <definedName name="emily" hidden="1">{#N/A,#N/A,FALSE,"Calc";#N/A,#N/A,FALSE,"Sensitivity";#N/A,#N/A,FALSE,"LT Earn.Dil.";#N/A,#N/A,FALSE,"Dil. AVP"}</definedName>
    <definedName name="EmployeeType">[15]Lists!$C$33:$C$35</definedName>
    <definedName name="erarea" localSheetId="8" hidden="1">{#N/A,#N/A,FALSE,"Trading-Mult ";#N/A,#N/A,FALSE,"Trading-Cap";#N/A,#N/A,FALSE,"Trading-Inc";#N/A,#N/A,FALSE,"Cash Flow";#N/A,#N/A,FALSE,"M&amp;A info"}</definedName>
    <definedName name="erarea" localSheetId="5" hidden="1">{#N/A,#N/A,FALSE,"Trading-Mult ";#N/A,#N/A,FALSE,"Trading-Cap";#N/A,#N/A,FALSE,"Trading-Inc";#N/A,#N/A,FALSE,"Cash Flow";#N/A,#N/A,FALSE,"M&amp;A info"}</definedName>
    <definedName name="erarea" hidden="1">{#N/A,#N/A,FALSE,"Trading-Mult ";#N/A,#N/A,FALSE,"Trading-Cap";#N/A,#N/A,FALSE,"Trading-Inc";#N/A,#N/A,FALSE,"Cash Flow";#N/A,#N/A,FALSE,"M&amp;A info"}</definedName>
    <definedName name="ere" localSheetId="8" hidden="1">{"'weekly data'!$A$2:$AS$36"}</definedName>
    <definedName name="ere" localSheetId="5" hidden="1">{"'weekly data'!$A$2:$AS$36"}</definedName>
    <definedName name="ere" hidden="1">{"'weekly data'!$A$2:$AS$36"}</definedName>
    <definedName name="ere_1" localSheetId="8" hidden="1">{"'weekly data'!$A$2:$AS$36"}</definedName>
    <definedName name="ere_1" localSheetId="5" hidden="1">{"'weekly data'!$A$2:$AS$36"}</definedName>
    <definedName name="ere_1" hidden="1">{"'weekly data'!$A$2:$AS$36"}</definedName>
    <definedName name="ere_1_1" localSheetId="8" hidden="1">{"'weekly data'!$A$2:$AS$36"}</definedName>
    <definedName name="ere_1_1" localSheetId="5" hidden="1">{"'weekly data'!$A$2:$AS$36"}</definedName>
    <definedName name="ere_1_1" hidden="1">{"'weekly data'!$A$2:$AS$36"}</definedName>
    <definedName name="ere_1_2" localSheetId="8" hidden="1">{"'weekly data'!$A$2:$AS$36"}</definedName>
    <definedName name="ere_1_2" localSheetId="5" hidden="1">{"'weekly data'!$A$2:$AS$36"}</definedName>
    <definedName name="ere_1_2" hidden="1">{"'weekly data'!$A$2:$AS$36"}</definedName>
    <definedName name="ere_2" localSheetId="8" hidden="1">{"'weekly data'!$A$2:$AS$36"}</definedName>
    <definedName name="ere_2" localSheetId="5" hidden="1">{"'weekly data'!$A$2:$AS$36"}</definedName>
    <definedName name="ere_2" hidden="1">{"'weekly data'!$A$2:$AS$36"}</definedName>
    <definedName name="ere_3" localSheetId="8" hidden="1">{"'weekly data'!$A$2:$AS$36"}</definedName>
    <definedName name="ere_3" localSheetId="5" hidden="1">{"'weekly data'!$A$2:$AS$36"}</definedName>
    <definedName name="ere_3" hidden="1">{"'weekly data'!$A$2:$AS$36"}</definedName>
    <definedName name="erew" localSheetId="8" hidden="1">{#N/A,#N/A,FALSE,"Sheet1"}</definedName>
    <definedName name="erew" localSheetId="5" hidden="1">{#N/A,#N/A,FALSE,"Sheet1"}</definedName>
    <definedName name="erew" hidden="1">{#N/A,#N/A,FALSE,"Sheet1"}</definedName>
    <definedName name="erwewrrewrwerewrerqw3" hidden="1">'[2]EDISON-2'!#REF!</definedName>
    <definedName name="esd" localSheetId="8" hidden="1">{#N/A,#N/A,FALSE,"Trading-Mult ";#N/A,#N/A,FALSE,"M&amp;A info"}</definedName>
    <definedName name="esd" localSheetId="5" hidden="1">{#N/A,#N/A,FALSE,"Trading-Mult ";#N/A,#N/A,FALSE,"M&amp;A info"}</definedName>
    <definedName name="esd" hidden="1">{#N/A,#N/A,FALSE,"Trading-Mult ";#N/A,#N/A,FALSE,"M&amp;A info"}</definedName>
    <definedName name="Essbase2_1" localSheetId="8" hidden="1">{"'vert'!$A$1:$T$117"}</definedName>
    <definedName name="Essbase2_1" localSheetId="5" hidden="1">{"'vert'!$A$1:$T$117"}</definedName>
    <definedName name="Essbase2_1" hidden="1">{"'vert'!$A$1:$T$117"}</definedName>
    <definedName name="Essbase2_1_1" localSheetId="8" hidden="1">{"'vert'!$A$1:$T$117"}</definedName>
    <definedName name="Essbase2_1_1" localSheetId="5" hidden="1">{"'vert'!$A$1:$T$117"}</definedName>
    <definedName name="Essbase2_1_1" hidden="1">{"'vert'!$A$1:$T$117"}</definedName>
    <definedName name="Essbase2_1_2" localSheetId="8" hidden="1">{"'vert'!$A$1:$T$117"}</definedName>
    <definedName name="Essbase2_1_2" localSheetId="5" hidden="1">{"'vert'!$A$1:$T$117"}</definedName>
    <definedName name="Essbase2_1_2" hidden="1">{"'vert'!$A$1:$T$117"}</definedName>
    <definedName name="Essbase2_2" localSheetId="8" hidden="1">{"'vert'!$A$1:$T$117"}</definedName>
    <definedName name="Essbase2_2" localSheetId="5" hidden="1">{"'vert'!$A$1:$T$117"}</definedName>
    <definedName name="Essbase2_2" hidden="1">{"'vert'!$A$1:$T$117"}</definedName>
    <definedName name="Essbase2_3" localSheetId="8" hidden="1">{"'vert'!$A$1:$T$117"}</definedName>
    <definedName name="Essbase2_3" localSheetId="5" hidden="1">{"'vert'!$A$1:$T$117"}</definedName>
    <definedName name="Essbase2_3" hidden="1">{"'vert'!$A$1:$T$117"}</definedName>
    <definedName name="EUR">[11]Admin!$AG$20</definedName>
    <definedName name="EUR_to_USD">[20]FX!$B$2</definedName>
    <definedName name="eww" hidden="1">#REF!</definedName>
    <definedName name="Exch">" Sheet2!$F$2"</definedName>
    <definedName name="fa_1" localSheetId="8" hidden="1">{"'vert'!$A$1:$T$117"}</definedName>
    <definedName name="fa_1" localSheetId="5" hidden="1">{"'vert'!$A$1:$T$117"}</definedName>
    <definedName name="fa_1" hidden="1">{"'vert'!$A$1:$T$117"}</definedName>
    <definedName name="fa_1_1" localSheetId="8" hidden="1">{"'vert'!$A$1:$T$117"}</definedName>
    <definedName name="fa_1_1" localSheetId="5" hidden="1">{"'vert'!$A$1:$T$117"}</definedName>
    <definedName name="fa_1_1" hidden="1">{"'vert'!$A$1:$T$117"}</definedName>
    <definedName name="fa_1_2" localSheetId="8" hidden="1">{"'vert'!$A$1:$T$117"}</definedName>
    <definedName name="fa_1_2" localSheetId="5" hidden="1">{"'vert'!$A$1:$T$117"}</definedName>
    <definedName name="fa_1_2" hidden="1">{"'vert'!$A$1:$T$117"}</definedName>
    <definedName name="fa_2" localSheetId="8" hidden="1">{"'vert'!$A$1:$T$117"}</definedName>
    <definedName name="fa_2" localSheetId="5" hidden="1">{"'vert'!$A$1:$T$117"}</definedName>
    <definedName name="fa_2" hidden="1">{"'vert'!$A$1:$T$117"}</definedName>
    <definedName name="fa_3" localSheetId="8" hidden="1">{"'vert'!$A$1:$T$117"}</definedName>
    <definedName name="fa_3" localSheetId="5" hidden="1">{"'vert'!$A$1:$T$117"}</definedName>
    <definedName name="fa_3" hidden="1">{"'vert'!$A$1:$T$117"}</definedName>
    <definedName name="fcb" localSheetId="8" hidden="1">{"FCB_ALL",#N/A,FALSE,"FCB"}</definedName>
    <definedName name="fcb" localSheetId="5" hidden="1">{"FCB_ALL",#N/A,FALSE,"FCB"}</definedName>
    <definedName name="fcb" hidden="1">{"FCB_ALL",#N/A,FALSE,"FCB"}</definedName>
    <definedName name="fd" localSheetId="8" hidden="1">{"'vert'!$A$1:$T$117"}</definedName>
    <definedName name="fd" localSheetId="5" hidden="1">{"'vert'!$A$1:$T$117"}</definedName>
    <definedName name="fd" hidden="1">{"'vert'!$A$1:$T$117"}</definedName>
    <definedName name="fd_1" localSheetId="8" hidden="1">{"'vert'!$A$1:$T$117"}</definedName>
    <definedName name="fd_1" localSheetId="5" hidden="1">{"'vert'!$A$1:$T$117"}</definedName>
    <definedName name="fd_1" hidden="1">{"'vert'!$A$1:$T$117"}</definedName>
    <definedName name="fd_1_1" localSheetId="8" hidden="1">{"'vert'!$A$1:$T$117"}</definedName>
    <definedName name="fd_1_1" localSheetId="5" hidden="1">{"'vert'!$A$1:$T$117"}</definedName>
    <definedName name="fd_1_1" hidden="1">{"'vert'!$A$1:$T$117"}</definedName>
    <definedName name="fd_1_2" localSheetId="8" hidden="1">{"'vert'!$A$1:$T$117"}</definedName>
    <definedName name="fd_1_2" localSheetId="5" hidden="1">{"'vert'!$A$1:$T$117"}</definedName>
    <definedName name="fd_1_2" hidden="1">{"'vert'!$A$1:$T$117"}</definedName>
    <definedName name="fd_2" localSheetId="8" hidden="1">{"'vert'!$A$1:$T$117"}</definedName>
    <definedName name="fd_2" localSheetId="5" hidden="1">{"'vert'!$A$1:$T$117"}</definedName>
    <definedName name="fd_2" hidden="1">{"'vert'!$A$1:$T$117"}</definedName>
    <definedName name="fd_3" localSheetId="8" hidden="1">{"'vert'!$A$1:$T$117"}</definedName>
    <definedName name="fd_3" localSheetId="5" hidden="1">{"'vert'!$A$1:$T$117"}</definedName>
    <definedName name="fd_3" hidden="1">{"'vert'!$A$1:$T$117"}</definedName>
    <definedName name="fdddddddzshb" localSheetId="8" hidden="1">{"'vert'!$A$1:$T$117"}</definedName>
    <definedName name="fdddddddzshb" localSheetId="5" hidden="1">{"'vert'!$A$1:$T$117"}</definedName>
    <definedName name="fdddddddzshb" hidden="1">{"'vert'!$A$1:$T$117"}</definedName>
    <definedName name="fdddddddzshb_1" localSheetId="8" hidden="1">{"'vert'!$A$1:$T$117"}</definedName>
    <definedName name="fdddddddzshb_1" localSheetId="5" hidden="1">{"'vert'!$A$1:$T$117"}</definedName>
    <definedName name="fdddddddzshb_1" hidden="1">{"'vert'!$A$1:$T$117"}</definedName>
    <definedName name="fdddddddzshb_1_1" localSheetId="8" hidden="1">{"'vert'!$A$1:$T$117"}</definedName>
    <definedName name="fdddddddzshb_1_1" localSheetId="5" hidden="1">{"'vert'!$A$1:$T$117"}</definedName>
    <definedName name="fdddddddzshb_1_1" hidden="1">{"'vert'!$A$1:$T$117"}</definedName>
    <definedName name="fdddddddzshb_1_2" localSheetId="8" hidden="1">{"'vert'!$A$1:$T$117"}</definedName>
    <definedName name="fdddddddzshb_1_2" localSheetId="5" hidden="1">{"'vert'!$A$1:$T$117"}</definedName>
    <definedName name="fdddddddzshb_1_2" hidden="1">{"'vert'!$A$1:$T$117"}</definedName>
    <definedName name="fdddddddzshb_2" localSheetId="8" hidden="1">{"'vert'!$A$1:$T$117"}</definedName>
    <definedName name="fdddddddzshb_2" localSheetId="5" hidden="1">{"'vert'!$A$1:$T$117"}</definedName>
    <definedName name="fdddddddzshb_2" hidden="1">{"'vert'!$A$1:$T$117"}</definedName>
    <definedName name="fdddddddzshb_3" localSheetId="8" hidden="1">{"'vert'!$A$1:$T$117"}</definedName>
    <definedName name="fdddddddzshb_3" localSheetId="5" hidden="1">{"'vert'!$A$1:$T$117"}</definedName>
    <definedName name="fdddddddzshb_3" hidden="1">{"'vert'!$A$1:$T$117"}</definedName>
    <definedName name="fddgfgfdg_1" localSheetId="8" hidden="1">{"'vert'!$A$1:$T$117"}</definedName>
    <definedName name="fddgfgfdg_1" localSheetId="5" hidden="1">{"'vert'!$A$1:$T$117"}</definedName>
    <definedName name="fddgfgfdg_1" hidden="1">{"'vert'!$A$1:$T$117"}</definedName>
    <definedName name="fddgfgfdg_1_1" localSheetId="8" hidden="1">{"'vert'!$A$1:$T$117"}</definedName>
    <definedName name="fddgfgfdg_1_1" localSheetId="5" hidden="1">{"'vert'!$A$1:$T$117"}</definedName>
    <definedName name="fddgfgfdg_1_1" hidden="1">{"'vert'!$A$1:$T$117"}</definedName>
    <definedName name="fddgfgfdg_1_2" localSheetId="8" hidden="1">{"'vert'!$A$1:$T$117"}</definedName>
    <definedName name="fddgfgfdg_1_2" localSheetId="5" hidden="1">{"'vert'!$A$1:$T$117"}</definedName>
    <definedName name="fddgfgfdg_1_2" hidden="1">{"'vert'!$A$1:$T$117"}</definedName>
    <definedName name="fddgfgfdg_2" localSheetId="8" hidden="1">{"'vert'!$A$1:$T$117"}</definedName>
    <definedName name="fddgfgfdg_2" localSheetId="5" hidden="1">{"'vert'!$A$1:$T$117"}</definedName>
    <definedName name="fddgfgfdg_2" hidden="1">{"'vert'!$A$1:$T$117"}</definedName>
    <definedName name="fddgfgfdg_3" localSheetId="8" hidden="1">{"'vert'!$A$1:$T$117"}</definedName>
    <definedName name="fddgfgfdg_3" localSheetId="5" hidden="1">{"'vert'!$A$1:$T$117"}</definedName>
    <definedName name="fddgfgfdg_3" hidden="1">{"'vert'!$A$1:$T$117"}</definedName>
    <definedName name="fdfd" localSheetId="8" hidden="1">{"'vert'!$A$1:$T$117"}</definedName>
    <definedName name="fdfd" localSheetId="5" hidden="1">{"'vert'!$A$1:$T$117"}</definedName>
    <definedName name="fdfd" hidden="1">{"'vert'!$A$1:$T$117"}</definedName>
    <definedName name="fdfdfd" localSheetId="8" hidden="1">{"'vert'!$A$1:$T$117"}</definedName>
    <definedName name="fdfdfd" localSheetId="5" hidden="1">{"'vert'!$A$1:$T$117"}</definedName>
    <definedName name="fdfdfd" hidden="1">{"'vert'!$A$1:$T$117"}</definedName>
    <definedName name="fdfjsdk" localSheetId="8" hidden="1">{"'vert'!$A$1:$T$117"}</definedName>
    <definedName name="fdfjsdk" localSheetId="5" hidden="1">{"'vert'!$A$1:$T$117"}</definedName>
    <definedName name="fdfjsdk" hidden="1">{"'vert'!$A$1:$T$117"}</definedName>
    <definedName name="fdfjsdk_1" localSheetId="8" hidden="1">{"'vert'!$A$1:$T$117"}</definedName>
    <definedName name="fdfjsdk_1" localSheetId="5" hidden="1">{"'vert'!$A$1:$T$117"}</definedName>
    <definedName name="fdfjsdk_1" hidden="1">{"'vert'!$A$1:$T$117"}</definedName>
    <definedName name="fdfjsdk_1_1" localSheetId="8" hidden="1">{"'vert'!$A$1:$T$117"}</definedName>
    <definedName name="fdfjsdk_1_1" localSheetId="5" hidden="1">{"'vert'!$A$1:$T$117"}</definedName>
    <definedName name="fdfjsdk_1_1" hidden="1">{"'vert'!$A$1:$T$117"}</definedName>
    <definedName name="fdfjsdk_1_2" localSheetId="8" hidden="1">{"'vert'!$A$1:$T$117"}</definedName>
    <definedName name="fdfjsdk_1_2" localSheetId="5" hidden="1">{"'vert'!$A$1:$T$117"}</definedName>
    <definedName name="fdfjsdk_1_2" hidden="1">{"'vert'!$A$1:$T$117"}</definedName>
    <definedName name="fdfjsdk_2" localSheetId="8" hidden="1">{"'vert'!$A$1:$T$117"}</definedName>
    <definedName name="fdfjsdk_2" localSheetId="5" hidden="1">{"'vert'!$A$1:$T$117"}</definedName>
    <definedName name="fdfjsdk_2" hidden="1">{"'vert'!$A$1:$T$117"}</definedName>
    <definedName name="fdfjsdk_3" localSheetId="8" hidden="1">{"'vert'!$A$1:$T$117"}</definedName>
    <definedName name="fdfjsdk_3" localSheetId="5" hidden="1">{"'vert'!$A$1:$T$117"}</definedName>
    <definedName name="fdfjsdk_3" hidden="1">{"'vert'!$A$1:$T$117"}</definedName>
    <definedName name="fds" localSheetId="8" hidden="1">{#N/A,#N/A,FALSE,"Trading-Mult ";#N/A,#N/A,FALSE,"M&amp;A info"}</definedName>
    <definedName name="fds" localSheetId="5" hidden="1">{#N/A,#N/A,FALSE,"Trading-Mult ";#N/A,#N/A,FALSE,"M&amp;A info"}</definedName>
    <definedName name="fds" hidden="1">{#N/A,#N/A,FALSE,"Trading-Mult ";#N/A,#N/A,FALSE,"M&amp;A info"}</definedName>
    <definedName name="fds_1" localSheetId="8" hidden="1">{"'vert'!$A$1:$T$117"}</definedName>
    <definedName name="fds_1" localSheetId="5" hidden="1">{"'vert'!$A$1:$T$117"}</definedName>
    <definedName name="fds_1" hidden="1">{"'vert'!$A$1:$T$117"}</definedName>
    <definedName name="fds_1_1" localSheetId="8" hidden="1">{"'vert'!$A$1:$T$117"}</definedName>
    <definedName name="fds_1_1" localSheetId="5" hidden="1">{"'vert'!$A$1:$T$117"}</definedName>
    <definedName name="fds_1_1" hidden="1">{"'vert'!$A$1:$T$117"}</definedName>
    <definedName name="fds_1_2" localSheetId="8" hidden="1">{"'vert'!$A$1:$T$117"}</definedName>
    <definedName name="fds_1_2" localSheetId="5" hidden="1">{"'vert'!$A$1:$T$117"}</definedName>
    <definedName name="fds_1_2" hidden="1">{"'vert'!$A$1:$T$117"}</definedName>
    <definedName name="fds_2" localSheetId="8" hidden="1">{"'vert'!$A$1:$T$117"}</definedName>
    <definedName name="fds_2" localSheetId="5" hidden="1">{"'vert'!$A$1:$T$117"}</definedName>
    <definedName name="fds_2" hidden="1">{"'vert'!$A$1:$T$117"}</definedName>
    <definedName name="fds_3" localSheetId="8" hidden="1">{"'vert'!$A$1:$T$117"}</definedName>
    <definedName name="fds_3" localSheetId="5" hidden="1">{"'vert'!$A$1:$T$117"}</definedName>
    <definedName name="fds_3" hidden="1">{"'vert'!$A$1:$T$117"}</definedName>
    <definedName name="feb" localSheetId="8" hidden="1">{"'vert'!$A$1:$T$117"}</definedName>
    <definedName name="feb" localSheetId="5" hidden="1">{"'vert'!$A$1:$T$117"}</definedName>
    <definedName name="feb" hidden="1">{"'vert'!$A$1:$T$117"}</definedName>
    <definedName name="fff" localSheetId="8" hidden="1">{"'vert'!$A$1:$T$117"}</definedName>
    <definedName name="fff" localSheetId="5" hidden="1">{"'vert'!$A$1:$T$117"}</definedName>
    <definedName name="fff" hidden="1">{"'vert'!$A$1:$T$117"}</definedName>
    <definedName name="fff_1" localSheetId="8" hidden="1">{"'vert'!$A$1:$T$117"}</definedName>
    <definedName name="fff_1" localSheetId="5" hidden="1">{"'vert'!$A$1:$T$117"}</definedName>
    <definedName name="fff_1" hidden="1">{"'vert'!$A$1:$T$117"}</definedName>
    <definedName name="fff_1_1" localSheetId="8" hidden="1">{"'vert'!$A$1:$T$117"}</definedName>
    <definedName name="fff_1_1" localSheetId="5" hidden="1">{"'vert'!$A$1:$T$117"}</definedName>
    <definedName name="fff_1_1" hidden="1">{"'vert'!$A$1:$T$117"}</definedName>
    <definedName name="fff_1_1_1" localSheetId="8" hidden="1">{"'vert'!$A$1:$T$117"}</definedName>
    <definedName name="fff_1_1_1" localSheetId="5" hidden="1">{"'vert'!$A$1:$T$117"}</definedName>
    <definedName name="fff_1_1_1" hidden="1">{"'vert'!$A$1:$T$117"}</definedName>
    <definedName name="fff_1_2" localSheetId="8" hidden="1">{"'vert'!$A$1:$T$117"}</definedName>
    <definedName name="fff_1_2" localSheetId="5" hidden="1">{"'vert'!$A$1:$T$117"}</definedName>
    <definedName name="fff_1_2" hidden="1">{"'vert'!$A$1:$T$117"}</definedName>
    <definedName name="fff_2" localSheetId="8" hidden="1">{"'vert'!$A$1:$T$117"}</definedName>
    <definedName name="fff_2" localSheetId="5" hidden="1">{"'vert'!$A$1:$T$117"}</definedName>
    <definedName name="fff_2" hidden="1">{"'vert'!$A$1:$T$117"}</definedName>
    <definedName name="fff_2_1" localSheetId="8" hidden="1">{"'vert'!$A$1:$T$117"}</definedName>
    <definedName name="fff_2_1" localSheetId="5" hidden="1">{"'vert'!$A$1:$T$117"}</definedName>
    <definedName name="fff_2_1" hidden="1">{"'vert'!$A$1:$T$117"}</definedName>
    <definedName name="fff_2_1_1" localSheetId="8" hidden="1">{"'vert'!$A$1:$T$117"}</definedName>
    <definedName name="fff_2_1_1" localSheetId="5" hidden="1">{"'vert'!$A$1:$T$117"}</definedName>
    <definedName name="fff_2_1_1" hidden="1">{"'vert'!$A$1:$T$117"}</definedName>
    <definedName name="fff_2_2" localSheetId="8" hidden="1">{"'vert'!$A$1:$T$117"}</definedName>
    <definedName name="fff_2_2" localSheetId="5" hidden="1">{"'vert'!$A$1:$T$117"}</definedName>
    <definedName name="fff_2_2" hidden="1">{"'vert'!$A$1:$T$117"}</definedName>
    <definedName name="fff_3" localSheetId="8" hidden="1">{"'vert'!$A$1:$T$117"}</definedName>
    <definedName name="fff_3" localSheetId="5" hidden="1">{"'vert'!$A$1:$T$117"}</definedName>
    <definedName name="fff_3" hidden="1">{"'vert'!$A$1:$T$117"}</definedName>
    <definedName name="fff_3_1" localSheetId="8" hidden="1">{"'vert'!$A$1:$T$117"}</definedName>
    <definedName name="fff_3_1" localSheetId="5" hidden="1">{"'vert'!$A$1:$T$117"}</definedName>
    <definedName name="fff_3_1" hidden="1">{"'vert'!$A$1:$T$117"}</definedName>
    <definedName name="fff_4" localSheetId="8" hidden="1">{"'vert'!$A$1:$T$117"}</definedName>
    <definedName name="fff_4" localSheetId="5" hidden="1">{"'vert'!$A$1:$T$117"}</definedName>
    <definedName name="fff_4" hidden="1">{"'vert'!$A$1:$T$117"}</definedName>
    <definedName name="fffff" localSheetId="8" hidden="1">{"'vert'!$A$1:$T$117"}</definedName>
    <definedName name="fffff" localSheetId="5" hidden="1">{"'vert'!$A$1:$T$117"}</definedName>
    <definedName name="fffff" hidden="1">{"'vert'!$A$1:$T$117"}</definedName>
    <definedName name="fffff_1" localSheetId="8" hidden="1">{"'vert'!$A$1:$T$117"}</definedName>
    <definedName name="fffff_1" localSheetId="5" hidden="1">{"'vert'!$A$1:$T$117"}</definedName>
    <definedName name="fffff_1" hidden="1">{"'vert'!$A$1:$T$117"}</definedName>
    <definedName name="fffff_1_1" localSheetId="8" hidden="1">{"'vert'!$A$1:$T$117"}</definedName>
    <definedName name="fffff_1_1" localSheetId="5" hidden="1">{"'vert'!$A$1:$T$117"}</definedName>
    <definedName name="fffff_1_1" hidden="1">{"'vert'!$A$1:$T$117"}</definedName>
    <definedName name="fffff_1_1_1" localSheetId="8" hidden="1">{"'vert'!$A$1:$T$117"}</definedName>
    <definedName name="fffff_1_1_1" localSheetId="5" hidden="1">{"'vert'!$A$1:$T$117"}</definedName>
    <definedName name="fffff_1_1_1" hidden="1">{"'vert'!$A$1:$T$117"}</definedName>
    <definedName name="fffff_1_2" localSheetId="8" hidden="1">{"'vert'!$A$1:$T$117"}</definedName>
    <definedName name="fffff_1_2" localSheetId="5" hidden="1">{"'vert'!$A$1:$T$117"}</definedName>
    <definedName name="fffff_1_2" hidden="1">{"'vert'!$A$1:$T$117"}</definedName>
    <definedName name="fffff_2" localSheetId="8" hidden="1">{"'vert'!$A$1:$T$117"}</definedName>
    <definedName name="fffff_2" localSheetId="5" hidden="1">{"'vert'!$A$1:$T$117"}</definedName>
    <definedName name="fffff_2" hidden="1">{"'vert'!$A$1:$T$117"}</definedName>
    <definedName name="fffff_2_1" localSheetId="8" hidden="1">{"'vert'!$A$1:$T$117"}</definedName>
    <definedName name="fffff_2_1" localSheetId="5" hidden="1">{"'vert'!$A$1:$T$117"}</definedName>
    <definedName name="fffff_2_1" hidden="1">{"'vert'!$A$1:$T$117"}</definedName>
    <definedName name="fffff_2_1_1" localSheetId="8" hidden="1">{"'vert'!$A$1:$T$117"}</definedName>
    <definedName name="fffff_2_1_1" localSheetId="5" hidden="1">{"'vert'!$A$1:$T$117"}</definedName>
    <definedName name="fffff_2_1_1" hidden="1">{"'vert'!$A$1:$T$117"}</definedName>
    <definedName name="fffff_2_2" localSheetId="8" hidden="1">{"'vert'!$A$1:$T$117"}</definedName>
    <definedName name="fffff_2_2" localSheetId="5" hidden="1">{"'vert'!$A$1:$T$117"}</definedName>
    <definedName name="fffff_2_2" hidden="1">{"'vert'!$A$1:$T$117"}</definedName>
    <definedName name="fffff_3" localSheetId="8" hidden="1">{"'vert'!$A$1:$T$117"}</definedName>
    <definedName name="fffff_3" localSheetId="5" hidden="1">{"'vert'!$A$1:$T$117"}</definedName>
    <definedName name="fffff_3" hidden="1">{"'vert'!$A$1:$T$117"}</definedName>
    <definedName name="fffff_3_1" localSheetId="8" hidden="1">{"'vert'!$A$1:$T$117"}</definedName>
    <definedName name="fffff_3_1" localSheetId="5" hidden="1">{"'vert'!$A$1:$T$117"}</definedName>
    <definedName name="fffff_3_1" hidden="1">{"'vert'!$A$1:$T$117"}</definedName>
    <definedName name="fffff_4" localSheetId="8" hidden="1">{"'vert'!$A$1:$T$117"}</definedName>
    <definedName name="fffff_4" localSheetId="5" hidden="1">{"'vert'!$A$1:$T$117"}</definedName>
    <definedName name="fffff_4" hidden="1">{"'vert'!$A$1:$T$117"}</definedName>
    <definedName name="ffffff" localSheetId="8" hidden="1">{"'vert'!$A$1:$T$117"}</definedName>
    <definedName name="ffffff" localSheetId="5" hidden="1">{"'vert'!$A$1:$T$117"}</definedName>
    <definedName name="ffffff" hidden="1">{"'vert'!$A$1:$T$117"}</definedName>
    <definedName name="ffffff_1" localSheetId="8" hidden="1">{"'vert'!$A$1:$T$117"}</definedName>
    <definedName name="ffffff_1" localSheetId="5" hidden="1">{"'vert'!$A$1:$T$117"}</definedName>
    <definedName name="ffffff_1" hidden="1">{"'vert'!$A$1:$T$117"}</definedName>
    <definedName name="ffffff_1_1" localSheetId="8" hidden="1">{"'vert'!$A$1:$T$117"}</definedName>
    <definedName name="ffffff_1_1" localSheetId="5" hidden="1">{"'vert'!$A$1:$T$117"}</definedName>
    <definedName name="ffffff_1_1" hidden="1">{"'vert'!$A$1:$T$117"}</definedName>
    <definedName name="ffffff_1_2" localSheetId="8" hidden="1">{"'vert'!$A$1:$T$117"}</definedName>
    <definedName name="ffffff_1_2" localSheetId="5" hidden="1">{"'vert'!$A$1:$T$117"}</definedName>
    <definedName name="ffffff_1_2" hidden="1">{"'vert'!$A$1:$T$117"}</definedName>
    <definedName name="ffffff_2" localSheetId="8" hidden="1">{"'vert'!$A$1:$T$117"}</definedName>
    <definedName name="ffffff_2" localSheetId="5" hidden="1">{"'vert'!$A$1:$T$117"}</definedName>
    <definedName name="ffffff_2" hidden="1">{"'vert'!$A$1:$T$117"}</definedName>
    <definedName name="ffffff_3" localSheetId="8" hidden="1">{"'vert'!$A$1:$T$117"}</definedName>
    <definedName name="ffffff_3" localSheetId="5" hidden="1">{"'vert'!$A$1:$T$117"}</definedName>
    <definedName name="ffffff_3" hidden="1">{"'vert'!$A$1:$T$117"}</definedName>
    <definedName name="ffgagfa_1" localSheetId="8" hidden="1">{"'vert'!$A$1:$T$117"}</definedName>
    <definedName name="ffgagfa_1" localSheetId="5" hidden="1">{"'vert'!$A$1:$T$117"}</definedName>
    <definedName name="ffgagfa_1" hidden="1">{"'vert'!$A$1:$T$117"}</definedName>
    <definedName name="ffgagfa_1_1" localSheetId="8" hidden="1">{"'vert'!$A$1:$T$117"}</definedName>
    <definedName name="ffgagfa_1_1" localSheetId="5" hidden="1">{"'vert'!$A$1:$T$117"}</definedName>
    <definedName name="ffgagfa_1_1" hidden="1">{"'vert'!$A$1:$T$117"}</definedName>
    <definedName name="ffgagfa_1_2" localSheetId="8" hidden="1">{"'vert'!$A$1:$T$117"}</definedName>
    <definedName name="ffgagfa_1_2" localSheetId="5" hidden="1">{"'vert'!$A$1:$T$117"}</definedName>
    <definedName name="ffgagfa_1_2" hidden="1">{"'vert'!$A$1:$T$117"}</definedName>
    <definedName name="ffgagfa_2" localSheetId="8" hidden="1">{"'vert'!$A$1:$T$117"}</definedName>
    <definedName name="ffgagfa_2" localSheetId="5" hidden="1">{"'vert'!$A$1:$T$117"}</definedName>
    <definedName name="ffgagfa_2" hidden="1">{"'vert'!$A$1:$T$117"}</definedName>
    <definedName name="ffgagfa_3" localSheetId="8" hidden="1">{"'vert'!$A$1:$T$117"}</definedName>
    <definedName name="ffgagfa_3" localSheetId="5" hidden="1">{"'vert'!$A$1:$T$117"}</definedName>
    <definedName name="ffgagfa_3" hidden="1">{"'vert'!$A$1:$T$117"}</definedName>
    <definedName name="fgdfgdf" localSheetId="8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fgdfgdf" localSheetId="5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fgdfgdf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fgggsgagda_1" localSheetId="8" hidden="1">{"'vert'!$A$1:$T$117"}</definedName>
    <definedName name="fgggsgagda_1" localSheetId="5" hidden="1">{"'vert'!$A$1:$T$117"}</definedName>
    <definedName name="fgggsgagda_1" hidden="1">{"'vert'!$A$1:$T$117"}</definedName>
    <definedName name="fgggsgagda_1_1" localSheetId="8" hidden="1">{"'vert'!$A$1:$T$117"}</definedName>
    <definedName name="fgggsgagda_1_1" localSheetId="5" hidden="1">{"'vert'!$A$1:$T$117"}</definedName>
    <definedName name="fgggsgagda_1_1" hidden="1">{"'vert'!$A$1:$T$117"}</definedName>
    <definedName name="fgggsgagda_1_2" localSheetId="8" hidden="1">{"'vert'!$A$1:$T$117"}</definedName>
    <definedName name="fgggsgagda_1_2" localSheetId="5" hidden="1">{"'vert'!$A$1:$T$117"}</definedName>
    <definedName name="fgggsgagda_1_2" hidden="1">{"'vert'!$A$1:$T$117"}</definedName>
    <definedName name="fgggsgagda_2" localSheetId="8" hidden="1">{"'vert'!$A$1:$T$117"}</definedName>
    <definedName name="fgggsgagda_2" localSheetId="5" hidden="1">{"'vert'!$A$1:$T$117"}</definedName>
    <definedName name="fgggsgagda_2" hidden="1">{"'vert'!$A$1:$T$117"}</definedName>
    <definedName name="fgggsgagda_3" localSheetId="8" hidden="1">{"'vert'!$A$1:$T$117"}</definedName>
    <definedName name="fgggsgagda_3" localSheetId="5" hidden="1">{"'vert'!$A$1:$T$117"}</definedName>
    <definedName name="fgggsgagda_3" hidden="1">{"'vert'!$A$1:$T$117"}</definedName>
    <definedName name="fgh" localSheetId="8" hidden="1">{#N/A,#N/A,FALSE,"Sheet1"}</definedName>
    <definedName name="fgh" localSheetId="5" hidden="1">{#N/A,#N/A,FALSE,"Sheet1"}</definedName>
    <definedName name="fgh" hidden="1">{#N/A,#N/A,FALSE,"Sheet1"}</definedName>
    <definedName name="fghfg56" localSheetId="8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fghfg56" localSheetId="5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fghfg56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fixed" localSheetId="8" hidden="1">{"'vert'!$A$1:$T$117"}</definedName>
    <definedName name="fixed" localSheetId="5" hidden="1">{"'vert'!$A$1:$T$117"}</definedName>
    <definedName name="fixed" hidden="1">{"'vert'!$A$1:$T$117"}</definedName>
    <definedName name="fjsiojsoijfosijfofofjff_1" localSheetId="8" hidden="1">{"'vert'!$A$1:$T$117"}</definedName>
    <definedName name="fjsiojsoijfosijfofofjff_1" localSheetId="5" hidden="1">{"'vert'!$A$1:$T$117"}</definedName>
    <definedName name="fjsiojsoijfosijfofofjff_1" hidden="1">{"'vert'!$A$1:$T$117"}</definedName>
    <definedName name="fjsiojsoijfosijfofofjff_1_1" localSheetId="8" hidden="1">{"'vert'!$A$1:$T$117"}</definedName>
    <definedName name="fjsiojsoijfosijfofofjff_1_1" localSheetId="5" hidden="1">{"'vert'!$A$1:$T$117"}</definedName>
    <definedName name="fjsiojsoijfosijfofofjff_1_1" hidden="1">{"'vert'!$A$1:$T$117"}</definedName>
    <definedName name="fjsiojsoijfosijfofofjff_1_2" localSheetId="8" hidden="1">{"'vert'!$A$1:$T$117"}</definedName>
    <definedName name="fjsiojsoijfosijfofofjff_1_2" localSheetId="5" hidden="1">{"'vert'!$A$1:$T$117"}</definedName>
    <definedName name="fjsiojsoijfosijfofofjff_1_2" hidden="1">{"'vert'!$A$1:$T$117"}</definedName>
    <definedName name="fjsiojsoijfosijfofofjff_2" localSheetId="8" hidden="1">{"'vert'!$A$1:$T$117"}</definedName>
    <definedName name="fjsiojsoijfosijfofofjff_2" localSheetId="5" hidden="1">{"'vert'!$A$1:$T$117"}</definedName>
    <definedName name="fjsiojsoijfosijfofofjff_2" hidden="1">{"'vert'!$A$1:$T$117"}</definedName>
    <definedName name="fjsiojsoijfosijfofofjff_3" localSheetId="8" hidden="1">{"'vert'!$A$1:$T$117"}</definedName>
    <definedName name="fjsiojsoijfosijfofofjff_3" localSheetId="5" hidden="1">{"'vert'!$A$1:$T$117"}</definedName>
    <definedName name="fjsiojsoijfosijfofofjff_3" hidden="1">{"'vert'!$A$1:$T$117"}</definedName>
    <definedName name="fkdjfd" localSheetId="8" hidden="1">{"'vert'!$A$1:$T$117"}</definedName>
    <definedName name="fkdjfd" localSheetId="5" hidden="1">{"'vert'!$A$1:$T$117"}</definedName>
    <definedName name="fkdjfd" hidden="1">{"'vert'!$A$1:$T$117"}</definedName>
    <definedName name="fkdjfd_1" localSheetId="8" hidden="1">{"'vert'!$A$1:$T$117"}</definedName>
    <definedName name="fkdjfd_1" localSheetId="5" hidden="1">{"'vert'!$A$1:$T$117"}</definedName>
    <definedName name="fkdjfd_1" hidden="1">{"'vert'!$A$1:$T$117"}</definedName>
    <definedName name="fkdjfd_1_1" localSheetId="8" hidden="1">{"'vert'!$A$1:$T$117"}</definedName>
    <definedName name="fkdjfd_1_1" localSheetId="5" hidden="1">{"'vert'!$A$1:$T$117"}</definedName>
    <definedName name="fkdjfd_1_1" hidden="1">{"'vert'!$A$1:$T$117"}</definedName>
    <definedName name="fkdjfd_1_2" localSheetId="8" hidden="1">{"'vert'!$A$1:$T$117"}</definedName>
    <definedName name="fkdjfd_1_2" localSheetId="5" hidden="1">{"'vert'!$A$1:$T$117"}</definedName>
    <definedName name="fkdjfd_1_2" hidden="1">{"'vert'!$A$1:$T$117"}</definedName>
    <definedName name="fkdjfd_2" localSheetId="8" hidden="1">{"'vert'!$A$1:$T$117"}</definedName>
    <definedName name="fkdjfd_2" localSheetId="5" hidden="1">{"'vert'!$A$1:$T$117"}</definedName>
    <definedName name="fkdjfd_2" hidden="1">{"'vert'!$A$1:$T$117"}</definedName>
    <definedName name="fkdjfd_3" localSheetId="8" hidden="1">{"'vert'!$A$1:$T$117"}</definedName>
    <definedName name="fkdjfd_3" localSheetId="5" hidden="1">{"'vert'!$A$1:$T$117"}</definedName>
    <definedName name="fkdjfd_3" hidden="1">{"'vert'!$A$1:$T$117"}</definedName>
    <definedName name="foo" localSheetId="8" hidden="1">{"'vert'!$A$1:$T$117"}</definedName>
    <definedName name="foo" localSheetId="5" hidden="1">{"'vert'!$A$1:$T$117"}</definedName>
    <definedName name="foo" hidden="1">{"'vert'!$A$1:$T$117"}</definedName>
    <definedName name="foobar" localSheetId="8" hidden="1">{"'vert'!$A$1:$T$117"}</definedName>
    <definedName name="foobar" localSheetId="5" hidden="1">{"'vert'!$A$1:$T$117"}</definedName>
    <definedName name="foobar" hidden="1">{"'vert'!$A$1:$T$117"}</definedName>
    <definedName name="foobar_1" localSheetId="8" hidden="1">{"'vert'!$A$1:$T$117"}</definedName>
    <definedName name="foobar_1" localSheetId="5" hidden="1">{"'vert'!$A$1:$T$117"}</definedName>
    <definedName name="foobar_1" hidden="1">{"'vert'!$A$1:$T$117"}</definedName>
    <definedName name="foobar_1_1" localSheetId="8" hidden="1">{"'vert'!$A$1:$T$117"}</definedName>
    <definedName name="foobar_1_1" localSheetId="5" hidden="1">{"'vert'!$A$1:$T$117"}</definedName>
    <definedName name="foobar_1_1" hidden="1">{"'vert'!$A$1:$T$117"}</definedName>
    <definedName name="foobar_1_1_1" localSheetId="8" hidden="1">{"'vert'!$A$1:$T$117"}</definedName>
    <definedName name="foobar_1_1_1" localSheetId="5" hidden="1">{"'vert'!$A$1:$T$117"}</definedName>
    <definedName name="foobar_1_1_1" hidden="1">{"'vert'!$A$1:$T$117"}</definedName>
    <definedName name="foobar_1_2" localSheetId="8" hidden="1">{"'vert'!$A$1:$T$117"}</definedName>
    <definedName name="foobar_1_2" localSheetId="5" hidden="1">{"'vert'!$A$1:$T$117"}</definedName>
    <definedName name="foobar_1_2" hidden="1">{"'vert'!$A$1:$T$117"}</definedName>
    <definedName name="foobar_2" localSheetId="8" hidden="1">{"'vert'!$A$1:$T$117"}</definedName>
    <definedName name="foobar_2" localSheetId="5" hidden="1">{"'vert'!$A$1:$T$117"}</definedName>
    <definedName name="foobar_2" hidden="1">{"'vert'!$A$1:$T$117"}</definedName>
    <definedName name="foobar_2_1" localSheetId="8" hidden="1">{"'vert'!$A$1:$T$117"}</definedName>
    <definedName name="foobar_2_1" localSheetId="5" hidden="1">{"'vert'!$A$1:$T$117"}</definedName>
    <definedName name="foobar_2_1" hidden="1">{"'vert'!$A$1:$T$117"}</definedName>
    <definedName name="foobar_2_1_1" localSheetId="8" hidden="1">{"'vert'!$A$1:$T$117"}</definedName>
    <definedName name="foobar_2_1_1" localSheetId="5" hidden="1">{"'vert'!$A$1:$T$117"}</definedName>
    <definedName name="foobar_2_1_1" hidden="1">{"'vert'!$A$1:$T$117"}</definedName>
    <definedName name="foobar_2_2" localSheetId="8" hidden="1">{"'vert'!$A$1:$T$117"}</definedName>
    <definedName name="foobar_2_2" localSheetId="5" hidden="1">{"'vert'!$A$1:$T$117"}</definedName>
    <definedName name="foobar_2_2" hidden="1">{"'vert'!$A$1:$T$117"}</definedName>
    <definedName name="foobar_3" localSheetId="8" hidden="1">{"'vert'!$A$1:$T$117"}</definedName>
    <definedName name="foobar_3" localSheetId="5" hidden="1">{"'vert'!$A$1:$T$117"}</definedName>
    <definedName name="foobar_3" hidden="1">{"'vert'!$A$1:$T$117"}</definedName>
    <definedName name="foobar_3_1" localSheetId="8" hidden="1">{"'vert'!$A$1:$T$117"}</definedName>
    <definedName name="foobar_3_1" localSheetId="5" hidden="1">{"'vert'!$A$1:$T$117"}</definedName>
    <definedName name="foobar_3_1" hidden="1">{"'vert'!$A$1:$T$117"}</definedName>
    <definedName name="foobar_4" localSheetId="8" hidden="1">{"'vert'!$A$1:$T$117"}</definedName>
    <definedName name="foobar_4" localSheetId="5" hidden="1">{"'vert'!$A$1:$T$117"}</definedName>
    <definedName name="foobar_4" hidden="1">{"'vert'!$A$1:$T$117"}</definedName>
    <definedName name="foobar2" localSheetId="8" hidden="1">{"'weekly data'!$A$2:$AS$36"}</definedName>
    <definedName name="foobar2" localSheetId="5" hidden="1">{"'weekly data'!$A$2:$AS$36"}</definedName>
    <definedName name="foobar2" hidden="1">{"'weekly data'!$A$2:$AS$36"}</definedName>
    <definedName name="foobar2_1" localSheetId="8" hidden="1">{"'weekly data'!$A$2:$AS$36"}</definedName>
    <definedName name="foobar2_1" localSheetId="5" hidden="1">{"'weekly data'!$A$2:$AS$36"}</definedName>
    <definedName name="foobar2_1" hidden="1">{"'weekly data'!$A$2:$AS$36"}</definedName>
    <definedName name="foobar2_1_1" localSheetId="8" hidden="1">{"'weekly data'!$A$2:$AS$36"}</definedName>
    <definedName name="foobar2_1_1" localSheetId="5" hidden="1">{"'weekly data'!$A$2:$AS$36"}</definedName>
    <definedName name="foobar2_1_1" hidden="1">{"'weekly data'!$A$2:$AS$36"}</definedName>
    <definedName name="foobar2_1_1_1" localSheetId="8" hidden="1">{"'weekly data'!$A$2:$AS$36"}</definedName>
    <definedName name="foobar2_1_1_1" localSheetId="5" hidden="1">{"'weekly data'!$A$2:$AS$36"}</definedName>
    <definedName name="foobar2_1_1_1" hidden="1">{"'weekly data'!$A$2:$AS$36"}</definedName>
    <definedName name="foobar2_1_2" localSheetId="8" hidden="1">{"'weekly data'!$A$2:$AS$36"}</definedName>
    <definedName name="foobar2_1_2" localSheetId="5" hidden="1">{"'weekly data'!$A$2:$AS$36"}</definedName>
    <definedName name="foobar2_1_2" hidden="1">{"'weekly data'!$A$2:$AS$36"}</definedName>
    <definedName name="foobar2_2" localSheetId="8" hidden="1">{"'weekly data'!$A$2:$AS$36"}</definedName>
    <definedName name="foobar2_2" localSheetId="5" hidden="1">{"'weekly data'!$A$2:$AS$36"}</definedName>
    <definedName name="foobar2_2" hidden="1">{"'weekly data'!$A$2:$AS$36"}</definedName>
    <definedName name="foobar2_2_1" localSheetId="8" hidden="1">{"'weekly data'!$A$2:$AS$36"}</definedName>
    <definedName name="foobar2_2_1" localSheetId="5" hidden="1">{"'weekly data'!$A$2:$AS$36"}</definedName>
    <definedName name="foobar2_2_1" hidden="1">{"'weekly data'!$A$2:$AS$36"}</definedName>
    <definedName name="foobar2_2_1_1" localSheetId="8" hidden="1">{"'weekly data'!$A$2:$AS$36"}</definedName>
    <definedName name="foobar2_2_1_1" localSheetId="5" hidden="1">{"'weekly data'!$A$2:$AS$36"}</definedName>
    <definedName name="foobar2_2_1_1" hidden="1">{"'weekly data'!$A$2:$AS$36"}</definedName>
    <definedName name="foobar2_2_2" localSheetId="8" hidden="1">{"'weekly data'!$A$2:$AS$36"}</definedName>
    <definedName name="foobar2_2_2" localSheetId="5" hidden="1">{"'weekly data'!$A$2:$AS$36"}</definedName>
    <definedName name="foobar2_2_2" hidden="1">{"'weekly data'!$A$2:$AS$36"}</definedName>
    <definedName name="foobar2_3" localSheetId="8" hidden="1">{"'weekly data'!$A$2:$AS$36"}</definedName>
    <definedName name="foobar2_3" localSheetId="5" hidden="1">{"'weekly data'!$A$2:$AS$36"}</definedName>
    <definedName name="foobar2_3" hidden="1">{"'weekly data'!$A$2:$AS$36"}</definedName>
    <definedName name="foobar2_3_1" localSheetId="8" hidden="1">{"'weekly data'!$A$2:$AS$36"}</definedName>
    <definedName name="foobar2_3_1" localSheetId="5" hidden="1">{"'weekly data'!$A$2:$AS$36"}</definedName>
    <definedName name="foobar2_3_1" hidden="1">{"'weekly data'!$A$2:$AS$36"}</definedName>
    <definedName name="foobar2_4" localSheetId="8" hidden="1">{"'weekly data'!$A$2:$AS$36"}</definedName>
    <definedName name="foobar2_4" localSheetId="5" hidden="1">{"'weekly data'!$A$2:$AS$36"}</definedName>
    <definedName name="foobar2_4" hidden="1">{"'weekly data'!$A$2:$AS$36"}</definedName>
    <definedName name="foobar3" localSheetId="8" hidden="1">{"'weekly data'!$A$2:$AS$36"}</definedName>
    <definedName name="foobar3" localSheetId="5" hidden="1">{"'weekly data'!$A$2:$AS$36"}</definedName>
    <definedName name="foobar3" hidden="1">{"'weekly data'!$A$2:$AS$36"}</definedName>
    <definedName name="foobar3_1" localSheetId="8" hidden="1">{"'weekly data'!$A$2:$AS$36"}</definedName>
    <definedName name="foobar3_1" localSheetId="5" hidden="1">{"'weekly data'!$A$2:$AS$36"}</definedName>
    <definedName name="foobar3_1" hidden="1">{"'weekly data'!$A$2:$AS$36"}</definedName>
    <definedName name="foobar3_1_1" localSheetId="8" hidden="1">{"'weekly data'!$A$2:$AS$36"}</definedName>
    <definedName name="foobar3_1_1" localSheetId="5" hidden="1">{"'weekly data'!$A$2:$AS$36"}</definedName>
    <definedName name="foobar3_1_1" hidden="1">{"'weekly data'!$A$2:$AS$36"}</definedName>
    <definedName name="foobar3_1_1_1" localSheetId="8" hidden="1">{"'weekly data'!$A$2:$AS$36"}</definedName>
    <definedName name="foobar3_1_1_1" localSheetId="5" hidden="1">{"'weekly data'!$A$2:$AS$36"}</definedName>
    <definedName name="foobar3_1_1_1" hidden="1">{"'weekly data'!$A$2:$AS$36"}</definedName>
    <definedName name="foobar3_1_2" localSheetId="8" hidden="1">{"'weekly data'!$A$2:$AS$36"}</definedName>
    <definedName name="foobar3_1_2" localSheetId="5" hidden="1">{"'weekly data'!$A$2:$AS$36"}</definedName>
    <definedName name="foobar3_1_2" hidden="1">{"'weekly data'!$A$2:$AS$36"}</definedName>
    <definedName name="foobar3_2" localSheetId="8" hidden="1">{"'weekly data'!$A$2:$AS$36"}</definedName>
    <definedName name="foobar3_2" localSheetId="5" hidden="1">{"'weekly data'!$A$2:$AS$36"}</definedName>
    <definedName name="foobar3_2" hidden="1">{"'weekly data'!$A$2:$AS$36"}</definedName>
    <definedName name="foobar3_2_1" localSheetId="8" hidden="1">{"'weekly data'!$A$2:$AS$36"}</definedName>
    <definedName name="foobar3_2_1" localSheetId="5" hidden="1">{"'weekly data'!$A$2:$AS$36"}</definedName>
    <definedName name="foobar3_2_1" hidden="1">{"'weekly data'!$A$2:$AS$36"}</definedName>
    <definedName name="foobar3_2_1_1" localSheetId="8" hidden="1">{"'weekly data'!$A$2:$AS$36"}</definedName>
    <definedName name="foobar3_2_1_1" localSheetId="5" hidden="1">{"'weekly data'!$A$2:$AS$36"}</definedName>
    <definedName name="foobar3_2_1_1" hidden="1">{"'weekly data'!$A$2:$AS$36"}</definedName>
    <definedName name="foobar3_2_2" localSheetId="8" hidden="1">{"'weekly data'!$A$2:$AS$36"}</definedName>
    <definedName name="foobar3_2_2" localSheetId="5" hidden="1">{"'weekly data'!$A$2:$AS$36"}</definedName>
    <definedName name="foobar3_2_2" hidden="1">{"'weekly data'!$A$2:$AS$36"}</definedName>
    <definedName name="foobar3_3" localSheetId="8" hidden="1">{"'weekly data'!$A$2:$AS$36"}</definedName>
    <definedName name="foobar3_3" localSheetId="5" hidden="1">{"'weekly data'!$A$2:$AS$36"}</definedName>
    <definedName name="foobar3_3" hidden="1">{"'weekly data'!$A$2:$AS$36"}</definedName>
    <definedName name="foobar3_3_1" localSheetId="8" hidden="1">{"'weekly data'!$A$2:$AS$36"}</definedName>
    <definedName name="foobar3_3_1" localSheetId="5" hidden="1">{"'weekly data'!$A$2:$AS$36"}</definedName>
    <definedName name="foobar3_3_1" hidden="1">{"'weekly data'!$A$2:$AS$36"}</definedName>
    <definedName name="foobar3_4" localSheetId="8" hidden="1">{"'weekly data'!$A$2:$AS$36"}</definedName>
    <definedName name="foobar3_4" localSheetId="5" hidden="1">{"'weekly data'!$A$2:$AS$36"}</definedName>
    <definedName name="foobar3_4" hidden="1">{"'weekly data'!$A$2:$AS$36"}</definedName>
    <definedName name="foobar4" localSheetId="8" hidden="1">{"'vert'!$A$1:$T$117"}</definedName>
    <definedName name="foobar4" localSheetId="5" hidden="1">{"'vert'!$A$1:$T$117"}</definedName>
    <definedName name="foobar4" hidden="1">{"'vert'!$A$1:$T$117"}</definedName>
    <definedName name="foobar4_1" localSheetId="8" hidden="1">{"'vert'!$A$1:$T$117"}</definedName>
    <definedName name="foobar4_1" localSheetId="5" hidden="1">{"'vert'!$A$1:$T$117"}</definedName>
    <definedName name="foobar4_1" hidden="1">{"'vert'!$A$1:$T$117"}</definedName>
    <definedName name="foobar4_1_1" localSheetId="8" hidden="1">{"'vert'!$A$1:$T$117"}</definedName>
    <definedName name="foobar4_1_1" localSheetId="5" hidden="1">{"'vert'!$A$1:$T$117"}</definedName>
    <definedName name="foobar4_1_1" hidden="1">{"'vert'!$A$1:$T$117"}</definedName>
    <definedName name="foobar4_1_1_1" localSheetId="8" hidden="1">{"'vert'!$A$1:$T$117"}</definedName>
    <definedName name="foobar4_1_1_1" localSheetId="5" hidden="1">{"'vert'!$A$1:$T$117"}</definedName>
    <definedName name="foobar4_1_1_1" hidden="1">{"'vert'!$A$1:$T$117"}</definedName>
    <definedName name="foobar4_1_2" localSheetId="8" hidden="1">{"'vert'!$A$1:$T$117"}</definedName>
    <definedName name="foobar4_1_2" localSheetId="5" hidden="1">{"'vert'!$A$1:$T$117"}</definedName>
    <definedName name="foobar4_1_2" hidden="1">{"'vert'!$A$1:$T$117"}</definedName>
    <definedName name="foobar4_2" localSheetId="8" hidden="1">{"'vert'!$A$1:$T$117"}</definedName>
    <definedName name="foobar4_2" localSheetId="5" hidden="1">{"'vert'!$A$1:$T$117"}</definedName>
    <definedName name="foobar4_2" hidden="1">{"'vert'!$A$1:$T$117"}</definedName>
    <definedName name="foobar4_2_1" localSheetId="8" hidden="1">{"'vert'!$A$1:$T$117"}</definedName>
    <definedName name="foobar4_2_1" localSheetId="5" hidden="1">{"'vert'!$A$1:$T$117"}</definedName>
    <definedName name="foobar4_2_1" hidden="1">{"'vert'!$A$1:$T$117"}</definedName>
    <definedName name="foobar4_2_1_1" localSheetId="8" hidden="1">{"'vert'!$A$1:$T$117"}</definedName>
    <definedName name="foobar4_2_1_1" localSheetId="5" hidden="1">{"'vert'!$A$1:$T$117"}</definedName>
    <definedName name="foobar4_2_1_1" hidden="1">{"'vert'!$A$1:$T$117"}</definedName>
    <definedName name="foobar4_2_2" localSheetId="8" hidden="1">{"'vert'!$A$1:$T$117"}</definedName>
    <definedName name="foobar4_2_2" localSheetId="5" hidden="1">{"'vert'!$A$1:$T$117"}</definedName>
    <definedName name="foobar4_2_2" hidden="1">{"'vert'!$A$1:$T$117"}</definedName>
    <definedName name="foobar4_3" localSheetId="8" hidden="1">{"'vert'!$A$1:$T$117"}</definedName>
    <definedName name="foobar4_3" localSheetId="5" hidden="1">{"'vert'!$A$1:$T$117"}</definedName>
    <definedName name="foobar4_3" hidden="1">{"'vert'!$A$1:$T$117"}</definedName>
    <definedName name="foobar4_3_1" localSheetId="8" hidden="1">{"'vert'!$A$1:$T$117"}</definedName>
    <definedName name="foobar4_3_1" localSheetId="5" hidden="1">{"'vert'!$A$1:$T$117"}</definedName>
    <definedName name="foobar4_3_1" hidden="1">{"'vert'!$A$1:$T$117"}</definedName>
    <definedName name="foobar4_4" localSheetId="8" hidden="1">{"'vert'!$A$1:$T$117"}</definedName>
    <definedName name="foobar4_4" localSheetId="5" hidden="1">{"'vert'!$A$1:$T$117"}</definedName>
    <definedName name="foobar4_4" hidden="1">{"'vert'!$A$1:$T$117"}</definedName>
    <definedName name="ForumPages">[21]Traffic!$A$36:$IV$36</definedName>
    <definedName name="frs" localSheetId="8" hidden="1">{#N/A,#N/A,FALSE,"Sheet1"}</definedName>
    <definedName name="frs" localSheetId="5" hidden="1">{#N/A,#N/A,FALSE,"Sheet1"}</definedName>
    <definedName name="frs" hidden="1">{#N/A,#N/A,FALSE,"Sheet1"}</definedName>
    <definedName name="fsd" localSheetId="8" hidden="1">{#N/A,#N/A,FALSE,"Sheet1"}</definedName>
    <definedName name="fsd" localSheetId="5" hidden="1">{#N/A,#N/A,FALSE,"Sheet1"}</definedName>
    <definedName name="fsd" hidden="1">{#N/A,#N/A,FALSE,"Sheet1"}</definedName>
    <definedName name="fse" localSheetId="8" hidden="1">{#N/A,#N/A,FALSE,"Sheet1"}</definedName>
    <definedName name="fse" localSheetId="5" hidden="1">{#N/A,#N/A,FALSE,"Sheet1"}</definedName>
    <definedName name="fse" hidden="1">{#N/A,#N/A,FALSE,"Sheet1"}</definedName>
    <definedName name="FX">[21]Traffic!$A$6:$IV$6</definedName>
    <definedName name="FX_EUR">[21]Traffic!$A$7:$IV$7</definedName>
    <definedName name="FX_table">[11]Admin!$AF$7:$AG$21</definedName>
    <definedName name="g" localSheetId="8" hidden="1">{"'vert'!$A$1:$T$117"}</definedName>
    <definedName name="g" localSheetId="5" hidden="1">{"'vert'!$A$1:$T$117"}</definedName>
    <definedName name="g" hidden="1">{"'vert'!$A$1:$T$117"}</definedName>
    <definedName name="g_1" localSheetId="8" hidden="1">{"'vert'!$A$1:$T$117"}</definedName>
    <definedName name="g_1" localSheetId="5" hidden="1">{"'vert'!$A$1:$T$117"}</definedName>
    <definedName name="g_1" hidden="1">{"'vert'!$A$1:$T$117"}</definedName>
    <definedName name="g_1_1" localSheetId="8" hidden="1">{"'vert'!$A$1:$T$117"}</definedName>
    <definedName name="g_1_1" localSheetId="5" hidden="1">{"'vert'!$A$1:$T$117"}</definedName>
    <definedName name="g_1_1" hidden="1">{"'vert'!$A$1:$T$117"}</definedName>
    <definedName name="g_1_1_1" localSheetId="8" hidden="1">{"'vert'!$A$1:$T$117"}</definedName>
    <definedName name="g_1_1_1" localSheetId="5" hidden="1">{"'vert'!$A$1:$T$117"}</definedName>
    <definedName name="g_1_1_1" hidden="1">{"'vert'!$A$1:$T$117"}</definedName>
    <definedName name="g_1_2" localSheetId="8" hidden="1">{"'vert'!$A$1:$T$117"}</definedName>
    <definedName name="g_1_2" localSheetId="5" hidden="1">{"'vert'!$A$1:$T$117"}</definedName>
    <definedName name="g_1_2" hidden="1">{"'vert'!$A$1:$T$117"}</definedName>
    <definedName name="g_2" localSheetId="8" hidden="1">{"'vert'!$A$1:$T$117"}</definedName>
    <definedName name="g_2" localSheetId="5" hidden="1">{"'vert'!$A$1:$T$117"}</definedName>
    <definedName name="g_2" hidden="1">{"'vert'!$A$1:$T$117"}</definedName>
    <definedName name="g_2_1" localSheetId="8" hidden="1">{"'vert'!$A$1:$T$117"}</definedName>
    <definedName name="g_2_1" localSheetId="5" hidden="1">{"'vert'!$A$1:$T$117"}</definedName>
    <definedName name="g_2_1" hidden="1">{"'vert'!$A$1:$T$117"}</definedName>
    <definedName name="g_2_1_1" localSheetId="8" hidden="1">{"'vert'!$A$1:$T$117"}</definedName>
    <definedName name="g_2_1_1" localSheetId="5" hidden="1">{"'vert'!$A$1:$T$117"}</definedName>
    <definedName name="g_2_1_1" hidden="1">{"'vert'!$A$1:$T$117"}</definedName>
    <definedName name="g_2_2" localSheetId="8" hidden="1">{"'vert'!$A$1:$T$117"}</definedName>
    <definedName name="g_2_2" localSheetId="5" hidden="1">{"'vert'!$A$1:$T$117"}</definedName>
    <definedName name="g_2_2" hidden="1">{"'vert'!$A$1:$T$117"}</definedName>
    <definedName name="g_3" localSheetId="8" hidden="1">{"'vert'!$A$1:$T$117"}</definedName>
    <definedName name="g_3" localSheetId="5" hidden="1">{"'vert'!$A$1:$T$117"}</definedName>
    <definedName name="g_3" hidden="1">{"'vert'!$A$1:$T$117"}</definedName>
    <definedName name="g_3_1" localSheetId="8" hidden="1">{"'vert'!$A$1:$T$117"}</definedName>
    <definedName name="g_3_1" localSheetId="5" hidden="1">{"'vert'!$A$1:$T$117"}</definedName>
    <definedName name="g_3_1" hidden="1">{"'vert'!$A$1:$T$117"}</definedName>
    <definedName name="g_4" localSheetId="8" hidden="1">{"'vert'!$A$1:$T$117"}</definedName>
    <definedName name="g_4" localSheetId="5" hidden="1">{"'vert'!$A$1:$T$117"}</definedName>
    <definedName name="g_4" hidden="1">{"'vert'!$A$1:$T$117"}</definedName>
    <definedName name="GalleryPages">[21]Traffic!$A$20:$IV$20</definedName>
    <definedName name="gasagag_1" localSheetId="8" hidden="1">{"'vert'!$A$1:$T$117"}</definedName>
    <definedName name="gasagag_1" localSheetId="5" hidden="1">{"'vert'!$A$1:$T$117"}</definedName>
    <definedName name="gasagag_1" hidden="1">{"'vert'!$A$1:$T$117"}</definedName>
    <definedName name="gasagag_1_1" localSheetId="8" hidden="1">{"'vert'!$A$1:$T$117"}</definedName>
    <definedName name="gasagag_1_1" localSheetId="5" hidden="1">{"'vert'!$A$1:$T$117"}</definedName>
    <definedName name="gasagag_1_1" hidden="1">{"'vert'!$A$1:$T$117"}</definedName>
    <definedName name="gasagag_1_2" localSheetId="8" hidden="1">{"'vert'!$A$1:$T$117"}</definedName>
    <definedName name="gasagag_1_2" localSheetId="5" hidden="1">{"'vert'!$A$1:$T$117"}</definedName>
    <definedName name="gasagag_1_2" hidden="1">{"'vert'!$A$1:$T$117"}</definedName>
    <definedName name="gasagag_2" localSheetId="8" hidden="1">{"'vert'!$A$1:$T$117"}</definedName>
    <definedName name="gasagag_2" localSheetId="5" hidden="1">{"'vert'!$A$1:$T$117"}</definedName>
    <definedName name="gasagag_2" hidden="1">{"'vert'!$A$1:$T$117"}</definedName>
    <definedName name="gasagag_3" localSheetId="8" hidden="1">{"'vert'!$A$1:$T$117"}</definedName>
    <definedName name="gasagag_3" localSheetId="5" hidden="1">{"'vert'!$A$1:$T$117"}</definedName>
    <definedName name="gasagag_3" hidden="1">{"'vert'!$A$1:$T$117"}</definedName>
    <definedName name="GatewayPages">[21]Traffic!$A$19:$IV$19</definedName>
    <definedName name="GBP">[11]Admin!$AG$9</definedName>
    <definedName name="GBP_to_USD">[20]FX!$B$1</definedName>
    <definedName name="gfd" localSheetId="8" hidden="1">{"FCB_ALL",#N/A,FALSE,"FCB";"GREY_ALL",#N/A,FALSE,"GREY"}</definedName>
    <definedName name="gfd" localSheetId="5" hidden="1">{"FCB_ALL",#N/A,FALSE,"FCB";"GREY_ALL",#N/A,FALSE,"GREY"}</definedName>
    <definedName name="gfd" hidden="1">{"FCB_ALL",#N/A,FALSE,"FCB";"GREY_ALL",#N/A,FALSE,"GREY"}</definedName>
    <definedName name="ghjgh" localSheetId="8" hidden="1">{"'vert'!$A$1:$T$117"}</definedName>
    <definedName name="ghjgh" localSheetId="5" hidden="1">{"'vert'!$A$1:$T$117"}</definedName>
    <definedName name="ghjgh" hidden="1">{"'vert'!$A$1:$T$117"}</definedName>
    <definedName name="GMS_Band">'[14]3P GMS YTD MS'!$AA$2:$AA$1048576</definedName>
    <definedName name="gms_ttm">'[14]3P GMS YTD MS'!$E$2:$E$1048576</definedName>
    <definedName name="grap" hidden="1">#REF!</definedName>
    <definedName name="grapa" hidden="1">#REF!</definedName>
    <definedName name="gre" localSheetId="8" hidden="1">{"'vert'!$A$1:$T$117"}</definedName>
    <definedName name="gre" localSheetId="5" hidden="1">{"'vert'!$A$1:$T$117"}</definedName>
    <definedName name="gre" hidden="1">{"'vert'!$A$1:$T$117"}</definedName>
    <definedName name="gre_1" localSheetId="8" hidden="1">{"'vert'!$A$1:$T$117"}</definedName>
    <definedName name="gre_1" localSheetId="5" hidden="1">{"'vert'!$A$1:$T$117"}</definedName>
    <definedName name="gre_1" hidden="1">{"'vert'!$A$1:$T$117"}</definedName>
    <definedName name="gre_1_1" localSheetId="8" hidden="1">{"'vert'!$A$1:$T$117"}</definedName>
    <definedName name="gre_1_1" localSheetId="5" hidden="1">{"'vert'!$A$1:$T$117"}</definedName>
    <definedName name="gre_1_1" hidden="1">{"'vert'!$A$1:$T$117"}</definedName>
    <definedName name="gre_1_2" localSheetId="8" hidden="1">{"'vert'!$A$1:$T$117"}</definedName>
    <definedName name="gre_1_2" localSheetId="5" hidden="1">{"'vert'!$A$1:$T$117"}</definedName>
    <definedName name="gre_1_2" hidden="1">{"'vert'!$A$1:$T$117"}</definedName>
    <definedName name="gre_2" localSheetId="8" hidden="1">{"'vert'!$A$1:$T$117"}</definedName>
    <definedName name="gre_2" localSheetId="5" hidden="1">{"'vert'!$A$1:$T$117"}</definedName>
    <definedName name="gre_2" hidden="1">{"'vert'!$A$1:$T$117"}</definedName>
    <definedName name="gre_3" localSheetId="8" hidden="1">{"'vert'!$A$1:$T$117"}</definedName>
    <definedName name="gre_3" localSheetId="5" hidden="1">{"'vert'!$A$1:$T$117"}</definedName>
    <definedName name="gre_3" hidden="1">{"'vert'!$A$1:$T$117"}</definedName>
    <definedName name="H" localSheetId="8">{"'vert'!$A$1:$T$117"}</definedName>
    <definedName name="H" localSheetId="5">{"'vert'!$A$1:$T$117"}</definedName>
    <definedName name="H">{"'vert'!$A$1:$T$117"}</definedName>
    <definedName name="h_1" localSheetId="8" hidden="1">{"'vert'!$A$1:$T$117"}</definedName>
    <definedName name="h_1" localSheetId="5" hidden="1">{"'vert'!$A$1:$T$117"}</definedName>
    <definedName name="h_1" hidden="1">{"'vert'!$A$1:$T$117"}</definedName>
    <definedName name="h_1_1" localSheetId="8" hidden="1">{"'vert'!$A$1:$T$117"}</definedName>
    <definedName name="h_1_1" localSheetId="5" hidden="1">{"'vert'!$A$1:$T$117"}</definedName>
    <definedName name="h_1_1" hidden="1">{"'vert'!$A$1:$T$117"}</definedName>
    <definedName name="h_1_2" localSheetId="8" hidden="1">{"'vert'!$A$1:$T$117"}</definedName>
    <definedName name="h_1_2" localSheetId="5" hidden="1">{"'vert'!$A$1:$T$117"}</definedName>
    <definedName name="h_1_2" hidden="1">{"'vert'!$A$1:$T$117"}</definedName>
    <definedName name="h_2" localSheetId="8" hidden="1">{"'vert'!$A$1:$T$117"}</definedName>
    <definedName name="h_2" localSheetId="5" hidden="1">{"'vert'!$A$1:$T$117"}</definedName>
    <definedName name="h_2" hidden="1">{"'vert'!$A$1:$T$117"}</definedName>
    <definedName name="h_3" localSheetId="8" hidden="1">{"'vert'!$A$1:$T$117"}</definedName>
    <definedName name="h_3" localSheetId="5" hidden="1">{"'vert'!$A$1:$T$117"}</definedName>
    <definedName name="h_3" hidden="1">{"'vert'!$A$1:$T$117"}</definedName>
    <definedName name="hack" localSheetId="8" hidden="1">{"'weekly data'!$A$2:$AS$36"}</definedName>
    <definedName name="hack" localSheetId="5" hidden="1">{"'weekly data'!$A$2:$AS$36"}</definedName>
    <definedName name="hack" hidden="1">{"'weekly data'!$A$2:$AS$36"}</definedName>
    <definedName name="hack_1" localSheetId="8" hidden="1">{"'weekly data'!$A$2:$AS$36"}</definedName>
    <definedName name="hack_1" localSheetId="5" hidden="1">{"'weekly data'!$A$2:$AS$36"}</definedName>
    <definedName name="hack_1" hidden="1">{"'weekly data'!$A$2:$AS$36"}</definedName>
    <definedName name="hack_1_1" localSheetId="8" hidden="1">{"'weekly data'!$A$2:$AS$36"}</definedName>
    <definedName name="hack_1_1" localSheetId="5" hidden="1">{"'weekly data'!$A$2:$AS$36"}</definedName>
    <definedName name="hack_1_1" hidden="1">{"'weekly data'!$A$2:$AS$36"}</definedName>
    <definedName name="hack_1_1_1" localSheetId="8" hidden="1">{"'weekly data'!$A$2:$AS$36"}</definedName>
    <definedName name="hack_1_1_1" localSheetId="5" hidden="1">{"'weekly data'!$A$2:$AS$36"}</definedName>
    <definedName name="hack_1_1_1" hidden="1">{"'weekly data'!$A$2:$AS$36"}</definedName>
    <definedName name="hack_1_2" localSheetId="8" hidden="1">{"'weekly data'!$A$2:$AS$36"}</definedName>
    <definedName name="hack_1_2" localSheetId="5" hidden="1">{"'weekly data'!$A$2:$AS$36"}</definedName>
    <definedName name="hack_1_2" hidden="1">{"'weekly data'!$A$2:$AS$36"}</definedName>
    <definedName name="hack_2" localSheetId="8" hidden="1">{"'weekly data'!$A$2:$AS$36"}</definedName>
    <definedName name="hack_2" localSheetId="5" hidden="1">{"'weekly data'!$A$2:$AS$36"}</definedName>
    <definedName name="hack_2" hidden="1">{"'weekly data'!$A$2:$AS$36"}</definedName>
    <definedName name="hack_2_1" localSheetId="8" hidden="1">{"'weekly data'!$A$2:$AS$36"}</definedName>
    <definedName name="hack_2_1" localSheetId="5" hidden="1">{"'weekly data'!$A$2:$AS$36"}</definedName>
    <definedName name="hack_2_1" hidden="1">{"'weekly data'!$A$2:$AS$36"}</definedName>
    <definedName name="hack_2_1_1" localSheetId="8" hidden="1">{"'weekly data'!$A$2:$AS$36"}</definedName>
    <definedName name="hack_2_1_1" localSheetId="5" hidden="1">{"'weekly data'!$A$2:$AS$36"}</definedName>
    <definedName name="hack_2_1_1" hidden="1">{"'weekly data'!$A$2:$AS$36"}</definedName>
    <definedName name="hack_2_2" localSheetId="8" hidden="1">{"'weekly data'!$A$2:$AS$36"}</definedName>
    <definedName name="hack_2_2" localSheetId="5" hidden="1">{"'weekly data'!$A$2:$AS$36"}</definedName>
    <definedName name="hack_2_2" hidden="1">{"'weekly data'!$A$2:$AS$36"}</definedName>
    <definedName name="hack_3" localSheetId="8" hidden="1">{"'weekly data'!$A$2:$AS$36"}</definedName>
    <definedName name="hack_3" localSheetId="5" hidden="1">{"'weekly data'!$A$2:$AS$36"}</definedName>
    <definedName name="hack_3" hidden="1">{"'weekly data'!$A$2:$AS$36"}</definedName>
    <definedName name="hack_3_1" localSheetId="8" hidden="1">{"'weekly data'!$A$2:$AS$36"}</definedName>
    <definedName name="hack_3_1" localSheetId="5" hidden="1">{"'weekly data'!$A$2:$AS$36"}</definedName>
    <definedName name="hack_3_1" hidden="1">{"'weekly data'!$A$2:$AS$36"}</definedName>
    <definedName name="hack_4" localSheetId="8" hidden="1">{"'weekly data'!$A$2:$AS$36"}</definedName>
    <definedName name="hack_4" localSheetId="5" hidden="1">{"'weekly data'!$A$2:$AS$36"}</definedName>
    <definedName name="hack_4" hidden="1">{"'weekly data'!$A$2:$AS$36"}</definedName>
    <definedName name="helmut" localSheetId="8" hidden="1">{"'vert'!$A$1:$T$117"}</definedName>
    <definedName name="helmut" localSheetId="5" hidden="1">{"'vert'!$A$1:$T$117"}</definedName>
    <definedName name="helmut" hidden="1">{"'vert'!$A$1:$T$117"}</definedName>
    <definedName name="helmut_1" localSheetId="8" hidden="1">{"'vert'!$A$1:$T$117"}</definedName>
    <definedName name="helmut_1" localSheetId="5" hidden="1">{"'vert'!$A$1:$T$117"}</definedName>
    <definedName name="helmut_1" hidden="1">{"'vert'!$A$1:$T$117"}</definedName>
    <definedName name="helmut_1_1" localSheetId="8" hidden="1">{"'vert'!$A$1:$T$117"}</definedName>
    <definedName name="helmut_1_1" localSheetId="5" hidden="1">{"'vert'!$A$1:$T$117"}</definedName>
    <definedName name="helmut_1_1" hidden="1">{"'vert'!$A$1:$T$117"}</definedName>
    <definedName name="helmut_1_1_1" localSheetId="8" hidden="1">{"'vert'!$A$1:$T$117"}</definedName>
    <definedName name="helmut_1_1_1" localSheetId="5" hidden="1">{"'vert'!$A$1:$T$117"}</definedName>
    <definedName name="helmut_1_1_1" hidden="1">{"'vert'!$A$1:$T$117"}</definedName>
    <definedName name="helmut_1_2" localSheetId="8" hidden="1">{"'vert'!$A$1:$T$117"}</definedName>
    <definedName name="helmut_1_2" localSheetId="5" hidden="1">{"'vert'!$A$1:$T$117"}</definedName>
    <definedName name="helmut_1_2" hidden="1">{"'vert'!$A$1:$T$117"}</definedName>
    <definedName name="helmut_2" localSheetId="8" hidden="1">{"'vert'!$A$1:$T$117"}</definedName>
    <definedName name="helmut_2" localSheetId="5" hidden="1">{"'vert'!$A$1:$T$117"}</definedName>
    <definedName name="helmut_2" hidden="1">{"'vert'!$A$1:$T$117"}</definedName>
    <definedName name="helmut_2_1" localSheetId="8" hidden="1">{"'vert'!$A$1:$T$117"}</definedName>
    <definedName name="helmut_2_1" localSheetId="5" hidden="1">{"'vert'!$A$1:$T$117"}</definedName>
    <definedName name="helmut_2_1" hidden="1">{"'vert'!$A$1:$T$117"}</definedName>
    <definedName name="helmut_2_1_1" localSheetId="8" hidden="1">{"'vert'!$A$1:$T$117"}</definedName>
    <definedName name="helmut_2_1_1" localSheetId="5" hidden="1">{"'vert'!$A$1:$T$117"}</definedName>
    <definedName name="helmut_2_1_1" hidden="1">{"'vert'!$A$1:$T$117"}</definedName>
    <definedName name="helmut_2_2" localSheetId="8" hidden="1">{"'vert'!$A$1:$T$117"}</definedName>
    <definedName name="helmut_2_2" localSheetId="5" hidden="1">{"'vert'!$A$1:$T$117"}</definedName>
    <definedName name="helmut_2_2" hidden="1">{"'vert'!$A$1:$T$117"}</definedName>
    <definedName name="helmut_3" localSheetId="8" hidden="1">{"'vert'!$A$1:$T$117"}</definedName>
    <definedName name="helmut_3" localSheetId="5" hidden="1">{"'vert'!$A$1:$T$117"}</definedName>
    <definedName name="helmut_3" hidden="1">{"'vert'!$A$1:$T$117"}</definedName>
    <definedName name="helmut_3_1" localSheetId="8" hidden="1">{"'vert'!$A$1:$T$117"}</definedName>
    <definedName name="helmut_3_1" localSheetId="5" hidden="1">{"'vert'!$A$1:$T$117"}</definedName>
    <definedName name="helmut_3_1" hidden="1">{"'vert'!$A$1:$T$117"}</definedName>
    <definedName name="helmut_4" localSheetId="8" hidden="1">{"'vert'!$A$1:$T$117"}</definedName>
    <definedName name="helmut_4" localSheetId="5" hidden="1">{"'vert'!$A$1:$T$117"}</definedName>
    <definedName name="helmut_4" hidden="1">{"'vert'!$A$1:$T$117"}</definedName>
    <definedName name="help" localSheetId="8" hidden="1">{"'vert'!$A$1:$T$117"}</definedName>
    <definedName name="help" localSheetId="5" hidden="1">{"'vert'!$A$1:$T$117"}</definedName>
    <definedName name="help" hidden="1">{"'vert'!$A$1:$T$117"}</definedName>
    <definedName name="help_1" localSheetId="8" hidden="1">{"'vert'!$A$1:$T$117"}</definedName>
    <definedName name="help_1" localSheetId="5" hidden="1">{"'vert'!$A$1:$T$117"}</definedName>
    <definedName name="help_1" hidden="1">{"'vert'!$A$1:$T$117"}</definedName>
    <definedName name="help_1_1" localSheetId="8" hidden="1">{"'vert'!$A$1:$T$117"}</definedName>
    <definedName name="help_1_1" localSheetId="5" hidden="1">{"'vert'!$A$1:$T$117"}</definedName>
    <definedName name="help_1_1" hidden="1">{"'vert'!$A$1:$T$117"}</definedName>
    <definedName name="help_1_1_1" localSheetId="8" hidden="1">{"'vert'!$A$1:$T$117"}</definedName>
    <definedName name="help_1_1_1" localSheetId="5" hidden="1">{"'vert'!$A$1:$T$117"}</definedName>
    <definedName name="help_1_1_1" hidden="1">{"'vert'!$A$1:$T$117"}</definedName>
    <definedName name="help_1_2" localSheetId="8" hidden="1">{"'vert'!$A$1:$T$117"}</definedName>
    <definedName name="help_1_2" localSheetId="5" hidden="1">{"'vert'!$A$1:$T$117"}</definedName>
    <definedName name="help_1_2" hidden="1">{"'vert'!$A$1:$T$117"}</definedName>
    <definedName name="help_2" localSheetId="8" hidden="1">{"'vert'!$A$1:$T$117"}</definedName>
    <definedName name="help_2" localSheetId="5" hidden="1">{"'vert'!$A$1:$T$117"}</definedName>
    <definedName name="help_2" hidden="1">{"'vert'!$A$1:$T$117"}</definedName>
    <definedName name="help_2_1" localSheetId="8" hidden="1">{"'vert'!$A$1:$T$117"}</definedName>
    <definedName name="help_2_1" localSheetId="5" hidden="1">{"'vert'!$A$1:$T$117"}</definedName>
    <definedName name="help_2_1" hidden="1">{"'vert'!$A$1:$T$117"}</definedName>
    <definedName name="help_2_1_1" localSheetId="8" hidden="1">{"'vert'!$A$1:$T$117"}</definedName>
    <definedName name="help_2_1_1" localSheetId="5" hidden="1">{"'vert'!$A$1:$T$117"}</definedName>
    <definedName name="help_2_1_1" hidden="1">{"'vert'!$A$1:$T$117"}</definedName>
    <definedName name="help_2_2" localSheetId="8" hidden="1">{"'vert'!$A$1:$T$117"}</definedName>
    <definedName name="help_2_2" localSheetId="5" hidden="1">{"'vert'!$A$1:$T$117"}</definedName>
    <definedName name="help_2_2" hidden="1">{"'vert'!$A$1:$T$117"}</definedName>
    <definedName name="help_3" localSheetId="8" hidden="1">{"'vert'!$A$1:$T$117"}</definedName>
    <definedName name="help_3" localSheetId="5" hidden="1">{"'vert'!$A$1:$T$117"}</definedName>
    <definedName name="help_3" hidden="1">{"'vert'!$A$1:$T$117"}</definedName>
    <definedName name="help_3_1" localSheetId="8" hidden="1">{"'vert'!$A$1:$T$117"}</definedName>
    <definedName name="help_3_1" localSheetId="5" hidden="1">{"'vert'!$A$1:$T$117"}</definedName>
    <definedName name="help_3_1" hidden="1">{"'vert'!$A$1:$T$117"}</definedName>
    <definedName name="help_4" localSheetId="8" hidden="1">{"'vert'!$A$1:$T$117"}</definedName>
    <definedName name="help_4" localSheetId="5" hidden="1">{"'vert'!$A$1:$T$117"}</definedName>
    <definedName name="help_4" hidden="1">{"'vert'!$A$1:$T$117"}</definedName>
    <definedName name="hh" localSheetId="8" hidden="1">{#N/A,#N/A,FALSE,"Sheet1"}</definedName>
    <definedName name="hh" localSheetId="5" hidden="1">{#N/A,#N/A,FALSE,"Sheet1"}</definedName>
    <definedName name="hh" hidden="1">{#N/A,#N/A,FALSE,"Sheet1"}</definedName>
    <definedName name="hhh" localSheetId="8" hidden="1">{"FCB_ALL",#N/A,FALSE,"FCB"}</definedName>
    <definedName name="hhh" localSheetId="5" hidden="1">{"FCB_ALL",#N/A,FALSE,"FCB"}</definedName>
    <definedName name="hhh" hidden="1">{"FCB_ALL",#N/A,FALSE,"FCB"}</definedName>
    <definedName name="hhhhh" localSheetId="8" hidden="1">{"'vert'!$A$1:$T$117"}</definedName>
    <definedName name="hhhhh" localSheetId="5" hidden="1">{"'vert'!$A$1:$T$117"}</definedName>
    <definedName name="hhhhh" hidden="1">{"'vert'!$A$1:$T$117"}</definedName>
    <definedName name="hhhhh_1" localSheetId="8" hidden="1">{"'vert'!$A$1:$T$117"}</definedName>
    <definedName name="hhhhh_1" localSheetId="5" hidden="1">{"'vert'!$A$1:$T$117"}</definedName>
    <definedName name="hhhhh_1" hidden="1">{"'vert'!$A$1:$T$117"}</definedName>
    <definedName name="hhhhh_1_1" localSheetId="8" hidden="1">{"'vert'!$A$1:$T$117"}</definedName>
    <definedName name="hhhhh_1_1" localSheetId="5" hidden="1">{"'vert'!$A$1:$T$117"}</definedName>
    <definedName name="hhhhh_1_1" hidden="1">{"'vert'!$A$1:$T$117"}</definedName>
    <definedName name="hhhhh_1_1_1" localSheetId="8" hidden="1">{"'vert'!$A$1:$T$117"}</definedName>
    <definedName name="hhhhh_1_1_1" localSheetId="5" hidden="1">{"'vert'!$A$1:$T$117"}</definedName>
    <definedName name="hhhhh_1_1_1" hidden="1">{"'vert'!$A$1:$T$117"}</definedName>
    <definedName name="hhhhh_1_2" localSheetId="8" hidden="1">{"'vert'!$A$1:$T$117"}</definedName>
    <definedName name="hhhhh_1_2" localSheetId="5" hidden="1">{"'vert'!$A$1:$T$117"}</definedName>
    <definedName name="hhhhh_1_2" hidden="1">{"'vert'!$A$1:$T$117"}</definedName>
    <definedName name="hhhhh_2" localSheetId="8" hidden="1">{"'vert'!$A$1:$T$117"}</definedName>
    <definedName name="hhhhh_2" localSheetId="5" hidden="1">{"'vert'!$A$1:$T$117"}</definedName>
    <definedName name="hhhhh_2" hidden="1">{"'vert'!$A$1:$T$117"}</definedName>
    <definedName name="hhhhh_2_1" localSheetId="8" hidden="1">{"'vert'!$A$1:$T$117"}</definedName>
    <definedName name="hhhhh_2_1" localSheetId="5" hidden="1">{"'vert'!$A$1:$T$117"}</definedName>
    <definedName name="hhhhh_2_1" hidden="1">{"'vert'!$A$1:$T$117"}</definedName>
    <definedName name="hhhhh_2_1_1" localSheetId="8" hidden="1">{"'vert'!$A$1:$T$117"}</definedName>
    <definedName name="hhhhh_2_1_1" localSheetId="5" hidden="1">{"'vert'!$A$1:$T$117"}</definedName>
    <definedName name="hhhhh_2_1_1" hidden="1">{"'vert'!$A$1:$T$117"}</definedName>
    <definedName name="hhhhh_2_2" localSheetId="8" hidden="1">{"'vert'!$A$1:$T$117"}</definedName>
    <definedName name="hhhhh_2_2" localSheetId="5" hidden="1">{"'vert'!$A$1:$T$117"}</definedName>
    <definedName name="hhhhh_2_2" hidden="1">{"'vert'!$A$1:$T$117"}</definedName>
    <definedName name="hhhhh_3" localSheetId="8" hidden="1">{"'vert'!$A$1:$T$117"}</definedName>
    <definedName name="hhhhh_3" localSheetId="5" hidden="1">{"'vert'!$A$1:$T$117"}</definedName>
    <definedName name="hhhhh_3" hidden="1">{"'vert'!$A$1:$T$117"}</definedName>
    <definedName name="hhhhh_3_1" localSheetId="8" hidden="1">{"'vert'!$A$1:$T$117"}</definedName>
    <definedName name="hhhhh_3_1" localSheetId="5" hidden="1">{"'vert'!$A$1:$T$117"}</definedName>
    <definedName name="hhhhh_3_1" hidden="1">{"'vert'!$A$1:$T$117"}</definedName>
    <definedName name="hhhhh_4" localSheetId="8" hidden="1">{"'vert'!$A$1:$T$117"}</definedName>
    <definedName name="hhhhh_4" localSheetId="5" hidden="1">{"'vert'!$A$1:$T$117"}</definedName>
    <definedName name="hhhhh_4" hidden="1">{"'vert'!$A$1:$T$117"}</definedName>
    <definedName name="hiuyuyoyi" localSheetId="8" hidden="1">{"'vert'!$A$1:$T$117"}</definedName>
    <definedName name="hiuyuyoyi" localSheetId="5" hidden="1">{"'vert'!$A$1:$T$117"}</definedName>
    <definedName name="hiuyuyoyi" hidden="1">{"'vert'!$A$1:$T$117"}</definedName>
    <definedName name="HLOOKUP_TABLE">[22]Admin!$L$3:$O$19</definedName>
    <definedName name="Home">"Home"</definedName>
    <definedName name="htm" localSheetId="8" hidden="1">{"'vert'!$A$1:$T$117"}</definedName>
    <definedName name="htm" localSheetId="5" hidden="1">{"'vert'!$A$1:$T$117"}</definedName>
    <definedName name="htm" hidden="1">{"'vert'!$A$1:$T$117"}</definedName>
    <definedName name="htm_1" localSheetId="8" hidden="1">{"'vert'!$A$1:$T$117"}</definedName>
    <definedName name="htm_1" localSheetId="5" hidden="1">{"'vert'!$A$1:$T$117"}</definedName>
    <definedName name="htm_1" hidden="1">{"'vert'!$A$1:$T$117"}</definedName>
    <definedName name="htm_1_1" localSheetId="8" hidden="1">{"'vert'!$A$1:$T$117"}</definedName>
    <definedName name="htm_1_1" localSheetId="5" hidden="1">{"'vert'!$A$1:$T$117"}</definedName>
    <definedName name="htm_1_1" hidden="1">{"'vert'!$A$1:$T$117"}</definedName>
    <definedName name="htm_1_1_1" localSheetId="8" hidden="1">{"'vert'!$A$1:$T$117"}</definedName>
    <definedName name="htm_1_1_1" localSheetId="5" hidden="1">{"'vert'!$A$1:$T$117"}</definedName>
    <definedName name="htm_1_1_1" hidden="1">{"'vert'!$A$1:$T$117"}</definedName>
    <definedName name="htm_1_2" localSheetId="8" hidden="1">{"'vert'!$A$1:$T$117"}</definedName>
    <definedName name="htm_1_2" localSheetId="5" hidden="1">{"'vert'!$A$1:$T$117"}</definedName>
    <definedName name="htm_1_2" hidden="1">{"'vert'!$A$1:$T$117"}</definedName>
    <definedName name="htm_2" localSheetId="8" hidden="1">{"'vert'!$A$1:$T$117"}</definedName>
    <definedName name="htm_2" localSheetId="5" hidden="1">{"'vert'!$A$1:$T$117"}</definedName>
    <definedName name="htm_2" hidden="1">{"'vert'!$A$1:$T$117"}</definedName>
    <definedName name="htm_2_1" localSheetId="8" hidden="1">{"'vert'!$A$1:$T$117"}</definedName>
    <definedName name="htm_2_1" localSheetId="5" hidden="1">{"'vert'!$A$1:$T$117"}</definedName>
    <definedName name="htm_2_1" hidden="1">{"'vert'!$A$1:$T$117"}</definedName>
    <definedName name="htm_2_1_1" localSheetId="8" hidden="1">{"'vert'!$A$1:$T$117"}</definedName>
    <definedName name="htm_2_1_1" localSheetId="5" hidden="1">{"'vert'!$A$1:$T$117"}</definedName>
    <definedName name="htm_2_1_1" hidden="1">{"'vert'!$A$1:$T$117"}</definedName>
    <definedName name="htm_2_2" localSheetId="8" hidden="1">{"'vert'!$A$1:$T$117"}</definedName>
    <definedName name="htm_2_2" localSheetId="5" hidden="1">{"'vert'!$A$1:$T$117"}</definedName>
    <definedName name="htm_2_2" hidden="1">{"'vert'!$A$1:$T$117"}</definedName>
    <definedName name="htm_3" localSheetId="8" hidden="1">{"'vert'!$A$1:$T$117"}</definedName>
    <definedName name="htm_3" localSheetId="5" hidden="1">{"'vert'!$A$1:$T$117"}</definedName>
    <definedName name="htm_3" hidden="1">{"'vert'!$A$1:$T$117"}</definedName>
    <definedName name="htm_3_1" localSheetId="8" hidden="1">{"'vert'!$A$1:$T$117"}</definedName>
    <definedName name="htm_3_1" localSheetId="5" hidden="1">{"'vert'!$A$1:$T$117"}</definedName>
    <definedName name="htm_3_1" hidden="1">{"'vert'!$A$1:$T$117"}</definedName>
    <definedName name="htm_4" localSheetId="8" hidden="1">{"'vert'!$A$1:$T$117"}</definedName>
    <definedName name="htm_4" localSheetId="5" hidden="1">{"'vert'!$A$1:$T$117"}</definedName>
    <definedName name="htm_4" hidden="1">{"'vert'!$A$1:$T$117"}</definedName>
    <definedName name="HTML_CodePage" hidden="1">1252</definedName>
    <definedName name="HTML_Cont" localSheetId="8" hidden="1">{"'vert'!$A$1:$T$117"}</definedName>
    <definedName name="HTML_Cont" localSheetId="5" hidden="1">{"'vert'!$A$1:$T$117"}</definedName>
    <definedName name="HTML_Cont" hidden="1">{"'vert'!$A$1:$T$117"}</definedName>
    <definedName name="HTML_Cont_1" localSheetId="8" hidden="1">{"'vert'!$A$1:$T$117"}</definedName>
    <definedName name="HTML_Cont_1" localSheetId="5" hidden="1">{"'vert'!$A$1:$T$117"}</definedName>
    <definedName name="HTML_Cont_1" hidden="1">{"'vert'!$A$1:$T$117"}</definedName>
    <definedName name="HTML_Cont_1_1" localSheetId="8" hidden="1">{"'vert'!$A$1:$T$117"}</definedName>
    <definedName name="HTML_Cont_1_1" localSheetId="5" hidden="1">{"'vert'!$A$1:$T$117"}</definedName>
    <definedName name="HTML_Cont_1_1" hidden="1">{"'vert'!$A$1:$T$117"}</definedName>
    <definedName name="HTML_Cont_1_1_1" localSheetId="8" hidden="1">{"'vert'!$A$1:$T$117"}</definedName>
    <definedName name="HTML_Cont_1_1_1" localSheetId="5" hidden="1">{"'vert'!$A$1:$T$117"}</definedName>
    <definedName name="HTML_Cont_1_1_1" hidden="1">{"'vert'!$A$1:$T$117"}</definedName>
    <definedName name="HTML_Cont_1_1_1_1" localSheetId="8" hidden="1">{"'vert'!$A$1:$T$117"}</definedName>
    <definedName name="HTML_Cont_1_1_1_1" localSheetId="5" hidden="1">{"'vert'!$A$1:$T$117"}</definedName>
    <definedName name="HTML_Cont_1_1_1_1" hidden="1">{"'vert'!$A$1:$T$117"}</definedName>
    <definedName name="HTML_Cont_1_1_2" localSheetId="8" hidden="1">{"'vert'!$A$1:$T$117"}</definedName>
    <definedName name="HTML_Cont_1_1_2" localSheetId="5" hidden="1">{"'vert'!$A$1:$T$117"}</definedName>
    <definedName name="HTML_Cont_1_1_2" hidden="1">{"'vert'!$A$1:$T$117"}</definedName>
    <definedName name="HTML_Cont_1_2" localSheetId="8" hidden="1">{"'vert'!$A$1:$T$117"}</definedName>
    <definedName name="HTML_Cont_1_2" localSheetId="5" hidden="1">{"'vert'!$A$1:$T$117"}</definedName>
    <definedName name="HTML_Cont_1_2" hidden="1">{"'vert'!$A$1:$T$117"}</definedName>
    <definedName name="HTML_Cont_1_2_1" localSheetId="8" hidden="1">{"'vert'!$A$1:$T$117"}</definedName>
    <definedName name="HTML_Cont_1_2_1" localSheetId="5" hidden="1">{"'vert'!$A$1:$T$117"}</definedName>
    <definedName name="HTML_Cont_1_2_1" hidden="1">{"'vert'!$A$1:$T$117"}</definedName>
    <definedName name="HTML_Cont_1_2_1_1" localSheetId="8" hidden="1">{"'vert'!$A$1:$T$117"}</definedName>
    <definedName name="HTML_Cont_1_2_1_1" localSheetId="5" hidden="1">{"'vert'!$A$1:$T$117"}</definedName>
    <definedName name="HTML_Cont_1_2_1_1" hidden="1">{"'vert'!$A$1:$T$117"}</definedName>
    <definedName name="HTML_Cont_1_2_2" localSheetId="8" hidden="1">{"'vert'!$A$1:$T$117"}</definedName>
    <definedName name="HTML_Cont_1_2_2" localSheetId="5" hidden="1">{"'vert'!$A$1:$T$117"}</definedName>
    <definedName name="HTML_Cont_1_2_2" hidden="1">{"'vert'!$A$1:$T$117"}</definedName>
    <definedName name="HTML_Cont_1_3" localSheetId="8" hidden="1">{"'vert'!$A$1:$T$117"}</definedName>
    <definedName name="HTML_Cont_1_3" localSheetId="5" hidden="1">{"'vert'!$A$1:$T$117"}</definedName>
    <definedName name="HTML_Cont_1_3" hidden="1">{"'vert'!$A$1:$T$117"}</definedName>
    <definedName name="HTML_Cont_1_3_1" localSheetId="8" hidden="1">{"'vert'!$A$1:$T$117"}</definedName>
    <definedName name="HTML_Cont_1_3_1" localSheetId="5" hidden="1">{"'vert'!$A$1:$T$117"}</definedName>
    <definedName name="HTML_Cont_1_3_1" hidden="1">{"'vert'!$A$1:$T$117"}</definedName>
    <definedName name="HTML_Cont_1_4" localSheetId="8" hidden="1">{"'vert'!$A$1:$T$117"}</definedName>
    <definedName name="HTML_Cont_1_4" localSheetId="5" hidden="1">{"'vert'!$A$1:$T$117"}</definedName>
    <definedName name="HTML_Cont_1_4" hidden="1">{"'vert'!$A$1:$T$117"}</definedName>
    <definedName name="HTML_Cont_2" localSheetId="8" hidden="1">{"'vert'!$A$1:$T$117"}</definedName>
    <definedName name="HTML_Cont_2" localSheetId="5" hidden="1">{"'vert'!$A$1:$T$117"}</definedName>
    <definedName name="HTML_Cont_2" hidden="1">{"'vert'!$A$1:$T$117"}</definedName>
    <definedName name="HTML_Cont_2_1" localSheetId="8" hidden="1">{"'vert'!$A$1:$T$117"}</definedName>
    <definedName name="HTML_Cont_2_1" localSheetId="5" hidden="1">{"'vert'!$A$1:$T$117"}</definedName>
    <definedName name="HTML_Cont_2_1" hidden="1">{"'vert'!$A$1:$T$117"}</definedName>
    <definedName name="HTML_Cont_2_1_1" localSheetId="8" hidden="1">{"'vert'!$A$1:$T$117"}</definedName>
    <definedName name="HTML_Cont_2_1_1" localSheetId="5" hidden="1">{"'vert'!$A$1:$T$117"}</definedName>
    <definedName name="HTML_Cont_2_1_1" hidden="1">{"'vert'!$A$1:$T$117"}</definedName>
    <definedName name="HTML_Cont_2_2" localSheetId="8" hidden="1">{"'vert'!$A$1:$T$117"}</definedName>
    <definedName name="HTML_Cont_2_2" localSheetId="5" hidden="1">{"'vert'!$A$1:$T$117"}</definedName>
    <definedName name="HTML_Cont_2_2" hidden="1">{"'vert'!$A$1:$T$117"}</definedName>
    <definedName name="HTML_Cont_3" localSheetId="8" hidden="1">{"'vert'!$A$1:$T$117"}</definedName>
    <definedName name="HTML_Cont_3" localSheetId="5" hidden="1">{"'vert'!$A$1:$T$117"}</definedName>
    <definedName name="HTML_Cont_3" hidden="1">{"'vert'!$A$1:$T$117"}</definedName>
    <definedName name="HTML_Cont_3_1" localSheetId="8" hidden="1">{"'vert'!$A$1:$T$117"}</definedName>
    <definedName name="HTML_Cont_3_1" localSheetId="5" hidden="1">{"'vert'!$A$1:$T$117"}</definedName>
    <definedName name="HTML_Cont_3_1" hidden="1">{"'vert'!$A$1:$T$117"}</definedName>
    <definedName name="HTML_Cont_3_1_1" localSheetId="8" hidden="1">{"'vert'!$A$1:$T$117"}</definedName>
    <definedName name="HTML_Cont_3_1_1" localSheetId="5" hidden="1">{"'vert'!$A$1:$T$117"}</definedName>
    <definedName name="HTML_Cont_3_1_1" hidden="1">{"'vert'!$A$1:$T$117"}</definedName>
    <definedName name="HTML_Cont_3_2" localSheetId="8" hidden="1">{"'vert'!$A$1:$T$117"}</definedName>
    <definedName name="HTML_Cont_3_2" localSheetId="5" hidden="1">{"'vert'!$A$1:$T$117"}</definedName>
    <definedName name="HTML_Cont_3_2" hidden="1">{"'vert'!$A$1:$T$117"}</definedName>
    <definedName name="HTML_Cont_4" localSheetId="8" hidden="1">{"'vert'!$A$1:$T$117"}</definedName>
    <definedName name="HTML_Cont_4" localSheetId="5" hidden="1">{"'vert'!$A$1:$T$117"}</definedName>
    <definedName name="HTML_Cont_4" hidden="1">{"'vert'!$A$1:$T$117"}</definedName>
    <definedName name="HTML_Cont_4_1" localSheetId="8" hidden="1">{"'vert'!$A$1:$T$117"}</definedName>
    <definedName name="HTML_Cont_4_1" localSheetId="5" hidden="1">{"'vert'!$A$1:$T$117"}</definedName>
    <definedName name="HTML_Cont_4_1" hidden="1">{"'vert'!$A$1:$T$117"}</definedName>
    <definedName name="HTML_Cont_5" localSheetId="8" hidden="1">{"'vert'!$A$1:$T$117"}</definedName>
    <definedName name="HTML_Cont_5" localSheetId="5" hidden="1">{"'vert'!$A$1:$T$117"}</definedName>
    <definedName name="HTML_Cont_5" hidden="1">{"'vert'!$A$1:$T$117"}</definedName>
    <definedName name="HTML_Cont2" localSheetId="8" hidden="1">{"'vert'!$A$1:$T$117"}</definedName>
    <definedName name="HTML_Cont2" localSheetId="5" hidden="1">{"'vert'!$A$1:$T$117"}</definedName>
    <definedName name="HTML_Cont2" hidden="1">{"'vert'!$A$1:$T$117"}</definedName>
    <definedName name="html_contnew" localSheetId="8" hidden="1">{"'vert'!$A$1:$T$117"}</definedName>
    <definedName name="html_contnew" localSheetId="5" hidden="1">{"'vert'!$A$1:$T$117"}</definedName>
    <definedName name="html_contnew" hidden="1">{"'vert'!$A$1:$T$117"}</definedName>
    <definedName name="HTML_Control" localSheetId="8" hidden="1">{"'vert'!$A$1:$T$117"}</definedName>
    <definedName name="HTML_Control" localSheetId="5" hidden="1">{"'vert'!$A$1:$T$117"}</definedName>
    <definedName name="HTML_Control" hidden="1">{"'vert'!$A$1:$T$117"}</definedName>
    <definedName name="HTML_Control_1" localSheetId="8" hidden="1">{"'vert'!$A$1:$T$117"}</definedName>
    <definedName name="HTML_Control_1" localSheetId="5" hidden="1">{"'vert'!$A$1:$T$117"}</definedName>
    <definedName name="HTML_Control_1" hidden="1">{"'vert'!$A$1:$T$117"}</definedName>
    <definedName name="HTML_Control_1_1" localSheetId="8" hidden="1">{"'vert'!$A$1:$T$117"}</definedName>
    <definedName name="HTML_Control_1_1" localSheetId="5" hidden="1">{"'vert'!$A$1:$T$117"}</definedName>
    <definedName name="HTML_Control_1_1" hidden="1">{"'vert'!$A$1:$T$117"}</definedName>
    <definedName name="HTML_Control_1_1_1" localSheetId="8" hidden="1">{"'vert'!$A$1:$T$117"}</definedName>
    <definedName name="HTML_Control_1_1_1" localSheetId="5" hidden="1">{"'vert'!$A$1:$T$117"}</definedName>
    <definedName name="HTML_Control_1_1_1" hidden="1">{"'vert'!$A$1:$T$117"}</definedName>
    <definedName name="HTML_Control_1_1_1_1" localSheetId="8" hidden="1">{"'vert'!$A$1:$T$117"}</definedName>
    <definedName name="HTML_Control_1_1_1_1" localSheetId="5" hidden="1">{"'vert'!$A$1:$T$117"}</definedName>
    <definedName name="HTML_Control_1_1_1_1" hidden="1">{"'vert'!$A$1:$T$117"}</definedName>
    <definedName name="HTML_Control_1_1_2" localSheetId="8" hidden="1">{"'vert'!$A$1:$T$117"}</definedName>
    <definedName name="HTML_Control_1_1_2" localSheetId="5" hidden="1">{"'vert'!$A$1:$T$117"}</definedName>
    <definedName name="HTML_Control_1_1_2" hidden="1">{"'vert'!$A$1:$T$117"}</definedName>
    <definedName name="HTML_Control_1_2" localSheetId="8" hidden="1">{"'vert'!$A$1:$T$117"}</definedName>
    <definedName name="HTML_Control_1_2" localSheetId="5" hidden="1">{"'vert'!$A$1:$T$117"}</definedName>
    <definedName name="HTML_Control_1_2" hidden="1">{"'vert'!$A$1:$T$117"}</definedName>
    <definedName name="HTML_Control_1_2_1" localSheetId="8" hidden="1">{"'vert'!$A$1:$T$117"}</definedName>
    <definedName name="HTML_Control_1_2_1" localSheetId="5" hidden="1">{"'vert'!$A$1:$T$117"}</definedName>
    <definedName name="HTML_Control_1_2_1" hidden="1">{"'vert'!$A$1:$T$117"}</definedName>
    <definedName name="HTML_Control_1_2_1_1" localSheetId="8" hidden="1">{"'vert'!$A$1:$T$117"}</definedName>
    <definedName name="HTML_Control_1_2_1_1" localSheetId="5" hidden="1">{"'vert'!$A$1:$T$117"}</definedName>
    <definedName name="HTML_Control_1_2_1_1" hidden="1">{"'vert'!$A$1:$T$117"}</definedName>
    <definedName name="HTML_Control_1_2_2" localSheetId="8" hidden="1">{"'vert'!$A$1:$T$117"}</definedName>
    <definedName name="HTML_Control_1_2_2" localSheetId="5" hidden="1">{"'vert'!$A$1:$T$117"}</definedName>
    <definedName name="HTML_Control_1_2_2" hidden="1">{"'vert'!$A$1:$T$117"}</definedName>
    <definedName name="HTML_Control_1_3" localSheetId="8" hidden="1">{"'vert'!$A$1:$T$117"}</definedName>
    <definedName name="HTML_Control_1_3" localSheetId="5" hidden="1">{"'vert'!$A$1:$T$117"}</definedName>
    <definedName name="HTML_Control_1_3" hidden="1">{"'vert'!$A$1:$T$117"}</definedName>
    <definedName name="HTML_Control_1_3_1" localSheetId="8" hidden="1">{"'vert'!$A$1:$T$117"}</definedName>
    <definedName name="HTML_Control_1_3_1" localSheetId="5" hidden="1">{"'vert'!$A$1:$T$117"}</definedName>
    <definedName name="HTML_Control_1_3_1" hidden="1">{"'vert'!$A$1:$T$117"}</definedName>
    <definedName name="HTML_Control_1_4" localSheetId="8" hidden="1">{"'vert'!$A$1:$T$117"}</definedName>
    <definedName name="HTML_Control_1_4" localSheetId="5" hidden="1">{"'vert'!$A$1:$T$117"}</definedName>
    <definedName name="HTML_Control_1_4" hidden="1">{"'vert'!$A$1:$T$117"}</definedName>
    <definedName name="HTML_Control_2" localSheetId="8" hidden="1">{"'vert'!$A$1:$T$117"}</definedName>
    <definedName name="HTML_Control_2" localSheetId="5" hidden="1">{"'vert'!$A$1:$T$117"}</definedName>
    <definedName name="HTML_Control_2" hidden="1">{"'vert'!$A$1:$T$117"}</definedName>
    <definedName name="HTML_Control_2_1" localSheetId="8" hidden="1">{"'vert'!$A$1:$T$117"}</definedName>
    <definedName name="HTML_Control_2_1" localSheetId="5" hidden="1">{"'vert'!$A$1:$T$117"}</definedName>
    <definedName name="HTML_Control_2_1" hidden="1">{"'vert'!$A$1:$T$117"}</definedName>
    <definedName name="HTML_Control_2_1_1" localSheetId="8" hidden="1">{"'vert'!$A$1:$T$117"}</definedName>
    <definedName name="HTML_Control_2_1_1" localSheetId="5" hidden="1">{"'vert'!$A$1:$T$117"}</definedName>
    <definedName name="HTML_Control_2_1_1" hidden="1">{"'vert'!$A$1:$T$117"}</definedName>
    <definedName name="HTML_Control_2_1_1_1" localSheetId="8" hidden="1">{"'vert'!$A$1:$T$117"}</definedName>
    <definedName name="HTML_Control_2_1_1_1" localSheetId="5" hidden="1">{"'vert'!$A$1:$T$117"}</definedName>
    <definedName name="HTML_Control_2_1_1_1" hidden="1">{"'vert'!$A$1:$T$117"}</definedName>
    <definedName name="HTML_Control_2_1_2" localSheetId="8" hidden="1">{"'vert'!$A$1:$T$117"}</definedName>
    <definedName name="HTML_Control_2_1_2" localSheetId="5" hidden="1">{"'vert'!$A$1:$T$117"}</definedName>
    <definedName name="HTML_Control_2_1_2" hidden="1">{"'vert'!$A$1:$T$117"}</definedName>
    <definedName name="HTML_Control_2_2" localSheetId="8" hidden="1">{"'vert'!$A$1:$T$117"}</definedName>
    <definedName name="HTML_Control_2_2" localSheetId="5" hidden="1">{"'vert'!$A$1:$T$117"}</definedName>
    <definedName name="HTML_Control_2_2" hidden="1">{"'vert'!$A$1:$T$117"}</definedName>
    <definedName name="HTML_Control_2_2_1" localSheetId="8" hidden="1">{"'vert'!$A$1:$T$117"}</definedName>
    <definedName name="HTML_Control_2_2_1" localSheetId="5" hidden="1">{"'vert'!$A$1:$T$117"}</definedName>
    <definedName name="HTML_Control_2_2_1" hidden="1">{"'vert'!$A$1:$T$117"}</definedName>
    <definedName name="HTML_Control_2_2_1_1" localSheetId="8" hidden="1">{"'vert'!$A$1:$T$117"}</definedName>
    <definedName name="HTML_Control_2_2_1_1" localSheetId="5" hidden="1">{"'vert'!$A$1:$T$117"}</definedName>
    <definedName name="HTML_Control_2_2_1_1" hidden="1">{"'vert'!$A$1:$T$117"}</definedName>
    <definedName name="HTML_Control_2_2_2" localSheetId="8" hidden="1">{"'vert'!$A$1:$T$117"}</definedName>
    <definedName name="HTML_Control_2_2_2" localSheetId="5" hidden="1">{"'vert'!$A$1:$T$117"}</definedName>
    <definedName name="HTML_Control_2_2_2" hidden="1">{"'vert'!$A$1:$T$117"}</definedName>
    <definedName name="HTML_Control_2_3" localSheetId="8" hidden="1">{"'vert'!$A$1:$T$117"}</definedName>
    <definedName name="HTML_Control_2_3" localSheetId="5" hidden="1">{"'vert'!$A$1:$T$117"}</definedName>
    <definedName name="HTML_Control_2_3" hidden="1">{"'vert'!$A$1:$T$117"}</definedName>
    <definedName name="HTML_Control_2_3_1" localSheetId="8" hidden="1">{"'vert'!$A$1:$T$117"}</definedName>
    <definedName name="HTML_Control_2_3_1" localSheetId="5" hidden="1">{"'vert'!$A$1:$T$117"}</definedName>
    <definedName name="HTML_Control_2_3_1" hidden="1">{"'vert'!$A$1:$T$117"}</definedName>
    <definedName name="HTML_Control_2_4" localSheetId="8" hidden="1">{"'vert'!$A$1:$T$117"}</definedName>
    <definedName name="HTML_Control_2_4" localSheetId="5" hidden="1">{"'vert'!$A$1:$T$117"}</definedName>
    <definedName name="HTML_Control_2_4" hidden="1">{"'vert'!$A$1:$T$117"}</definedName>
    <definedName name="HTML_Control_3" localSheetId="8" hidden="1">{"'weekly data'!$A$2:$AS$36"}</definedName>
    <definedName name="HTML_Control_3" localSheetId="5" hidden="1">{"'weekly data'!$A$2:$AS$36"}</definedName>
    <definedName name="HTML_Control_3" hidden="1">{"'weekly data'!$A$2:$AS$36"}</definedName>
    <definedName name="HTML_Control_3_1" localSheetId="8" hidden="1">{"'weekly data'!$A$2:$AS$36"}</definedName>
    <definedName name="HTML_Control_3_1" localSheetId="5" hidden="1">{"'weekly data'!$A$2:$AS$36"}</definedName>
    <definedName name="HTML_Control_3_1" hidden="1">{"'weekly data'!$A$2:$AS$36"}</definedName>
    <definedName name="HTML_Control_3_1_1" localSheetId="8" hidden="1">{"'weekly data'!$A$2:$AS$36"}</definedName>
    <definedName name="HTML_Control_3_1_1" localSheetId="5" hidden="1">{"'weekly data'!$A$2:$AS$36"}</definedName>
    <definedName name="HTML_Control_3_1_1" hidden="1">{"'weekly data'!$A$2:$AS$36"}</definedName>
    <definedName name="HTML_Control_3_2" localSheetId="8" hidden="1">{"'weekly data'!$A$2:$AS$36"}</definedName>
    <definedName name="HTML_Control_3_2" localSheetId="5" hidden="1">{"'weekly data'!$A$2:$AS$36"}</definedName>
    <definedName name="HTML_Control_3_2" hidden="1">{"'weekly data'!$A$2:$AS$36"}</definedName>
    <definedName name="HTML_Control_4" localSheetId="8" hidden="1">{"'weekly data'!$A$2:$AS$36"}</definedName>
    <definedName name="HTML_Control_4" localSheetId="5" hidden="1">{"'weekly data'!$A$2:$AS$36"}</definedName>
    <definedName name="HTML_Control_4" hidden="1">{"'weekly data'!$A$2:$AS$36"}</definedName>
    <definedName name="HTML_Control_4_1" localSheetId="8" hidden="1">{"'weekly data'!$A$2:$AS$36"}</definedName>
    <definedName name="HTML_Control_4_1" localSheetId="5" hidden="1">{"'weekly data'!$A$2:$AS$36"}</definedName>
    <definedName name="HTML_Control_4_1" hidden="1">{"'weekly data'!$A$2:$AS$36"}</definedName>
    <definedName name="HTML_Control_4_1_1" localSheetId="8" hidden="1">{"'weekly data'!$A$2:$AS$36"}</definedName>
    <definedName name="HTML_Control_4_1_1" localSheetId="5" hidden="1">{"'weekly data'!$A$2:$AS$36"}</definedName>
    <definedName name="HTML_Control_4_1_1" hidden="1">{"'weekly data'!$A$2:$AS$36"}</definedName>
    <definedName name="HTML_Control_4_2" localSheetId="8" hidden="1">{"'weekly data'!$A$2:$AS$36"}</definedName>
    <definedName name="HTML_Control_4_2" localSheetId="5" hidden="1">{"'weekly data'!$A$2:$AS$36"}</definedName>
    <definedName name="HTML_Control_4_2" hidden="1">{"'weekly data'!$A$2:$AS$36"}</definedName>
    <definedName name="HTML_Control_5" localSheetId="8" hidden="1">{"'weekly data'!$A$2:$AS$36"}</definedName>
    <definedName name="HTML_Control_5" localSheetId="5" hidden="1">{"'weekly data'!$A$2:$AS$36"}</definedName>
    <definedName name="HTML_Control_5" hidden="1">{"'weekly data'!$A$2:$AS$36"}</definedName>
    <definedName name="HTML_Control_5_1" localSheetId="8" hidden="1">{"'weekly data'!$A$2:$AS$36"}</definedName>
    <definedName name="HTML_Control_5_1" localSheetId="5" hidden="1">{"'weekly data'!$A$2:$AS$36"}</definedName>
    <definedName name="HTML_Control_5_1" hidden="1">{"'weekly data'!$A$2:$AS$36"}</definedName>
    <definedName name="HTML_Control1" localSheetId="8" hidden="1">{"'vert'!$A$1:$T$117"}</definedName>
    <definedName name="HTML_Control1" localSheetId="5" hidden="1">{"'vert'!$A$1:$T$117"}</definedName>
    <definedName name="HTML_Control1" hidden="1">{"'vert'!$A$1:$T$117"}</definedName>
    <definedName name="HTML_Control1_1" localSheetId="8" hidden="1">{"'vert'!$A$1:$T$117"}</definedName>
    <definedName name="HTML_Control1_1" localSheetId="5" hidden="1">{"'vert'!$A$1:$T$117"}</definedName>
    <definedName name="HTML_Control1_1" hidden="1">{"'vert'!$A$1:$T$117"}</definedName>
    <definedName name="HTML_Control1_1_1" localSheetId="8" hidden="1">{"'vert'!$A$1:$T$117"}</definedName>
    <definedName name="HTML_Control1_1_1" localSheetId="5" hidden="1">{"'vert'!$A$1:$T$117"}</definedName>
    <definedName name="HTML_Control1_1_1" hidden="1">{"'vert'!$A$1:$T$117"}</definedName>
    <definedName name="HTML_Control1_1_1_1" localSheetId="8" hidden="1">{"'vert'!$A$1:$T$117"}</definedName>
    <definedName name="HTML_Control1_1_1_1" localSheetId="5" hidden="1">{"'vert'!$A$1:$T$117"}</definedName>
    <definedName name="HTML_Control1_1_1_1" hidden="1">{"'vert'!$A$1:$T$117"}</definedName>
    <definedName name="HTML_Control1_1_2" localSheetId="8" hidden="1">{"'vert'!$A$1:$T$117"}</definedName>
    <definedName name="HTML_Control1_1_2" localSheetId="5" hidden="1">{"'vert'!$A$1:$T$117"}</definedName>
    <definedName name="HTML_Control1_1_2" hidden="1">{"'vert'!$A$1:$T$117"}</definedName>
    <definedName name="HTML_Control1_2" localSheetId="8" hidden="1">{"'vert'!$A$1:$T$117"}</definedName>
    <definedName name="HTML_Control1_2" localSheetId="5" hidden="1">{"'vert'!$A$1:$T$117"}</definedName>
    <definedName name="HTML_Control1_2" hidden="1">{"'vert'!$A$1:$T$117"}</definedName>
    <definedName name="HTML_Control1_2_1" localSheetId="8" hidden="1">{"'vert'!$A$1:$T$117"}</definedName>
    <definedName name="HTML_Control1_2_1" localSheetId="5" hidden="1">{"'vert'!$A$1:$T$117"}</definedName>
    <definedName name="HTML_Control1_2_1" hidden="1">{"'vert'!$A$1:$T$117"}</definedName>
    <definedName name="HTML_Control1_2_1_1" localSheetId="8" hidden="1">{"'vert'!$A$1:$T$117"}</definedName>
    <definedName name="HTML_Control1_2_1_1" localSheetId="5" hidden="1">{"'vert'!$A$1:$T$117"}</definedName>
    <definedName name="HTML_Control1_2_1_1" hidden="1">{"'vert'!$A$1:$T$117"}</definedName>
    <definedName name="HTML_Control1_2_2" localSheetId="8" hidden="1">{"'vert'!$A$1:$T$117"}</definedName>
    <definedName name="HTML_Control1_2_2" localSheetId="5" hidden="1">{"'vert'!$A$1:$T$117"}</definedName>
    <definedName name="HTML_Control1_2_2" hidden="1">{"'vert'!$A$1:$T$117"}</definedName>
    <definedName name="HTML_Control1_3" localSheetId="8" hidden="1">{"'vert'!$A$1:$T$117"}</definedName>
    <definedName name="HTML_Control1_3" localSheetId="5" hidden="1">{"'vert'!$A$1:$T$117"}</definedName>
    <definedName name="HTML_Control1_3" hidden="1">{"'vert'!$A$1:$T$117"}</definedName>
    <definedName name="HTML_Control1_3_1" localSheetId="8" hidden="1">{"'vert'!$A$1:$T$117"}</definedName>
    <definedName name="HTML_Control1_3_1" localSheetId="5" hidden="1">{"'vert'!$A$1:$T$117"}</definedName>
    <definedName name="HTML_Control1_3_1" hidden="1">{"'vert'!$A$1:$T$117"}</definedName>
    <definedName name="HTML_Control1_4" localSheetId="8" hidden="1">{"'vert'!$A$1:$T$117"}</definedName>
    <definedName name="HTML_Control1_4" localSheetId="5" hidden="1">{"'vert'!$A$1:$T$117"}</definedName>
    <definedName name="HTML_Control1_4" hidden="1">{"'vert'!$A$1:$T$117"}</definedName>
    <definedName name="HTML_control2" localSheetId="8" hidden="1">{"'weekly data'!$A$2:$AS$36"}</definedName>
    <definedName name="HTML_control2" localSheetId="5" hidden="1">{"'weekly data'!$A$2:$AS$36"}</definedName>
    <definedName name="HTML_control2" hidden="1">{"'weekly data'!$A$2:$AS$36"}</definedName>
    <definedName name="HTML_control2_1" localSheetId="8" hidden="1">{"'weekly data'!$A$2:$AS$36"}</definedName>
    <definedName name="HTML_control2_1" localSheetId="5" hidden="1">{"'weekly data'!$A$2:$AS$36"}</definedName>
    <definedName name="HTML_control2_1" hidden="1">{"'weekly data'!$A$2:$AS$36"}</definedName>
    <definedName name="HTML_control2_1_1" localSheetId="8" hidden="1">{"'weekly data'!$A$2:$AS$36"}</definedName>
    <definedName name="HTML_control2_1_1" localSheetId="5" hidden="1">{"'weekly data'!$A$2:$AS$36"}</definedName>
    <definedName name="HTML_control2_1_1" hidden="1">{"'weekly data'!$A$2:$AS$36"}</definedName>
    <definedName name="HTML_control2_1_1_1" localSheetId="8" hidden="1">{"'weekly data'!$A$2:$AS$36"}</definedName>
    <definedName name="HTML_control2_1_1_1" localSheetId="5" hidden="1">{"'weekly data'!$A$2:$AS$36"}</definedName>
    <definedName name="HTML_control2_1_1_1" hidden="1">{"'weekly data'!$A$2:$AS$36"}</definedName>
    <definedName name="HTML_control2_1_2" localSheetId="8" hidden="1">{"'weekly data'!$A$2:$AS$36"}</definedName>
    <definedName name="HTML_control2_1_2" localSheetId="5" hidden="1">{"'weekly data'!$A$2:$AS$36"}</definedName>
    <definedName name="HTML_control2_1_2" hidden="1">{"'weekly data'!$A$2:$AS$36"}</definedName>
    <definedName name="HTML_control2_2" localSheetId="8" hidden="1">{"'weekly data'!$A$2:$AS$36"}</definedName>
    <definedName name="HTML_control2_2" localSheetId="5" hidden="1">{"'weekly data'!$A$2:$AS$36"}</definedName>
    <definedName name="HTML_control2_2" hidden="1">{"'weekly data'!$A$2:$AS$36"}</definedName>
    <definedName name="HTML_control2_2_1" localSheetId="8" hidden="1">{"'weekly data'!$A$2:$AS$36"}</definedName>
    <definedName name="HTML_control2_2_1" localSheetId="5" hidden="1">{"'weekly data'!$A$2:$AS$36"}</definedName>
    <definedName name="HTML_control2_2_1" hidden="1">{"'weekly data'!$A$2:$AS$36"}</definedName>
    <definedName name="HTML_control2_2_1_1" localSheetId="8" hidden="1">{"'weekly data'!$A$2:$AS$36"}</definedName>
    <definedName name="HTML_control2_2_1_1" localSheetId="5" hidden="1">{"'weekly data'!$A$2:$AS$36"}</definedName>
    <definedName name="HTML_control2_2_1_1" hidden="1">{"'weekly data'!$A$2:$AS$36"}</definedName>
    <definedName name="HTML_control2_2_2" localSheetId="8" hidden="1">{"'weekly data'!$A$2:$AS$36"}</definedName>
    <definedName name="HTML_control2_2_2" localSheetId="5" hidden="1">{"'weekly data'!$A$2:$AS$36"}</definedName>
    <definedName name="HTML_control2_2_2" hidden="1">{"'weekly data'!$A$2:$AS$36"}</definedName>
    <definedName name="HTML_control2_3" localSheetId="8" hidden="1">{"'weekly data'!$A$2:$AS$36"}</definedName>
    <definedName name="HTML_control2_3" localSheetId="5" hidden="1">{"'weekly data'!$A$2:$AS$36"}</definedName>
    <definedName name="HTML_control2_3" hidden="1">{"'weekly data'!$A$2:$AS$36"}</definedName>
    <definedName name="HTML_control2_3_1" localSheetId="8" hidden="1">{"'weekly data'!$A$2:$AS$36"}</definedName>
    <definedName name="HTML_control2_3_1" localSheetId="5" hidden="1">{"'weekly data'!$A$2:$AS$36"}</definedName>
    <definedName name="HTML_control2_3_1" hidden="1">{"'weekly data'!$A$2:$AS$36"}</definedName>
    <definedName name="HTML_control2_4" localSheetId="8" hidden="1">{"'weekly data'!$A$2:$AS$36"}</definedName>
    <definedName name="HTML_control2_4" localSheetId="5" hidden="1">{"'weekly data'!$A$2:$AS$36"}</definedName>
    <definedName name="HTML_control2_4" hidden="1">{"'weekly data'!$A$2:$AS$36"}</definedName>
    <definedName name="HTML_Control3" localSheetId="8" hidden="1">{"'weekly data'!$A$2:$AS$36"}</definedName>
    <definedName name="HTML_Control3" localSheetId="5" hidden="1">{"'weekly data'!$A$2:$AS$36"}</definedName>
    <definedName name="HTML_Control3" hidden="1">{"'weekly data'!$A$2:$AS$36"}</definedName>
    <definedName name="HTML_Control3_1" localSheetId="8" hidden="1">{"'weekly data'!$A$2:$AS$36"}</definedName>
    <definedName name="HTML_Control3_1" localSheetId="5" hidden="1">{"'weekly data'!$A$2:$AS$36"}</definedName>
    <definedName name="HTML_Control3_1" hidden="1">{"'weekly data'!$A$2:$AS$36"}</definedName>
    <definedName name="HTML_Control3_1_1" localSheetId="8" hidden="1">{"'weekly data'!$A$2:$AS$36"}</definedName>
    <definedName name="HTML_Control3_1_1" localSheetId="5" hidden="1">{"'weekly data'!$A$2:$AS$36"}</definedName>
    <definedName name="HTML_Control3_1_1" hidden="1">{"'weekly data'!$A$2:$AS$36"}</definedName>
    <definedName name="HTML_Control3_1_1_1" localSheetId="8" hidden="1">{"'weekly data'!$A$2:$AS$36"}</definedName>
    <definedName name="HTML_Control3_1_1_1" localSheetId="5" hidden="1">{"'weekly data'!$A$2:$AS$36"}</definedName>
    <definedName name="HTML_Control3_1_1_1" hidden="1">{"'weekly data'!$A$2:$AS$36"}</definedName>
    <definedName name="HTML_Control3_1_2" localSheetId="8" hidden="1">{"'weekly data'!$A$2:$AS$36"}</definedName>
    <definedName name="HTML_Control3_1_2" localSheetId="5" hidden="1">{"'weekly data'!$A$2:$AS$36"}</definedName>
    <definedName name="HTML_Control3_1_2" hidden="1">{"'weekly data'!$A$2:$AS$36"}</definedName>
    <definedName name="HTML_Control3_2" localSheetId="8" hidden="1">{"'weekly data'!$A$2:$AS$36"}</definedName>
    <definedName name="HTML_Control3_2" localSheetId="5" hidden="1">{"'weekly data'!$A$2:$AS$36"}</definedName>
    <definedName name="HTML_Control3_2" hidden="1">{"'weekly data'!$A$2:$AS$36"}</definedName>
    <definedName name="HTML_Control3_2_1" localSheetId="8" hidden="1">{"'weekly data'!$A$2:$AS$36"}</definedName>
    <definedName name="HTML_Control3_2_1" localSheetId="5" hidden="1">{"'weekly data'!$A$2:$AS$36"}</definedName>
    <definedName name="HTML_Control3_2_1" hidden="1">{"'weekly data'!$A$2:$AS$36"}</definedName>
    <definedName name="HTML_Control3_2_1_1" localSheetId="8" hidden="1">{"'weekly data'!$A$2:$AS$36"}</definedName>
    <definedName name="HTML_Control3_2_1_1" localSheetId="5" hidden="1">{"'weekly data'!$A$2:$AS$36"}</definedName>
    <definedName name="HTML_Control3_2_1_1" hidden="1">{"'weekly data'!$A$2:$AS$36"}</definedName>
    <definedName name="HTML_Control3_2_2" localSheetId="8" hidden="1">{"'weekly data'!$A$2:$AS$36"}</definedName>
    <definedName name="HTML_Control3_2_2" localSheetId="5" hidden="1">{"'weekly data'!$A$2:$AS$36"}</definedName>
    <definedName name="HTML_Control3_2_2" hidden="1">{"'weekly data'!$A$2:$AS$36"}</definedName>
    <definedName name="HTML_Control3_3" localSheetId="8" hidden="1">{"'weekly data'!$A$2:$AS$36"}</definedName>
    <definedName name="HTML_Control3_3" localSheetId="5" hidden="1">{"'weekly data'!$A$2:$AS$36"}</definedName>
    <definedName name="HTML_Control3_3" hidden="1">{"'weekly data'!$A$2:$AS$36"}</definedName>
    <definedName name="HTML_Control3_3_1" localSheetId="8" hidden="1">{"'weekly data'!$A$2:$AS$36"}</definedName>
    <definedName name="HTML_Control3_3_1" localSheetId="5" hidden="1">{"'weekly data'!$A$2:$AS$36"}</definedName>
    <definedName name="HTML_Control3_3_1" hidden="1">{"'weekly data'!$A$2:$AS$36"}</definedName>
    <definedName name="HTML_Control3_4" localSheetId="8" hidden="1">{"'weekly data'!$A$2:$AS$36"}</definedName>
    <definedName name="HTML_Control3_4" localSheetId="5" hidden="1">{"'weekly data'!$A$2:$AS$36"}</definedName>
    <definedName name="HTML_Control3_4" hidden="1">{"'weekly data'!$A$2:$AS$36"}</definedName>
    <definedName name="HTML_Control4" localSheetId="8" hidden="1">{"'weekly data'!$A$2:$AS$36"}</definedName>
    <definedName name="HTML_Control4" localSheetId="5" hidden="1">{"'weekly data'!$A$2:$AS$36"}</definedName>
    <definedName name="HTML_Control4" hidden="1">{"'weekly data'!$A$2:$AS$36"}</definedName>
    <definedName name="HTML_Control4_1" localSheetId="8" hidden="1">{"'weekly data'!$A$2:$AS$36"}</definedName>
    <definedName name="HTML_Control4_1" localSheetId="5" hidden="1">{"'weekly data'!$A$2:$AS$36"}</definedName>
    <definedName name="HTML_Control4_1" hidden="1">{"'weekly data'!$A$2:$AS$36"}</definedName>
    <definedName name="HTML_Control4_1_1" localSheetId="8" hidden="1">{"'weekly data'!$A$2:$AS$36"}</definedName>
    <definedName name="HTML_Control4_1_1" localSheetId="5" hidden="1">{"'weekly data'!$A$2:$AS$36"}</definedName>
    <definedName name="HTML_Control4_1_1" hidden="1">{"'weekly data'!$A$2:$AS$36"}</definedName>
    <definedName name="HTML_Control4_1_1_1" localSheetId="8" hidden="1">{"'weekly data'!$A$2:$AS$36"}</definedName>
    <definedName name="HTML_Control4_1_1_1" localSheetId="5" hidden="1">{"'weekly data'!$A$2:$AS$36"}</definedName>
    <definedName name="HTML_Control4_1_1_1" hidden="1">{"'weekly data'!$A$2:$AS$36"}</definedName>
    <definedName name="HTML_Control4_1_2" localSheetId="8" hidden="1">{"'weekly data'!$A$2:$AS$36"}</definedName>
    <definedName name="HTML_Control4_1_2" localSheetId="5" hidden="1">{"'weekly data'!$A$2:$AS$36"}</definedName>
    <definedName name="HTML_Control4_1_2" hidden="1">{"'weekly data'!$A$2:$AS$36"}</definedName>
    <definedName name="HTML_Control4_2" localSheetId="8" hidden="1">{"'weekly data'!$A$2:$AS$36"}</definedName>
    <definedName name="HTML_Control4_2" localSheetId="5" hidden="1">{"'weekly data'!$A$2:$AS$36"}</definedName>
    <definedName name="HTML_Control4_2" hidden="1">{"'weekly data'!$A$2:$AS$36"}</definedName>
    <definedName name="HTML_Control4_2_1" localSheetId="8" hidden="1">{"'weekly data'!$A$2:$AS$36"}</definedName>
    <definedName name="HTML_Control4_2_1" localSheetId="5" hidden="1">{"'weekly data'!$A$2:$AS$36"}</definedName>
    <definedName name="HTML_Control4_2_1" hidden="1">{"'weekly data'!$A$2:$AS$36"}</definedName>
    <definedName name="HTML_Control4_2_1_1" localSheetId="8" hidden="1">{"'weekly data'!$A$2:$AS$36"}</definedName>
    <definedName name="HTML_Control4_2_1_1" localSheetId="5" hidden="1">{"'weekly data'!$A$2:$AS$36"}</definedName>
    <definedName name="HTML_Control4_2_1_1" hidden="1">{"'weekly data'!$A$2:$AS$36"}</definedName>
    <definedName name="HTML_Control4_2_2" localSheetId="8" hidden="1">{"'weekly data'!$A$2:$AS$36"}</definedName>
    <definedName name="HTML_Control4_2_2" localSheetId="5" hidden="1">{"'weekly data'!$A$2:$AS$36"}</definedName>
    <definedName name="HTML_Control4_2_2" hidden="1">{"'weekly data'!$A$2:$AS$36"}</definedName>
    <definedName name="HTML_Control4_3" localSheetId="8" hidden="1">{"'weekly data'!$A$2:$AS$36"}</definedName>
    <definedName name="HTML_Control4_3" localSheetId="5" hidden="1">{"'weekly data'!$A$2:$AS$36"}</definedName>
    <definedName name="HTML_Control4_3" hidden="1">{"'weekly data'!$A$2:$AS$36"}</definedName>
    <definedName name="HTML_Control4_3_1" localSheetId="8" hidden="1">{"'weekly data'!$A$2:$AS$36"}</definedName>
    <definedName name="HTML_Control4_3_1" localSheetId="5" hidden="1">{"'weekly data'!$A$2:$AS$36"}</definedName>
    <definedName name="HTML_Control4_3_1" hidden="1">{"'weekly data'!$A$2:$AS$36"}</definedName>
    <definedName name="HTML_Control4_4" localSheetId="8" hidden="1">{"'weekly data'!$A$2:$AS$36"}</definedName>
    <definedName name="HTML_Control4_4" localSheetId="5" hidden="1">{"'weekly data'!$A$2:$AS$36"}</definedName>
    <definedName name="HTML_Control4_4" hidden="1">{"'weekly data'!$A$2:$AS$36"}</definedName>
    <definedName name="HTML_Description" hidden="1">""</definedName>
    <definedName name="HTML_Email" hidden="1">""</definedName>
    <definedName name="HTML_Header" hidden="1">"CS holiday scorecard"</definedName>
    <definedName name="HTML_LastUpdate" hidden="1">"10/25/00"</definedName>
    <definedName name="HTML_LineAfter" hidden="1">FALSE</definedName>
    <definedName name="HTML_LineBefore" hidden="1">FALSE</definedName>
    <definedName name="HTML_Name" hidden="1">"emily alford"</definedName>
    <definedName name="HTML_OBDlg2" hidden="1">TRUE</definedName>
    <definedName name="HTML_OBDlg4" hidden="1">TRUE</definedName>
    <definedName name="HTML_OS" hidden="1">0</definedName>
    <definedName name="HTML_PathFile" hidden="1">"I:\dept\cs\us\manager\metrics\secure\holidayscorecard.html.htm"</definedName>
    <definedName name="HTML_Title" hidden="1">"CS holiday scorecard"</definedName>
    <definedName name="HTML1_1" hidden="1">"[TB9.XLS]St_tot_94_95!$A$1:$J$428"</definedName>
    <definedName name="HTML1_10" hidden="1">""</definedName>
    <definedName name="HTML1_11" hidden="1">1</definedName>
    <definedName name="HTML1_12" hidden="1">"F:\USERS\ECON\Census95\Int\T9ST.htm"</definedName>
    <definedName name="HTML1_2" hidden="1">1</definedName>
    <definedName name="HTML1_3" hidden="1">""</definedName>
    <definedName name="HTML1_4" hidden="1">""</definedName>
    <definedName name="HTML1_5" hidden="1">""</definedName>
    <definedName name="HTML1_6" hidden="1">-4146</definedName>
    <definedName name="HTML1_7" hidden="1">-4146</definedName>
    <definedName name="HTML1_8" hidden="1">"2/17/98"</definedName>
    <definedName name="HTML1_9" hidden="1">"BPH"</definedName>
    <definedName name="HTML2_1" hidden="1">"[TB9.XLS]St_tot_94_95!$A$1:$J$427"</definedName>
    <definedName name="HTML2_10" hidden="1">""</definedName>
    <definedName name="HTML2_11" hidden="1">1</definedName>
    <definedName name="HTML2_12" hidden="1">"F:\USERS\ECON\Census95\Int\T9ST.htm"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-4146</definedName>
    <definedName name="HTML2_8" hidden="1">"2/17/98"</definedName>
    <definedName name="HTML2_9" hidden="1">"BPH"</definedName>
    <definedName name="HTML3_1" hidden="1">"[TB9.XLS]St_tot_94_95!$A$1:$H$427"</definedName>
    <definedName name="HTML3_10" hidden="1">""</definedName>
    <definedName name="HTML3_11" hidden="1">1</definedName>
    <definedName name="HTML3_12" hidden="1">"F:\USERS\ECON\Census95\Int\T9st.htm"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-4146</definedName>
    <definedName name="HTML3_7" hidden="1">-4146</definedName>
    <definedName name="HTML3_8" hidden="1">"2/17/98"</definedName>
    <definedName name="HTML3_9" hidden="1">"BPH"</definedName>
    <definedName name="HTMLCount" hidden="1">3</definedName>
    <definedName name="huh?????" localSheetId="8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huh?????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huh?????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huh?????_1" localSheetId="8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huh?????_1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huh?????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huh?????_1_1" localSheetId="8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huh?????_1_1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huh?????_1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huh?????_1_1_1" localSheetId="8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huh?????_1_1_1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huh?????_1_1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huh?????_1_2" localSheetId="8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huh?????_1_2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huh?????_1_2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huh?????_2" localSheetId="8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huh?????_2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huh?????_2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huh?????_2_1" localSheetId="8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huh?????_2_1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huh?????_2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huh?????_2_1_1" localSheetId="8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huh?????_2_1_1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huh?????_2_1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huh?????_2_2" localSheetId="8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huh?????_2_2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huh?????_2_2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huh?????_3" localSheetId="8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huh?????_3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huh?????_3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huh?????_3_1" localSheetId="8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huh?????_3_1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huh?????_3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huh?????_4" localSheetId="8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huh?????_4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huh?????_4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ibla" localSheetId="8" hidden="1">{"'vert'!$A$1:$T$117"}</definedName>
    <definedName name="ibla" localSheetId="5" hidden="1">{"'vert'!$A$1:$T$117"}</definedName>
    <definedName name="ibla" hidden="1">{"'vert'!$A$1:$T$117"}</definedName>
    <definedName name="ibla2" localSheetId="8" hidden="1">{"'vert'!$A$1:$T$117"}</definedName>
    <definedName name="ibla2" localSheetId="5" hidden="1">{"'vert'!$A$1:$T$117"}</definedName>
    <definedName name="ibla2" hidden="1">{"'vert'!$A$1:$T$117"}</definedName>
    <definedName name="ibla3" localSheetId="8" hidden="1">{"'vert'!$A$1:$T$117"}</definedName>
    <definedName name="ibla3" localSheetId="5" hidden="1">{"'vert'!$A$1:$T$117"}</definedName>
    <definedName name="ibla3" hidden="1">{"'vert'!$A$1:$T$117"}</definedName>
    <definedName name="icoop2" localSheetId="8" hidden="1">{"'vert'!$A$1:$T$117"}</definedName>
    <definedName name="icoop2" localSheetId="5" hidden="1">{"'vert'!$A$1:$T$117"}</definedName>
    <definedName name="icoop2" hidden="1">{"'vert'!$A$1:$T$117"}</definedName>
    <definedName name="ignore" localSheetId="8" hidden="1">{"'weekly data'!$A$2:$AS$36"}</definedName>
    <definedName name="ignore" localSheetId="5" hidden="1">{"'weekly data'!$A$2:$AS$36"}</definedName>
    <definedName name="ignore" hidden="1">{"'weekly data'!$A$2:$AS$36"}</definedName>
    <definedName name="ignore_1" localSheetId="8" hidden="1">{"'weekly data'!$A$2:$AS$36"}</definedName>
    <definedName name="ignore_1" localSheetId="5" hidden="1">{"'weekly data'!$A$2:$AS$36"}</definedName>
    <definedName name="ignore_1" hidden="1">{"'weekly data'!$A$2:$AS$36"}</definedName>
    <definedName name="ignore_1_1" localSheetId="8" hidden="1">{"'weekly data'!$A$2:$AS$36"}</definedName>
    <definedName name="ignore_1_1" localSheetId="5" hidden="1">{"'weekly data'!$A$2:$AS$36"}</definedName>
    <definedName name="ignore_1_1" hidden="1">{"'weekly data'!$A$2:$AS$36"}</definedName>
    <definedName name="ignore_1_1_1" localSheetId="8" hidden="1">{"'weekly data'!$A$2:$AS$36"}</definedName>
    <definedName name="ignore_1_1_1" localSheetId="5" hidden="1">{"'weekly data'!$A$2:$AS$36"}</definedName>
    <definedName name="ignore_1_1_1" hidden="1">{"'weekly data'!$A$2:$AS$36"}</definedName>
    <definedName name="ignore_1_2" localSheetId="8" hidden="1">{"'weekly data'!$A$2:$AS$36"}</definedName>
    <definedName name="ignore_1_2" localSheetId="5" hidden="1">{"'weekly data'!$A$2:$AS$36"}</definedName>
    <definedName name="ignore_1_2" hidden="1">{"'weekly data'!$A$2:$AS$36"}</definedName>
    <definedName name="ignore_2" localSheetId="8" hidden="1">{"'weekly data'!$A$2:$AS$36"}</definedName>
    <definedName name="ignore_2" localSheetId="5" hidden="1">{"'weekly data'!$A$2:$AS$36"}</definedName>
    <definedName name="ignore_2" hidden="1">{"'weekly data'!$A$2:$AS$36"}</definedName>
    <definedName name="ignore_2_1" localSheetId="8" hidden="1">{"'weekly data'!$A$2:$AS$36"}</definedName>
    <definedName name="ignore_2_1" localSheetId="5" hidden="1">{"'weekly data'!$A$2:$AS$36"}</definedName>
    <definedName name="ignore_2_1" hidden="1">{"'weekly data'!$A$2:$AS$36"}</definedName>
    <definedName name="ignore_2_1_1" localSheetId="8" hidden="1">{"'weekly data'!$A$2:$AS$36"}</definedName>
    <definedName name="ignore_2_1_1" localSheetId="5" hidden="1">{"'weekly data'!$A$2:$AS$36"}</definedName>
    <definedName name="ignore_2_1_1" hidden="1">{"'weekly data'!$A$2:$AS$36"}</definedName>
    <definedName name="ignore_2_2" localSheetId="8" hidden="1">{"'weekly data'!$A$2:$AS$36"}</definedName>
    <definedName name="ignore_2_2" localSheetId="5" hidden="1">{"'weekly data'!$A$2:$AS$36"}</definedName>
    <definedName name="ignore_2_2" hidden="1">{"'weekly data'!$A$2:$AS$36"}</definedName>
    <definedName name="ignore_3" localSheetId="8" hidden="1">{"'weekly data'!$A$2:$AS$36"}</definedName>
    <definedName name="ignore_3" localSheetId="5" hidden="1">{"'weekly data'!$A$2:$AS$36"}</definedName>
    <definedName name="ignore_3" hidden="1">{"'weekly data'!$A$2:$AS$36"}</definedName>
    <definedName name="ignore_3_1" localSheetId="8" hidden="1">{"'weekly data'!$A$2:$AS$36"}</definedName>
    <definedName name="ignore_3_1" localSheetId="5" hidden="1">{"'weekly data'!$A$2:$AS$36"}</definedName>
    <definedName name="ignore_3_1" hidden="1">{"'weekly data'!$A$2:$AS$36"}</definedName>
    <definedName name="ignore_4" localSheetId="8" hidden="1">{"'weekly data'!$A$2:$AS$36"}</definedName>
    <definedName name="ignore_4" localSheetId="5" hidden="1">{"'weekly data'!$A$2:$AS$36"}</definedName>
    <definedName name="ignore_4" hidden="1">{"'weekly data'!$A$2:$AS$36"}</definedName>
    <definedName name="ihtml_cont" localSheetId="8" hidden="1">{"'vert'!$A$1:$T$117"}</definedName>
    <definedName name="ihtml_cont" localSheetId="5" hidden="1">{"'vert'!$A$1:$T$117"}</definedName>
    <definedName name="ihtml_cont" hidden="1">{"'vert'!$A$1:$T$117"}</definedName>
    <definedName name="Input_Team">'[23]Curve Creator'!$G$16</definedName>
    <definedName name="international" localSheetId="8" hidden="1">{"'vert'!$A$1:$T$117"}</definedName>
    <definedName name="international" localSheetId="5" hidden="1">{"'vert'!$A$1:$T$117"}</definedName>
    <definedName name="international" hidden="1">{"'vert'!$A$1:$T$117"}</definedName>
    <definedName name="iopoipoipiopoipD" localSheetId="8" hidden="1">{"'vert'!$A$1:$T$117"}</definedName>
    <definedName name="iopoipoipiopoipD" localSheetId="5" hidden="1">{"'vert'!$A$1:$T$117"}</definedName>
    <definedName name="iopoipoipiopoipD" hidden="1">{"'vert'!$A$1:$T$117"}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ACCOUNT_CHANGE" hidden="1">"IQ_ACCOUNT_CHANGE"</definedName>
    <definedName name="IQ_ACCOUNTS_PAY" hidden="1">"IQ_ACCOUNTS_PAY"</definedName>
    <definedName name="IQ_ACCRUED_EXP" hidden="1">"IQ_ACCRUED_EXP"</definedName>
    <definedName name="IQ_ACQUIRED_BY_REPORTING_BANK_FDIC" hidden="1">"c6535"</definedName>
    <definedName name="IQ_ADD_PAID_IN" hidden="1">"IQ_ADD_PAID_IN"</definedName>
    <definedName name="IQ_ADDIN" hidden="1">"AUTO"</definedName>
    <definedName name="IQ_ADDITIONAL_NON_INT_INC_FDIC" hidden="1">"c6574"</definedName>
    <definedName name="IQ_ADJUSTABLE_RATE_LOANS_FDIC" hidden="1">"c6375"</definedName>
    <definedName name="IQ_AFTER_TAX_INCOME_FDIC" hidden="1">"c6583"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MENDED_BALANCE_PREVIOUS_YR_FDIC" hidden="1">"c6499"</definedName>
    <definedName name="IQ_AMORT_EXPENSE_FDIC" hidden="1">"c6677"</definedName>
    <definedName name="IQ_AMORTIZATION" hidden="1">"IQ_AMORTIZATION"</definedName>
    <definedName name="IQ_AMORTIZED_COST_FDIC" hidden="1">"c6426"</definedName>
    <definedName name="IQ_ASSET_BACKED_FDIC" hidden="1">"c6301"</definedName>
    <definedName name="IQ_ASSET_TURNS" hidden="1">"IQ_ASSET_TURNS"</definedName>
    <definedName name="IQ_ASSETS_HELD_FDIC" hidden="1">"c6305"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TOTAL_DEPOSITS_FDIC" hidden="1">"c6475"</definedName>
    <definedName name="IQ_BASIC_EPS_EXCL" hidden="1">"IQ_BASIC_EPS_EXCL"</definedName>
    <definedName name="IQ_BASIC_EPS_INCL" hidden="1">"IQ_BASIC_EPS_INCL"</definedName>
    <definedName name="IQ_BASIC_NORMAL_EPS" hidden="1">"IQ_BASIC_NORMAL_EPS"</definedName>
    <definedName name="IQ_BASIC_WEIGHT" hidden="1">"IQ_BASIC_WEIGHT"</definedName>
    <definedName name="IQ_BONDRATING_FITCH" hidden="1">"IQ_BONDRATING_FITCH"</definedName>
    <definedName name="IQ_BONDRATING_SP" hidden="1">"IQ_BONDRATING_SP"</definedName>
    <definedName name="IQ_BOOK_VALUE" hidden="1">"IQ_BOOK_VALUE"</definedName>
    <definedName name="IQ_BROKERED_DEPOSITS_FDIC" hidden="1">"c6486"</definedName>
    <definedName name="IQ_BV_OVER_SHARES" hidden="1">"IQ_BV_OVER_SHARES"</definedName>
    <definedName name="IQ_CAPEX" hidden="1">"IQ_CAPEX"</definedName>
    <definedName name="IQ_CAPITAL_LEASE" hidden="1">"IQ_CAPITAL_LEASE"</definedName>
    <definedName name="IQ_CASH" hidden="1">"IQ_CASH"</definedName>
    <definedName name="IQ_CASH_DIVIDENDS_NET_INCOME_FDIC" hidden="1">"c6738"</definedName>
    <definedName name="IQ_CASH_DUE_BANKS" hidden="1">"IQ_CASH_DUE_BANKS"</definedName>
    <definedName name="IQ_CASH_EQUIV" hidden="1">"IQ_CASH_EQUIV"</definedName>
    <definedName name="IQ_CASH_IN_PROCESS_FDIC" hidden="1">"c6386"</definedName>
    <definedName name="IQ_CASH_INTEREST" hidden="1">"IQ_CASH_INTEREST"</definedName>
    <definedName name="IQ_CASH_ST" hidden="1">"IQ_CASH_ST"</definedName>
    <definedName name="IQ_CASH_TAXES" hidden="1">"IQ_CASH_TAXES"</definedName>
    <definedName name="IQ_CCE_FDIC" hidden="1">"c6296"</definedName>
    <definedName name="IQ_CH" hidden="1">110000</definedName>
    <definedName name="IQ_CHANGE_OTHER_NET_OPER_ASSETS_BR" hidden="1">"c3595"</definedName>
    <definedName name="IQ_CHANGES_WORK_CAP" hidden="1">"IQ_CHANGES_WORK_CAP"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ITY" hidden="1">"IQ_CITY"</definedName>
    <definedName name="IQ_CLOSEPRICE" hidden="1">"IQ_CLOSEPRICE"</definedName>
    <definedName name="IQ_CMO_FDIC" hidden="1">"c6406"</definedName>
    <definedName name="IQ_COLLECTION_DOMESTIC_FDIC" hidden="1">"c6387"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INDUSTRIAL_CHARGE_OFFS_FDIC" hidden="1">"c6598"</definedName>
    <definedName name="IQ_COMMERCIAL_INDUSTRIAL_LOANS_NET_FDIC" hidden="1">"c6317"</definedName>
    <definedName name="IQ_COMMERCIAL_INDUSTRIAL_NET_CHARGE_OFFS_FDIC" hidden="1">"c6636"</definedName>
    <definedName name="IQ_COMMERCIAL_INDUSTRIAL_RECOVERIES_FDIC" hidden="1">"c6617"</definedName>
    <definedName name="IQ_COMMERCIAL_INDUSTRIAL_TOTAL_LOANS_FOREIGN_FDIC" hidden="1">"c6451"</definedName>
    <definedName name="IQ_COMMERCIAL_RE_CONSTRUCTION_LAND_DEV_FDIC" hidden="1">"c6526"</definedName>
    <definedName name="IQ_COMMERCIAL_RE_LOANS_FDIC" hidden="1">"c6312"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_FDIC" hidden="1">"c6350"</definedName>
    <definedName name="IQ_COMMON_STOCK" hidden="1">"IQ_COMMON_STOCK"</definedName>
    <definedName name="IQ_COMPANY_ADDRESS" hidden="1">"IQ_COMPANY_ADDRESS"</definedName>
    <definedName name="IQ_COMPANY_NAME" hidden="1">"IQ_COMPANY_NAME"</definedName>
    <definedName name="IQ_COMPANY_PHONE" hidden="1">"IQ_COMPANY_PHONE"</definedName>
    <definedName name="IQ_COMPANY_STREET1" hidden="1">"IQ_COMPANY_STREET1"</definedName>
    <definedName name="IQ_COMPANY_STREET2" hidden="1">"IQ_COMPANY_STREET2"</definedName>
    <definedName name="IQ_COMPANY_TICKER" hidden="1">"IQ_COMPANY_TICKER"</definedName>
    <definedName name="IQ_COMPANY_WEBSITE" hidden="1">"IQ_COMPANY_WEBSITE"</definedName>
    <definedName name="IQ_COMPANY_ZIP" hidden="1">"IQ_COMPANY_ZIP"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TRACTS_OTHER_COMMODITIES_EQUITIES_FDIC" hidden="1">"c6522"</definedName>
    <definedName name="IQ_CONVEYED_TO_OTHERS_FDIC" hidden="1">"c6534"</definedName>
    <definedName name="IQ_CORE_CAPITAL_RATIO_FDIC" hidden="1">"c6745"</definedName>
    <definedName name="IQ_COST_OF_FUNDING_ASSETS_FDIC" hidden="1">"c6725"</definedName>
    <definedName name="IQ_COST_REVENUE" hidden="1">"IQ_COST_REVENUE"</definedName>
    <definedName name="IQ_COUNTRY_NAME" hidden="1">"IQ_COUNTRY_NAME"</definedName>
    <definedName name="IQ_CQ" hidden="1">5000</definedName>
    <definedName name="IQ_CREDIT_CARD_CHARGE_OFFS_FDIC" hidden="1">"c6652"</definedName>
    <definedName name="IQ_CREDIT_CARD_LINES_FDIC" hidden="1">"c6525"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LOSS_PROVISION_NET_CHARGE_OFFS_FDIC" hidden="1">"c6734"</definedName>
    <definedName name="IQ_CURRENCY_COIN_DOMESTIC_FDIC" hidden="1">"c6388"</definedName>
    <definedName name="IQ_CURRENT_PORT" hidden="1">"IQ_CURRENT_PORT"</definedName>
    <definedName name="IQ_CURRENT_RATIO" hidden="1">"IQ_CURRENT_RATIO"</definedName>
    <definedName name="IQ_CY" hidden="1">10000</definedName>
    <definedName name="IQ_DAILY" hidden="1">500000</definedName>
    <definedName name="IQ_DAYS_PAY_OUTST" hidden="1">"IQ_DAYS_PAY_OUTST"</definedName>
    <definedName name="IQ_DAYS_SALES_OUTST" hidden="1">"IQ_DAYS_SALES_OUTST"</definedName>
    <definedName name="IQ_DEFERRED_INC_TAX" hidden="1">"IQ_DEFERRED_INC_TAX"</definedName>
    <definedName name="IQ_DEFERRED_TAXES" hidden="1">"IQ_DEFERRED_TAXES"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HELD_DOMESTIC_FDIC" hidden="1">"c6340"</definedName>
    <definedName name="IQ_DEPOSITS_HELD_FOREIGN_FDIC" hidden="1">"c6341"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"IQ_DEPRE_AMORT"</definedName>
    <definedName name="IQ_DEPRE_AMORT_SUPPL" hidden="1">"IQ_DEPRE_AMORT_SUPPL"</definedName>
    <definedName name="IQ_DEPRE_DEPLE" hidden="1">"IQ_DEPRE_DEPLE"</definedName>
    <definedName name="IQ_DEPRE_SUPP" hidden="1">"IQ_DEPRE_SUPP"</definedName>
    <definedName name="IQ_DERIVATIVES_FDIC" hidden="1">"c6523"</definedName>
    <definedName name="IQ_DESCRIPTION_LONG" hidden="1">"IQ_DESCRIPTION_LONG"</definedName>
    <definedName name="IQ_DILUT_ADJUST" hidden="1">"IQ_DILUT_ADJUST"</definedName>
    <definedName name="IQ_DILUT_EPS_EXCL" hidden="1">"IQ_DILUT_EPS_EXCL"</definedName>
    <definedName name="IQ_DILUT_EPS_INCL" hidden="1">"IQ_DILUT_EPS_INCL"</definedName>
    <definedName name="IQ_DILUT_NORMAL_EPS" hidden="1">"IQ_DILUT_NORMAL_EPS"</definedName>
    <definedName name="IQ_DILUT_WEIGHT" hidden="1">"IQ_DILUT_WEIGHT"</definedName>
    <definedName name="IQ_DISCONT_OPER" hidden="1">"IQ_DISCONT_OPER"</definedName>
    <definedName name="IQ_DISTRIBUTABLE_CASH_EST_CIQ" hidden="1">"c4802"</definedName>
    <definedName name="IQ_DISTRIBUTABLE_CASH_HIGH_EST_CIQ" hidden="1">"c4805"</definedName>
    <definedName name="IQ_DISTRIBUTABLE_CASH_LOW_EST_CIQ" hidden="1">"c4806"</definedName>
    <definedName name="IQ_DISTRIBUTABLE_CASH_MEDIAN_EST_CIQ" hidden="1">"c4807"</definedName>
    <definedName name="IQ_DISTRIBUTABLE_CASH_NUM_EST_CIQ" hidden="1">"c4808"</definedName>
    <definedName name="IQ_DISTRIBUTABLE_CASH_SHARE_EST_CIQ" hidden="1">"c4810"</definedName>
    <definedName name="IQ_DISTRIBUTABLE_CASH_SHARE_HIGH_EST_CIQ" hidden="1">"c4813"</definedName>
    <definedName name="IQ_DISTRIBUTABLE_CASH_SHARE_LOW_EST_CIQ" hidden="1">"c4814"</definedName>
    <definedName name="IQ_DISTRIBUTABLE_CASH_SHARE_MEDIAN_EST_CIQ" hidden="1">"c4815"</definedName>
    <definedName name="IQ_DISTRIBUTABLE_CASH_SHARE_NUM_EST_CIQ" hidden="1">"c4816"</definedName>
    <definedName name="IQ_DISTRIBUTABLE_CASH_SHARE_STDDEV_EST_CIQ" hidden="1">"c4817"</definedName>
    <definedName name="IQ_DISTRIBUTABLE_CASH_STDDEV_EST_CIQ" hidden="1">"c4819"</definedName>
    <definedName name="IQ_DIVID_SHARE" hidden="1">"IQ_DIVID_SHARE"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DNTM" hidden="1">700000</definedName>
    <definedName name="IQ_EARNING_ASSETS_FDIC" hidden="1">"c6360"</definedName>
    <definedName name="IQ_EARNING_ASSETS_YIELD_FDIC" hidden="1">"c6724"</definedName>
    <definedName name="IQ_EARNINGS_COVERAGE_NET_CHARGE_OFFS_FDIC" hidden="1">"c6735"</definedName>
    <definedName name="IQ_EBIT" hidden="1">"IQ_EBIT"</definedName>
    <definedName name="IQ_EBIT_10K" hidden="1">"IQ_EBIT_10K"</definedName>
    <definedName name="IQ_EBIT_10Q" hidden="1">"IQ_EBIT_10Q"</definedName>
    <definedName name="IQ_EBIT_10Q1" hidden="1">"IQ_EBIT_10Q1"</definedName>
    <definedName name="IQ_EBIT_GROWTH_1" hidden="1">"IQ_EBIT_GROWTH_1"</definedName>
    <definedName name="IQ_EBIT_GROWTH_2" hidden="1">"IQ_EBIT_GROWTH_2"</definedName>
    <definedName name="IQ_EBIT_MARGIN" hidden="1">"IQ_EBIT_MARGIN"</definedName>
    <definedName name="IQ_EBIT_OVER_IE" hidden="1">"IQ_EBIT_OVER_IE"</definedName>
    <definedName name="IQ_EBITDA" hidden="1">"IQ_EBITDA"</definedName>
    <definedName name="IQ_EBITDA_10K" hidden="1">"IQ_EBITDA_10K"</definedName>
    <definedName name="IQ_EBITDA_10Q" hidden="1">"IQ_EBITDA_10Q"</definedName>
    <definedName name="IQ_EBITDA_10Q1" hidden="1">"IQ_EBITDA_10Q1"</definedName>
    <definedName name="IQ_EBITDA_CAPEX_OVER_TOTAL_IE" hidden="1">"IQ_EBITDA_CAPEX_OVER_TOTAL_IE"</definedName>
    <definedName name="IQ_EBITDA_GROWTH_1" hidden="1">"IQ_EBITDA_GROWTH_1"</definedName>
    <definedName name="IQ_EBITDA_GROWTH_2" hidden="1">"IQ_EBITDA_GROWTH_2"</definedName>
    <definedName name="IQ_EBITDA_MARGIN" hidden="1">"IQ_EBITDA_MARGIN"</definedName>
    <definedName name="IQ_EBITDA_OVER_TOTAL_IE" hidden="1">"IQ_EBITDA_OVER_TOTAL_IE"</definedName>
    <definedName name="IQ_EFFECT_SPECIAL_CHARGE" hidden="1">"IQ_EFFECT_SPECIAL_CHARGE"</definedName>
    <definedName name="IQ_EFFICIENCY_RATIO_FDIC" hidden="1">"c6736"</definedName>
    <definedName name="IQ_EMPLOYEES" hidden="1">"IQ_EMPLOYEES"</definedName>
    <definedName name="IQ_ENTERPRISE_VALUE" hidden="1">"IQ_ENTERPRISE_VALUE"</definedName>
    <definedName name="IQ_EPS" hidden="1">"IQ_EPS"</definedName>
    <definedName name="IQ_EPS_10K" hidden="1">"IQ_EPS_10K"</definedName>
    <definedName name="IQ_EPS_10Q" hidden="1">"IQ_EPS_10Q"</definedName>
    <definedName name="IQ_EPS_10Q1" hidden="1">"IQ_EPS_10Q1"</definedName>
    <definedName name="IQ_EPS_EST" hidden="1">"IQ_EPS_EST"</definedName>
    <definedName name="IQ_EPS_EST_1" hidden="1">"IQ_EPS_EST_1"</definedName>
    <definedName name="IQ_EQUITY_AFFIL" hidden="1">"IQ_EQUITY_AFFIL"</definedName>
    <definedName name="IQ_EQUITY_CAPITAL_ASSETS_FDIC" hidden="1">"c6744"</definedName>
    <definedName name="IQ_EQUITY_FDIC" hidden="1">"c6353"</definedName>
    <definedName name="IQ_EQUITY_SECURITIES_FDIC" hidden="1">"c6304"</definedName>
    <definedName name="IQ_EQUITY_SECURITY_EXPOSURES_FDIC" hidden="1">"c6664"</definedName>
    <definedName name="IQ_EQV_OVER_BV" hidden="1">"IQ_EQV_OVER_BV"</definedName>
    <definedName name="IQ_EQV_OVER_LTM_PRETAX_INC" hidden="1">"IQ_EQV_OVER_LTM_PRETAX_INC"</definedName>
    <definedName name="IQ_ESOP_DEBT" hidden="1">"IQ_ESOP_DEBT"</definedName>
    <definedName name="IQ_ESTIMATED_ASSESSABLE_DEPOSITS_FDIC" hidden="1">"c6490"</definedName>
    <definedName name="IQ_ESTIMATED_INSURED_DEPOSITS_FDIC" hidden="1">"c6491"</definedName>
    <definedName name="IQ_EV_OVER_EMPLOYEE" hidden="1">"IQ_EV_OVER_EMPLOYEE"</definedName>
    <definedName name="IQ_EV_OVER_LTM_EBIT" hidden="1">"IQ_EV_OVER_LTM_EBIT"</definedName>
    <definedName name="IQ_EV_OVER_LTM_EBITDA" hidden="1">"IQ_EV_OVER_LTM_EBITDA"</definedName>
    <definedName name="IQ_EV_OVER_LTM_REVENUE" hidden="1">"IQ_EV_OVER_LTM_REVENUE"</definedName>
    <definedName name="IQ_EV_OVER_REVENUE_EST" hidden="1">"IQ_EV_OVER_REVENUE_EST"</definedName>
    <definedName name="IQ_EV_OVER_REVENUE_EST_1" hidden="1">"IQ_EV_OVER_REVENUE_EST_1"</definedName>
    <definedName name="IQ_EXCHANGE" hidden="1">"IQ_EXCHANGE"</definedName>
    <definedName name="IQ_EXTRA_ITEMS" hidden="1">"IQ_EXTRA_ITEMS"</definedName>
    <definedName name="IQ_EXTRAORDINARY_GAINS_FDIC" hidden="1">"c6586"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ED_FUNDS_PURCHASED_FDIC" hidden="1">"c6343"</definedName>
    <definedName name="IQ_FED_FUNDS_SOLD_FDIC" hidden="1">"c6307"</definedName>
    <definedName name="IQ_FFO_ADJ_EST_CIQ" hidden="1">"c4959"</definedName>
    <definedName name="IQ_FFO_ADJ_HIGH_EST_CIQ" hidden="1">"c4962"</definedName>
    <definedName name="IQ_FFO_ADJ_LOW_EST_CIQ" hidden="1">"c4963"</definedName>
    <definedName name="IQ_FFO_ADJ_MEDIAN_EST_CIQ" hidden="1">"c4964"</definedName>
    <definedName name="IQ_FFO_ADJ_NUM_EST_CIQ" hidden="1">"c4965"</definedName>
    <definedName name="IQ_FFO_ADJ_STDDEV_EST_CIQ" hidden="1">"c4966"</definedName>
    <definedName name="IQ_FFO_EST_CIQ" hidden="1">"c4970"</definedName>
    <definedName name="IQ_FFO_HIGH_EST_CIQ" hidden="1">"c4977"</definedName>
    <definedName name="IQ_FFO_LOW_EST_CIQ" hidden="1">"c4978"</definedName>
    <definedName name="IQ_FFO_MEDIAN_EST_CIQ" hidden="1">"c4979"</definedName>
    <definedName name="IQ_FFO_NUM_EST_CIQ" hidden="1">"c4980"</definedName>
    <definedName name="IQ_FFO_STDDEV_EST_CIQ" hidden="1">"c4981"</definedName>
    <definedName name="IQ_FH" hidden="1">100000</definedName>
    <definedName name="IQ_FHLB_ADVANCES_FDIC" hidden="1">"c6366"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NANCING_CASH" hidden="1">"IQ_FINANCING_CASH"</definedName>
    <definedName name="IQ_FIVE_YEAR_FIXED_AND_FLOATING_RATE_FDIC" hidden="1">"c6422"</definedName>
    <definedName name="IQ_FIVE_YEAR_MORTGAGE_PASS_THROUGHS_FDIC" hidden="1">"c6414"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OSITS_NONTRANSACTION_ACCOUNTS_FDIC" hidden="1">"c6549"</definedName>
    <definedName name="IQ_FOREIGN_DEPOSITS_TRANSACTION_ACCOUNTS_FDIC" hidden="1">"c6541"</definedName>
    <definedName name="IQ_FOREIGN_EXCHANGE" hidden="1">"IQ_FOREIGN_EXCHANGE"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Q" hidden="1">500</definedName>
    <definedName name="IQ_FULLY_INSURED_DEPOSITS_FDIC" hidden="1">"c6487"</definedName>
    <definedName name="IQ_FUTURES_FORWARD_CONTRACTS_NOTIONAL_AMOUNT_FDIC" hidden="1">"c6518"</definedName>
    <definedName name="IQ_FUTURES_FORWARD_CONTRACTS_RATE_RISK_FDIC" hidden="1">"c6508"</definedName>
    <definedName name="IQ_FWD" hidden="1">"LTM"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WD1" hidden="1">"LTM"</definedName>
    <definedName name="IQ_FX_CONTRACTS_FDIC" hidden="1">"c6517"</definedName>
    <definedName name="IQ_FX_CONTRACTS_SPOT_FDIC" hidden="1">"c6356"</definedName>
    <definedName name="IQ_FY" hidden="1">1000</definedName>
    <definedName name="IQ_FY_DATE" hidden="1">"IQ_FY_DATE"</definedName>
    <definedName name="IQ_GAIN_SALE_ASSETS" hidden="1">"IQ_GAIN_SALE_ASSETS"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GOODWILL_NET" hidden="1">"IQ_GOODWILL_NET"</definedName>
    <definedName name="IQ_GROSS_DIVID" hidden="1">"IQ_GROSS_DIVID"</definedName>
    <definedName name="IQ_GROSS_MARGIN" hidden="1">"IQ_GROSS_MARGIN"</definedName>
    <definedName name="IQ_GROSS_PROFIT" hidden="1">"IQ_GROSS_PROFIT"</definedName>
    <definedName name="IQ_HELD_MATURITY_FDIC" hidden="1">"c6408"</definedName>
    <definedName name="IQ_HIGHPRICE" hidden="1">"IQ_HIGHPRICE"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INC_AFTER_TAX" hidden="1">"IQ_INC_AFTER_TAX"</definedName>
    <definedName name="IQ_INC_AVAIL_EXCL" hidden="1">"IQ_INC_AVAIL_EXCL"</definedName>
    <definedName name="IQ_INC_AVAIL_INCL" hidden="1">"IQ_INC_AVAIL_INCL"</definedName>
    <definedName name="IQ_INC_BEFORE_TAX" hidden="1">"IQ_INC_BEFORE_TAX"</definedName>
    <definedName name="IQ_INC_TAX" hidden="1">"IQ_INC_TAX"</definedName>
    <definedName name="IQ_INC_TAX_EXCL" hidden="1">"IQ_INC_TAX_EXCL"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ES_FDIC" hidden="1">"c6582"</definedName>
    <definedName name="IQ_INDEX_PROVIDED_DIVIDEND" hidden="1">"c19252"</definedName>
    <definedName name="IQ_INDEXCONSTITUENT_CLOSEPRICE" hidden="1">"c19241"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SIDER_LOANS_FDIC" hidden="1">"c6365"</definedName>
    <definedName name="IQ_INSTITUTIONS_EARNINGS_GAINS_FDIC" hidden="1">"c6723"</definedName>
    <definedName name="IQ_INSURANCE_COMMISSION_FEES_FDIC" hidden="1">"c6670"</definedName>
    <definedName name="IQ_INSURANCE_UNDERWRITING_INCOME_FDIC" hidden="1">"c6671"</definedName>
    <definedName name="IQ_INT_DEMAND_NOTES_FDIC" hidden="1">"c6567"</definedName>
    <definedName name="IQ_INT_DOMESTIC_DEPOSITS_FDIC" hidden="1">"c6564"</definedName>
    <definedName name="IQ_INT_EXP_TOTAL_FDIC" hidden="1">"c6569"</definedName>
    <definedName name="IQ_INT_FED_FUNDS_FDIC" hidden="1">"c6566"</definedName>
    <definedName name="IQ_INT_FOREIGN_DEPOSITS_FDIC" hidden="1">"c6565"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OREIGN_LOANS_FDIC" hidden="1">"c6556"</definedName>
    <definedName name="IQ_INT_INC_LEASE_RECEIVABLES_FDIC" hidden="1">"c6557"</definedName>
    <definedName name="IQ_INT_INC_OTHER_FDIC" hidden="1">"c6562"</definedName>
    <definedName name="IQ_INT_INC_SECURITIES_FDIC" hidden="1">"c6559"</definedName>
    <definedName name="IQ_INT_INC_TOTAL_FDIC" hidden="1">"c6563"</definedName>
    <definedName name="IQ_INT_INC_TRADING_ACCOUNTS_FDIC" hidden="1">"c6560"</definedName>
    <definedName name="IQ_INT_SUB_NOTES_FDIC" hidden="1">"c6568"</definedName>
    <definedName name="IQ_INTANGIBLES_NET" hidden="1">"IQ_INTANGIBLES_NET"</definedName>
    <definedName name="IQ_INTEREST_BEARING_BALANCES_FDIC" hidden="1">"c6371"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EXP_NET" hidden="1">"IQ_INTEREST_EXP_NET"</definedName>
    <definedName name="IQ_INTEREST_EXP_NON" hidden="1">"IQ_INTEREST_EXP_NON"</definedName>
    <definedName name="IQ_INTEREST_EXP_SUPPL" hidden="1">"IQ_INTEREST_EXP_SUPPL"</definedName>
    <definedName name="IQ_INTEREST_INC" hidden="1">"IQ_INTEREST_INC"</definedName>
    <definedName name="IQ_INTEREST_INC_10K" hidden="1">"IQ_INTEREST_INC_10K"</definedName>
    <definedName name="IQ_INTEREST_INC_10Q" hidden="1">"IQ_INTEREST_INC_10Q"</definedName>
    <definedName name="IQ_INTEREST_INC_10Q1" hidden="1">"IQ_INTEREST_INC_10Q1"</definedName>
    <definedName name="IQ_INTEREST_INC_NON" hidden="1">"IQ_INTEREST_INC_NON"</definedName>
    <definedName name="IQ_INTEREST_RATE_CONTRACTS_FDIC" hidden="1">"c6512"</definedName>
    <definedName name="IQ_INTEREST_RATE_EXPOSURES_FDIC" hidden="1">"c6662"</definedName>
    <definedName name="IQ_INVENTORY_TURNS" hidden="1">"IQ_INVENTORY_TURNS"</definedName>
    <definedName name="IQ_INVESTMENT_BANKING_OTHER_FEES_FDIC" hidden="1">"c6666"</definedName>
    <definedName name="IQ_IRA_KEOGH_ACCOUNTS_FDIC" hidden="1">"c6496"</definedName>
    <definedName name="IQ_ISS_DEBT_NET" hidden="1">"IQ_ISS_DEBT_NET"</definedName>
    <definedName name="IQ_ISS_STOCK_NET" hidden="1">"IQ_ISS_STOCK_NET"</definedName>
    <definedName name="IQ_ISSUED_GUARANTEED_US_FDIC" hidden="1">"c6404"</definedName>
    <definedName name="IQ_LAST_EBIT_MARGIN" hidden="1">"IQ_LAST_EBIT_MARGIN"</definedName>
    <definedName name="IQ_LAST_EBITDA_MARGIN" hidden="1">"IQ_LAST_EBITDA_MARGIN"</definedName>
    <definedName name="IQ_LAST_GROSS_MARGIN" hidden="1">"IQ_LAST_GROSS_MARGIN"</definedName>
    <definedName name="IQ_LAST_NET_INC_MARGIN" hidden="1">"IQ_LAST_NET_INC_MARGIN"</definedName>
    <definedName name="IQ_LASTSALEPRICE" hidden="1">"IQ_LASTSALEPRICE"</definedName>
    <definedName name="IQ_LATEST" hidden="1">"1"</definedName>
    <definedName name="IQ_LATESTK" hidden="1">"1000"</definedName>
    <definedName name="IQ_LATESTKFR" hidden="1">"50"</definedName>
    <definedName name="IQ_LATESTQ" hidden="1">"500"</definedName>
    <definedName name="IQ_LATESTQFR" hidden="1">"100"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IFE_INSURANCE_ASSETS_FDIC" hidden="1">"c6372"</definedName>
    <definedName name="IQ_LOAN_COMMITMENTS_REVOLVING_FDIC" hidden="1">"c6524"</definedName>
    <definedName name="IQ_LOAN_LOSS" hidden="1">"IQ_LOAN_LOSS"</definedName>
    <definedName name="IQ_LOAN_LOSS_ALLOW_FDIC" hidden="1">"c6326"</definedName>
    <definedName name="IQ_LOAN_LOSS_ALLOWANCE_NONCURRENT_LOANS_FDIC" hidden="1">"c6740"</definedName>
    <definedName name="IQ_LOAN_LOSSES_FDIC" hidden="1">"c6580"</definedName>
    <definedName name="IQ_LOANS_AND_LEASES_HELD_FDIC" hidden="1">"c6367"</definedName>
    <definedName name="IQ_LOANS_DEPOSITORY_INSTITUTIONS_FDIC" hidden="1">"c6382"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NG_TERM_DEBT" hidden="1">"IQ_LONG_TERM_DEBT"</definedName>
    <definedName name="IQ_LONG_TERM_DEBT_OVER_TOTAL_CAP" hidden="1">"IQ_LONG_TERM_DEBT_OVER_TOTAL_CAP"</definedName>
    <definedName name="IQ_LONG_TERM_GROWTH" hidden="1">"IQ_LONG_TERM_GROWTH"</definedName>
    <definedName name="IQ_LONG_TERM_INV" hidden="1">"IQ_LONG_TERM_INV"</definedName>
    <definedName name="IQ_LOSS_ALLOWANCE_LOANS_FDIC" hidden="1">"c6739"</definedName>
    <definedName name="IQ_LOWPRICE" hidden="1">"IQ_LOWPRICE"</definedName>
    <definedName name="IQ_LTM" hidden="1">2000</definedName>
    <definedName name="IQ_LTM_DATE" hidden="1">"IQ_LTM_DATE"</definedName>
    <definedName name="IQ_LTM_REVENUE_OVER_EMPLOYEES" hidden="1">"IQ_LTM_REVENUE_OVER_EMPLOYEES"</definedName>
    <definedName name="IQ_LTMMONTH" hidden="1">120000</definedName>
    <definedName name="IQ_MARKETCAP" hidden="1">"IQ_MARKETCAP"</definedName>
    <definedName name="IQ_MATURITY_ONE_YEAR_LESS_FDIC" hidden="1">"c6425"</definedName>
    <definedName name="IQ_MINORITY_INTEREST" hidden="1">"IQ_MINORITY_INTEREST"</definedName>
    <definedName name="IQ_MINORITY_INTEREST_IS" hidden="1">"IQ_MINORITY_INTEREST_IS"</definedName>
    <definedName name="IQ_MISC_EARN_ADJ" hidden="1">"IQ_MISC_EARN_ADJ"</definedName>
    <definedName name="IQ_MONEY_MARKET_DEPOSIT_ACCOUNTS_FDIC" hidden="1">"c6553"</definedName>
    <definedName name="IQ_MONTH" hidden="1">15000</definedName>
    <definedName name="IQ_MORTGAGE_BACKED_SECURITIES_FDIC" hidden="1">"c6402"</definedName>
    <definedName name="IQ_MORTGAGE_SERVICING_FDIC" hidden="1">"c6335"</definedName>
    <definedName name="IQ_MTD" hidden="1">800000</definedName>
    <definedName name="IQ_MULTIFAMILY_RESIDENTIAL_LOANS_FDIC" hidden="1">"c6311"</definedName>
    <definedName name="IQ_NAMES_REVISION_DATE_" hidden="1">40736.3821990741</definedName>
    <definedName name="IQ_NET_CHANGE" hidden="1">"IQ_NET_CHANGE"</definedName>
    <definedName name="IQ_NET_CHARGE_OFFS_FDIC" hidden="1">"c6641"</definedName>
    <definedName name="IQ_NET_CHARGE_OFFS_LOANS_FDIC" hidden="1">"c6751"</definedName>
    <definedName name="IQ_NET_DEBT" hidden="1">"IQ_NET_DEBT"</definedName>
    <definedName name="IQ_NET_INC" hidden="1">"IQ_NET_INC"</definedName>
    <definedName name="IQ_NET_INC_10K" hidden="1">"IQ_NET_INC_10K"</definedName>
    <definedName name="IQ_NET_INC_10Q" hidden="1">"IQ_NET_INC_10Q"</definedName>
    <definedName name="IQ_NET_INC_10Q1" hidden="1">"IQ_NET_INC_10Q1"</definedName>
    <definedName name="IQ_NET_INC_BEFORE" hidden="1">"IQ_NET_INC_BEFORE"</definedName>
    <definedName name="IQ_NET_INC_GROWTH_1" hidden="1">"IQ_NET_INC_GROWTH_1"</definedName>
    <definedName name="IQ_NET_INC_GROWTH_2" hidden="1">"IQ_NET_INC_GROWTH_2"</definedName>
    <definedName name="IQ_NET_INC_MARGIN" hidden="1">"IQ_NET_INC_MARGIN"</definedName>
    <definedName name="IQ_NET_INCOME_FDIC" hidden="1">"c6587"</definedName>
    <definedName name="IQ_NET_INT_INC_BNK_FDIC" hidden="1">"c6570"</definedName>
    <definedName name="IQ_NET_INTEREST_INC" hidden="1">"IQ_NET_INTEREST_INC"</definedName>
    <definedName name="IQ_NET_INTEREST_INC_AFTER_LL" hidden="1">"IQ_NET_INTEREST_INC_AFTER_LL"</definedName>
    <definedName name="IQ_NET_INTEREST_MARGIN_FDIC" hidden="1">"c6726"</definedName>
    <definedName name="IQ_NET_LOANS" hidden="1">"IQ_NET_LOANS"</definedName>
    <definedName name="IQ_NET_LOANS_LEASES_CORE_DEPOSITS_FDIC" hidden="1">"c6743"</definedName>
    <definedName name="IQ_NET_LOANS_LEASES_DEPOSITS_FDIC" hidden="1">"c6742"</definedName>
    <definedName name="IQ_NET_OPERATING_INCOME_ASSETS_FDIC" hidden="1">"c6729"</definedName>
    <definedName name="IQ_NET_SECURITIZATION_INCOME_FDIC" hidden="1">"c6669"</definedName>
    <definedName name="IQ_NET_SERVICING_FEES_FDIC" hidden="1">"c6668"</definedName>
    <definedName name="IQ_NON_CASH" hidden="1">"IQ_NON_CASH"</definedName>
    <definedName name="IQ_NON_INT_EXP_FDIC" hidden="1">"c6579"</definedName>
    <definedName name="IQ_NON_INT_INC_FDIC" hidden="1">"c6575"</definedName>
    <definedName name="IQ_NON_INTEREST_EXP" hidden="1">"IQ_NON_INTEREST_EXP"</definedName>
    <definedName name="IQ_NON_INTEREST_INC" hidden="1">"IQ_NON_INTEREST_INC"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TRANSACTION_ACCOUNTS_FDIC" hidden="1">"c6552"</definedName>
    <definedName name="IQ_NORMAL_INC_AFTER" hidden="1">"IQ_NORMAL_INC_AFTER"</definedName>
    <definedName name="IQ_NORMAL_INC_AVAIL" hidden="1">"IQ_NORMAL_INC_AVAIL"</definedName>
    <definedName name="IQ_NORMAL_INC_BEFORE" hidden="1">"IQ_NORMAL_INC_BEFORE"</definedName>
    <definedName name="IQ_NOTES_PAY" hidden="1">"IQ_NOTES_PAY"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TM" hidden="1">6000</definedName>
    <definedName name="IQ_NUMBER_DEPOSITS_LESS_THAN_100K_FDIC" hidden="1">"c6495"</definedName>
    <definedName name="IQ_NUMBER_DEPOSITS_MORE_THAN_100K_FDIC" hidden="1">"c6493"</definedName>
    <definedName name="IQ_OBLIGATIONS_OF_STATES_TOTAL_LOANS_FOREIGN_FDIC" hidden="1">"c6447"</definedName>
    <definedName name="IQ_OBLIGATIONS_STATES_FDIC" hidden="1">"c6431"</definedName>
    <definedName name="IQ_OPENED55" hidden="1">1</definedName>
    <definedName name="IQ_OPENPRICE" hidden="1">"IQ_OPENPRICE"</definedName>
    <definedName name="IQ_OPER_INC" hidden="1">"IQ_OPER_INC"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MULTI_FAMILY_RESIDENTIAL_FDIC" hidden="1">"c6455"</definedName>
    <definedName name="IQ_OTHER_AMORT_BR" hidden="1">"c5566"</definedName>
    <definedName name="IQ_OTHER_ASSETS" hidden="1">"IQ_OTHER_ASSETS"</definedName>
    <definedName name="IQ_OTHER_ASSETS_FDIC" hidden="1">"c6338"</definedName>
    <definedName name="IQ_OTHER_BORROWED_FUNDS_FDIC" hidden="1">"c6345"</definedName>
    <definedName name="IQ_OTHER_COMPREHENSIVE_INCOME_FDIC" hidden="1">"c6503"</definedName>
    <definedName name="IQ_OTHER_CURRENT_ASSETS" hidden="1">"IQ_OTHER_CURRENT_ASSETS"</definedName>
    <definedName name="IQ_OTHER_CURRENT_LIAB" hidden="1">"IQ_OTHER_CURRENT_LIAB"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EARNING" hidden="1">"IQ_OTHER_EARNING"</definedName>
    <definedName name="IQ_OTHER_EQUITY" hidden="1">"IQ_OTHER_EQUITY"</definedName>
    <definedName name="IQ_OTHER_INSURANCE_FEES_FDIC" hidden="1">"c6672"</definedName>
    <definedName name="IQ_OTHER_INTANGIBLE_FDIC" hidden="1">"c6337"</definedName>
    <definedName name="IQ_OTHER_INVESTING" hidden="1">"IQ_OTHER_INVESTING"</definedName>
    <definedName name="IQ_OTHER_LIAB" hidden="1">"IQ_OTHER_LIAB"</definedName>
    <definedName name="IQ_OTHER_LIABILITIES_FDIC" hidden="1">"c6347"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LONG_TERM" hidden="1">"IQ_OTHER_LONG_TERM"</definedName>
    <definedName name="IQ_OTHER_NET" hidden="1">"IQ_OTHER_NET"</definedName>
    <definedName name="IQ_OTHER_NON_INT_EXP_FDIC" hidden="1">"c6578"</definedName>
    <definedName name="IQ_OTHER_NON_INT_EXPENSE_FDIC" hidden="1">"c6679"</definedName>
    <definedName name="IQ_OTHER_NON_INT_INC_FDIC" hidden="1">"c6676"</definedName>
    <definedName name="IQ_OTHER_OFF_BS_LIAB_FDIC" hidden="1">"c6533"</definedName>
    <definedName name="IQ_OTHER_OPER" hidden="1">"IQ_OTHER_OPER"</definedName>
    <definedName name="IQ_OTHER_RE_OWNED_FDIC" hidden="1">"c6330"</definedName>
    <definedName name="IQ_OTHER_RECEIV" hidden="1">"IQ_OTHER_RECEIV"</definedName>
    <definedName name="IQ_OTHER_REVENUE" hidden="1">"IQ_OTHER_REVENUE"</definedName>
    <definedName name="IQ_OTHER_SAVINGS_DEPOSITS_FDIC" hidden="1">"c6554"</definedName>
    <definedName name="IQ_OTHER_TRANSACTIONS_FDIC" hidden="1">"c6504"</definedName>
    <definedName name="IQ_OTHER_UNUSED_COMMITMENTS_FDIC" hidden="1">"c6530"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PARTICIPATION_POOLS_RESIDENTIAL_MORTGAGES_FDIC" hidden="1">"c6403"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Y_ACCRUED" hidden="1">"IQ_PAY_ACCRUED"</definedName>
    <definedName name="IQ_PERCENT_CHANGE_EST_FFO_12MONTHS_CIQ" hidden="1">"c3769"</definedName>
    <definedName name="IQ_PERCENT_CHANGE_EST_FFO_18MONTHS_CIQ" hidden="1">"c3770"</definedName>
    <definedName name="IQ_PERCENT_CHANGE_EST_FFO_3MONTHS_CIQ" hidden="1">"c3766"</definedName>
    <definedName name="IQ_PERCENT_CHANGE_EST_FFO_6MONTHS_CIQ" hidden="1">"c3767"</definedName>
    <definedName name="IQ_PERCENT_CHANGE_EST_FFO_9MONTHS_CIQ" hidden="1">"c3768"</definedName>
    <definedName name="IQ_PERCENT_CHANGE_EST_FFO_DAY_CIQ" hidden="1">"c3764"</definedName>
    <definedName name="IQ_PERCENT_CHANGE_EST_FFO_MONTH_CIQ" hidden="1">"c3765"</definedName>
    <definedName name="IQ_PERCENT_CHANGE_EST_FFO_SHARE_SHARE_12MONTHS" hidden="1">"c1828"</definedName>
    <definedName name="IQ_PERCENT_CHANGE_EST_FFO_SHARE_SHARE_12MONTHS_CIQ" hidden="1">"c3769"</definedName>
    <definedName name="IQ_PERCENT_CHANGE_EST_FFO_SHARE_SHARE_18MONTHS" hidden="1">"c1829"</definedName>
    <definedName name="IQ_PERCENT_CHANGE_EST_FFO_SHARE_SHARE_18MONTHS_CIQ" hidden="1">"c3770"</definedName>
    <definedName name="IQ_PERCENT_CHANGE_EST_FFO_SHARE_SHARE_3MONTHS" hidden="1">"c1825"</definedName>
    <definedName name="IQ_PERCENT_CHANGE_EST_FFO_SHARE_SHARE_3MONTHS_CIQ" hidden="1">"c3766"</definedName>
    <definedName name="IQ_PERCENT_CHANGE_EST_FFO_SHARE_SHARE_6MONTHS" hidden="1">"c1826"</definedName>
    <definedName name="IQ_PERCENT_CHANGE_EST_FFO_SHARE_SHARE_6MONTHS_CIQ" hidden="1">"c3767"</definedName>
    <definedName name="IQ_PERCENT_CHANGE_EST_FFO_SHARE_SHARE_9MONTHS" hidden="1">"c1827"</definedName>
    <definedName name="IQ_PERCENT_CHANGE_EST_FFO_SHARE_SHARE_9MONTHS_CIQ" hidden="1">"c3768"</definedName>
    <definedName name="IQ_PERCENT_CHANGE_EST_FFO_SHARE_SHARE_DAY" hidden="1">"c1822"</definedName>
    <definedName name="IQ_PERCENT_CHANGE_EST_FFO_SHARE_SHARE_DAY_CIQ" hidden="1">"c3764"</definedName>
    <definedName name="IQ_PERCENT_CHANGE_EST_FFO_SHARE_SHARE_MONTH" hidden="1">"c1824"</definedName>
    <definedName name="IQ_PERCENT_CHANGE_EST_FFO_SHARE_SHARE_MONTH_CIQ" hidden="1">"c3765"</definedName>
    <definedName name="IQ_PERCENT_CHANGE_EST_FFO_SHARE_SHARE_WEEK" hidden="1">"c1823"</definedName>
    <definedName name="IQ_PERCENT_CHANGE_EST_FFO_SHARE_SHARE_WEEK_CIQ" hidden="1">"c3795"</definedName>
    <definedName name="IQ_PERCENT_CHANGE_EST_FFO_WEEK_CIQ" hidden="1">"c3795"</definedName>
    <definedName name="IQ_PERCENT_INSURED_FDIC" hidden="1">"c6374"</definedName>
    <definedName name="IQ_PERIODDATE" hidden="1">"IQ_PERIODDATE"</definedName>
    <definedName name="IQ_PERIODDATE_FDIC" hidden="1">"c13646"</definedName>
    <definedName name="IQ_PLEDGED_SECURITIES_FDIC" hidden="1">"c6401"</definedName>
    <definedName name="IQ_PRE_TAX_INCOME_FDIC" hidden="1">"c6581"</definedName>
    <definedName name="IQ_PREF_DIVID" hidden="1">"IQ_PREF_DIVID"</definedName>
    <definedName name="IQ_PREF_STOCK" hidden="1">"IQ_PREF_STOCK"</definedName>
    <definedName name="IQ_PREFERRED_FDIC" hidden="1">"c6349"</definedName>
    <definedName name="IQ_PREMISES_EQUIPMENT_FDIC" hidden="1">"c6577"</definedName>
    <definedName name="IQ_PREPAID_EXPEN" hidden="1">"IQ_PREPAID_EXPEN"</definedName>
    <definedName name="IQ_PRETAX_INC" hidden="1">"IQ_PRETAX_INC"</definedName>
    <definedName name="IQ_PRETAX_INC_10K" hidden="1">"IQ_PRETAX_INC_10K"</definedName>
    <definedName name="IQ_PRETAX_INC_10Q" hidden="1">"IQ_PRETAX_INC_10Q"</definedName>
    <definedName name="IQ_PRETAX_INC_10Q1" hidden="1">"IQ_PRETAX_INC_10Q1"</definedName>
    <definedName name="IQ_PRETAX_RETURN_ASSETS_FDIC" hidden="1">"c6731"</definedName>
    <definedName name="IQ_PRICE_OVER_EPS_EST" hidden="1">"IQ_PRICE_OVER_EPS_EST"</definedName>
    <definedName name="IQ_PRICE_OVER_EPS_EST_1" hidden="1">"IQ_PRICE_OVER_EPS_EST_1"</definedName>
    <definedName name="IQ_PRICE_OVER_LTM_EPS" hidden="1">"IQ_PRICE_OVER_LTM_EPS"</definedName>
    <definedName name="IQ_PRICEDATE" hidden="1">"IQ_PRICEDATE"</definedName>
    <definedName name="IQ_PRICEDATETIME" hidden="1">"IQ_PRICEDATETIME"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"IQ_PRO_FORMA_BASIC_EPS"</definedName>
    <definedName name="IQ_PRO_FORMA_DILUT_EPS" hidden="1">"IQ_PRO_FORMA_DILUT_EPS"</definedName>
    <definedName name="IQ_PRO_FORMA_NET_INC" hidden="1">"IQ_PRO_FORMA_NET_INC"</definedName>
    <definedName name="IQ_PROPERTY_GROSS" hidden="1">"IQ_PROPERTY_GROSS"</definedName>
    <definedName name="IQ_PROPERTY_NET" hidden="1">"IQ_PROPERTY_NET"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QTD" hidden="1">750000</definedName>
    <definedName name="IQ_QUICK_RATIO" hidden="1">"IQ_QUICK_RATIO"</definedName>
    <definedName name="IQ_RE_FORECLOSURE_FDIC" hidden="1">"c6332"</definedName>
    <definedName name="IQ_RE_INVEST_FDIC" hidden="1">"c6331"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DEEM_PREF_STOCK" hidden="1">"IQ_REDEEM_PREF_STOCK"</definedName>
    <definedName name="IQ_RELATED_PLANS_FDIC" hidden="1">"c6320"</definedName>
    <definedName name="IQ_RESEARCH_DEV" hidden="1">"IQ_RESEARCH_DEV"</definedName>
    <definedName name="IQ_RESTATEMENTS_NET_FDIC" hidden="1">"c6500"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DEPOSITS_FDIC" hidden="1">"c6488"</definedName>
    <definedName name="IQ_RETAINED_EARN" hidden="1">"IQ_RETAINED_EARN"</definedName>
    <definedName name="IQ_RETAINED_EARNINGS_AVERAGE_EQUITY_FDIC" hidden="1">"c6733"</definedName>
    <definedName name="IQ_RETURN_ASSETS" hidden="1">"IQ_RETURN_ASSETS"</definedName>
    <definedName name="IQ_RETURN_ASSETS_FDIC" hidden="1">"c6730"</definedName>
    <definedName name="IQ_RETURN_EQUITY" hidden="1">"IQ_RETURN_EQUITY"</definedName>
    <definedName name="IQ_RETURN_EQUITY_FDIC" hidden="1">"c6732"</definedName>
    <definedName name="IQ_RETURN_INVESTMENT" hidden="1">"IQ_RETURN_INVESTMENT"</definedName>
    <definedName name="IQ_REVALUATION_GAINS_FDIC" hidden="1">"c6428"</definedName>
    <definedName name="IQ_REVALUATION_LOSSES_FDIC" hidden="1">"c6429"</definedName>
    <definedName name="IQ_REVENUE" hidden="1">"IQ_REVENUE"</definedName>
    <definedName name="IQ_REVENUE_10K" hidden="1">"IQ_REVENUE_10K"</definedName>
    <definedName name="IQ_REVENUE_10Q" hidden="1">"IQ_REVENUE_10Q"</definedName>
    <definedName name="IQ_REVENUE_10Q1" hidden="1">"IQ_REVENUE_10Q1"</definedName>
    <definedName name="IQ_REVENUE_EST" hidden="1">"IQ_REVENUE_EST"</definedName>
    <definedName name="IQ_REVENUE_EST_1" hidden="1">"IQ_REVENUE_EST_1"</definedName>
    <definedName name="IQ_REVENUE_GROWTH_1" hidden="1">"IQ_REVENUE_GROWTH_1"</definedName>
    <definedName name="IQ_REVENUE_GROWTH_2" hidden="1">"IQ_REVENUE_GROWTH_2"</definedName>
    <definedName name="IQ_RISK_WEIGHTED_ASSETS_FDIC" hidden="1">"c6370"</definedName>
    <definedName name="IQ_SALARY_FDIC" hidden="1">"c6576"</definedName>
    <definedName name="IQ_SALE_CONVERSION_RETIREMENT_STOCK_FDIC" hidden="1">"c6661"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UNDERWRITING_FDIC" hidden="1">"c6529"</definedName>
    <definedName name="IQ_SERVICE_CHARGES_FDIC" hidden="1">"c6572"</definedName>
    <definedName name="IQ_SGA" hidden="1">"IQ_SGA"</definedName>
    <definedName name="IQ_SHARESOUTSTANDING" hidden="1">"IQ_SHARESOUTSTANDING"</definedName>
    <definedName name="IQ_SHORT_TERM_INVEST" hidden="1">"IQ_SHORT_TERM_INVEST"</definedName>
    <definedName name="IQ_STATE" hidden="1">"IQ_STATE"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TOCK_BASED" hidden="1">"IQ_STOCK_BASED"</definedName>
    <definedName name="IQ_SUB_DEBT_FDIC" hidden="1">"c6346"</definedName>
    <definedName name="IQ_SURPLUS_FDIC" hidden="1">"c6351"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FDIC" hidden="1">"c6369"</definedName>
    <definedName name="IQ_TIME_DEPOSITS_LESS_THAN_100K_FDIC" hidden="1">"c6465"</definedName>
    <definedName name="IQ_TIME_DEPOSITS_MORE_THAN_100K_FDIC" hidden="1">"c6470"</definedName>
    <definedName name="IQ_TODAY" hidden="1">"0"</definedName>
    <definedName name="IQ_TOTAL_ASSETS" hidden="1">"IQ_TOTAL_ASSETS"</definedName>
    <definedName name="IQ_TOTAL_ASSETS_FDIC" hidden="1">"c6339"</definedName>
    <definedName name="IQ_TOTAL_CASH_DIVID" hidden="1">"IQ_TOTAL_CASH_DIVID"</definedName>
    <definedName name="IQ_TOTAL_CASH_FINAN" hidden="1">"IQ_TOTAL_CASH_FINAN"</definedName>
    <definedName name="IQ_TOTAL_CASH_INVEST" hidden="1">"IQ_TOTAL_CASH_INVEST"</definedName>
    <definedName name="IQ_TOTAL_CASH_OPER" hidden="1">"IQ_TOTAL_CASH_OPER"</definedName>
    <definedName name="IQ_TOTAL_CHARGE_OFFS_FDIC" hidden="1">"c6603"</definedName>
    <definedName name="IQ_TOTAL_COMMON" hidden="1">"IQ_TOTAL_COMMON"</definedName>
    <definedName name="IQ_TOTAL_CURRENT_ASSETS" hidden="1">"IQ_TOTAL_CURRENT_ASSETS"</definedName>
    <definedName name="IQ_TOTAL_CURRENT_LIAB" hidden="1">"IQ_TOTAL_CURRENT_LIAB"</definedName>
    <definedName name="IQ_TOTAL_DEBT" hidden="1">"IQ_TOTAL_DEBT"</definedName>
    <definedName name="IQ_TOTAL_DEBT_OVER_EBITDA" hidden="1">"IQ_TOTAL_DEBT_OVER_EBITDA"</definedName>
    <definedName name="IQ_TOTAL_DEBT_OVER_TOTAL_BV" hidden="1">"IQ_TOTAL_DEBT_OVER_TOTAL_BV"</definedName>
    <definedName name="IQ_TOTAL_DEBT_OVER_TOTAL_CAP" hidden="1">"IQ_TOTAL_DEBT_OVER_TOTAL_CAP"</definedName>
    <definedName name="IQ_TOTAL_DEBT_SECURITIES_FDIC" hidden="1">"c6410"</definedName>
    <definedName name="IQ_TOTAL_DEPOSITS_FDIC" hidden="1">"c6342"</definedName>
    <definedName name="IQ_TOTAL_EMPLOYEES_FDIC" hidden="1">"c6355"</definedName>
    <definedName name="IQ_TOTAL_EQUITY" hidden="1">"IQ_TOTAL_EQUITY"</definedName>
    <definedName name="IQ_TOTAL_INTEREST_EXP" hidden="1">"IQ_TOTAL_INTEREST_EXP"</definedName>
    <definedName name="IQ_TOTAL_INVENTORY" hidden="1">"IQ_TOTAL_INVENTORY"</definedName>
    <definedName name="IQ_TOTAL_LIAB" hidden="1">"IQ_TOTAL_LIAB"</definedName>
    <definedName name="IQ_TOTAL_LIAB_EQUITY_FDIC" hidden="1">"c6354"</definedName>
    <definedName name="IQ_TOTAL_LIAB_SHAREHOLD" hidden="1">"IQ_TOTAL_LIAB_SHAREHOLD"</definedName>
    <definedName name="IQ_TOTAL_LIABILITIES_FDIC" hidden="1">"c6348"</definedName>
    <definedName name="IQ_TOTAL_LONG_DEBT" hidden="1">"IQ_TOTAL_LONG_DEBT"</definedName>
    <definedName name="IQ_TOTAL_OPER_EXPEN" hidden="1">"IQ_TOTAL_OPER_EXPEN"</definedName>
    <definedName name="IQ_TOTAL_RECEIV" hidden="1">"IQ_TOTAL_RECEIV"</definedName>
    <definedName name="IQ_TOTAL_RECOVERIES_FDIC" hidden="1">"c6622"</definedName>
    <definedName name="IQ_TOTAL_REV_BNK_FDIC" hidden="1">"c6786"</definedName>
    <definedName name="IQ_TOTAL_REVENUE" hidden="1">"IQ_TOTAL_REVENUE"</definedName>
    <definedName name="IQ_TOTAL_RISK_BASED_CAPITAL_RATIO_FDIC" hidden="1">"c6747"</definedName>
    <definedName name="IQ_TOTAL_SECURITIES_FDIC" hidden="1">"c6306"</definedName>
    <definedName name="IQ_TOTAL_SPECIAL" hidden="1">"IQ_TOTAL_SPECIAL"</definedName>
    <definedName name="IQ_TOTAL_TIME_DEPOSITS_FDIC" hidden="1">"c6497"</definedName>
    <definedName name="IQ_TOTAL_TIME_SAVINGS_DEPOSITS_FDIC" hidden="1">"c6498"</definedName>
    <definedName name="IQ_TOTAL_UNUSED_COMMITMENTS_FDIC" hidden="1">"c6536"</definedName>
    <definedName name="IQ_TOTAL_UNUSUAL_BR" hidden="1">"c5517"</definedName>
    <definedName name="IQ_TRADE_AR" hidden="1">"IQ_TRADE_AR"</definedName>
    <definedName name="IQ_TRADING_ACCOUNT_GAINS_FEES_FDIC" hidden="1">"c6573"</definedName>
    <definedName name="IQ_TRADING_ASSETS_FDIC" hidden="1">"c6328"</definedName>
    <definedName name="IQ_TRADING_LIABILITIES_FDIC" hidden="1">"c6344"</definedName>
    <definedName name="IQ_TRANSACTION_ACCOUNTS_FDIC" hidden="1">"c6544"</definedName>
    <definedName name="IQ_TREASURY_STOCK" hidden="1">"IQ_TREASURY_STOCK"</definedName>
    <definedName name="IQ_TREASURY_STOCK_TRANSACTIONS_FDIC" hidden="1">"c6501"</definedName>
    <definedName name="IQ_TWELVE_MONTHS_FIXED_AND_FLOATING_FDIC" hidden="1">"c6420"</definedName>
    <definedName name="IQ_TWELVE_MONTHS_MORTGAGE_PASS_THROUGHS_FDIC" hidden="1">"c6412"</definedName>
    <definedName name="IQ_UNDIVIDED_PROFITS_FDIC" hidden="1">"c6352"</definedName>
    <definedName name="IQ_UNEARNED_INCOME_FDIC" hidden="1">"c6324"</definedName>
    <definedName name="IQ_UNEARNED_INCOME_FOREIGN_FDIC" hidden="1">"c6385"</definedName>
    <definedName name="IQ_UNPROFITABLE_INSTITUTIONS_FDIC" hidden="1">"c6722"</definedName>
    <definedName name="IQ_UNREALIZED_GAIN" hidden="1">"IQ_UNREALIZED_GAIN"</definedName>
    <definedName name="IQ_UNUSED_LOAN_COMMITMENTS_FDIC" hidden="1">"c6368"</definedName>
    <definedName name="IQ_UNUSUAL_EXP" hidden="1">"IQ_UNUSUAL_EXP"</definedName>
    <definedName name="IQ_US_BRANCHES_FOREIGN_BANK_LOANS_FDIC" hidden="1">"c6435"</definedName>
    <definedName name="IQ_US_BRANCHES_FOREIGN_BANKS_FDIC" hidden="1">"c6390"</definedName>
    <definedName name="IQ_US_GAAP" hidden="1">"IQ_US_GAAP"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TREASURY_SECURITIES_FDIC" hidden="1">"c6298"</definedName>
    <definedName name="IQ_VALUATION_ALLOWANCES_FDIC" hidden="1">"c6400"</definedName>
    <definedName name="IQ_VC_REVENUE_FDIC" hidden="1">"c6667"</definedName>
    <definedName name="IQ_VOLATILE_LIABILITIES_FDIC" hidden="1">"c6364"</definedName>
    <definedName name="IQ_VOLUME" hidden="1">"IQ_VOLUME"</definedName>
    <definedName name="IQ_WEEK" hidden="1">50000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YEARHIGH" hidden="1">"IQ_YEARHIGH"</definedName>
    <definedName name="IQ_YEARLOW" hidden="1">"IQ_YEARLOW"</definedName>
    <definedName name="IQ_YTD" hidden="1">3000</definedName>
    <definedName name="IQ_YTDMONTH" hidden="1">130000</definedName>
    <definedName name="IS_History_Lookup">'[24]Internal History'!$B$8:$AP$102</definedName>
    <definedName name="iuhiliu" localSheetId="8" hidden="1">{#N/A,#N/A,FALSE,"Sheet1"}</definedName>
    <definedName name="iuhiliu" localSheetId="5" hidden="1">{#N/A,#N/A,FALSE,"Sheet1"}</definedName>
    <definedName name="iuhiliu" hidden="1">{#N/A,#N/A,FALSE,"Sheet1"}</definedName>
    <definedName name="iui" hidden="1">#REF!</definedName>
    <definedName name="j" localSheetId="8" hidden="1">{"'vert'!$A$1:$T$117"}</definedName>
    <definedName name="j" localSheetId="5" hidden="1">{"'vert'!$A$1:$T$117"}</definedName>
    <definedName name="j" hidden="1">{"'vert'!$A$1:$T$117"}</definedName>
    <definedName name="j_1" localSheetId="8" hidden="1">{"'vert'!$A$1:$T$117"}</definedName>
    <definedName name="j_1" localSheetId="5" hidden="1">{"'vert'!$A$1:$T$117"}</definedName>
    <definedName name="j_1" hidden="1">{"'vert'!$A$1:$T$117"}</definedName>
    <definedName name="j_1_1" localSheetId="8" hidden="1">{"'vert'!$A$1:$T$117"}</definedName>
    <definedName name="j_1_1" localSheetId="5" hidden="1">{"'vert'!$A$1:$T$117"}</definedName>
    <definedName name="j_1_1" hidden="1">{"'vert'!$A$1:$T$117"}</definedName>
    <definedName name="j_1_2" localSheetId="8" hidden="1">{"'vert'!$A$1:$T$117"}</definedName>
    <definedName name="j_1_2" localSheetId="5" hidden="1">{"'vert'!$A$1:$T$117"}</definedName>
    <definedName name="j_1_2" hidden="1">{"'vert'!$A$1:$T$117"}</definedName>
    <definedName name="j_2" localSheetId="8" hidden="1">{"'vert'!$A$1:$T$117"}</definedName>
    <definedName name="j_2" localSheetId="5" hidden="1">{"'vert'!$A$1:$T$117"}</definedName>
    <definedName name="j_2" hidden="1">{"'vert'!$A$1:$T$117"}</definedName>
    <definedName name="j_3" localSheetId="8" hidden="1">{"'vert'!$A$1:$T$117"}</definedName>
    <definedName name="j_3" localSheetId="5" hidden="1">{"'vert'!$A$1:$T$117"}</definedName>
    <definedName name="j_3" hidden="1">{"'vert'!$A$1:$T$117"}</definedName>
    <definedName name="JAWApprovalStatus">[15]Lists!$G$33:$G$36</definedName>
    <definedName name="JAWVPDirect">[15]Lists!$A$33:$A$40</definedName>
    <definedName name="jhh" localSheetId="8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jhh" localSheetId="5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jhh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jhl" localSheetId="8" hidden="1">{#N/A,#N/A,FALSE,"Sheet1"}</definedName>
    <definedName name="jhl" localSheetId="5" hidden="1">{#N/A,#N/A,FALSE,"Sheet1"}</definedName>
    <definedName name="jhl" hidden="1">{#N/A,#N/A,FALSE,"Sheet1"}</definedName>
    <definedName name="ji" localSheetId="8" hidden="1">{#N/A,#N/A,FALSE,"Sheet1"}</definedName>
    <definedName name="ji" localSheetId="5" hidden="1">{#N/A,#N/A,FALSE,"Sheet1"}</definedName>
    <definedName name="ji" hidden="1">{#N/A,#N/A,FALSE,"Sheet1"}</definedName>
    <definedName name="jjj" localSheetId="8" hidden="1">{#N/A,#N/A,FALSE,"Sheet1"}</definedName>
    <definedName name="jjj" localSheetId="5" hidden="1">{#N/A,#N/A,FALSE,"Sheet1"}</definedName>
    <definedName name="jjj" hidden="1">{#N/A,#N/A,FALSE,"Sheet1"}</definedName>
    <definedName name="jjj_1" localSheetId="8" hidden="1">{"'vert'!$A$1:$T$117"}</definedName>
    <definedName name="jjj_1" localSheetId="5" hidden="1">{"'vert'!$A$1:$T$117"}</definedName>
    <definedName name="jjj_1" hidden="1">{"'vert'!$A$1:$T$117"}</definedName>
    <definedName name="jjj_1_1" localSheetId="8" hidden="1">{"'vert'!$A$1:$T$117"}</definedName>
    <definedName name="jjj_1_1" localSheetId="5" hidden="1">{"'vert'!$A$1:$T$117"}</definedName>
    <definedName name="jjj_1_1" hidden="1">{"'vert'!$A$1:$T$117"}</definedName>
    <definedName name="jjj_1_1_1" localSheetId="8" hidden="1">{"'vert'!$A$1:$T$117"}</definedName>
    <definedName name="jjj_1_1_1" localSheetId="5" hidden="1">{"'vert'!$A$1:$T$117"}</definedName>
    <definedName name="jjj_1_1_1" hidden="1">{"'vert'!$A$1:$T$117"}</definedName>
    <definedName name="jjj_1_2" localSheetId="8" hidden="1">{"'vert'!$A$1:$T$117"}</definedName>
    <definedName name="jjj_1_2" localSheetId="5" hidden="1">{"'vert'!$A$1:$T$117"}</definedName>
    <definedName name="jjj_1_2" hidden="1">{"'vert'!$A$1:$T$117"}</definedName>
    <definedName name="jjj_2" localSheetId="8" hidden="1">{"'vert'!$A$1:$T$117"}</definedName>
    <definedName name="jjj_2" localSheetId="5" hidden="1">{"'vert'!$A$1:$T$117"}</definedName>
    <definedName name="jjj_2" hidden="1">{"'vert'!$A$1:$T$117"}</definedName>
    <definedName name="jjj_2_1" localSheetId="8" hidden="1">{"'vert'!$A$1:$T$117"}</definedName>
    <definedName name="jjj_2_1" localSheetId="5" hidden="1">{"'vert'!$A$1:$T$117"}</definedName>
    <definedName name="jjj_2_1" hidden="1">{"'vert'!$A$1:$T$117"}</definedName>
    <definedName name="jjj_2_1_1" localSheetId="8" hidden="1">{"'vert'!$A$1:$T$117"}</definedName>
    <definedName name="jjj_2_1_1" localSheetId="5" hidden="1">{"'vert'!$A$1:$T$117"}</definedName>
    <definedName name="jjj_2_1_1" hidden="1">{"'vert'!$A$1:$T$117"}</definedName>
    <definedName name="jjj_2_2" localSheetId="8" hidden="1">{"'vert'!$A$1:$T$117"}</definedName>
    <definedName name="jjj_2_2" localSheetId="5" hidden="1">{"'vert'!$A$1:$T$117"}</definedName>
    <definedName name="jjj_2_2" hidden="1">{"'vert'!$A$1:$T$117"}</definedName>
    <definedName name="jjj_3" localSheetId="8" hidden="1">{"'vert'!$A$1:$T$117"}</definedName>
    <definedName name="jjj_3" localSheetId="5" hidden="1">{"'vert'!$A$1:$T$117"}</definedName>
    <definedName name="jjj_3" hidden="1">{"'vert'!$A$1:$T$117"}</definedName>
    <definedName name="jjj_3_1" localSheetId="8" hidden="1">{"'vert'!$A$1:$T$117"}</definedName>
    <definedName name="jjj_3_1" localSheetId="5" hidden="1">{"'vert'!$A$1:$T$117"}</definedName>
    <definedName name="jjj_3_1" hidden="1">{"'vert'!$A$1:$T$117"}</definedName>
    <definedName name="jjj_4" localSheetId="8" hidden="1">{"'vert'!$A$1:$T$117"}</definedName>
    <definedName name="jjj_4" localSheetId="5" hidden="1">{"'vert'!$A$1:$T$117"}</definedName>
    <definedName name="jjj_4" hidden="1">{"'vert'!$A$1:$T$117"}</definedName>
    <definedName name="jjjjj" localSheetId="8" hidden="1">{"'vert'!$A$1:$T$117"}</definedName>
    <definedName name="jjjjj" localSheetId="5" hidden="1">{"'vert'!$A$1:$T$117"}</definedName>
    <definedName name="jjjjj" hidden="1">{"'vert'!$A$1:$T$117"}</definedName>
    <definedName name="jjjjj_1" localSheetId="8" hidden="1">{"'vert'!$A$1:$T$117"}</definedName>
    <definedName name="jjjjj_1" localSheetId="5" hidden="1">{"'vert'!$A$1:$T$117"}</definedName>
    <definedName name="jjjjj_1" hidden="1">{"'vert'!$A$1:$T$117"}</definedName>
    <definedName name="jjjjj_1_1" localSheetId="8" hidden="1">{"'vert'!$A$1:$T$117"}</definedName>
    <definedName name="jjjjj_1_1" localSheetId="5" hidden="1">{"'vert'!$A$1:$T$117"}</definedName>
    <definedName name="jjjjj_1_1" hidden="1">{"'vert'!$A$1:$T$117"}</definedName>
    <definedName name="jjjjj_1_1_1" localSheetId="8" hidden="1">{"'vert'!$A$1:$T$117"}</definedName>
    <definedName name="jjjjj_1_1_1" localSheetId="5" hidden="1">{"'vert'!$A$1:$T$117"}</definedName>
    <definedName name="jjjjj_1_1_1" hidden="1">{"'vert'!$A$1:$T$117"}</definedName>
    <definedName name="jjjjj_1_2" localSheetId="8" hidden="1">{"'vert'!$A$1:$T$117"}</definedName>
    <definedName name="jjjjj_1_2" localSheetId="5" hidden="1">{"'vert'!$A$1:$T$117"}</definedName>
    <definedName name="jjjjj_1_2" hidden="1">{"'vert'!$A$1:$T$117"}</definedName>
    <definedName name="jjjjj_2" localSheetId="8" hidden="1">{"'vert'!$A$1:$T$117"}</definedName>
    <definedName name="jjjjj_2" localSheetId="5" hidden="1">{"'vert'!$A$1:$T$117"}</definedName>
    <definedName name="jjjjj_2" hidden="1">{"'vert'!$A$1:$T$117"}</definedName>
    <definedName name="jjjjj_2_1" localSheetId="8" hidden="1">{"'vert'!$A$1:$T$117"}</definedName>
    <definedName name="jjjjj_2_1" localSheetId="5" hidden="1">{"'vert'!$A$1:$T$117"}</definedName>
    <definedName name="jjjjj_2_1" hidden="1">{"'vert'!$A$1:$T$117"}</definedName>
    <definedName name="jjjjj_2_1_1" localSheetId="8" hidden="1">{"'vert'!$A$1:$T$117"}</definedName>
    <definedName name="jjjjj_2_1_1" localSheetId="5" hidden="1">{"'vert'!$A$1:$T$117"}</definedName>
    <definedName name="jjjjj_2_1_1" hidden="1">{"'vert'!$A$1:$T$117"}</definedName>
    <definedName name="jjjjj_2_2" localSheetId="8" hidden="1">{"'vert'!$A$1:$T$117"}</definedName>
    <definedName name="jjjjj_2_2" localSheetId="5" hidden="1">{"'vert'!$A$1:$T$117"}</definedName>
    <definedName name="jjjjj_2_2" hidden="1">{"'vert'!$A$1:$T$117"}</definedName>
    <definedName name="jjjjj_3" localSheetId="8" hidden="1">{"'vert'!$A$1:$T$117"}</definedName>
    <definedName name="jjjjj_3" localSheetId="5" hidden="1">{"'vert'!$A$1:$T$117"}</definedName>
    <definedName name="jjjjj_3" hidden="1">{"'vert'!$A$1:$T$117"}</definedName>
    <definedName name="jjjjj_3_1" localSheetId="8" hidden="1">{"'vert'!$A$1:$T$117"}</definedName>
    <definedName name="jjjjj_3_1" localSheetId="5" hidden="1">{"'vert'!$A$1:$T$117"}</definedName>
    <definedName name="jjjjj_3_1" hidden="1">{"'vert'!$A$1:$T$117"}</definedName>
    <definedName name="jjjjj_4" localSheetId="8" hidden="1">{"'vert'!$A$1:$T$117"}</definedName>
    <definedName name="jjjjj_4" localSheetId="5" hidden="1">{"'vert'!$A$1:$T$117"}</definedName>
    <definedName name="jjjjj_4" hidden="1">{"'vert'!$A$1:$T$117"}</definedName>
    <definedName name="jkdjfdi" localSheetId="8" hidden="1">{"'vert'!$A$1:$T$117"}</definedName>
    <definedName name="jkdjfdi" localSheetId="5" hidden="1">{"'vert'!$A$1:$T$117"}</definedName>
    <definedName name="jkdjfdi" hidden="1">{"'vert'!$A$1:$T$117"}</definedName>
    <definedName name="jkdjfdi_1" localSheetId="8" hidden="1">{"'vert'!$A$1:$T$117"}</definedName>
    <definedName name="jkdjfdi_1" localSheetId="5" hidden="1">{"'vert'!$A$1:$T$117"}</definedName>
    <definedName name="jkdjfdi_1" hidden="1">{"'vert'!$A$1:$T$117"}</definedName>
    <definedName name="jkdjfdi_1_1" localSheetId="8" hidden="1">{"'vert'!$A$1:$T$117"}</definedName>
    <definedName name="jkdjfdi_1_1" localSheetId="5" hidden="1">{"'vert'!$A$1:$T$117"}</definedName>
    <definedName name="jkdjfdi_1_1" hidden="1">{"'vert'!$A$1:$T$117"}</definedName>
    <definedName name="jkdjfdi_1_2" localSheetId="8" hidden="1">{"'vert'!$A$1:$T$117"}</definedName>
    <definedName name="jkdjfdi_1_2" localSheetId="5" hidden="1">{"'vert'!$A$1:$T$117"}</definedName>
    <definedName name="jkdjfdi_1_2" hidden="1">{"'vert'!$A$1:$T$117"}</definedName>
    <definedName name="jkdjfdi_2" localSheetId="8" hidden="1">{"'vert'!$A$1:$T$117"}</definedName>
    <definedName name="jkdjfdi_2" localSheetId="5" hidden="1">{"'vert'!$A$1:$T$117"}</definedName>
    <definedName name="jkdjfdi_2" hidden="1">{"'vert'!$A$1:$T$117"}</definedName>
    <definedName name="jkdjfdi_3" localSheetId="8" hidden="1">{"'vert'!$A$1:$T$117"}</definedName>
    <definedName name="jkdjfdi_3" localSheetId="5" hidden="1">{"'vert'!$A$1:$T$117"}</definedName>
    <definedName name="jkdjfdi_3" hidden="1">{"'vert'!$A$1:$T$117"}</definedName>
    <definedName name="jo" hidden="1">[3]CLOSE!#REF!</definedName>
    <definedName name="JPY">[11]Admin!$AG$12</definedName>
    <definedName name="jskfjskfjsksss_1" localSheetId="8" hidden="1">{"'vert'!$A$1:$T$117"}</definedName>
    <definedName name="jskfjskfjsksss_1" localSheetId="5" hidden="1">{"'vert'!$A$1:$T$117"}</definedName>
    <definedName name="jskfjskfjsksss_1" hidden="1">{"'vert'!$A$1:$T$117"}</definedName>
    <definedName name="jskfjskfjsksss_1_1" localSheetId="8" hidden="1">{"'vert'!$A$1:$T$117"}</definedName>
    <definedName name="jskfjskfjsksss_1_1" localSheetId="5" hidden="1">{"'vert'!$A$1:$T$117"}</definedName>
    <definedName name="jskfjskfjsksss_1_1" hidden="1">{"'vert'!$A$1:$T$117"}</definedName>
    <definedName name="jskfjskfjsksss_1_2" localSheetId="8" hidden="1">{"'vert'!$A$1:$T$117"}</definedName>
    <definedName name="jskfjskfjsksss_1_2" localSheetId="5" hidden="1">{"'vert'!$A$1:$T$117"}</definedName>
    <definedName name="jskfjskfjsksss_1_2" hidden="1">{"'vert'!$A$1:$T$117"}</definedName>
    <definedName name="jskfjskfjsksss_2" localSheetId="8" hidden="1">{"'vert'!$A$1:$T$117"}</definedName>
    <definedName name="jskfjskfjsksss_2" localSheetId="5" hidden="1">{"'vert'!$A$1:$T$117"}</definedName>
    <definedName name="jskfjskfjsksss_2" hidden="1">{"'vert'!$A$1:$T$117"}</definedName>
    <definedName name="jskfjskfjsksss_3" localSheetId="8" hidden="1">{"'vert'!$A$1:$T$117"}</definedName>
    <definedName name="jskfjskfjsksss_3" localSheetId="5" hidden="1">{"'vert'!$A$1:$T$117"}</definedName>
    <definedName name="jskfjskfjsksss_3" hidden="1">{"'vert'!$A$1:$T$117"}</definedName>
    <definedName name="k" localSheetId="8" hidden="1">{"'vert'!$A$1:$T$117"}</definedName>
    <definedName name="k" localSheetId="5" hidden="1">{"'vert'!$A$1:$T$117"}</definedName>
    <definedName name="k" hidden="1">{"'vert'!$A$1:$T$117"}</definedName>
    <definedName name="k_1" localSheetId="8" hidden="1">{"'vert'!$A$1:$T$117"}</definedName>
    <definedName name="k_1" localSheetId="5" hidden="1">{"'vert'!$A$1:$T$117"}</definedName>
    <definedName name="k_1" hidden="1">{"'vert'!$A$1:$T$117"}</definedName>
    <definedName name="k_1_1" localSheetId="8" hidden="1">{"'vert'!$A$1:$T$117"}</definedName>
    <definedName name="k_1_1" localSheetId="5" hidden="1">{"'vert'!$A$1:$T$117"}</definedName>
    <definedName name="k_1_1" hidden="1">{"'vert'!$A$1:$T$117"}</definedName>
    <definedName name="k_1_2" localSheetId="8" hidden="1">{"'vert'!$A$1:$T$117"}</definedName>
    <definedName name="k_1_2" localSheetId="5" hidden="1">{"'vert'!$A$1:$T$117"}</definedName>
    <definedName name="k_1_2" hidden="1">{"'vert'!$A$1:$T$117"}</definedName>
    <definedName name="k_2" localSheetId="8" hidden="1">{"'vert'!$A$1:$T$117"}</definedName>
    <definedName name="k_2" localSheetId="5" hidden="1">{"'vert'!$A$1:$T$117"}</definedName>
    <definedName name="k_2" hidden="1">{"'vert'!$A$1:$T$117"}</definedName>
    <definedName name="k_3" localSheetId="8" hidden="1">{"'vert'!$A$1:$T$117"}</definedName>
    <definedName name="k_3" localSheetId="5" hidden="1">{"'vert'!$A$1:$T$117"}</definedName>
    <definedName name="k_3" hidden="1">{"'vert'!$A$1:$T$117"}</definedName>
    <definedName name="kdjfd" localSheetId="8" hidden="1">{"'vert'!$A$1:$T$117"}</definedName>
    <definedName name="kdjfd" localSheetId="5" hidden="1">{"'vert'!$A$1:$T$117"}</definedName>
    <definedName name="kdjfd" hidden="1">{"'vert'!$A$1:$T$117"}</definedName>
    <definedName name="kdjfd_1" localSheetId="8" hidden="1">{"'vert'!$A$1:$T$117"}</definedName>
    <definedName name="kdjfd_1" localSheetId="5" hidden="1">{"'vert'!$A$1:$T$117"}</definedName>
    <definedName name="kdjfd_1" hidden="1">{"'vert'!$A$1:$T$117"}</definedName>
    <definedName name="kdjfd_1_1" localSheetId="8" hidden="1">{"'vert'!$A$1:$T$117"}</definedName>
    <definedName name="kdjfd_1_1" localSheetId="5" hidden="1">{"'vert'!$A$1:$T$117"}</definedName>
    <definedName name="kdjfd_1_1" hidden="1">{"'vert'!$A$1:$T$117"}</definedName>
    <definedName name="kdjfd_1_2" localSheetId="8" hidden="1">{"'vert'!$A$1:$T$117"}</definedName>
    <definedName name="kdjfd_1_2" localSheetId="5" hidden="1">{"'vert'!$A$1:$T$117"}</definedName>
    <definedName name="kdjfd_1_2" hidden="1">{"'vert'!$A$1:$T$117"}</definedName>
    <definedName name="kdjfd_2" localSheetId="8" hidden="1">{"'vert'!$A$1:$T$117"}</definedName>
    <definedName name="kdjfd_2" localSheetId="5" hidden="1">{"'vert'!$A$1:$T$117"}</definedName>
    <definedName name="kdjfd_2" hidden="1">{"'vert'!$A$1:$T$117"}</definedName>
    <definedName name="kdjfd_3" localSheetId="8" hidden="1">{"'vert'!$A$1:$T$117"}</definedName>
    <definedName name="kdjfd_3" localSheetId="5" hidden="1">{"'vert'!$A$1:$T$117"}</definedName>
    <definedName name="kdjfd_3" hidden="1">{"'vert'!$A$1:$T$117"}</definedName>
    <definedName name="kdkd" localSheetId="8" hidden="1">{#N/A,#N/A,FALSE,"Sheet1"}</definedName>
    <definedName name="kdkd" localSheetId="5" hidden="1">{#N/A,#N/A,FALSE,"Sheet1"}</definedName>
    <definedName name="kdkd" hidden="1">{#N/A,#N/A,FALSE,"Sheet1"}</definedName>
    <definedName name="khj" localSheetId="8" hidden="1">{#N/A,#N/A,FALSE,"Sheet1"}</definedName>
    <definedName name="khj" localSheetId="5" hidden="1">{#N/A,#N/A,FALSE,"Sheet1"}</definedName>
    <definedName name="khj" hidden="1">{#N/A,#N/A,FALSE,"Sheet1"}</definedName>
    <definedName name="khsdfkj" localSheetId="8" hidden="1">{#N/A,#N/A,TRUE,"Cover";#N/A,#N/A,TRUE,"Sum";#N/A,#N/A,TRUE,"SubsRev";#N/A,#N/A,TRUE,"CapEx";#N/A,#N/A,TRUE,"OpEx";#N/A,#N/A,TRUE,"SUs";#N/A,#N/A,TRUE,"OrgChart";#N/A,#N/A,TRUE,"Staff";#N/A,#N/A,TRUE,"P&amp;L";#N/A,#N/A,TRUE,"Cash";#N/A,#N/A,TRUE,"BS";#N/A,#N/A,TRUE,"Valuation";#N/A,#N/A,TRUE,"CapEx-Assumptions";#N/A,#N/A,TRUE,"OpEx-Assumptions"}</definedName>
    <definedName name="khsdfkj" localSheetId="5" hidden="1">{#N/A,#N/A,TRUE,"Cover";#N/A,#N/A,TRUE,"Sum";#N/A,#N/A,TRUE,"SubsRev";#N/A,#N/A,TRUE,"CapEx";#N/A,#N/A,TRUE,"OpEx";#N/A,#N/A,TRUE,"SUs";#N/A,#N/A,TRUE,"OrgChart";#N/A,#N/A,TRUE,"Staff";#N/A,#N/A,TRUE,"P&amp;L";#N/A,#N/A,TRUE,"Cash";#N/A,#N/A,TRUE,"BS";#N/A,#N/A,TRUE,"Valuation";#N/A,#N/A,TRUE,"CapEx-Assumptions";#N/A,#N/A,TRUE,"OpEx-Assumptions"}</definedName>
    <definedName name="khsdfkj" hidden="1">{#N/A,#N/A,TRUE,"Cover";#N/A,#N/A,TRUE,"Sum";#N/A,#N/A,TRUE,"SubsRev";#N/A,#N/A,TRUE,"CapEx";#N/A,#N/A,TRUE,"OpEx";#N/A,#N/A,TRUE,"SUs";#N/A,#N/A,TRUE,"OrgChart";#N/A,#N/A,TRUE,"Staff";#N/A,#N/A,TRUE,"P&amp;L";#N/A,#N/A,TRUE,"Cash";#N/A,#N/A,TRUE,"BS";#N/A,#N/A,TRUE,"Valuation";#N/A,#N/A,TRUE,"CapEx-Assumptions";#N/A,#N/A,TRUE,"OpEx-Assumptions"}</definedName>
    <definedName name="kjdjdjd" localSheetId="8" hidden="1">{#N/A,#N/A,FALSE,"Sheet1"}</definedName>
    <definedName name="kjdjdjd" localSheetId="5" hidden="1">{#N/A,#N/A,FALSE,"Sheet1"}</definedName>
    <definedName name="kjdjdjd" hidden="1">{#N/A,#N/A,FALSE,"Sheet1"}</definedName>
    <definedName name="kjdslf" localSheetId="8" hidden="1">{#N/A,#N/A,FALSE,"Sheet1"}</definedName>
    <definedName name="kjdslf" localSheetId="5" hidden="1">{#N/A,#N/A,FALSE,"Sheet1"}</definedName>
    <definedName name="kjdslf" hidden="1">{#N/A,#N/A,FALSE,"Sheet1"}</definedName>
    <definedName name="kjh" localSheetId="8" hidden="1">{"'vert'!$A$1:$T$117"}</definedName>
    <definedName name="kjh" localSheetId="5" hidden="1">{"'vert'!$A$1:$T$117"}</definedName>
    <definedName name="kjh" hidden="1">{"'vert'!$A$1:$T$117"}</definedName>
    <definedName name="kjhkl" localSheetId="8" hidden="1">{#N/A,#N/A,FALSE,"Sheet1"}</definedName>
    <definedName name="kjhkl" localSheetId="5" hidden="1">{#N/A,#N/A,FALSE,"Sheet1"}</definedName>
    <definedName name="kjhkl" hidden="1">{#N/A,#N/A,FALSE,"Sheet1"}</definedName>
    <definedName name="kljasdf" localSheetId="8" hidden="1">{"'vert'!$A$1:$T$117"}</definedName>
    <definedName name="kljasdf" localSheetId="5" hidden="1">{"'vert'!$A$1:$T$117"}</definedName>
    <definedName name="kljasdf" hidden="1">{"'vert'!$A$1:$T$117"}</definedName>
    <definedName name="kljlkjkljlk" localSheetId="8" hidden="1">{"'vert'!$A$1:$T$117"}</definedName>
    <definedName name="kljlkjkljlk" localSheetId="5" hidden="1">{"'vert'!$A$1:$T$117"}</definedName>
    <definedName name="kljlkjkljlk" hidden="1">{"'vert'!$A$1:$T$117"}</definedName>
    <definedName name="kljlkjkljlk_1" localSheetId="8" hidden="1">{"'vert'!$A$1:$T$117"}</definedName>
    <definedName name="kljlkjkljlk_1" localSheetId="5" hidden="1">{"'vert'!$A$1:$T$117"}</definedName>
    <definedName name="kljlkjkljlk_1" hidden="1">{"'vert'!$A$1:$T$117"}</definedName>
    <definedName name="kljlkjkljlk_1_1" localSheetId="8" hidden="1">{"'vert'!$A$1:$T$117"}</definedName>
    <definedName name="kljlkjkljlk_1_1" localSheetId="5" hidden="1">{"'vert'!$A$1:$T$117"}</definedName>
    <definedName name="kljlkjkljlk_1_1" hidden="1">{"'vert'!$A$1:$T$117"}</definedName>
    <definedName name="kljlkjkljlk_1_2" localSheetId="8" hidden="1">{"'vert'!$A$1:$T$117"}</definedName>
    <definedName name="kljlkjkljlk_1_2" localSheetId="5" hidden="1">{"'vert'!$A$1:$T$117"}</definedName>
    <definedName name="kljlkjkljlk_1_2" hidden="1">{"'vert'!$A$1:$T$117"}</definedName>
    <definedName name="kljlkjkljlk_2" localSheetId="8" hidden="1">{"'vert'!$A$1:$T$117"}</definedName>
    <definedName name="kljlkjkljlk_2" localSheetId="5" hidden="1">{"'vert'!$A$1:$T$117"}</definedName>
    <definedName name="kljlkjkljlk_2" hidden="1">{"'vert'!$A$1:$T$117"}</definedName>
    <definedName name="kljlkjkljlk_3" localSheetId="8" hidden="1">{"'vert'!$A$1:$T$117"}</definedName>
    <definedName name="kljlkjkljlk_3" localSheetId="5" hidden="1">{"'vert'!$A$1:$T$117"}</definedName>
    <definedName name="kljlkjkljlk_3" hidden="1">{"'vert'!$A$1:$T$117"}</definedName>
    <definedName name="kshfd" localSheetId="8" hidden="1">{"'vert'!$A$1:$T$117"}</definedName>
    <definedName name="kshfd" localSheetId="5" hidden="1">{"'vert'!$A$1:$T$117"}</definedName>
    <definedName name="kshfd" hidden="1">{"'vert'!$A$1:$T$117"}</definedName>
    <definedName name="kshfd_1" localSheetId="8" hidden="1">{"'vert'!$A$1:$T$117"}</definedName>
    <definedName name="kshfd_1" localSheetId="5" hidden="1">{"'vert'!$A$1:$T$117"}</definedName>
    <definedName name="kshfd_1" hidden="1">{"'vert'!$A$1:$T$117"}</definedName>
    <definedName name="kshfd_1_1" localSheetId="8" hidden="1">{"'vert'!$A$1:$T$117"}</definedName>
    <definedName name="kshfd_1_1" localSheetId="5" hidden="1">{"'vert'!$A$1:$T$117"}</definedName>
    <definedName name="kshfd_1_1" hidden="1">{"'vert'!$A$1:$T$117"}</definedName>
    <definedName name="kshfd_1_2" localSheetId="8" hidden="1">{"'vert'!$A$1:$T$117"}</definedName>
    <definedName name="kshfd_1_2" localSheetId="5" hidden="1">{"'vert'!$A$1:$T$117"}</definedName>
    <definedName name="kshfd_1_2" hidden="1">{"'vert'!$A$1:$T$117"}</definedName>
    <definedName name="kshfd_2" localSheetId="8" hidden="1">{"'vert'!$A$1:$T$117"}</definedName>
    <definedName name="kshfd_2" localSheetId="5" hidden="1">{"'vert'!$A$1:$T$117"}</definedName>
    <definedName name="kshfd_2" hidden="1">{"'vert'!$A$1:$T$117"}</definedName>
    <definedName name="kshfd_3" localSheetId="8" hidden="1">{"'vert'!$A$1:$T$117"}</definedName>
    <definedName name="kshfd_3" localSheetId="5" hidden="1">{"'vert'!$A$1:$T$117"}</definedName>
    <definedName name="kshfd_3" hidden="1">{"'vert'!$A$1:$T$117"}</definedName>
    <definedName name="Launch_Yr">'[14]3P GMS YTD MS'!$AB$2:$AB$1048576</definedName>
    <definedName name="ldjfdl" localSheetId="8" hidden="1">{"'vert'!$A$1:$T$117"}</definedName>
    <definedName name="ldjfdl" localSheetId="5" hidden="1">{"'vert'!$A$1:$T$117"}</definedName>
    <definedName name="ldjfdl" hidden="1">{"'vert'!$A$1:$T$117"}</definedName>
    <definedName name="ldjfdl_1" localSheetId="8" hidden="1">{"'vert'!$A$1:$T$117"}</definedName>
    <definedName name="ldjfdl_1" localSheetId="5" hidden="1">{"'vert'!$A$1:$T$117"}</definedName>
    <definedName name="ldjfdl_1" hidden="1">{"'vert'!$A$1:$T$117"}</definedName>
    <definedName name="ldjfdl_1_1" localSheetId="8" hidden="1">{"'vert'!$A$1:$T$117"}</definedName>
    <definedName name="ldjfdl_1_1" localSheetId="5" hidden="1">{"'vert'!$A$1:$T$117"}</definedName>
    <definedName name="ldjfdl_1_1" hidden="1">{"'vert'!$A$1:$T$117"}</definedName>
    <definedName name="ldjfdl_1_2" localSheetId="8" hidden="1">{"'vert'!$A$1:$T$117"}</definedName>
    <definedName name="ldjfdl_1_2" localSheetId="5" hidden="1">{"'vert'!$A$1:$T$117"}</definedName>
    <definedName name="ldjfdl_1_2" hidden="1">{"'vert'!$A$1:$T$117"}</definedName>
    <definedName name="ldjfdl_2" localSheetId="8" hidden="1">{"'vert'!$A$1:$T$117"}</definedName>
    <definedName name="ldjfdl_2" localSheetId="5" hidden="1">{"'vert'!$A$1:$T$117"}</definedName>
    <definedName name="ldjfdl_2" hidden="1">{"'vert'!$A$1:$T$117"}</definedName>
    <definedName name="ldjfdl_3" localSheetId="8" hidden="1">{"'vert'!$A$1:$T$117"}</definedName>
    <definedName name="ldjfdl_3" localSheetId="5" hidden="1">{"'vert'!$A$1:$T$117"}</definedName>
    <definedName name="ldjfdl_3" hidden="1">{"'vert'!$A$1:$T$117"}</definedName>
    <definedName name="LeadGenSlide" localSheetId="8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eadGenSlide" localSheetId="5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eadGenSlide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egal_mkp">[25]Inputs!$C$5</definedName>
    <definedName name="LensReviewPages">[21]Traffic!$A$30:$IV$30</definedName>
    <definedName name="LiftFactor">'[26]OPEX per FTE'!$D$47</definedName>
    <definedName name="ljdsfkld" localSheetId="8" hidden="1">{"'vert'!$A$1:$T$117"}</definedName>
    <definedName name="ljdsfkld" localSheetId="5" hidden="1">{"'vert'!$A$1:$T$117"}</definedName>
    <definedName name="ljdsfkld" hidden="1">{"'vert'!$A$1:$T$117"}</definedName>
    <definedName name="ljdsfkld_1" localSheetId="8" hidden="1">{"'vert'!$A$1:$T$117"}</definedName>
    <definedName name="ljdsfkld_1" localSheetId="5" hidden="1">{"'vert'!$A$1:$T$117"}</definedName>
    <definedName name="ljdsfkld_1" hidden="1">{"'vert'!$A$1:$T$117"}</definedName>
    <definedName name="ljdsfkld_1_1" localSheetId="8" hidden="1">{"'vert'!$A$1:$T$117"}</definedName>
    <definedName name="ljdsfkld_1_1" localSheetId="5" hidden="1">{"'vert'!$A$1:$T$117"}</definedName>
    <definedName name="ljdsfkld_1_1" hidden="1">{"'vert'!$A$1:$T$117"}</definedName>
    <definedName name="ljdsfkld_1_2" localSheetId="8" hidden="1">{"'vert'!$A$1:$T$117"}</definedName>
    <definedName name="ljdsfkld_1_2" localSheetId="5" hidden="1">{"'vert'!$A$1:$T$117"}</definedName>
    <definedName name="ljdsfkld_1_2" hidden="1">{"'vert'!$A$1:$T$117"}</definedName>
    <definedName name="ljdsfkld_2" localSheetId="8" hidden="1">{"'vert'!$A$1:$T$117"}</definedName>
    <definedName name="ljdsfkld_2" localSheetId="5" hidden="1">{"'vert'!$A$1:$T$117"}</definedName>
    <definedName name="ljdsfkld_2" hidden="1">{"'vert'!$A$1:$T$117"}</definedName>
    <definedName name="ljdsfkld_3" localSheetId="8" hidden="1">{"'vert'!$A$1:$T$117"}</definedName>
    <definedName name="ljdsfkld_3" localSheetId="5" hidden="1">{"'vert'!$A$1:$T$117"}</definedName>
    <definedName name="ljdsfkld_3" hidden="1">{"'vert'!$A$1:$T$117"}</definedName>
    <definedName name="lkklj" localSheetId="8" hidden="1">{"'vert'!$A$1:$T$117"}</definedName>
    <definedName name="lkklj" localSheetId="5" hidden="1">{"'vert'!$A$1:$T$117"}</definedName>
    <definedName name="lkklj" hidden="1">{"'vert'!$A$1:$T$117"}</definedName>
    <definedName name="lll" localSheetId="8" hidden="1">{#N/A,#N/A,FALSE,"Sheet1"}</definedName>
    <definedName name="lll" localSheetId="5" hidden="1">{#N/A,#N/A,FALSE,"Sheet1"}</definedName>
    <definedName name="lll" hidden="1">{#N/A,#N/A,FALSE,"Sheet1"}</definedName>
    <definedName name="lo" localSheetId="8" hidden="1">{#N/A,#N/A,FALSE,"Sheet1"}</definedName>
    <definedName name="lo" localSheetId="5" hidden="1">{#N/A,#N/A,FALSE,"Sheet1"}</definedName>
    <definedName name="lo" hidden="1">{#N/A,#N/A,FALSE,"Sheet1"}</definedName>
    <definedName name="LOCAL_MYSQL_DATE_FORMAT" localSheetId="8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5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v_Channel">[27]Home!$X$6:$X$98</definedName>
    <definedName name="Lv_Service_Type">[27]Home!$V$6:$V$98</definedName>
    <definedName name="Lv_Team">[27]Home!$Y$6:$Y$98</definedName>
    <definedName name="Lv_Type">[27]Home!$W$6:$W$98</definedName>
    <definedName name="maertinatoranr_1" localSheetId="8" hidden="1">{"'vert'!$A$1:$T$117"}</definedName>
    <definedName name="maertinatoranr_1" localSheetId="5" hidden="1">{"'vert'!$A$1:$T$117"}</definedName>
    <definedName name="maertinatoranr_1" hidden="1">{"'vert'!$A$1:$T$117"}</definedName>
    <definedName name="maertinatoranr_1_1" localSheetId="8" hidden="1">{"'vert'!$A$1:$T$117"}</definedName>
    <definedName name="maertinatoranr_1_1" localSheetId="5" hidden="1">{"'vert'!$A$1:$T$117"}</definedName>
    <definedName name="maertinatoranr_1_1" hidden="1">{"'vert'!$A$1:$T$117"}</definedName>
    <definedName name="maertinatoranr_1_2" localSheetId="8" hidden="1">{"'vert'!$A$1:$T$117"}</definedName>
    <definedName name="maertinatoranr_1_2" localSheetId="5" hidden="1">{"'vert'!$A$1:$T$117"}</definedName>
    <definedName name="maertinatoranr_1_2" hidden="1">{"'vert'!$A$1:$T$117"}</definedName>
    <definedName name="maertinatoranr_2" localSheetId="8" hidden="1">{"'vert'!$A$1:$T$117"}</definedName>
    <definedName name="maertinatoranr_2" localSheetId="5" hidden="1">{"'vert'!$A$1:$T$117"}</definedName>
    <definedName name="maertinatoranr_2" hidden="1">{"'vert'!$A$1:$T$117"}</definedName>
    <definedName name="maertinatoranr_3" localSheetId="8" hidden="1">{"'vert'!$A$1:$T$117"}</definedName>
    <definedName name="maertinatoranr_3" localSheetId="5" hidden="1">{"'vert'!$A$1:$T$117"}</definedName>
    <definedName name="maertinatoranr_3" hidden="1">{"'vert'!$A$1:$T$117"}</definedName>
    <definedName name="martina_1" localSheetId="8" hidden="1">{"'vert'!$A$1:$T$117"}</definedName>
    <definedName name="martina_1" localSheetId="5" hidden="1">{"'vert'!$A$1:$T$117"}</definedName>
    <definedName name="martina_1" hidden="1">{"'vert'!$A$1:$T$117"}</definedName>
    <definedName name="martina_1_1" localSheetId="8" hidden="1">{"'vert'!$A$1:$T$117"}</definedName>
    <definedName name="martina_1_1" localSheetId="5" hidden="1">{"'vert'!$A$1:$T$117"}</definedName>
    <definedName name="martina_1_1" hidden="1">{"'vert'!$A$1:$T$117"}</definedName>
    <definedName name="martina_1_2" localSheetId="8" hidden="1">{"'vert'!$A$1:$T$117"}</definedName>
    <definedName name="martina_1_2" localSheetId="5" hidden="1">{"'vert'!$A$1:$T$117"}</definedName>
    <definedName name="martina_1_2" hidden="1">{"'vert'!$A$1:$T$117"}</definedName>
    <definedName name="martina_2" localSheetId="8" hidden="1">{"'vert'!$A$1:$T$117"}</definedName>
    <definedName name="martina_2" localSheetId="5" hidden="1">{"'vert'!$A$1:$T$117"}</definedName>
    <definedName name="martina_2" hidden="1">{"'vert'!$A$1:$T$117"}</definedName>
    <definedName name="martina_3" localSheetId="8" hidden="1">{"'vert'!$A$1:$T$117"}</definedName>
    <definedName name="martina_3" localSheetId="5" hidden="1">{"'vert'!$A$1:$T$117"}</definedName>
    <definedName name="martina_3" hidden="1">{"'vert'!$A$1:$T$117"}</definedName>
    <definedName name="me" localSheetId="8" hidden="1">{"'vert'!$A$1:$T$117"}</definedName>
    <definedName name="me" localSheetId="5" hidden="1">{"'vert'!$A$1:$T$117"}</definedName>
    <definedName name="me" hidden="1">{"'vert'!$A$1:$T$117"}</definedName>
    <definedName name="me_1" localSheetId="8" hidden="1">{"'vert'!$A$1:$T$117"}</definedName>
    <definedName name="me_1" localSheetId="5" hidden="1">{"'vert'!$A$1:$T$117"}</definedName>
    <definedName name="me_1" hidden="1">{"'vert'!$A$1:$T$117"}</definedName>
    <definedName name="me_1_1" localSheetId="8" hidden="1">{"'vert'!$A$1:$T$117"}</definedName>
    <definedName name="me_1_1" localSheetId="5" hidden="1">{"'vert'!$A$1:$T$117"}</definedName>
    <definedName name="me_1_1" hidden="1">{"'vert'!$A$1:$T$117"}</definedName>
    <definedName name="me_1_1_1" localSheetId="8" hidden="1">{"'vert'!$A$1:$T$117"}</definedName>
    <definedName name="me_1_1_1" localSheetId="5" hidden="1">{"'vert'!$A$1:$T$117"}</definedName>
    <definedName name="me_1_1_1" hidden="1">{"'vert'!$A$1:$T$117"}</definedName>
    <definedName name="me_1_2" localSheetId="8" hidden="1">{"'vert'!$A$1:$T$117"}</definedName>
    <definedName name="me_1_2" localSheetId="5" hidden="1">{"'vert'!$A$1:$T$117"}</definedName>
    <definedName name="me_1_2" hidden="1">{"'vert'!$A$1:$T$117"}</definedName>
    <definedName name="me_2" localSheetId="8" hidden="1">{"'vert'!$A$1:$T$117"}</definedName>
    <definedName name="me_2" localSheetId="5" hidden="1">{"'vert'!$A$1:$T$117"}</definedName>
    <definedName name="me_2" hidden="1">{"'vert'!$A$1:$T$117"}</definedName>
    <definedName name="me_2_1" localSheetId="8" hidden="1">{"'vert'!$A$1:$T$117"}</definedName>
    <definedName name="me_2_1" localSheetId="5" hidden="1">{"'vert'!$A$1:$T$117"}</definedName>
    <definedName name="me_2_1" hidden="1">{"'vert'!$A$1:$T$117"}</definedName>
    <definedName name="me_2_1_1" localSheetId="8" hidden="1">{"'vert'!$A$1:$T$117"}</definedName>
    <definedName name="me_2_1_1" localSheetId="5" hidden="1">{"'vert'!$A$1:$T$117"}</definedName>
    <definedName name="me_2_1_1" hidden="1">{"'vert'!$A$1:$T$117"}</definedName>
    <definedName name="me_2_2" localSheetId="8" hidden="1">{"'vert'!$A$1:$T$117"}</definedName>
    <definedName name="me_2_2" localSheetId="5" hidden="1">{"'vert'!$A$1:$T$117"}</definedName>
    <definedName name="me_2_2" hidden="1">{"'vert'!$A$1:$T$117"}</definedName>
    <definedName name="me_3" localSheetId="8" hidden="1">{"'vert'!$A$1:$T$117"}</definedName>
    <definedName name="me_3" localSheetId="5" hidden="1">{"'vert'!$A$1:$T$117"}</definedName>
    <definedName name="me_3" hidden="1">{"'vert'!$A$1:$T$117"}</definedName>
    <definedName name="me_3_1" localSheetId="8" hidden="1">{"'vert'!$A$1:$T$117"}</definedName>
    <definedName name="me_3_1" localSheetId="5" hidden="1">{"'vert'!$A$1:$T$117"}</definedName>
    <definedName name="me_3_1" hidden="1">{"'vert'!$A$1:$T$117"}</definedName>
    <definedName name="me_4" localSheetId="8" hidden="1">{"'vert'!$A$1:$T$117"}</definedName>
    <definedName name="me_4" localSheetId="5" hidden="1">{"'vert'!$A$1:$T$117"}</definedName>
    <definedName name="me_4" hidden="1">{"'vert'!$A$1:$T$117"}</definedName>
    <definedName name="mer_class">'[28]DD List'!$A$1:$A$2</definedName>
    <definedName name="Misc" localSheetId="8" hidden="1">{"'vert'!$A$1:$T$117"}</definedName>
    <definedName name="Misc" localSheetId="5" hidden="1">{"'vert'!$A$1:$T$117"}</definedName>
    <definedName name="Misc" hidden="1">{"'vert'!$A$1:$T$117"}</definedName>
    <definedName name="MnthClosed">[11]Admin!$P$7</definedName>
    <definedName name="MnthClosed_No">[11]Admin!$E$4</definedName>
    <definedName name="Mon_Translate">[29]Sheet1!$A$5:$C$16</definedName>
    <definedName name="Months" localSheetId="8">{"January","February","March","April","May","June","July","August","September","October","November","December"}</definedName>
    <definedName name="Months" localSheetId="5">{"January","February","March","April","May","June","July","August","September","October","November","December"}</definedName>
    <definedName name="Months">{"January","February","March","April","May","June","July","August","September","October","November","December"}</definedName>
    <definedName name="n" localSheetId="8" hidden="1">{#N/A,#N/A,FALSE,"Sheet1"}</definedName>
    <definedName name="n" localSheetId="5" hidden="1">{#N/A,#N/A,FALSE,"Sheet1"}</definedName>
    <definedName name="n" hidden="1">{#N/A,#N/A,FALSE,"Sheet1"}</definedName>
    <definedName name="new" hidden="1">"ref"</definedName>
    <definedName name="NEW_HTML_Cont" localSheetId="8" hidden="1">{"'vert'!$A$1:$T$117"}</definedName>
    <definedName name="NEW_HTML_Cont" localSheetId="5" hidden="1">{"'vert'!$A$1:$T$117"}</definedName>
    <definedName name="NEW_HTML_Cont" hidden="1">{"'vert'!$A$1:$T$117"}</definedName>
    <definedName name="NewA" localSheetId="8" hidden="1">{"'vert'!$A$1:$T$117"}</definedName>
    <definedName name="NewA" localSheetId="5" hidden="1">{"'vert'!$A$1:$T$117"}</definedName>
    <definedName name="NewA" hidden="1">{"'vert'!$A$1:$T$117"}</definedName>
    <definedName name="NewAJALFDJ" localSheetId="8" hidden="1">{"'vert'!$A$1:$T$117"}</definedName>
    <definedName name="NewAJALFDJ" localSheetId="5" hidden="1">{"'vert'!$A$1:$T$117"}</definedName>
    <definedName name="NewAJALFDJ" hidden="1">{"'vert'!$A$1:$T$117"}</definedName>
    <definedName name="NewCOOP2" localSheetId="8" hidden="1">{"'vert'!$A$1:$T$117"}</definedName>
    <definedName name="NewCOOP2" localSheetId="5" hidden="1">{"'vert'!$A$1:$T$117"}</definedName>
    <definedName name="NewCOOP2" hidden="1">{"'vert'!$A$1:$T$117"}</definedName>
    <definedName name="NEWHTMP_CONTROL" localSheetId="8" hidden="1">{"'vert'!$A$1:$T$117"}</definedName>
    <definedName name="NEWHTMP_CONTROL" localSheetId="5" hidden="1">{"'vert'!$A$1:$T$117"}</definedName>
    <definedName name="NEWHTMP_CONTROL" hidden="1">{"'vert'!$A$1:$T$117"}</definedName>
    <definedName name="NewsPages">[21]Traffic!$A$21:$IV$21</definedName>
    <definedName name="noidea" localSheetId="8" hidden="1">{#N/A,#N/A,FALSE,"Calc";#N/A,#N/A,FALSE,"Sensitivity";#N/A,#N/A,FALSE,"LT Earn.Dil.";#N/A,#N/A,FALSE,"Dil. AVP"}</definedName>
    <definedName name="noidea" localSheetId="5" hidden="1">{#N/A,#N/A,FALSE,"Calc";#N/A,#N/A,FALSE,"Sensitivity";#N/A,#N/A,FALSE,"LT Earn.Dil.";#N/A,#N/A,FALSE,"Dil. AVP"}</definedName>
    <definedName name="noidea" hidden="1">{#N/A,#N/A,FALSE,"Calc";#N/A,#N/A,FALSE,"Sensitivity";#N/A,#N/A,FALSE,"LT Earn.Dil.";#N/A,#N/A,FALSE,"Dil. AVP"}</definedName>
    <definedName name="on" localSheetId="8" hidden="1">{#N/A,#N/A,FALSE,"Sheet1"}</definedName>
    <definedName name="on" localSheetId="5" hidden="1">{#N/A,#N/A,FALSE,"Sheet1"}</definedName>
    <definedName name="on" hidden="1">{#N/A,#N/A,FALSE,"Sheet1"}</definedName>
    <definedName name="Organization">[15]Lists!$A$33:$B$40</definedName>
    <definedName name="Oth_Fix_currency">'[11]Other Fixed'!$F$5</definedName>
    <definedName name="Oth_Fix_Emg_view">'[11]Other Fixed Emg'!$C$4</definedName>
    <definedName name="Oth_Fix_view">'[11]Other Fixed'!$C$4</definedName>
    <definedName name="Oth_Var_currency">'[11]Other Variables'!$F$5</definedName>
    <definedName name="Oth_Var_Emg_view">'[11]Other Variables Emg'!$C$4</definedName>
    <definedName name="Oth_Var_view">'[11]Other Variables'!$C$4</definedName>
    <definedName name="OtherPages">[21]Traffic!$A$23:$IV$23</definedName>
    <definedName name="owa" localSheetId="8" hidden="1">{"'weekly data'!$A$2:$AS$36"}</definedName>
    <definedName name="owa" localSheetId="5" hidden="1">{"'weekly data'!$A$2:$AS$36"}</definedName>
    <definedName name="owa" hidden="1">{"'weekly data'!$A$2:$AS$36"}</definedName>
    <definedName name="owa_1" localSheetId="8" hidden="1">{"'weekly data'!$A$2:$AS$36"}</definedName>
    <definedName name="owa_1" localSheetId="5" hidden="1">{"'weekly data'!$A$2:$AS$36"}</definedName>
    <definedName name="owa_1" hidden="1">{"'weekly data'!$A$2:$AS$36"}</definedName>
    <definedName name="owa_1_1" localSheetId="8" hidden="1">{"'weekly data'!$A$2:$AS$36"}</definedName>
    <definedName name="owa_1_1" localSheetId="5" hidden="1">{"'weekly data'!$A$2:$AS$36"}</definedName>
    <definedName name="owa_1_1" hidden="1">{"'weekly data'!$A$2:$AS$36"}</definedName>
    <definedName name="owa_1_1_1" localSheetId="8" hidden="1">{"'weekly data'!$A$2:$AS$36"}</definedName>
    <definedName name="owa_1_1_1" localSheetId="5" hidden="1">{"'weekly data'!$A$2:$AS$36"}</definedName>
    <definedName name="owa_1_1_1" hidden="1">{"'weekly data'!$A$2:$AS$36"}</definedName>
    <definedName name="owa_1_2" localSheetId="8" hidden="1">{"'weekly data'!$A$2:$AS$36"}</definedName>
    <definedName name="owa_1_2" localSheetId="5" hidden="1">{"'weekly data'!$A$2:$AS$36"}</definedName>
    <definedName name="owa_1_2" hidden="1">{"'weekly data'!$A$2:$AS$36"}</definedName>
    <definedName name="owa_2" localSheetId="8" hidden="1">{"'weekly data'!$A$2:$AS$36"}</definedName>
    <definedName name="owa_2" localSheetId="5" hidden="1">{"'weekly data'!$A$2:$AS$36"}</definedName>
    <definedName name="owa_2" hidden="1">{"'weekly data'!$A$2:$AS$36"}</definedName>
    <definedName name="owa_2_1" localSheetId="8" hidden="1">{"'weekly data'!$A$2:$AS$36"}</definedName>
    <definedName name="owa_2_1" localSheetId="5" hidden="1">{"'weekly data'!$A$2:$AS$36"}</definedName>
    <definedName name="owa_2_1" hidden="1">{"'weekly data'!$A$2:$AS$36"}</definedName>
    <definedName name="owa_2_1_1" localSheetId="8" hidden="1">{"'weekly data'!$A$2:$AS$36"}</definedName>
    <definedName name="owa_2_1_1" localSheetId="5" hidden="1">{"'weekly data'!$A$2:$AS$36"}</definedName>
    <definedName name="owa_2_1_1" hidden="1">{"'weekly data'!$A$2:$AS$36"}</definedName>
    <definedName name="owa_2_2" localSheetId="8" hidden="1">{"'weekly data'!$A$2:$AS$36"}</definedName>
    <definedName name="owa_2_2" localSheetId="5" hidden="1">{"'weekly data'!$A$2:$AS$36"}</definedName>
    <definedName name="owa_2_2" hidden="1">{"'weekly data'!$A$2:$AS$36"}</definedName>
    <definedName name="owa_3" localSheetId="8" hidden="1">{"'weekly data'!$A$2:$AS$36"}</definedName>
    <definedName name="owa_3" localSheetId="5" hidden="1">{"'weekly data'!$A$2:$AS$36"}</definedName>
    <definedName name="owa_3" hidden="1">{"'weekly data'!$A$2:$AS$36"}</definedName>
    <definedName name="owa_3_1" localSheetId="8" hidden="1">{"'weekly data'!$A$2:$AS$36"}</definedName>
    <definedName name="owa_3_1" localSheetId="5" hidden="1">{"'weekly data'!$A$2:$AS$36"}</definedName>
    <definedName name="owa_3_1" hidden="1">{"'weekly data'!$A$2:$AS$36"}</definedName>
    <definedName name="owa_4" localSheetId="8" hidden="1">{"'weekly data'!$A$2:$AS$36"}</definedName>
    <definedName name="owa_4" localSheetId="5" hidden="1">{"'weekly data'!$A$2:$AS$36"}</definedName>
    <definedName name="owa_4" hidden="1">{"'weekly data'!$A$2:$AS$36"}</definedName>
    <definedName name="P506_WOW">'[30]5.6- PaidEdu Overall View'!$AM$21,'[30]5.6- PaidEdu Overall View'!$AM$24,'[30]5.6- PaidEdu Overall View'!$AM$27,'[30]5.6- PaidEdu Overall View'!$AM$30,'[30]5.6- PaidEdu Overall View'!$AM$33</definedName>
    <definedName name="P507_">'[30]5.7- PE Enrollment by Channel'!$D$11:$AL$11,'[30]5.7- PE Enrollment by Channel'!$D$14:$AL$14,'[30]5.7- PE Enrollment by Channel'!$D$17:$AL$17,'[30]5.7- PE Enrollment by Channel'!$D$20:$AL$20,'[30]5.7- PE Enrollment by Channel'!$D$26:$AL$26,'[30]5.7- PE Enrollment by Channel'!$D$29:$AL$29,'[30]5.7- PE Enrollment by Channel'!$D$32:$AL$32,'[30]5.7- PE Enrollment by Channel'!$D$35:$AL$35,'[30]5.7- PE Enrollment by Channel'!$D$38:$AL$38</definedName>
    <definedName name="P507_WOW">'[30]5.7- PE Enrollment by Channel'!$AM$2,'[30]5.7- PE Enrollment by Channel'!$AM$5,'[30]5.7- PE Enrollment by Channel'!$AM$8,'[30]5.7- PE Enrollment by Channel'!$AM$11,'[30]5.7- PE Enrollment by Channel'!$AM$14,'[30]5.7- PE Enrollment by Channel'!$AM$17,'[30]5.7- PE Enrollment by Channel'!$AM$20,'[30]5.7- PE Enrollment by Channel'!$AM$23,'[30]5.7- PE Enrollment by Channel'!$AM$26,'[30]5.7- PE Enrollment by Channel'!$AM$29,'[30]5.7- PE Enrollment by Channel'!$AM$32,'[30]5.7- PE Enrollment by Channel'!$AM$35,'[30]5.7- PE Enrollment by Channel'!$AM$38</definedName>
    <definedName name="P507_YTD">'[30]5.7- PE Enrollment by Channel'!$AZ$2:$AZ$3,'[30]5.7- PE Enrollment by Channel'!$AZ$5:$AZ$6,'[30]5.7- PE Enrollment by Channel'!$AZ$8:$AZ$9,'[30]5.7- PE Enrollment by Channel'!$AZ$11:$AZ$12,'[30]5.7- PE Enrollment by Channel'!$AZ$14:$AZ$15,'[30]5.7- PE Enrollment by Channel'!$AZ$17:$AZ$18,'[30]5.7- PE Enrollment by Channel'!$AZ$20:$AZ$21,'[30]5.7- PE Enrollment by Channel'!$AZ$23:$AZ$24,'[30]5.7- PE Enrollment by Channel'!$AZ$26:$AZ$27,'[30]5.7- PE Enrollment by Channel'!$AZ$29:$AZ$30,'[30]5.7- PE Enrollment by Channel'!$AZ$32:$AZ$33,'[30]5.7- PE Enrollment by Channel'!$AZ$35:$AZ$36,'[30]5.7- PE Enrollment by Channel'!$AZ$38:$AZ$39</definedName>
    <definedName name="P508_">'[30]5.8-PE Enroll Rev by Channel'!$D$11:$AL$11,'[30]5.8-PE Enroll Rev by Channel'!$D$14:$AL$14,'[30]5.8-PE Enroll Rev by Channel'!$D$17:$AL$17,'[30]5.8-PE Enroll Rev by Channel'!$D$20:$AL$20,'[30]5.8-PE Enroll Rev by Channel'!$D$26:$AL$26,'[30]5.8-PE Enroll Rev by Channel'!$D$29:$AL$29,'[30]5.8-PE Enroll Rev by Channel'!$D$32:$AL$32,'[30]5.8-PE Enroll Rev by Channel'!$D$35:$AL$35,'[30]5.8-PE Enroll Rev by Channel'!$D$38:$AL$38</definedName>
    <definedName name="P508_WoW">'[30]5.8-PE Enroll Rev by Channel'!$AM$2,'[30]5.8-PE Enroll Rev by Channel'!$AM$5,'[30]5.8-PE Enroll Rev by Channel'!$AM$8,'[30]5.8-PE Enroll Rev by Channel'!$AM$11,'[30]5.8-PE Enroll Rev by Channel'!$AM$14,'[30]5.8-PE Enroll Rev by Channel'!$AM$17,'[30]5.8-PE Enroll Rev by Channel'!$AM$20,'[30]5.8-PE Enroll Rev by Channel'!$AM$23,'[30]5.8-PE Enroll Rev by Channel'!$AM$26,'[30]5.8-PE Enroll Rev by Channel'!$AM$29,'[30]5.8-PE Enroll Rev by Channel'!$AM$32,'[30]5.8-PE Enroll Rev by Channel'!$AM$35,'[30]5.8-PE Enroll Rev by Channel'!$AM$38</definedName>
    <definedName name="P508_YTD">'[30]5.8-PE Enroll Rev by Channel'!$AZ$2:$AZ$3,'[30]5.8-PE Enroll Rev by Channel'!$AZ$5:$AZ$6,'[30]5.8-PE Enroll Rev by Channel'!$AZ$8:$AZ$9,'[30]5.8-PE Enroll Rev by Channel'!$AZ$11:$AZ$12,'[30]5.8-PE Enroll Rev by Channel'!$AZ$14:$AZ$15,'[30]5.8-PE Enroll Rev by Channel'!$AZ$17:$AZ$18,'[30]5.8-PE Enroll Rev by Channel'!$AZ$20:$AZ$21,'[30]5.8-PE Enroll Rev by Channel'!$AZ$23:$AZ$24,'[30]5.8-PE Enroll Rev by Channel'!$AZ$26:$AZ$27,'[30]5.8-PE Enroll Rev by Channel'!$AZ$29:$AZ$30,'[30]5.8-PE Enroll Rev by Channel'!$AZ$32:$AZ$33,'[30]5.8-PE Enroll Rev by Channel'!$AZ$35:$AZ$36,'[30]5.8-PE Enroll Rev by Channel'!$AZ$38:$AZ$39</definedName>
    <definedName name="P509_">'[30]5.9- PE Payment by Channel'!$D$11:$AL$11,'[30]5.9- PE Payment by Channel'!$D$14:$AL$14,'[30]5.9- PE Payment by Channel'!$D$17:$AL$17,'[30]5.9- PE Payment by Channel'!$D$20:$AL$20,'[30]5.9- PE Payment by Channel'!$D$26:$AL$26,'[30]5.9- PE Payment by Channel'!$D$29:$AL$29,'[30]5.9- PE Payment by Channel'!$D$32:$AL$32,'[30]5.9- PE Payment by Channel'!$D$35:$AL$35,'[30]5.9- PE Payment by Channel'!$D$38:$AL$38,'[30]5.9- PE Payment by Channel'!$D$11</definedName>
    <definedName name="P509_WOW">'[30]5.9- PE Payment by Channel'!$AM$2,'[30]5.9- PE Payment by Channel'!$AM$5,'[30]5.9- PE Payment by Channel'!$AM$8,'[30]5.9- PE Payment by Channel'!$AM$11,'[30]5.9- PE Payment by Channel'!$AM$14,'[30]5.9- PE Payment by Channel'!$AM$17,'[30]5.9- PE Payment by Channel'!$AM$20,'[30]5.9- PE Payment by Channel'!$AM$23,'[30]5.9- PE Payment by Channel'!$AM$26,'[30]5.9- PE Payment by Channel'!$AM$29,'[30]5.9- PE Payment by Channel'!$AM$32,'[30]5.9- PE Payment by Channel'!$AM$35,'[30]5.9- PE Payment by Channel'!$AM$38</definedName>
    <definedName name="P509_YTD">'[30]5.9- PE Payment by Channel'!$AZ$2:$AZ$3,'[30]5.9- PE Payment by Channel'!$AZ$5:$AZ$6,'[30]5.9- PE Payment by Channel'!$AZ$8:$AZ$9,'[30]5.9- PE Payment by Channel'!$AZ$11:$AZ$12,'[30]5.9- PE Payment by Channel'!$AZ$14:$AZ$15,'[30]5.9- PE Payment by Channel'!$AZ$18,'[30]5.9- PE Payment by Channel'!$AZ$17,'[30]5.9- PE Payment by Channel'!$AZ$20:$AZ$21,'[30]5.9- PE Payment by Channel'!$AZ$23:$AZ$24,'[30]5.9- PE Payment by Channel'!$AZ$26:$AZ$27,'[30]5.9- PE Payment by Channel'!$AZ$29:$AZ$30,'[30]5.9- PE Payment by Channel'!$AZ$32:$AZ$33,'[30]5.9- PE Payment by Channel'!$AZ$35:$AZ$36,'[30]5.9- PE Payment by Channel'!$AZ$38:$AZ$39</definedName>
    <definedName name="P510_">'[30]5.10 PE Paymnt Rev By Channel'!$D$11:$AL$11,'[30]5.10 PE Paymnt Rev By Channel'!$D$14:$AL$14,'[30]5.10 PE Paymnt Rev By Channel'!$D$17:$AL$17,'[30]5.10 PE Paymnt Rev By Channel'!$D$20:$AL$20,'[30]5.10 PE Paymnt Rev By Channel'!$D$26:$AL$26,'[30]5.10 PE Paymnt Rev By Channel'!$D$29:$AL$29,'[30]5.10 PE Paymnt Rev By Channel'!$D$32:$AL$32,'[30]5.10 PE Paymnt Rev By Channel'!$D$35:$AL$35,'[30]5.10 PE Paymnt Rev By Channel'!$D$38:$AL$38</definedName>
    <definedName name="P510_WOW">'[30]5.10 PE Paymnt Rev By Channel'!$AM$38,'[30]5.10 PE Paymnt Rev By Channel'!$AM$35,'[30]5.10 PE Paymnt Rev By Channel'!$AM$32,'[30]5.10 PE Paymnt Rev By Channel'!$AM$29,'[30]5.10 PE Paymnt Rev By Channel'!$AM$26,'[30]5.10 PE Paymnt Rev By Channel'!$AM$23,'[30]5.10 PE Paymnt Rev By Channel'!$AM$20,'[30]5.10 PE Paymnt Rev By Channel'!$AM$17,'[30]5.10 PE Paymnt Rev By Channel'!$AM$14,'[30]5.10 PE Paymnt Rev By Channel'!$AM$11,'[30]5.10 PE Paymnt Rev By Channel'!$AM$8,'[30]5.10 PE Paymnt Rev By Channel'!$AM$5,'[30]5.10 PE Paymnt Rev By Channel'!$AM$2</definedName>
    <definedName name="P510_YTD">'[30]5.10 PE Paymnt Rev By Channel'!$AZ$2:$AZ$3,'[30]5.10 PE Paymnt Rev By Channel'!$AZ$5:$AZ$6,'[30]5.10 PE Paymnt Rev By Channel'!$AZ$8:$AZ$9,'[30]5.10 PE Paymnt Rev By Channel'!$AZ$11:$AZ$12,'[30]5.10 PE Paymnt Rev By Channel'!$AZ$14:$AZ$15,'[30]5.10 PE Paymnt Rev By Channel'!$AZ$17:$AZ$18,'[30]5.10 PE Paymnt Rev By Channel'!$AZ$20,'[30]5.10 PE Paymnt Rev By Channel'!$AZ$21,'[30]5.10 PE Paymnt Rev By Channel'!$AZ$23:$AZ$24,'[30]5.10 PE Paymnt Rev By Channel'!$AZ$26:$AZ$27,'[30]5.10 PE Paymnt Rev By Channel'!$AZ$29:$AZ$30,'[30]5.10 PE Paymnt Rev By Channel'!$AZ$32:$AZ$33,'[30]5.10 PE Paymnt Rev By Channel'!$AZ$35:$AZ$36,'[30]5.10 PE Paymnt Rev By Channel'!$AZ$38:$AZ$39</definedName>
    <definedName name="page" localSheetId="8" hidden="1">{"'vert'!$A$1:$T$117"}</definedName>
    <definedName name="page" localSheetId="5" hidden="1">{"'vert'!$A$1:$T$117"}</definedName>
    <definedName name="page" hidden="1">{"'vert'!$A$1:$T$117"}</definedName>
    <definedName name="page_1" localSheetId="8" hidden="1">{"'vert'!$A$1:$T$117"}</definedName>
    <definedName name="page_1" localSheetId="5" hidden="1">{"'vert'!$A$1:$T$117"}</definedName>
    <definedName name="page_1" hidden="1">{"'vert'!$A$1:$T$117"}</definedName>
    <definedName name="page_1_1" localSheetId="8" hidden="1">{"'vert'!$A$1:$T$117"}</definedName>
    <definedName name="page_1_1" localSheetId="5" hidden="1">{"'vert'!$A$1:$T$117"}</definedName>
    <definedName name="page_1_1" hidden="1">{"'vert'!$A$1:$T$117"}</definedName>
    <definedName name="page_1_1_1" localSheetId="8" hidden="1">{"'vert'!$A$1:$T$117"}</definedName>
    <definedName name="page_1_1_1" localSheetId="5" hidden="1">{"'vert'!$A$1:$T$117"}</definedName>
    <definedName name="page_1_1_1" hidden="1">{"'vert'!$A$1:$T$117"}</definedName>
    <definedName name="page_1_2" localSheetId="8" hidden="1">{"'vert'!$A$1:$T$117"}</definedName>
    <definedName name="page_1_2" localSheetId="5" hidden="1">{"'vert'!$A$1:$T$117"}</definedName>
    <definedName name="page_1_2" hidden="1">{"'vert'!$A$1:$T$117"}</definedName>
    <definedName name="page_2" localSheetId="8" hidden="1">{"'vert'!$A$1:$T$117"}</definedName>
    <definedName name="page_2" localSheetId="5" hidden="1">{"'vert'!$A$1:$T$117"}</definedName>
    <definedName name="page_2" hidden="1">{"'vert'!$A$1:$T$117"}</definedName>
    <definedName name="page_2_1" localSheetId="8" hidden="1">{"'vert'!$A$1:$T$117"}</definedName>
    <definedName name="page_2_1" localSheetId="5" hidden="1">{"'vert'!$A$1:$T$117"}</definedName>
    <definedName name="page_2_1" hidden="1">{"'vert'!$A$1:$T$117"}</definedName>
    <definedName name="page_2_1_1" localSheetId="8" hidden="1">{"'vert'!$A$1:$T$117"}</definedName>
    <definedName name="page_2_1_1" localSheetId="5" hidden="1">{"'vert'!$A$1:$T$117"}</definedName>
    <definedName name="page_2_1_1" hidden="1">{"'vert'!$A$1:$T$117"}</definedName>
    <definedName name="page_2_2" localSheetId="8" hidden="1">{"'vert'!$A$1:$T$117"}</definedName>
    <definedName name="page_2_2" localSheetId="5" hidden="1">{"'vert'!$A$1:$T$117"}</definedName>
    <definedName name="page_2_2" hidden="1">{"'vert'!$A$1:$T$117"}</definedName>
    <definedName name="page_3" localSheetId="8" hidden="1">{"'vert'!$A$1:$T$117"}</definedName>
    <definedName name="page_3" localSheetId="5" hidden="1">{"'vert'!$A$1:$T$117"}</definedName>
    <definedName name="page_3" hidden="1">{"'vert'!$A$1:$T$117"}</definedName>
    <definedName name="page_3_1" localSheetId="8" hidden="1">{"'vert'!$A$1:$T$117"}</definedName>
    <definedName name="page_3_1" localSheetId="5" hidden="1">{"'vert'!$A$1:$T$117"}</definedName>
    <definedName name="page_3_1" hidden="1">{"'vert'!$A$1:$T$117"}</definedName>
    <definedName name="page_4" localSheetId="8" hidden="1">{"'vert'!$A$1:$T$117"}</definedName>
    <definedName name="page_4" localSheetId="5" hidden="1">{"'vert'!$A$1:$T$117"}</definedName>
    <definedName name="page_4" hidden="1">{"'vert'!$A$1:$T$117"}</definedName>
    <definedName name="param_org_1" hidden="1">"%"</definedName>
    <definedName name="param_org_2" hidden="1">"%"</definedName>
    <definedName name="param_reg_region" hidden="1">"%"</definedName>
    <definedName name="param_region" hidden="1">"%"</definedName>
    <definedName name="param_steam_drr" hidden="1">"Agostini,Adrian"</definedName>
    <definedName name="param_steam_rr" hidden="1">"Gunningham,Sebastian"</definedName>
    <definedName name="PaymentTerms">[31]Lists!$I$2:$I$10</definedName>
    <definedName name="Period_View">[17]CurrYear_V1!$C$26</definedName>
    <definedName name="Pipe" localSheetId="8" hidden="1">{"'vert'!$A$1:$T$117"}</definedName>
    <definedName name="Pipe" localSheetId="5" hidden="1">{"'vert'!$A$1:$T$117"}</definedName>
    <definedName name="Pipe" hidden="1">{"'vert'!$A$1:$T$117"}</definedName>
    <definedName name="PopCache_GL_INTERFACE_REFERENCE7" hidden="1">[32]PopCache!$A$1:$A$2</definedName>
    <definedName name="prem_mkp">[25]Inputs!$C$4</definedName>
    <definedName name="Pres" localSheetId="8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" localSheetId="5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v_Qtr">[16]Input!$B$8</definedName>
    <definedName name="Previous_Month">[16]Input!$B$3</definedName>
    <definedName name="ProdImprov_Seller">[33]Controls!$N$5</definedName>
    <definedName name="Products">[34]Admin!$B$7:$B$79</definedName>
    <definedName name="proj_start_dt">'[25]South Korea'!$O$3</definedName>
    <definedName name="Purpose">[12]definition!$B$3:$B$19</definedName>
    <definedName name="PY_1" localSheetId="8" hidden="1">{"'vert'!$A$1:$T$117"}</definedName>
    <definedName name="PY_1" localSheetId="5" hidden="1">{"'vert'!$A$1:$T$117"}</definedName>
    <definedName name="PY_1" hidden="1">{"'vert'!$A$1:$T$117"}</definedName>
    <definedName name="PY_1_1" localSheetId="8" hidden="1">{"'vert'!$A$1:$T$117"}</definedName>
    <definedName name="PY_1_1" localSheetId="5" hidden="1">{"'vert'!$A$1:$T$117"}</definedName>
    <definedName name="PY_1_1" hidden="1">{"'vert'!$A$1:$T$117"}</definedName>
    <definedName name="PY_1_1_1" localSheetId="8" hidden="1">{"'vert'!$A$1:$T$117"}</definedName>
    <definedName name="PY_1_1_1" localSheetId="5" hidden="1">{"'vert'!$A$1:$T$117"}</definedName>
    <definedName name="PY_1_1_1" hidden="1">{"'vert'!$A$1:$T$117"}</definedName>
    <definedName name="PY_1_2" localSheetId="8" hidden="1">{"'vert'!$A$1:$T$117"}</definedName>
    <definedName name="PY_1_2" localSheetId="5" hidden="1">{"'vert'!$A$1:$T$117"}</definedName>
    <definedName name="PY_1_2" hidden="1">{"'vert'!$A$1:$T$117"}</definedName>
    <definedName name="PY_2" localSheetId="8" hidden="1">{"'vert'!$A$1:$T$117"}</definedName>
    <definedName name="PY_2" localSheetId="5" hidden="1">{"'vert'!$A$1:$T$117"}</definedName>
    <definedName name="PY_2" hidden="1">{"'vert'!$A$1:$T$117"}</definedName>
    <definedName name="PY_2_1" localSheetId="8" hidden="1">{"'vert'!$A$1:$T$117"}</definedName>
    <definedName name="PY_2_1" localSheetId="5" hidden="1">{"'vert'!$A$1:$T$117"}</definedName>
    <definedName name="PY_2_1" hidden="1">{"'vert'!$A$1:$T$117"}</definedName>
    <definedName name="PY_2_1_1" localSheetId="8" hidden="1">{"'vert'!$A$1:$T$117"}</definedName>
    <definedName name="PY_2_1_1" localSheetId="5" hidden="1">{"'vert'!$A$1:$T$117"}</definedName>
    <definedName name="PY_2_1_1" hidden="1">{"'vert'!$A$1:$T$117"}</definedName>
    <definedName name="PY_2_2" localSheetId="8" hidden="1">{"'vert'!$A$1:$T$117"}</definedName>
    <definedName name="PY_2_2" localSheetId="5" hidden="1">{"'vert'!$A$1:$T$117"}</definedName>
    <definedName name="PY_2_2" hidden="1">{"'vert'!$A$1:$T$117"}</definedName>
    <definedName name="PY_3" localSheetId="8" hidden="1">{"'vert'!$A$1:$T$117"}</definedName>
    <definedName name="PY_3" localSheetId="5" hidden="1">{"'vert'!$A$1:$T$117"}</definedName>
    <definedName name="PY_3" hidden="1">{"'vert'!$A$1:$T$117"}</definedName>
    <definedName name="PY_3_1" localSheetId="8" hidden="1">{"'vert'!$A$1:$T$117"}</definedName>
    <definedName name="PY_3_1" localSheetId="5" hidden="1">{"'vert'!$A$1:$T$117"}</definedName>
    <definedName name="PY_3_1" hidden="1">{"'vert'!$A$1:$T$117"}</definedName>
    <definedName name="PY_4" localSheetId="8" hidden="1">{"'vert'!$A$1:$T$117"}</definedName>
    <definedName name="PY_4" localSheetId="5" hidden="1">{"'vert'!$A$1:$T$117"}</definedName>
    <definedName name="PY_4" hidden="1">{"'vert'!$A$1:$T$117"}</definedName>
    <definedName name="q" localSheetId="8" hidden="1">{"'vert'!$A$1:$T$117"}</definedName>
    <definedName name="q" localSheetId="5" hidden="1">{"'vert'!$A$1:$T$117"}</definedName>
    <definedName name="q" hidden="1">{"'vert'!$A$1:$T$117"}</definedName>
    <definedName name="q_1" localSheetId="8" hidden="1">{"'vert'!$A$1:$T$117"}</definedName>
    <definedName name="q_1" localSheetId="5" hidden="1">{"'vert'!$A$1:$T$117"}</definedName>
    <definedName name="q_1" hidden="1">{"'vert'!$A$1:$T$117"}</definedName>
    <definedName name="q_1_1" localSheetId="8" hidden="1">{"'vert'!$A$1:$T$117"}</definedName>
    <definedName name="q_1_1" localSheetId="5" hidden="1">{"'vert'!$A$1:$T$117"}</definedName>
    <definedName name="q_1_1" hidden="1">{"'vert'!$A$1:$T$117"}</definedName>
    <definedName name="q_1_1_1" localSheetId="8" hidden="1">{"'vert'!$A$1:$T$117"}</definedName>
    <definedName name="q_1_1_1" localSheetId="5" hidden="1">{"'vert'!$A$1:$T$117"}</definedName>
    <definedName name="q_1_1_1" hidden="1">{"'vert'!$A$1:$T$117"}</definedName>
    <definedName name="q_1_2" localSheetId="8" hidden="1">{"'vert'!$A$1:$T$117"}</definedName>
    <definedName name="q_1_2" localSheetId="5" hidden="1">{"'vert'!$A$1:$T$117"}</definedName>
    <definedName name="q_1_2" hidden="1">{"'vert'!$A$1:$T$117"}</definedName>
    <definedName name="q_2" localSheetId="8" hidden="1">{"'vert'!$A$1:$T$117"}</definedName>
    <definedName name="q_2" localSheetId="5" hidden="1">{"'vert'!$A$1:$T$117"}</definedName>
    <definedName name="q_2" hidden="1">{"'vert'!$A$1:$T$117"}</definedName>
    <definedName name="q_2_1" localSheetId="8" hidden="1">{"'vert'!$A$1:$T$117"}</definedName>
    <definedName name="q_2_1" localSheetId="5" hidden="1">{"'vert'!$A$1:$T$117"}</definedName>
    <definedName name="q_2_1" hidden="1">{"'vert'!$A$1:$T$117"}</definedName>
    <definedName name="q_2_1_1" localSheetId="8" hidden="1">{"'vert'!$A$1:$T$117"}</definedName>
    <definedName name="q_2_1_1" localSheetId="5" hidden="1">{"'vert'!$A$1:$T$117"}</definedName>
    <definedName name="q_2_1_1" hidden="1">{"'vert'!$A$1:$T$117"}</definedName>
    <definedName name="q_2_2" localSheetId="8" hidden="1">{"'vert'!$A$1:$T$117"}</definedName>
    <definedName name="q_2_2" localSheetId="5" hidden="1">{"'vert'!$A$1:$T$117"}</definedName>
    <definedName name="q_2_2" hidden="1">{"'vert'!$A$1:$T$117"}</definedName>
    <definedName name="q_3" localSheetId="8" hidden="1">{"'vert'!$A$1:$T$117"}</definedName>
    <definedName name="q_3" localSheetId="5" hidden="1">{"'vert'!$A$1:$T$117"}</definedName>
    <definedName name="q_3" hidden="1">{"'vert'!$A$1:$T$117"}</definedName>
    <definedName name="q_3_1" localSheetId="8" hidden="1">{"'vert'!$A$1:$T$117"}</definedName>
    <definedName name="q_3_1" localSheetId="5" hidden="1">{"'vert'!$A$1:$T$117"}</definedName>
    <definedName name="q_3_1" hidden="1">{"'vert'!$A$1:$T$117"}</definedName>
    <definedName name="q_4" localSheetId="8" hidden="1">{"'vert'!$A$1:$T$117"}</definedName>
    <definedName name="q_4" localSheetId="5" hidden="1">{"'vert'!$A$1:$T$117"}</definedName>
    <definedName name="q_4" hidden="1">{"'vert'!$A$1:$T$117"}</definedName>
    <definedName name="Q4TTMYr" localSheetId="8" hidden="1">{"'vert'!$A$1:$T$117"}</definedName>
    <definedName name="Q4TTMYr" localSheetId="5" hidden="1">{"'vert'!$A$1:$T$117"}</definedName>
    <definedName name="Q4TTMYr" hidden="1">{"'vert'!$A$1:$T$117"}</definedName>
    <definedName name="Q4TTMYr_1" localSheetId="8" hidden="1">{"'vert'!$A$1:$T$117"}</definedName>
    <definedName name="Q4TTMYr_1" localSheetId="5" hidden="1">{"'vert'!$A$1:$T$117"}</definedName>
    <definedName name="Q4TTMYr_1" hidden="1">{"'vert'!$A$1:$T$117"}</definedName>
    <definedName name="Q4TTMYr_1_1" localSheetId="8" hidden="1">{"'vert'!$A$1:$T$117"}</definedName>
    <definedName name="Q4TTMYr_1_1" localSheetId="5" hidden="1">{"'vert'!$A$1:$T$117"}</definedName>
    <definedName name="Q4TTMYr_1_1" hidden="1">{"'vert'!$A$1:$T$117"}</definedName>
    <definedName name="Q4TTMYr_1_1_1" localSheetId="8" hidden="1">{"'vert'!$A$1:$T$117"}</definedName>
    <definedName name="Q4TTMYr_1_1_1" localSheetId="5" hidden="1">{"'vert'!$A$1:$T$117"}</definedName>
    <definedName name="Q4TTMYr_1_1_1" hidden="1">{"'vert'!$A$1:$T$117"}</definedName>
    <definedName name="Q4TTMYr_1_2" localSheetId="8" hidden="1">{"'vert'!$A$1:$T$117"}</definedName>
    <definedName name="Q4TTMYr_1_2" localSheetId="5" hidden="1">{"'vert'!$A$1:$T$117"}</definedName>
    <definedName name="Q4TTMYr_1_2" hidden="1">{"'vert'!$A$1:$T$117"}</definedName>
    <definedName name="Q4TTMYr_2" localSheetId="8" hidden="1">{"'vert'!$A$1:$T$117"}</definedName>
    <definedName name="Q4TTMYr_2" localSheetId="5" hidden="1">{"'vert'!$A$1:$T$117"}</definedName>
    <definedName name="Q4TTMYr_2" hidden="1">{"'vert'!$A$1:$T$117"}</definedName>
    <definedName name="Q4TTMYr_2_1" localSheetId="8" hidden="1">{"'vert'!$A$1:$T$117"}</definedName>
    <definedName name="Q4TTMYr_2_1" localSheetId="5" hidden="1">{"'vert'!$A$1:$T$117"}</definedName>
    <definedName name="Q4TTMYr_2_1" hidden="1">{"'vert'!$A$1:$T$117"}</definedName>
    <definedName name="Q4TTMYr_2_1_1" localSheetId="8" hidden="1">{"'vert'!$A$1:$T$117"}</definedName>
    <definedName name="Q4TTMYr_2_1_1" localSheetId="5" hidden="1">{"'vert'!$A$1:$T$117"}</definedName>
    <definedName name="Q4TTMYr_2_1_1" hidden="1">{"'vert'!$A$1:$T$117"}</definedName>
    <definedName name="Q4TTMYr_2_2" localSheetId="8" hidden="1">{"'vert'!$A$1:$T$117"}</definedName>
    <definedName name="Q4TTMYr_2_2" localSheetId="5" hidden="1">{"'vert'!$A$1:$T$117"}</definedName>
    <definedName name="Q4TTMYr_2_2" hidden="1">{"'vert'!$A$1:$T$117"}</definedName>
    <definedName name="Q4TTMYr_3" localSheetId="8" hidden="1">{"'vert'!$A$1:$T$117"}</definedName>
    <definedName name="Q4TTMYr_3" localSheetId="5" hidden="1">{"'vert'!$A$1:$T$117"}</definedName>
    <definedName name="Q4TTMYr_3" hidden="1">{"'vert'!$A$1:$T$117"}</definedName>
    <definedName name="Q4TTMYr_3_1" localSheetId="8" hidden="1">{"'vert'!$A$1:$T$117"}</definedName>
    <definedName name="Q4TTMYr_3_1" localSheetId="5" hidden="1">{"'vert'!$A$1:$T$117"}</definedName>
    <definedName name="Q4TTMYr_3_1" hidden="1">{"'vert'!$A$1:$T$117"}</definedName>
    <definedName name="Q4TTMYr_4" localSheetId="8" hidden="1">{"'vert'!$A$1:$T$117"}</definedName>
    <definedName name="Q4TTMYr_4" localSheetId="5" hidden="1">{"'vert'!$A$1:$T$117"}</definedName>
    <definedName name="Q4TTMYr_4" hidden="1">{"'vert'!$A$1:$T$117"}</definedName>
    <definedName name="qqqq" localSheetId="8" hidden="1">{"'vert'!$A$1:$T$117"}</definedName>
    <definedName name="qqqq" localSheetId="5" hidden="1">{"'vert'!$A$1:$T$117"}</definedName>
    <definedName name="qqqq" hidden="1">{"'vert'!$A$1:$T$117"}</definedName>
    <definedName name="qretqet" localSheetId="8" hidden="1">{"'vert'!$A$1:$T$117"}</definedName>
    <definedName name="qretqet" localSheetId="5" hidden="1">{"'vert'!$A$1:$T$117"}</definedName>
    <definedName name="qretqet" hidden="1">{"'vert'!$A$1:$T$117"}</definedName>
    <definedName name="qretqet_1" localSheetId="8" hidden="1">{"'vert'!$A$1:$T$117"}</definedName>
    <definedName name="qretqet_1" localSheetId="5" hidden="1">{"'vert'!$A$1:$T$117"}</definedName>
    <definedName name="qretqet_1" hidden="1">{"'vert'!$A$1:$T$117"}</definedName>
    <definedName name="qretqet_1_1" localSheetId="8" hidden="1">{"'vert'!$A$1:$T$117"}</definedName>
    <definedName name="qretqet_1_1" localSheetId="5" hidden="1">{"'vert'!$A$1:$T$117"}</definedName>
    <definedName name="qretqet_1_1" hidden="1">{"'vert'!$A$1:$T$117"}</definedName>
    <definedName name="qretqet_1_2" localSheetId="8" hidden="1">{"'vert'!$A$1:$T$117"}</definedName>
    <definedName name="qretqet_1_2" localSheetId="5" hidden="1">{"'vert'!$A$1:$T$117"}</definedName>
    <definedName name="qretqet_1_2" hidden="1">{"'vert'!$A$1:$T$117"}</definedName>
    <definedName name="qretqet_2" localSheetId="8" hidden="1">{"'vert'!$A$1:$T$117"}</definedName>
    <definedName name="qretqet_2" localSheetId="5" hidden="1">{"'vert'!$A$1:$T$117"}</definedName>
    <definedName name="qretqet_2" hidden="1">{"'vert'!$A$1:$T$117"}</definedName>
    <definedName name="qretqet_3" localSheetId="8" hidden="1">{"'vert'!$A$1:$T$117"}</definedName>
    <definedName name="qretqet_3" localSheetId="5" hidden="1">{"'vert'!$A$1:$T$117"}</definedName>
    <definedName name="qretqet_3" hidden="1">{"'vert'!$A$1:$T$117"}</definedName>
    <definedName name="raeoasdn123" localSheetId="8" hidden="1">{"'vert'!$A$1:$T$117"}</definedName>
    <definedName name="raeoasdn123" localSheetId="5" hidden="1">{"'vert'!$A$1:$T$117"}</definedName>
    <definedName name="raeoasdn123" hidden="1">{"'vert'!$A$1:$T$117"}</definedName>
    <definedName name="raeoasdn123_1" localSheetId="8" hidden="1">{"'vert'!$A$1:$T$117"}</definedName>
    <definedName name="raeoasdn123_1" localSheetId="5" hidden="1">{"'vert'!$A$1:$T$117"}</definedName>
    <definedName name="raeoasdn123_1" hidden="1">{"'vert'!$A$1:$T$117"}</definedName>
    <definedName name="raeoasdn123_1_1" localSheetId="8" hidden="1">{"'vert'!$A$1:$T$117"}</definedName>
    <definedName name="raeoasdn123_1_1" localSheetId="5" hidden="1">{"'vert'!$A$1:$T$117"}</definedName>
    <definedName name="raeoasdn123_1_1" hidden="1">{"'vert'!$A$1:$T$117"}</definedName>
    <definedName name="raeoasdn123_1_1_1" localSheetId="8" hidden="1">{"'vert'!$A$1:$T$117"}</definedName>
    <definedName name="raeoasdn123_1_1_1" localSheetId="5" hidden="1">{"'vert'!$A$1:$T$117"}</definedName>
    <definedName name="raeoasdn123_1_1_1" hidden="1">{"'vert'!$A$1:$T$117"}</definedName>
    <definedName name="raeoasdn123_1_2" localSheetId="8" hidden="1">{"'vert'!$A$1:$T$117"}</definedName>
    <definedName name="raeoasdn123_1_2" localSheetId="5" hidden="1">{"'vert'!$A$1:$T$117"}</definedName>
    <definedName name="raeoasdn123_1_2" hidden="1">{"'vert'!$A$1:$T$117"}</definedName>
    <definedName name="raeoasdn123_2" localSheetId="8" hidden="1">{"'vert'!$A$1:$T$117"}</definedName>
    <definedName name="raeoasdn123_2" localSheetId="5" hidden="1">{"'vert'!$A$1:$T$117"}</definedName>
    <definedName name="raeoasdn123_2" hidden="1">{"'vert'!$A$1:$T$117"}</definedName>
    <definedName name="raeoasdn123_2_1" localSheetId="8" hidden="1">{"'vert'!$A$1:$T$117"}</definedName>
    <definedName name="raeoasdn123_2_1" localSheetId="5" hidden="1">{"'vert'!$A$1:$T$117"}</definedName>
    <definedName name="raeoasdn123_2_1" hidden="1">{"'vert'!$A$1:$T$117"}</definedName>
    <definedName name="raeoasdn123_2_1_1" localSheetId="8" hidden="1">{"'vert'!$A$1:$T$117"}</definedName>
    <definedName name="raeoasdn123_2_1_1" localSheetId="5" hidden="1">{"'vert'!$A$1:$T$117"}</definedName>
    <definedName name="raeoasdn123_2_1_1" hidden="1">{"'vert'!$A$1:$T$117"}</definedName>
    <definedName name="raeoasdn123_2_2" localSheetId="8" hidden="1">{"'vert'!$A$1:$T$117"}</definedName>
    <definedName name="raeoasdn123_2_2" localSheetId="5" hidden="1">{"'vert'!$A$1:$T$117"}</definedName>
    <definedName name="raeoasdn123_2_2" hidden="1">{"'vert'!$A$1:$T$117"}</definedName>
    <definedName name="raeoasdn123_3" localSheetId="8" hidden="1">{"'vert'!$A$1:$T$117"}</definedName>
    <definedName name="raeoasdn123_3" localSheetId="5" hidden="1">{"'vert'!$A$1:$T$117"}</definedName>
    <definedName name="raeoasdn123_3" hidden="1">{"'vert'!$A$1:$T$117"}</definedName>
    <definedName name="raeoasdn123_3_1" localSheetId="8" hidden="1">{"'vert'!$A$1:$T$117"}</definedName>
    <definedName name="raeoasdn123_3_1" localSheetId="5" hidden="1">{"'vert'!$A$1:$T$117"}</definedName>
    <definedName name="raeoasdn123_3_1" hidden="1">{"'vert'!$A$1:$T$117"}</definedName>
    <definedName name="raeoasdn123_4" localSheetId="8" hidden="1">{"'vert'!$A$1:$T$117"}</definedName>
    <definedName name="raeoasdn123_4" localSheetId="5" hidden="1">{"'vert'!$A$1:$T$117"}</definedName>
    <definedName name="raeoasdn123_4" hidden="1">{"'vert'!$A$1:$T$117"}</definedName>
    <definedName name="range_Test">[35]GMS!$4:$5,[35]GMS!$9:$10,[35]GMS!$14:$15,[35]GMS!$19:$20</definedName>
    <definedName name="Recos2" localSheetId="8" hidden="1">{"'vert'!$A$1:$T$117"}</definedName>
    <definedName name="Recos2" localSheetId="5" hidden="1">{"'vert'!$A$1:$T$117"}</definedName>
    <definedName name="Recos2" hidden="1">{"'vert'!$A$1:$T$117"}</definedName>
    <definedName name="Recos2_1" localSheetId="8" hidden="1">{"'vert'!$A$1:$T$117"}</definedName>
    <definedName name="Recos2_1" localSheetId="5" hidden="1">{"'vert'!$A$1:$T$117"}</definedName>
    <definedName name="Recos2_1" hidden="1">{"'vert'!$A$1:$T$117"}</definedName>
    <definedName name="Recos2_1_1" localSheetId="8" hidden="1">{"'vert'!$A$1:$T$117"}</definedName>
    <definedName name="Recos2_1_1" localSheetId="5" hidden="1">{"'vert'!$A$1:$T$117"}</definedName>
    <definedName name="Recos2_1_1" hidden="1">{"'vert'!$A$1:$T$117"}</definedName>
    <definedName name="Recos2_1_1_1" localSheetId="8" hidden="1">{"'vert'!$A$1:$T$117"}</definedName>
    <definedName name="Recos2_1_1_1" localSheetId="5" hidden="1">{"'vert'!$A$1:$T$117"}</definedName>
    <definedName name="Recos2_1_1_1" hidden="1">{"'vert'!$A$1:$T$117"}</definedName>
    <definedName name="Recos2_1_2" localSheetId="8" hidden="1">{"'vert'!$A$1:$T$117"}</definedName>
    <definedName name="Recos2_1_2" localSheetId="5" hidden="1">{"'vert'!$A$1:$T$117"}</definedName>
    <definedName name="Recos2_1_2" hidden="1">{"'vert'!$A$1:$T$117"}</definedName>
    <definedName name="Recos2_2" localSheetId="8" hidden="1">{"'vert'!$A$1:$T$117"}</definedName>
    <definedName name="Recos2_2" localSheetId="5" hidden="1">{"'vert'!$A$1:$T$117"}</definedName>
    <definedName name="Recos2_2" hidden="1">{"'vert'!$A$1:$T$117"}</definedName>
    <definedName name="Recos2_2_1" localSheetId="8" hidden="1">{"'vert'!$A$1:$T$117"}</definedName>
    <definedName name="Recos2_2_1" localSheetId="5" hidden="1">{"'vert'!$A$1:$T$117"}</definedName>
    <definedName name="Recos2_2_1" hidden="1">{"'vert'!$A$1:$T$117"}</definedName>
    <definedName name="Recos2_2_1_1" localSheetId="8" hidden="1">{"'vert'!$A$1:$T$117"}</definedName>
    <definedName name="Recos2_2_1_1" localSheetId="5" hidden="1">{"'vert'!$A$1:$T$117"}</definedName>
    <definedName name="Recos2_2_1_1" hidden="1">{"'vert'!$A$1:$T$117"}</definedName>
    <definedName name="Recos2_2_2" localSheetId="8" hidden="1">{"'vert'!$A$1:$T$117"}</definedName>
    <definedName name="Recos2_2_2" localSheetId="5" hidden="1">{"'vert'!$A$1:$T$117"}</definedName>
    <definedName name="Recos2_2_2" hidden="1">{"'vert'!$A$1:$T$117"}</definedName>
    <definedName name="Recos2_3" localSheetId="8" hidden="1">{"'vert'!$A$1:$T$117"}</definedName>
    <definedName name="Recos2_3" localSheetId="5" hidden="1">{"'vert'!$A$1:$T$117"}</definedName>
    <definedName name="Recos2_3" hidden="1">{"'vert'!$A$1:$T$117"}</definedName>
    <definedName name="Recos2_3_1" localSheetId="8" hidden="1">{"'vert'!$A$1:$T$117"}</definedName>
    <definedName name="Recos2_3_1" localSheetId="5" hidden="1">{"'vert'!$A$1:$T$117"}</definedName>
    <definedName name="Recos2_3_1" hidden="1">{"'vert'!$A$1:$T$117"}</definedName>
    <definedName name="Recos2_4" localSheetId="8" hidden="1">{"'vert'!$A$1:$T$117"}</definedName>
    <definedName name="Recos2_4" localSheetId="5" hidden="1">{"'vert'!$A$1:$T$117"}</definedName>
    <definedName name="Recos2_4" hidden="1">{"'vert'!$A$1:$T$117"}</definedName>
    <definedName name="reear" localSheetId="8" hidden="1">{#N/A,#N/A,FALSE,"Sheet1"}</definedName>
    <definedName name="reear" localSheetId="5" hidden="1">{#N/A,#N/A,FALSE,"Sheet1"}</definedName>
    <definedName name="reear" hidden="1">{#N/A,#N/A,FALSE,"Sheet1"}</definedName>
    <definedName name="reovn123" localSheetId="8" hidden="1">{"'vert'!$A$1:$T$117"}</definedName>
    <definedName name="reovn123" localSheetId="5" hidden="1">{"'vert'!$A$1:$T$117"}</definedName>
    <definedName name="reovn123" hidden="1">{"'vert'!$A$1:$T$117"}</definedName>
    <definedName name="reovn123_1" localSheetId="8" hidden="1">{"'vert'!$A$1:$T$117"}</definedName>
    <definedName name="reovn123_1" localSheetId="5" hidden="1">{"'vert'!$A$1:$T$117"}</definedName>
    <definedName name="reovn123_1" hidden="1">{"'vert'!$A$1:$T$117"}</definedName>
    <definedName name="reovn123_1_1" localSheetId="8" hidden="1">{"'vert'!$A$1:$T$117"}</definedName>
    <definedName name="reovn123_1_1" localSheetId="5" hidden="1">{"'vert'!$A$1:$T$117"}</definedName>
    <definedName name="reovn123_1_1" hidden="1">{"'vert'!$A$1:$T$117"}</definedName>
    <definedName name="reovn123_1_1_1" localSheetId="8" hidden="1">{"'vert'!$A$1:$T$117"}</definedName>
    <definedName name="reovn123_1_1_1" localSheetId="5" hidden="1">{"'vert'!$A$1:$T$117"}</definedName>
    <definedName name="reovn123_1_1_1" hidden="1">{"'vert'!$A$1:$T$117"}</definedName>
    <definedName name="reovn123_1_2" localSheetId="8" hidden="1">{"'vert'!$A$1:$T$117"}</definedName>
    <definedName name="reovn123_1_2" localSheetId="5" hidden="1">{"'vert'!$A$1:$T$117"}</definedName>
    <definedName name="reovn123_1_2" hidden="1">{"'vert'!$A$1:$T$117"}</definedName>
    <definedName name="reovn123_2" localSheetId="8" hidden="1">{"'vert'!$A$1:$T$117"}</definedName>
    <definedName name="reovn123_2" localSheetId="5" hidden="1">{"'vert'!$A$1:$T$117"}</definedName>
    <definedName name="reovn123_2" hidden="1">{"'vert'!$A$1:$T$117"}</definedName>
    <definedName name="reovn123_2_1" localSheetId="8" hidden="1">{"'vert'!$A$1:$T$117"}</definedName>
    <definedName name="reovn123_2_1" localSheetId="5" hidden="1">{"'vert'!$A$1:$T$117"}</definedName>
    <definedName name="reovn123_2_1" hidden="1">{"'vert'!$A$1:$T$117"}</definedName>
    <definedName name="reovn123_2_1_1" localSheetId="8" hidden="1">{"'vert'!$A$1:$T$117"}</definedName>
    <definedName name="reovn123_2_1_1" localSheetId="5" hidden="1">{"'vert'!$A$1:$T$117"}</definedName>
    <definedName name="reovn123_2_1_1" hidden="1">{"'vert'!$A$1:$T$117"}</definedName>
    <definedName name="reovn123_2_2" localSheetId="8" hidden="1">{"'vert'!$A$1:$T$117"}</definedName>
    <definedName name="reovn123_2_2" localSheetId="5" hidden="1">{"'vert'!$A$1:$T$117"}</definedName>
    <definedName name="reovn123_2_2" hidden="1">{"'vert'!$A$1:$T$117"}</definedName>
    <definedName name="reovn123_3" localSheetId="8" hidden="1">{"'vert'!$A$1:$T$117"}</definedName>
    <definedName name="reovn123_3" localSheetId="5" hidden="1">{"'vert'!$A$1:$T$117"}</definedName>
    <definedName name="reovn123_3" hidden="1">{"'vert'!$A$1:$T$117"}</definedName>
    <definedName name="reovn123_3_1" localSheetId="8" hidden="1">{"'vert'!$A$1:$T$117"}</definedName>
    <definedName name="reovn123_3_1" localSheetId="5" hidden="1">{"'vert'!$A$1:$T$117"}</definedName>
    <definedName name="reovn123_3_1" hidden="1">{"'vert'!$A$1:$T$117"}</definedName>
    <definedName name="reovn123_4" localSheetId="8" hidden="1">{"'vert'!$A$1:$T$117"}</definedName>
    <definedName name="reovn123_4" localSheetId="5" hidden="1">{"'vert'!$A$1:$T$117"}</definedName>
    <definedName name="reovn123_4" hidden="1">{"'vert'!$A$1:$T$117"}</definedName>
    <definedName name="report_crry">[17]CurrYear_V1!$J$26</definedName>
    <definedName name="reqqqag" localSheetId="8" hidden="1">{"'vert'!$A$1:$T$117"}</definedName>
    <definedName name="reqqqag" localSheetId="5" hidden="1">{"'vert'!$A$1:$T$117"}</definedName>
    <definedName name="reqqqag" hidden="1">{"'vert'!$A$1:$T$117"}</definedName>
    <definedName name="reqqqag_1" localSheetId="8" hidden="1">{"'vert'!$A$1:$T$117"}</definedName>
    <definedName name="reqqqag_1" localSheetId="5" hidden="1">{"'vert'!$A$1:$T$117"}</definedName>
    <definedName name="reqqqag_1" hidden="1">{"'vert'!$A$1:$T$117"}</definedName>
    <definedName name="reqqqag_1_1" localSheetId="8" hidden="1">{"'vert'!$A$1:$T$117"}</definedName>
    <definedName name="reqqqag_1_1" localSheetId="5" hidden="1">{"'vert'!$A$1:$T$117"}</definedName>
    <definedName name="reqqqag_1_1" hidden="1">{"'vert'!$A$1:$T$117"}</definedName>
    <definedName name="reqqqag_1_2" localSheetId="8" hidden="1">{"'vert'!$A$1:$T$117"}</definedName>
    <definedName name="reqqqag_1_2" localSheetId="5" hidden="1">{"'vert'!$A$1:$T$117"}</definedName>
    <definedName name="reqqqag_1_2" hidden="1">{"'vert'!$A$1:$T$117"}</definedName>
    <definedName name="reqqqag_2" localSheetId="8" hidden="1">{"'vert'!$A$1:$T$117"}</definedName>
    <definedName name="reqqqag_2" localSheetId="5" hidden="1">{"'vert'!$A$1:$T$117"}</definedName>
    <definedName name="reqqqag_2" hidden="1">{"'vert'!$A$1:$T$117"}</definedName>
    <definedName name="reqqqag_3" localSheetId="8" hidden="1">{"'vert'!$A$1:$T$117"}</definedName>
    <definedName name="reqqqag_3" localSheetId="5" hidden="1">{"'vert'!$A$1:$T$117"}</definedName>
    <definedName name="reqqqag_3" hidden="1">{"'vert'!$A$1:$T$117"}</definedName>
    <definedName name="rerere" localSheetId="8" hidden="1">{"'vert'!$A$1:$T$117"}</definedName>
    <definedName name="rerere" localSheetId="5" hidden="1">{"'vert'!$A$1:$T$117"}</definedName>
    <definedName name="rerere" hidden="1">{"'vert'!$A$1:$T$117"}</definedName>
    <definedName name="rerere_1" localSheetId="8" hidden="1">{"'vert'!$A$1:$T$117"}</definedName>
    <definedName name="rerere_1" localSheetId="5" hidden="1">{"'vert'!$A$1:$T$117"}</definedName>
    <definedName name="rerere_1" hidden="1">{"'vert'!$A$1:$T$117"}</definedName>
    <definedName name="rerere_1_1" localSheetId="8" hidden="1">{"'vert'!$A$1:$T$117"}</definedName>
    <definedName name="rerere_1_1" localSheetId="5" hidden="1">{"'vert'!$A$1:$T$117"}</definedName>
    <definedName name="rerere_1_1" hidden="1">{"'vert'!$A$1:$T$117"}</definedName>
    <definedName name="rerere_1_2" localSheetId="8" hidden="1">{"'vert'!$A$1:$T$117"}</definedName>
    <definedName name="rerere_1_2" localSheetId="5" hidden="1">{"'vert'!$A$1:$T$117"}</definedName>
    <definedName name="rerere_1_2" hidden="1">{"'vert'!$A$1:$T$117"}</definedName>
    <definedName name="rerere_2" localSheetId="8" hidden="1">{"'vert'!$A$1:$T$117"}</definedName>
    <definedName name="rerere_2" localSheetId="5" hidden="1">{"'vert'!$A$1:$T$117"}</definedName>
    <definedName name="rerere_2" hidden="1">{"'vert'!$A$1:$T$117"}</definedName>
    <definedName name="rerere_3" localSheetId="8" hidden="1">{"'vert'!$A$1:$T$117"}</definedName>
    <definedName name="rerere_3" localSheetId="5" hidden="1">{"'vert'!$A$1:$T$117"}</definedName>
    <definedName name="rerere_3" hidden="1">{"'vert'!$A$1:$T$117"}</definedName>
    <definedName name="Results" localSheetId="8" hidden="1">{"FCB_ALL",#N/A,FALSE,"FCB"}</definedName>
    <definedName name="Results" localSheetId="5" hidden="1">{"FCB_ALL",#N/A,FALSE,"FCB"}</definedName>
    <definedName name="Results" hidden="1">{"FCB_ALL",#N/A,FALSE,"FCB"}</definedName>
    <definedName name="resultscomp" localSheetId="8" hidden="1">{"FCB_ALL",#N/A,FALSE,"FCB"}</definedName>
    <definedName name="resultscomp" localSheetId="5" hidden="1">{"FCB_ALL",#N/A,FALSE,"FCB"}</definedName>
    <definedName name="resultscomp" hidden="1">{"FCB_ALL",#N/A,FALSE,"FCB"}</definedName>
    <definedName name="Retrieve_Actuals">'[36]Total U.S. Infrastructure'!$C$108:$P$226</definedName>
    <definedName name="Retrieve_Plan">'[36]Total U.S. Infrastructure'!$C$272:$P$387</definedName>
    <definedName name="ReviewPages">[21]Traffic!$A$18:$IV$18</definedName>
    <definedName name="robert" localSheetId="8" hidden="1">{"'vert'!$A$1:$T$117"}</definedName>
    <definedName name="robert" localSheetId="5" hidden="1">{"'vert'!$A$1:$T$117"}</definedName>
    <definedName name="robert" hidden="1">{"'vert'!$A$1:$T$117"}</definedName>
    <definedName name="rrrr" localSheetId="8" hidden="1">{"'vert'!$A$1:$T$117"}</definedName>
    <definedName name="rrrr" localSheetId="5" hidden="1">{"'vert'!$A$1:$T$117"}</definedName>
    <definedName name="rrrr" hidden="1">{"'vert'!$A$1:$T$117"}</definedName>
    <definedName name="s" hidden="1">#REF!</definedName>
    <definedName name="sa" hidden="1">[3]CLOSE!#REF!</definedName>
    <definedName name="sad" hidden="1">#REF!</definedName>
    <definedName name="sadf" localSheetId="8" hidden="1">{"'vert'!$A$1:$T$117"}</definedName>
    <definedName name="sadf" localSheetId="5" hidden="1">{"'vert'!$A$1:$T$117"}</definedName>
    <definedName name="sadf" hidden="1">{"'vert'!$A$1:$T$117"}</definedName>
    <definedName name="sadf_1" localSheetId="8" hidden="1">{"'vert'!$A$1:$T$117"}</definedName>
    <definedName name="sadf_1" localSheetId="5" hidden="1">{"'vert'!$A$1:$T$117"}</definedName>
    <definedName name="sadf_1" hidden="1">{"'vert'!$A$1:$T$117"}</definedName>
    <definedName name="sadf_1_1" localSheetId="8" hidden="1">{"'vert'!$A$1:$T$117"}</definedName>
    <definedName name="sadf_1_1" localSheetId="5" hidden="1">{"'vert'!$A$1:$T$117"}</definedName>
    <definedName name="sadf_1_1" hidden="1">{"'vert'!$A$1:$T$117"}</definedName>
    <definedName name="sadf_1_1_1" localSheetId="8" hidden="1">{"'vert'!$A$1:$T$117"}</definedName>
    <definedName name="sadf_1_1_1" localSheetId="5" hidden="1">{"'vert'!$A$1:$T$117"}</definedName>
    <definedName name="sadf_1_1_1" hidden="1">{"'vert'!$A$1:$T$117"}</definedName>
    <definedName name="sadf_1_2" localSheetId="8" hidden="1">{"'vert'!$A$1:$T$117"}</definedName>
    <definedName name="sadf_1_2" localSheetId="5" hidden="1">{"'vert'!$A$1:$T$117"}</definedName>
    <definedName name="sadf_1_2" hidden="1">{"'vert'!$A$1:$T$117"}</definedName>
    <definedName name="sadf_2" localSheetId="8" hidden="1">{"'vert'!$A$1:$T$117"}</definedName>
    <definedName name="sadf_2" localSheetId="5" hidden="1">{"'vert'!$A$1:$T$117"}</definedName>
    <definedName name="sadf_2" hidden="1">{"'vert'!$A$1:$T$117"}</definedName>
    <definedName name="sadf_2_1" localSheetId="8" hidden="1">{"'vert'!$A$1:$T$117"}</definedName>
    <definedName name="sadf_2_1" localSheetId="5" hidden="1">{"'vert'!$A$1:$T$117"}</definedName>
    <definedName name="sadf_2_1" hidden="1">{"'vert'!$A$1:$T$117"}</definedName>
    <definedName name="sadf_2_1_1" localSheetId="8" hidden="1">{"'vert'!$A$1:$T$117"}</definedName>
    <definedName name="sadf_2_1_1" localSheetId="5" hidden="1">{"'vert'!$A$1:$T$117"}</definedName>
    <definedName name="sadf_2_1_1" hidden="1">{"'vert'!$A$1:$T$117"}</definedName>
    <definedName name="sadf_2_2" localSheetId="8" hidden="1">{"'vert'!$A$1:$T$117"}</definedName>
    <definedName name="sadf_2_2" localSheetId="5" hidden="1">{"'vert'!$A$1:$T$117"}</definedName>
    <definedName name="sadf_2_2" hidden="1">{"'vert'!$A$1:$T$117"}</definedName>
    <definedName name="sadf_3" localSheetId="8" hidden="1">{"'vert'!$A$1:$T$117"}</definedName>
    <definedName name="sadf_3" localSheetId="5" hidden="1">{"'vert'!$A$1:$T$117"}</definedName>
    <definedName name="sadf_3" hidden="1">{"'vert'!$A$1:$T$117"}</definedName>
    <definedName name="sadf_3_1" localSheetId="8" hidden="1">{"'vert'!$A$1:$T$117"}</definedName>
    <definedName name="sadf_3_1" localSheetId="5" hidden="1">{"'vert'!$A$1:$T$117"}</definedName>
    <definedName name="sadf_3_1" hidden="1">{"'vert'!$A$1:$T$117"}</definedName>
    <definedName name="sadf_4" localSheetId="8" hidden="1">{"'vert'!$A$1:$T$117"}</definedName>
    <definedName name="sadf_4" localSheetId="5" hidden="1">{"'vert'!$A$1:$T$117"}</definedName>
    <definedName name="sadf_4" hidden="1">{"'vert'!$A$1:$T$117"}</definedName>
    <definedName name="sadsadf" localSheetId="8" hidden="1">{"'vert'!$A$1:$T$117"}</definedName>
    <definedName name="sadsadf" localSheetId="5" hidden="1">{"'vert'!$A$1:$T$117"}</definedName>
    <definedName name="sadsadf" hidden="1">{"'vert'!$A$1:$T$117"}</definedName>
    <definedName name="sadsadf_1" localSheetId="8" hidden="1">{"'vert'!$A$1:$T$117"}</definedName>
    <definedName name="sadsadf_1" localSheetId="5" hidden="1">{"'vert'!$A$1:$T$117"}</definedName>
    <definedName name="sadsadf_1" hidden="1">{"'vert'!$A$1:$T$117"}</definedName>
    <definedName name="sadsadf_1_1" localSheetId="8" hidden="1">{"'vert'!$A$1:$T$117"}</definedName>
    <definedName name="sadsadf_1_1" localSheetId="5" hidden="1">{"'vert'!$A$1:$T$117"}</definedName>
    <definedName name="sadsadf_1_1" hidden="1">{"'vert'!$A$1:$T$117"}</definedName>
    <definedName name="sadsadf_1_1_1" localSheetId="8" hidden="1">{"'vert'!$A$1:$T$117"}</definedName>
    <definedName name="sadsadf_1_1_1" localSheetId="5" hidden="1">{"'vert'!$A$1:$T$117"}</definedName>
    <definedName name="sadsadf_1_1_1" hidden="1">{"'vert'!$A$1:$T$117"}</definedName>
    <definedName name="sadsadf_1_2" localSheetId="8" hidden="1">{"'vert'!$A$1:$T$117"}</definedName>
    <definedName name="sadsadf_1_2" localSheetId="5" hidden="1">{"'vert'!$A$1:$T$117"}</definedName>
    <definedName name="sadsadf_1_2" hidden="1">{"'vert'!$A$1:$T$117"}</definedName>
    <definedName name="sadsadf_2" localSheetId="8" hidden="1">{"'vert'!$A$1:$T$117"}</definedName>
    <definedName name="sadsadf_2" localSheetId="5" hidden="1">{"'vert'!$A$1:$T$117"}</definedName>
    <definedName name="sadsadf_2" hidden="1">{"'vert'!$A$1:$T$117"}</definedName>
    <definedName name="sadsadf_2_1" localSheetId="8" hidden="1">{"'vert'!$A$1:$T$117"}</definedName>
    <definedName name="sadsadf_2_1" localSheetId="5" hidden="1">{"'vert'!$A$1:$T$117"}</definedName>
    <definedName name="sadsadf_2_1" hidden="1">{"'vert'!$A$1:$T$117"}</definedName>
    <definedName name="sadsadf_2_1_1" localSheetId="8" hidden="1">{"'vert'!$A$1:$T$117"}</definedName>
    <definedName name="sadsadf_2_1_1" localSheetId="5" hidden="1">{"'vert'!$A$1:$T$117"}</definedName>
    <definedName name="sadsadf_2_1_1" hidden="1">{"'vert'!$A$1:$T$117"}</definedName>
    <definedName name="sadsadf_2_2" localSheetId="8" hidden="1">{"'vert'!$A$1:$T$117"}</definedName>
    <definedName name="sadsadf_2_2" localSheetId="5" hidden="1">{"'vert'!$A$1:$T$117"}</definedName>
    <definedName name="sadsadf_2_2" hidden="1">{"'vert'!$A$1:$T$117"}</definedName>
    <definedName name="sadsadf_3" localSheetId="8" hidden="1">{"'vert'!$A$1:$T$117"}</definedName>
    <definedName name="sadsadf_3" localSheetId="5" hidden="1">{"'vert'!$A$1:$T$117"}</definedName>
    <definedName name="sadsadf_3" hidden="1">{"'vert'!$A$1:$T$117"}</definedName>
    <definedName name="sadsadf_3_1" localSheetId="8" hidden="1">{"'vert'!$A$1:$T$117"}</definedName>
    <definedName name="sadsadf_3_1" localSheetId="5" hidden="1">{"'vert'!$A$1:$T$117"}</definedName>
    <definedName name="sadsadf_3_1" hidden="1">{"'vert'!$A$1:$T$117"}</definedName>
    <definedName name="sadsadf_4" localSheetId="8" hidden="1">{"'vert'!$A$1:$T$117"}</definedName>
    <definedName name="sadsadf_4" localSheetId="5" hidden="1">{"'vert'!$A$1:$T$117"}</definedName>
    <definedName name="sadsadf_4" hidden="1">{"'vert'!$A$1:$T$117"}</definedName>
    <definedName name="sakdjaska_1" localSheetId="8" hidden="1">{"'vert'!$A$1:$T$117"}</definedName>
    <definedName name="sakdjaska_1" localSheetId="5" hidden="1">{"'vert'!$A$1:$T$117"}</definedName>
    <definedName name="sakdjaska_1" hidden="1">{"'vert'!$A$1:$T$117"}</definedName>
    <definedName name="sakdjaska_1_1" localSheetId="8" hidden="1">{"'vert'!$A$1:$T$117"}</definedName>
    <definedName name="sakdjaska_1_1" localSheetId="5" hidden="1">{"'vert'!$A$1:$T$117"}</definedName>
    <definedName name="sakdjaska_1_1" hidden="1">{"'vert'!$A$1:$T$117"}</definedName>
    <definedName name="sakdjaska_1_2" localSheetId="8" hidden="1">{"'vert'!$A$1:$T$117"}</definedName>
    <definedName name="sakdjaska_1_2" localSheetId="5" hidden="1">{"'vert'!$A$1:$T$117"}</definedName>
    <definedName name="sakdjaska_1_2" hidden="1">{"'vert'!$A$1:$T$117"}</definedName>
    <definedName name="sakdjaska_2" localSheetId="8" hidden="1">{"'vert'!$A$1:$T$117"}</definedName>
    <definedName name="sakdjaska_2" localSheetId="5" hidden="1">{"'vert'!$A$1:$T$117"}</definedName>
    <definedName name="sakdjaska_2" hidden="1">{"'vert'!$A$1:$T$117"}</definedName>
    <definedName name="sakdjaska_3" localSheetId="8" hidden="1">{"'vert'!$A$1:$T$117"}</definedName>
    <definedName name="sakdjaska_3" localSheetId="5" hidden="1">{"'vert'!$A$1:$T$117"}</definedName>
    <definedName name="sakdjaska_3" hidden="1">{"'vert'!$A$1:$T$117"}</definedName>
    <definedName name="sal_base_yr">[25]Inputs!$C$3</definedName>
    <definedName name="Scenarios">[22]Admin!$B$3:$B$20</definedName>
    <definedName name="sd" localSheetId="8" hidden="1">{#N/A,#N/A,FALSE,"Sheet1"}</definedName>
    <definedName name="sd" localSheetId="5" hidden="1">{#N/A,#N/A,FALSE,"Sheet1"}</definedName>
    <definedName name="sd" hidden="1">{#N/A,#N/A,FALSE,"Sheet1"}</definedName>
    <definedName name="sdafsdfzSDfasdf" localSheetId="8" hidden="1">{#N/A,#N/A,FALSE,"Sheet1"}</definedName>
    <definedName name="sdafsdfzSDfasdf" localSheetId="5" hidden="1">{#N/A,#N/A,FALSE,"Sheet1"}</definedName>
    <definedName name="sdafsdfzSDfasdf" hidden="1">{#N/A,#N/A,FALSE,"Sheet1"}</definedName>
    <definedName name="sdf" localSheetId="8" hidden="1">{"'vert'!$A$1:$T$117"}</definedName>
    <definedName name="sdf" localSheetId="5" hidden="1">{"'vert'!$A$1:$T$117"}</definedName>
    <definedName name="sdf" hidden="1">{"'vert'!$A$1:$T$117"}</definedName>
    <definedName name="sdf_1" localSheetId="8" hidden="1">{"'vert'!$A$1:$T$117"}</definedName>
    <definedName name="sdf_1" localSheetId="5" hidden="1">{"'vert'!$A$1:$T$117"}</definedName>
    <definedName name="sdf_1" hidden="1">{"'vert'!$A$1:$T$117"}</definedName>
    <definedName name="sdf_1_1" localSheetId="8" hidden="1">{"'vert'!$A$1:$T$117"}</definedName>
    <definedName name="sdf_1_1" localSheetId="5" hidden="1">{"'vert'!$A$1:$T$117"}</definedName>
    <definedName name="sdf_1_1" hidden="1">{"'vert'!$A$1:$T$117"}</definedName>
    <definedName name="sdf_1_2" localSheetId="8" hidden="1">{"'vert'!$A$1:$T$117"}</definedName>
    <definedName name="sdf_1_2" localSheetId="5" hidden="1">{"'vert'!$A$1:$T$117"}</definedName>
    <definedName name="sdf_1_2" hidden="1">{"'vert'!$A$1:$T$117"}</definedName>
    <definedName name="sdf_2" localSheetId="8" hidden="1">{"'vert'!$A$1:$T$117"}</definedName>
    <definedName name="sdf_2" localSheetId="5" hidden="1">{"'vert'!$A$1:$T$117"}</definedName>
    <definedName name="sdf_2" hidden="1">{"'vert'!$A$1:$T$117"}</definedName>
    <definedName name="sdf_3" localSheetId="8" hidden="1">{"'vert'!$A$1:$T$117"}</definedName>
    <definedName name="sdf_3" localSheetId="5" hidden="1">{"'vert'!$A$1:$T$117"}</definedName>
    <definedName name="sdf_3" hidden="1">{"'vert'!$A$1:$T$117"}</definedName>
    <definedName name="sdfdlk" localSheetId="8" hidden="1">{"'vert'!$A$1:$T$117"}</definedName>
    <definedName name="sdfdlk" localSheetId="5" hidden="1">{"'vert'!$A$1:$T$117"}</definedName>
    <definedName name="sdfdlk" hidden="1">{"'vert'!$A$1:$T$117"}</definedName>
    <definedName name="sdfdlk_1" localSheetId="8" hidden="1">{"'vert'!$A$1:$T$117"}</definedName>
    <definedName name="sdfdlk_1" localSheetId="5" hidden="1">{"'vert'!$A$1:$T$117"}</definedName>
    <definedName name="sdfdlk_1" hidden="1">{"'vert'!$A$1:$T$117"}</definedName>
    <definedName name="sdfdlk_1_1" localSheetId="8" hidden="1">{"'vert'!$A$1:$T$117"}</definedName>
    <definedName name="sdfdlk_1_1" localSheetId="5" hidden="1">{"'vert'!$A$1:$T$117"}</definedName>
    <definedName name="sdfdlk_1_1" hidden="1">{"'vert'!$A$1:$T$117"}</definedName>
    <definedName name="sdfdlk_1_2" localSheetId="8" hidden="1">{"'vert'!$A$1:$T$117"}</definedName>
    <definedName name="sdfdlk_1_2" localSheetId="5" hidden="1">{"'vert'!$A$1:$T$117"}</definedName>
    <definedName name="sdfdlk_1_2" hidden="1">{"'vert'!$A$1:$T$117"}</definedName>
    <definedName name="sdfdlk_2" localSheetId="8" hidden="1">{"'vert'!$A$1:$T$117"}</definedName>
    <definedName name="sdfdlk_2" localSheetId="5" hidden="1">{"'vert'!$A$1:$T$117"}</definedName>
    <definedName name="sdfdlk_2" hidden="1">{"'vert'!$A$1:$T$117"}</definedName>
    <definedName name="sdfdlk_3" localSheetId="8" hidden="1">{"'vert'!$A$1:$T$117"}</definedName>
    <definedName name="sdfdlk_3" localSheetId="5" hidden="1">{"'vert'!$A$1:$T$117"}</definedName>
    <definedName name="sdfdlk_3" hidden="1">{"'vert'!$A$1:$T$117"}</definedName>
    <definedName name="sdfds" localSheetId="8" hidden="1">{"'vert'!$A$1:$T$117"}</definedName>
    <definedName name="sdfds" localSheetId="5" hidden="1">{"'vert'!$A$1:$T$117"}</definedName>
    <definedName name="sdfds" hidden="1">{"'vert'!$A$1:$T$117"}</definedName>
    <definedName name="sdfds_1" localSheetId="8" hidden="1">{"'vert'!$A$1:$T$117"}</definedName>
    <definedName name="sdfds_1" localSheetId="5" hidden="1">{"'vert'!$A$1:$T$117"}</definedName>
    <definedName name="sdfds_1" hidden="1">{"'vert'!$A$1:$T$117"}</definedName>
    <definedName name="sdfds_1_1" localSheetId="8" hidden="1">{"'vert'!$A$1:$T$117"}</definedName>
    <definedName name="sdfds_1_1" localSheetId="5" hidden="1">{"'vert'!$A$1:$T$117"}</definedName>
    <definedName name="sdfds_1_1" hidden="1">{"'vert'!$A$1:$T$117"}</definedName>
    <definedName name="sdfds_1_2" localSheetId="8" hidden="1">{"'vert'!$A$1:$T$117"}</definedName>
    <definedName name="sdfds_1_2" localSheetId="5" hidden="1">{"'vert'!$A$1:$T$117"}</definedName>
    <definedName name="sdfds_1_2" hidden="1">{"'vert'!$A$1:$T$117"}</definedName>
    <definedName name="sdfds_2" localSheetId="8" hidden="1">{"'vert'!$A$1:$T$117"}</definedName>
    <definedName name="sdfds_2" localSheetId="5" hidden="1">{"'vert'!$A$1:$T$117"}</definedName>
    <definedName name="sdfds_2" hidden="1">{"'vert'!$A$1:$T$117"}</definedName>
    <definedName name="sdfds_3" localSheetId="8" hidden="1">{"'vert'!$A$1:$T$117"}</definedName>
    <definedName name="sdfds_3" localSheetId="5" hidden="1">{"'vert'!$A$1:$T$117"}</definedName>
    <definedName name="sdfds_3" hidden="1">{"'vert'!$A$1:$T$117"}</definedName>
    <definedName name="sdfdss" localSheetId="8" hidden="1">{"'vert'!$A$1:$T$117"}</definedName>
    <definedName name="sdfdss" localSheetId="5" hidden="1">{"'vert'!$A$1:$T$117"}</definedName>
    <definedName name="sdfdss" hidden="1">{"'vert'!$A$1:$T$117"}</definedName>
    <definedName name="sdfdss_1" localSheetId="8" hidden="1">{"'vert'!$A$1:$T$117"}</definedName>
    <definedName name="sdfdss_1" localSheetId="5" hidden="1">{"'vert'!$A$1:$T$117"}</definedName>
    <definedName name="sdfdss_1" hidden="1">{"'vert'!$A$1:$T$117"}</definedName>
    <definedName name="sdfdss_1_1" localSheetId="8" hidden="1">{"'vert'!$A$1:$T$117"}</definedName>
    <definedName name="sdfdss_1_1" localSheetId="5" hidden="1">{"'vert'!$A$1:$T$117"}</definedName>
    <definedName name="sdfdss_1_1" hidden="1">{"'vert'!$A$1:$T$117"}</definedName>
    <definedName name="sdfdss_1_2" localSheetId="8" hidden="1">{"'vert'!$A$1:$T$117"}</definedName>
    <definedName name="sdfdss_1_2" localSheetId="5" hidden="1">{"'vert'!$A$1:$T$117"}</definedName>
    <definedName name="sdfdss_1_2" hidden="1">{"'vert'!$A$1:$T$117"}</definedName>
    <definedName name="sdfdss_2" localSheetId="8" hidden="1">{"'vert'!$A$1:$T$117"}</definedName>
    <definedName name="sdfdss_2" localSheetId="5" hidden="1">{"'vert'!$A$1:$T$117"}</definedName>
    <definedName name="sdfdss_2" hidden="1">{"'vert'!$A$1:$T$117"}</definedName>
    <definedName name="sdfdss_3" localSheetId="8" hidden="1">{"'vert'!$A$1:$T$117"}</definedName>
    <definedName name="sdfdss_3" localSheetId="5" hidden="1">{"'vert'!$A$1:$T$117"}</definedName>
    <definedName name="sdfdss_3" hidden="1">{"'vert'!$A$1:$T$117"}</definedName>
    <definedName name="sdfsd" localSheetId="8" hidden="1">{"'vert'!$A$1:$T$117"}</definedName>
    <definedName name="sdfsd" localSheetId="5" hidden="1">{"'vert'!$A$1:$T$117"}</definedName>
    <definedName name="sdfsd" hidden="1">{"'vert'!$A$1:$T$117"}</definedName>
    <definedName name="sdfsd_1" localSheetId="8" hidden="1">{"'vert'!$A$1:$T$117"}</definedName>
    <definedName name="sdfsd_1" localSheetId="5" hidden="1">{"'vert'!$A$1:$T$117"}</definedName>
    <definedName name="sdfsd_1" hidden="1">{"'vert'!$A$1:$T$117"}</definedName>
    <definedName name="sdfsd_1_1" localSheetId="8" hidden="1">{"'vert'!$A$1:$T$117"}</definedName>
    <definedName name="sdfsd_1_1" localSheetId="5" hidden="1">{"'vert'!$A$1:$T$117"}</definedName>
    <definedName name="sdfsd_1_1" hidden="1">{"'vert'!$A$1:$T$117"}</definedName>
    <definedName name="sdfsd_1_1_1" localSheetId="8" hidden="1">{"'vert'!$A$1:$T$117"}</definedName>
    <definedName name="sdfsd_1_1_1" localSheetId="5" hidden="1">{"'vert'!$A$1:$T$117"}</definedName>
    <definedName name="sdfsd_1_1_1" hidden="1">{"'vert'!$A$1:$T$117"}</definedName>
    <definedName name="sdfsd_1_2" localSheetId="8" hidden="1">{"'vert'!$A$1:$T$117"}</definedName>
    <definedName name="sdfsd_1_2" localSheetId="5" hidden="1">{"'vert'!$A$1:$T$117"}</definedName>
    <definedName name="sdfsd_1_2" hidden="1">{"'vert'!$A$1:$T$117"}</definedName>
    <definedName name="sdfsd_2" localSheetId="8" hidden="1">{"'vert'!$A$1:$T$117"}</definedName>
    <definedName name="sdfsd_2" localSheetId="5" hidden="1">{"'vert'!$A$1:$T$117"}</definedName>
    <definedName name="sdfsd_2" hidden="1">{"'vert'!$A$1:$T$117"}</definedName>
    <definedName name="sdfsd_2_1" localSheetId="8" hidden="1">{"'vert'!$A$1:$T$117"}</definedName>
    <definedName name="sdfsd_2_1" localSheetId="5" hidden="1">{"'vert'!$A$1:$T$117"}</definedName>
    <definedName name="sdfsd_2_1" hidden="1">{"'vert'!$A$1:$T$117"}</definedName>
    <definedName name="sdfsd_2_1_1" localSheetId="8" hidden="1">{"'vert'!$A$1:$T$117"}</definedName>
    <definedName name="sdfsd_2_1_1" localSheetId="5" hidden="1">{"'vert'!$A$1:$T$117"}</definedName>
    <definedName name="sdfsd_2_1_1" hidden="1">{"'vert'!$A$1:$T$117"}</definedName>
    <definedName name="sdfsd_2_2" localSheetId="8" hidden="1">{"'vert'!$A$1:$T$117"}</definedName>
    <definedName name="sdfsd_2_2" localSheetId="5" hidden="1">{"'vert'!$A$1:$T$117"}</definedName>
    <definedName name="sdfsd_2_2" hidden="1">{"'vert'!$A$1:$T$117"}</definedName>
    <definedName name="sdfsd_3" localSheetId="8" hidden="1">{"'vert'!$A$1:$T$117"}</definedName>
    <definedName name="sdfsd_3" localSheetId="5" hidden="1">{"'vert'!$A$1:$T$117"}</definedName>
    <definedName name="sdfsd_3" hidden="1">{"'vert'!$A$1:$T$117"}</definedName>
    <definedName name="sdfsd_3_1" localSheetId="8" hidden="1">{"'vert'!$A$1:$T$117"}</definedName>
    <definedName name="sdfsd_3_1" localSheetId="5" hidden="1">{"'vert'!$A$1:$T$117"}</definedName>
    <definedName name="sdfsd_3_1" hidden="1">{"'vert'!$A$1:$T$117"}</definedName>
    <definedName name="sdfsd_4" localSheetId="8" hidden="1">{"'vert'!$A$1:$T$117"}</definedName>
    <definedName name="sdfsd_4" localSheetId="5" hidden="1">{"'vert'!$A$1:$T$117"}</definedName>
    <definedName name="sdfsd_4" hidden="1">{"'vert'!$A$1:$T$117"}</definedName>
    <definedName name="sdfsdfsdf" localSheetId="8" hidden="1">{"'vert'!$A$1:$T$117"}</definedName>
    <definedName name="sdfsdfsdf" localSheetId="5" hidden="1">{"'vert'!$A$1:$T$117"}</definedName>
    <definedName name="sdfsdfsdf" hidden="1">{"'vert'!$A$1:$T$117"}</definedName>
    <definedName name="sdfsf" localSheetId="8" hidden="1">{"'vert'!$A$1:$T$117"}</definedName>
    <definedName name="sdfsf" localSheetId="5" hidden="1">{"'vert'!$A$1:$T$117"}</definedName>
    <definedName name="sdfsf" hidden="1">{"'vert'!$A$1:$T$117"}</definedName>
    <definedName name="sdfsf_1" localSheetId="8" hidden="1">{"'vert'!$A$1:$T$117"}</definedName>
    <definedName name="sdfsf_1" localSheetId="5" hidden="1">{"'vert'!$A$1:$T$117"}</definedName>
    <definedName name="sdfsf_1" hidden="1">{"'vert'!$A$1:$T$117"}</definedName>
    <definedName name="sdfsf_1_1" localSheetId="8" hidden="1">{"'vert'!$A$1:$T$117"}</definedName>
    <definedName name="sdfsf_1_1" localSheetId="5" hidden="1">{"'vert'!$A$1:$T$117"}</definedName>
    <definedName name="sdfsf_1_1" hidden="1">{"'vert'!$A$1:$T$117"}</definedName>
    <definedName name="sdfsf_1_2" localSheetId="8" hidden="1">{"'vert'!$A$1:$T$117"}</definedName>
    <definedName name="sdfsf_1_2" localSheetId="5" hidden="1">{"'vert'!$A$1:$T$117"}</definedName>
    <definedName name="sdfsf_1_2" hidden="1">{"'vert'!$A$1:$T$117"}</definedName>
    <definedName name="sdfsf_2" localSheetId="8" hidden="1">{"'vert'!$A$1:$T$117"}</definedName>
    <definedName name="sdfsf_2" localSheetId="5" hidden="1">{"'vert'!$A$1:$T$117"}</definedName>
    <definedName name="sdfsf_2" hidden="1">{"'vert'!$A$1:$T$117"}</definedName>
    <definedName name="sdfsf_3" localSheetId="8" hidden="1">{"'vert'!$A$1:$T$117"}</definedName>
    <definedName name="sdfsf_3" localSheetId="5" hidden="1">{"'vert'!$A$1:$T$117"}</definedName>
    <definedName name="sdfsf_3" hidden="1">{"'vert'!$A$1:$T$117"}</definedName>
    <definedName name="sdgzrhze" localSheetId="8" hidden="1">{"'vert'!$A$1:$T$117"}</definedName>
    <definedName name="sdgzrhze" localSheetId="5" hidden="1">{"'vert'!$A$1:$T$117"}</definedName>
    <definedName name="sdgzrhze" hidden="1">{"'vert'!$A$1:$T$117"}</definedName>
    <definedName name="sds" localSheetId="8" hidden="1">{"'vert'!$A$1:$T$117"}</definedName>
    <definedName name="sds" localSheetId="5" hidden="1">{"'vert'!$A$1:$T$117"}</definedName>
    <definedName name="sds" hidden="1">{"'vert'!$A$1:$T$117"}</definedName>
    <definedName name="sds_1" localSheetId="8" hidden="1">{"'vert'!$A$1:$T$117"}</definedName>
    <definedName name="sds_1" localSheetId="5" hidden="1">{"'vert'!$A$1:$T$117"}</definedName>
    <definedName name="sds_1" hidden="1">{"'vert'!$A$1:$T$117"}</definedName>
    <definedName name="sds_1_1" localSheetId="8" hidden="1">{"'vert'!$A$1:$T$117"}</definedName>
    <definedName name="sds_1_1" localSheetId="5" hidden="1">{"'vert'!$A$1:$T$117"}</definedName>
    <definedName name="sds_1_1" hidden="1">{"'vert'!$A$1:$T$117"}</definedName>
    <definedName name="sds_1_1_1" localSheetId="8" hidden="1">{"'vert'!$A$1:$T$117"}</definedName>
    <definedName name="sds_1_1_1" localSheetId="5" hidden="1">{"'vert'!$A$1:$T$117"}</definedName>
    <definedName name="sds_1_1_1" hidden="1">{"'vert'!$A$1:$T$117"}</definedName>
    <definedName name="sds_1_2" localSheetId="8" hidden="1">{"'vert'!$A$1:$T$117"}</definedName>
    <definedName name="sds_1_2" localSheetId="5" hidden="1">{"'vert'!$A$1:$T$117"}</definedName>
    <definedName name="sds_1_2" hidden="1">{"'vert'!$A$1:$T$117"}</definedName>
    <definedName name="sds_2" localSheetId="8" hidden="1">{"'vert'!$A$1:$T$117"}</definedName>
    <definedName name="sds_2" localSheetId="5" hidden="1">{"'vert'!$A$1:$T$117"}</definedName>
    <definedName name="sds_2" hidden="1">{"'vert'!$A$1:$T$117"}</definedName>
    <definedName name="sds_2_1" localSheetId="8" hidden="1">{"'vert'!$A$1:$T$117"}</definedName>
    <definedName name="sds_2_1" localSheetId="5" hidden="1">{"'vert'!$A$1:$T$117"}</definedName>
    <definedName name="sds_2_1" hidden="1">{"'vert'!$A$1:$T$117"}</definedName>
    <definedName name="sds_2_1_1" localSheetId="8" hidden="1">{"'vert'!$A$1:$T$117"}</definedName>
    <definedName name="sds_2_1_1" localSheetId="5" hidden="1">{"'vert'!$A$1:$T$117"}</definedName>
    <definedName name="sds_2_1_1" hidden="1">{"'vert'!$A$1:$T$117"}</definedName>
    <definedName name="sds_2_2" localSheetId="8" hidden="1">{"'vert'!$A$1:$T$117"}</definedName>
    <definedName name="sds_2_2" localSheetId="5" hidden="1">{"'vert'!$A$1:$T$117"}</definedName>
    <definedName name="sds_2_2" hidden="1">{"'vert'!$A$1:$T$117"}</definedName>
    <definedName name="sds_3" localSheetId="8" hidden="1">{"'vert'!$A$1:$T$117"}</definedName>
    <definedName name="sds_3" localSheetId="5" hidden="1">{"'vert'!$A$1:$T$117"}</definedName>
    <definedName name="sds_3" hidden="1">{"'vert'!$A$1:$T$117"}</definedName>
    <definedName name="sds_3_1" localSheetId="8" hidden="1">{"'vert'!$A$1:$T$117"}</definedName>
    <definedName name="sds_3_1" localSheetId="5" hidden="1">{"'vert'!$A$1:$T$117"}</definedName>
    <definedName name="sds_3_1" hidden="1">{"'vert'!$A$1:$T$117"}</definedName>
    <definedName name="sds_4" localSheetId="8" hidden="1">{"'vert'!$A$1:$T$117"}</definedName>
    <definedName name="sds_4" localSheetId="5" hidden="1">{"'vert'!$A$1:$T$117"}</definedName>
    <definedName name="sds_4" hidden="1">{"'vert'!$A$1:$T$117"}</definedName>
    <definedName name="sdsd" localSheetId="8" hidden="1">{"'vert'!$A$1:$T$117"}</definedName>
    <definedName name="sdsd" localSheetId="5" hidden="1">{"'vert'!$A$1:$T$117"}</definedName>
    <definedName name="sdsd" hidden="1">{"'vert'!$A$1:$T$117"}</definedName>
    <definedName name="sdsd_1" localSheetId="8" hidden="1">{"'vert'!$A$1:$T$117"}</definedName>
    <definedName name="sdsd_1" localSheetId="5" hidden="1">{"'vert'!$A$1:$T$117"}</definedName>
    <definedName name="sdsd_1" hidden="1">{"'vert'!$A$1:$T$117"}</definedName>
    <definedName name="sdsd_1_1" localSheetId="8" hidden="1">{"'vert'!$A$1:$T$117"}</definedName>
    <definedName name="sdsd_1_1" localSheetId="5" hidden="1">{"'vert'!$A$1:$T$117"}</definedName>
    <definedName name="sdsd_1_1" hidden="1">{"'vert'!$A$1:$T$117"}</definedName>
    <definedName name="sdsd_1_1_1" localSheetId="8" hidden="1">{"'vert'!$A$1:$T$117"}</definedName>
    <definedName name="sdsd_1_1_1" localSheetId="5" hidden="1">{"'vert'!$A$1:$T$117"}</definedName>
    <definedName name="sdsd_1_1_1" hidden="1">{"'vert'!$A$1:$T$117"}</definedName>
    <definedName name="sdsd_1_2" localSheetId="8" hidden="1">{"'vert'!$A$1:$T$117"}</definedName>
    <definedName name="sdsd_1_2" localSheetId="5" hidden="1">{"'vert'!$A$1:$T$117"}</definedName>
    <definedName name="sdsd_1_2" hidden="1">{"'vert'!$A$1:$T$117"}</definedName>
    <definedName name="sdsd_2" localSheetId="8" hidden="1">{"'vert'!$A$1:$T$117"}</definedName>
    <definedName name="sdsd_2" localSheetId="5" hidden="1">{"'vert'!$A$1:$T$117"}</definedName>
    <definedName name="sdsd_2" hidden="1">{"'vert'!$A$1:$T$117"}</definedName>
    <definedName name="sdsd_2_1" localSheetId="8" hidden="1">{"'vert'!$A$1:$T$117"}</definedName>
    <definedName name="sdsd_2_1" localSheetId="5" hidden="1">{"'vert'!$A$1:$T$117"}</definedName>
    <definedName name="sdsd_2_1" hidden="1">{"'vert'!$A$1:$T$117"}</definedName>
    <definedName name="sdsd_2_1_1" localSheetId="8" hidden="1">{"'vert'!$A$1:$T$117"}</definedName>
    <definedName name="sdsd_2_1_1" localSheetId="5" hidden="1">{"'vert'!$A$1:$T$117"}</definedName>
    <definedName name="sdsd_2_1_1" hidden="1">{"'vert'!$A$1:$T$117"}</definedName>
    <definedName name="sdsd_2_2" localSheetId="8" hidden="1">{"'vert'!$A$1:$T$117"}</definedName>
    <definedName name="sdsd_2_2" localSheetId="5" hidden="1">{"'vert'!$A$1:$T$117"}</definedName>
    <definedName name="sdsd_2_2" hidden="1">{"'vert'!$A$1:$T$117"}</definedName>
    <definedName name="sdsd_3" localSheetId="8" hidden="1">{"'vert'!$A$1:$T$117"}</definedName>
    <definedName name="sdsd_3" localSheetId="5" hidden="1">{"'vert'!$A$1:$T$117"}</definedName>
    <definedName name="sdsd_3" hidden="1">{"'vert'!$A$1:$T$117"}</definedName>
    <definedName name="sdsd_3_1" localSheetId="8" hidden="1">{"'vert'!$A$1:$T$117"}</definedName>
    <definedName name="sdsd_3_1" localSheetId="5" hidden="1">{"'vert'!$A$1:$T$117"}</definedName>
    <definedName name="sdsd_3_1" hidden="1">{"'vert'!$A$1:$T$117"}</definedName>
    <definedName name="sdsd_4" localSheetId="8" hidden="1">{"'vert'!$A$1:$T$117"}</definedName>
    <definedName name="sdsd_4" localSheetId="5" hidden="1">{"'vert'!$A$1:$T$117"}</definedName>
    <definedName name="sdsd_4" hidden="1">{"'vert'!$A$1:$T$117"}</definedName>
    <definedName name="sefsd" localSheetId="8" hidden="1">{"'vert'!$A$1:$T$117"}</definedName>
    <definedName name="sefsd" localSheetId="5" hidden="1">{"'vert'!$A$1:$T$117"}</definedName>
    <definedName name="sefsd" hidden="1">{"'vert'!$A$1:$T$117"}</definedName>
    <definedName name="sencount" hidden="1">1</definedName>
    <definedName name="sfda" localSheetId="8" hidden="1">{"'vert'!$A$1:$T$117"}</definedName>
    <definedName name="sfda" localSheetId="5" hidden="1">{"'vert'!$A$1:$T$117"}</definedName>
    <definedName name="sfda" hidden="1">{"'vert'!$A$1:$T$117"}</definedName>
    <definedName name="sfda_1" localSheetId="8" hidden="1">{"'vert'!$A$1:$T$117"}</definedName>
    <definedName name="sfda_1" localSheetId="5" hidden="1">{"'vert'!$A$1:$T$117"}</definedName>
    <definedName name="sfda_1" hidden="1">{"'vert'!$A$1:$T$117"}</definedName>
    <definedName name="sfda_1_1" localSheetId="8" hidden="1">{"'vert'!$A$1:$T$117"}</definedName>
    <definedName name="sfda_1_1" localSheetId="5" hidden="1">{"'vert'!$A$1:$T$117"}</definedName>
    <definedName name="sfda_1_1" hidden="1">{"'vert'!$A$1:$T$117"}</definedName>
    <definedName name="sfda_1_1_1" localSheetId="8" hidden="1">{"'vert'!$A$1:$T$117"}</definedName>
    <definedName name="sfda_1_1_1" localSheetId="5" hidden="1">{"'vert'!$A$1:$T$117"}</definedName>
    <definedName name="sfda_1_1_1" hidden="1">{"'vert'!$A$1:$T$117"}</definedName>
    <definedName name="sfda_1_2" localSheetId="8" hidden="1">{"'vert'!$A$1:$T$117"}</definedName>
    <definedName name="sfda_1_2" localSheetId="5" hidden="1">{"'vert'!$A$1:$T$117"}</definedName>
    <definedName name="sfda_1_2" hidden="1">{"'vert'!$A$1:$T$117"}</definedName>
    <definedName name="sfda_2" localSheetId="8" hidden="1">{"'vert'!$A$1:$T$117"}</definedName>
    <definedName name="sfda_2" localSheetId="5" hidden="1">{"'vert'!$A$1:$T$117"}</definedName>
    <definedName name="sfda_2" hidden="1">{"'vert'!$A$1:$T$117"}</definedName>
    <definedName name="sfda_2_1" localSheetId="8" hidden="1">{"'vert'!$A$1:$T$117"}</definedName>
    <definedName name="sfda_2_1" localSheetId="5" hidden="1">{"'vert'!$A$1:$T$117"}</definedName>
    <definedName name="sfda_2_1" hidden="1">{"'vert'!$A$1:$T$117"}</definedName>
    <definedName name="sfda_2_1_1" localSheetId="8" hidden="1">{"'vert'!$A$1:$T$117"}</definedName>
    <definedName name="sfda_2_1_1" localSheetId="5" hidden="1">{"'vert'!$A$1:$T$117"}</definedName>
    <definedName name="sfda_2_1_1" hidden="1">{"'vert'!$A$1:$T$117"}</definedName>
    <definedName name="sfda_2_2" localSheetId="8" hidden="1">{"'vert'!$A$1:$T$117"}</definedName>
    <definedName name="sfda_2_2" localSheetId="5" hidden="1">{"'vert'!$A$1:$T$117"}</definedName>
    <definedName name="sfda_2_2" hidden="1">{"'vert'!$A$1:$T$117"}</definedName>
    <definedName name="sfda_3" localSheetId="8" hidden="1">{"'vert'!$A$1:$T$117"}</definedName>
    <definedName name="sfda_3" localSheetId="5" hidden="1">{"'vert'!$A$1:$T$117"}</definedName>
    <definedName name="sfda_3" hidden="1">{"'vert'!$A$1:$T$117"}</definedName>
    <definedName name="sfda_3_1" localSheetId="8" hidden="1">{"'vert'!$A$1:$T$117"}</definedName>
    <definedName name="sfda_3_1" localSheetId="5" hidden="1">{"'vert'!$A$1:$T$117"}</definedName>
    <definedName name="sfda_3_1" hidden="1">{"'vert'!$A$1:$T$117"}</definedName>
    <definedName name="sfda_4" localSheetId="8" hidden="1">{"'vert'!$A$1:$T$117"}</definedName>
    <definedName name="sfda_4" localSheetId="5" hidden="1">{"'vert'!$A$1:$T$117"}</definedName>
    <definedName name="sfda_4" hidden="1">{"'vert'!$A$1:$T$117"}</definedName>
    <definedName name="sheetNames">[35]Seller!$C$5</definedName>
    <definedName name="sheetNames2">[35]Category!$C$5</definedName>
    <definedName name="SomeChanges" localSheetId="8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SomeChanges" localSheetId="5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SomeChanges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Sourcing3" localSheetId="8" hidden="1">{"'vert'!$A$1:$T$117"}</definedName>
    <definedName name="Sourcing3" localSheetId="5" hidden="1">{"'vert'!$A$1:$T$117"}</definedName>
    <definedName name="Sourcing3" hidden="1">{"'vert'!$A$1:$T$117"}</definedName>
    <definedName name="Sourcing3_1" localSheetId="8" hidden="1">{"'vert'!$A$1:$T$117"}</definedName>
    <definedName name="Sourcing3_1" localSheetId="5" hidden="1">{"'vert'!$A$1:$T$117"}</definedName>
    <definedName name="Sourcing3_1" hidden="1">{"'vert'!$A$1:$T$117"}</definedName>
    <definedName name="Sourcing3_1_1" localSheetId="8" hidden="1">{"'vert'!$A$1:$T$117"}</definedName>
    <definedName name="Sourcing3_1_1" localSheetId="5" hidden="1">{"'vert'!$A$1:$T$117"}</definedName>
    <definedName name="Sourcing3_1_1" hidden="1">{"'vert'!$A$1:$T$117"}</definedName>
    <definedName name="Sourcing3_1_1_1" localSheetId="8" hidden="1">{"'vert'!$A$1:$T$117"}</definedName>
    <definedName name="Sourcing3_1_1_1" localSheetId="5" hidden="1">{"'vert'!$A$1:$T$117"}</definedName>
    <definedName name="Sourcing3_1_1_1" hidden="1">{"'vert'!$A$1:$T$117"}</definedName>
    <definedName name="Sourcing3_1_2" localSheetId="8" hidden="1">{"'vert'!$A$1:$T$117"}</definedName>
    <definedName name="Sourcing3_1_2" localSheetId="5" hidden="1">{"'vert'!$A$1:$T$117"}</definedName>
    <definedName name="Sourcing3_1_2" hidden="1">{"'vert'!$A$1:$T$117"}</definedName>
    <definedName name="Sourcing3_2" localSheetId="8" hidden="1">{"'vert'!$A$1:$T$117"}</definedName>
    <definedName name="Sourcing3_2" localSheetId="5" hidden="1">{"'vert'!$A$1:$T$117"}</definedName>
    <definedName name="Sourcing3_2" hidden="1">{"'vert'!$A$1:$T$117"}</definedName>
    <definedName name="Sourcing3_2_1" localSheetId="8" hidden="1">{"'vert'!$A$1:$T$117"}</definedName>
    <definedName name="Sourcing3_2_1" localSheetId="5" hidden="1">{"'vert'!$A$1:$T$117"}</definedName>
    <definedName name="Sourcing3_2_1" hidden="1">{"'vert'!$A$1:$T$117"}</definedName>
    <definedName name="Sourcing3_2_1_1" localSheetId="8" hidden="1">{"'vert'!$A$1:$T$117"}</definedName>
    <definedName name="Sourcing3_2_1_1" localSheetId="5" hidden="1">{"'vert'!$A$1:$T$117"}</definedName>
    <definedName name="Sourcing3_2_1_1" hidden="1">{"'vert'!$A$1:$T$117"}</definedName>
    <definedName name="Sourcing3_2_2" localSheetId="8" hidden="1">{"'vert'!$A$1:$T$117"}</definedName>
    <definedName name="Sourcing3_2_2" localSheetId="5" hidden="1">{"'vert'!$A$1:$T$117"}</definedName>
    <definedName name="Sourcing3_2_2" hidden="1">{"'vert'!$A$1:$T$117"}</definedName>
    <definedName name="Sourcing3_3" localSheetId="8" hidden="1">{"'vert'!$A$1:$T$117"}</definedName>
    <definedName name="Sourcing3_3" localSheetId="5" hidden="1">{"'vert'!$A$1:$T$117"}</definedName>
    <definedName name="Sourcing3_3" hidden="1">{"'vert'!$A$1:$T$117"}</definedName>
    <definedName name="Sourcing3_3_1" localSheetId="8" hidden="1">{"'vert'!$A$1:$T$117"}</definedName>
    <definedName name="Sourcing3_3_1" localSheetId="5" hidden="1">{"'vert'!$A$1:$T$117"}</definedName>
    <definedName name="Sourcing3_3_1" hidden="1">{"'vert'!$A$1:$T$117"}</definedName>
    <definedName name="Sourcing3_4" localSheetId="8" hidden="1">{"'vert'!$A$1:$T$117"}</definedName>
    <definedName name="Sourcing3_4" localSheetId="5" hidden="1">{"'vert'!$A$1:$T$117"}</definedName>
    <definedName name="Sourcing3_4" hidden="1">{"'vert'!$A$1:$T$117"}</definedName>
    <definedName name="ss" hidden="1">#REF!</definedName>
    <definedName name="SSSSS" localSheetId="8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SSSS" localSheetId="5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SSSS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tartEndDate">[15]Lists!$F$33:$F$50</definedName>
    <definedName name="stef" localSheetId="8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tef" localSheetId="5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tef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trange" localSheetId="8" hidden="1">{#N/A,#N/A,FALSE,"Sheet1"}</definedName>
    <definedName name="strange" localSheetId="5" hidden="1">{#N/A,#N/A,FALSE,"Sheet1"}</definedName>
    <definedName name="strange" hidden="1">{#N/A,#N/A,FALSE,"Sheet1"}</definedName>
    <definedName name="strange\" localSheetId="8" hidden="1">{#N/A,#N/A,FALSE,"Sheet1"}</definedName>
    <definedName name="strange\" localSheetId="5" hidden="1">{#N/A,#N/A,FALSE,"Sheet1"}</definedName>
    <definedName name="strange\" hidden="1">{#N/A,#N/A,FALSE,"Sheet1"}</definedName>
    <definedName name="strange2" localSheetId="8" hidden="1">{#N/A,#N/A,FALSE,"Sheet1"}</definedName>
    <definedName name="strange2" localSheetId="5" hidden="1">{#N/A,#N/A,FALSE,"Sheet1"}</definedName>
    <definedName name="strange2" hidden="1">{#N/A,#N/A,FALSE,"Sheet1"}</definedName>
    <definedName name="such" localSheetId="8" hidden="1">{"FCB_ALL",#N/A,FALSE,"FCB"}</definedName>
    <definedName name="such" localSheetId="5" hidden="1">{"FCB_ALL",#N/A,FALSE,"FCB"}</definedName>
    <definedName name="such" hidden="1">{"FCB_ALL",#N/A,FALSE,"FCB"}</definedName>
    <definedName name="sucker" localSheetId="8" hidden="1">{#N/A,#N/A,FALSE,"Sheet1"}</definedName>
    <definedName name="sucker" localSheetId="5" hidden="1">{#N/A,#N/A,FALSE,"Sheet1"}</definedName>
    <definedName name="sucker" hidden="1">{#N/A,#N/A,FALSE,"Sheet1"}</definedName>
    <definedName name="sucker2" localSheetId="8" hidden="1">{#N/A,#N/A,FALSE,"Sheet1"}</definedName>
    <definedName name="sucker2" localSheetId="5" hidden="1">{#N/A,#N/A,FALSE,"Sheet1"}</definedName>
    <definedName name="sucker2" hidden="1">{#N/A,#N/A,FALSE,"Sheet1"}</definedName>
    <definedName name="supp" localSheetId="8" hidden="1">{"'vert'!$A$1:$T$117"}</definedName>
    <definedName name="supp" localSheetId="5" hidden="1">{"'vert'!$A$1:$T$117"}</definedName>
    <definedName name="supp" hidden="1">{"'vert'!$A$1:$T$117"}</definedName>
    <definedName name="supp_1" localSheetId="8" hidden="1">{"'vert'!$A$1:$T$117"}</definedName>
    <definedName name="supp_1" localSheetId="5" hidden="1">{"'vert'!$A$1:$T$117"}</definedName>
    <definedName name="supp_1" hidden="1">{"'vert'!$A$1:$T$117"}</definedName>
    <definedName name="supp_1_1" localSheetId="8" hidden="1">{"'vert'!$A$1:$T$117"}</definedName>
    <definedName name="supp_1_1" localSheetId="5" hidden="1">{"'vert'!$A$1:$T$117"}</definedName>
    <definedName name="supp_1_1" hidden="1">{"'vert'!$A$1:$T$117"}</definedName>
    <definedName name="supp_1_2" localSheetId="8" hidden="1">{"'vert'!$A$1:$T$117"}</definedName>
    <definedName name="supp_1_2" localSheetId="5" hidden="1">{"'vert'!$A$1:$T$117"}</definedName>
    <definedName name="supp_1_2" hidden="1">{"'vert'!$A$1:$T$117"}</definedName>
    <definedName name="supp_2" localSheetId="8" hidden="1">{"'vert'!$A$1:$T$117"}</definedName>
    <definedName name="supp_2" localSheetId="5" hidden="1">{"'vert'!$A$1:$T$117"}</definedName>
    <definedName name="supp_2" hidden="1">{"'vert'!$A$1:$T$117"}</definedName>
    <definedName name="supp_3" localSheetId="8" hidden="1">{"'vert'!$A$1:$T$117"}</definedName>
    <definedName name="supp_3" localSheetId="5" hidden="1">{"'vert'!$A$1:$T$117"}</definedName>
    <definedName name="supp_3" hidden="1">{"'vert'!$A$1:$T$117"}</definedName>
    <definedName name="sw" hidden="1">[8]merger!#REF!</definedName>
    <definedName name="te" localSheetId="8" hidden="1">{"'vert'!$A$1:$T$117"}</definedName>
    <definedName name="te" localSheetId="5" hidden="1">{"'vert'!$A$1:$T$117"}</definedName>
    <definedName name="te" hidden="1">{"'vert'!$A$1:$T$117"}</definedName>
    <definedName name="te_1" localSheetId="8" hidden="1">{"'vert'!$A$1:$T$117"}</definedName>
    <definedName name="te_1" localSheetId="5" hidden="1">{"'vert'!$A$1:$T$117"}</definedName>
    <definedName name="te_1" hidden="1">{"'vert'!$A$1:$T$117"}</definedName>
    <definedName name="te_1_1" localSheetId="8" hidden="1">{"'vert'!$A$1:$T$117"}</definedName>
    <definedName name="te_1_1" localSheetId="5" hidden="1">{"'vert'!$A$1:$T$117"}</definedName>
    <definedName name="te_1_1" hidden="1">{"'vert'!$A$1:$T$117"}</definedName>
    <definedName name="te_1_1_1" localSheetId="8" hidden="1">{"'vert'!$A$1:$T$117"}</definedName>
    <definedName name="te_1_1_1" localSheetId="5" hidden="1">{"'vert'!$A$1:$T$117"}</definedName>
    <definedName name="te_1_1_1" hidden="1">{"'vert'!$A$1:$T$117"}</definedName>
    <definedName name="te_1_2" localSheetId="8" hidden="1">{"'vert'!$A$1:$T$117"}</definedName>
    <definedName name="te_1_2" localSheetId="5" hidden="1">{"'vert'!$A$1:$T$117"}</definedName>
    <definedName name="te_1_2" hidden="1">{"'vert'!$A$1:$T$117"}</definedName>
    <definedName name="te_2" localSheetId="8" hidden="1">{"'vert'!$A$1:$T$117"}</definedName>
    <definedName name="te_2" localSheetId="5" hidden="1">{"'vert'!$A$1:$T$117"}</definedName>
    <definedName name="te_2" hidden="1">{"'vert'!$A$1:$T$117"}</definedName>
    <definedName name="te_2_1" localSheetId="8" hidden="1">{"'vert'!$A$1:$T$117"}</definedName>
    <definedName name="te_2_1" localSheetId="5" hidden="1">{"'vert'!$A$1:$T$117"}</definedName>
    <definedName name="te_2_1" hidden="1">{"'vert'!$A$1:$T$117"}</definedName>
    <definedName name="te_2_1_1" localSheetId="8" hidden="1">{"'vert'!$A$1:$T$117"}</definedName>
    <definedName name="te_2_1_1" localSheetId="5" hidden="1">{"'vert'!$A$1:$T$117"}</definedName>
    <definedName name="te_2_1_1" hidden="1">{"'vert'!$A$1:$T$117"}</definedName>
    <definedName name="te_2_2" localSheetId="8" hidden="1">{"'vert'!$A$1:$T$117"}</definedName>
    <definedName name="te_2_2" localSheetId="5" hidden="1">{"'vert'!$A$1:$T$117"}</definedName>
    <definedName name="te_2_2" hidden="1">{"'vert'!$A$1:$T$117"}</definedName>
    <definedName name="te_3" localSheetId="8" hidden="1">{"'vert'!$A$1:$T$117"}</definedName>
    <definedName name="te_3" localSheetId="5" hidden="1">{"'vert'!$A$1:$T$117"}</definedName>
    <definedName name="te_3" hidden="1">{"'vert'!$A$1:$T$117"}</definedName>
    <definedName name="te_3_1" localSheetId="8" hidden="1">{"'vert'!$A$1:$T$117"}</definedName>
    <definedName name="te_3_1" localSheetId="5" hidden="1">{"'vert'!$A$1:$T$117"}</definedName>
    <definedName name="te_3_1" hidden="1">{"'vert'!$A$1:$T$117"}</definedName>
    <definedName name="te_4" localSheetId="8" hidden="1">{"'vert'!$A$1:$T$117"}</definedName>
    <definedName name="te_4" localSheetId="5" hidden="1">{"'vert'!$A$1:$T$117"}</definedName>
    <definedName name="te_4" hidden="1">{"'vert'!$A$1:$T$117"}</definedName>
    <definedName name="TechIndicator">[15]Lists!$A$2:$A$3</definedName>
    <definedName name="TEST" localSheetId="8" hidden="1">{"'vert'!$A$1:$T$117"}</definedName>
    <definedName name="TEST" localSheetId="5" hidden="1">{"'vert'!$A$1:$T$117"}</definedName>
    <definedName name="TEST" hidden="1">{"'vert'!$A$1:$T$117"}</definedName>
    <definedName name="Test_1" localSheetId="8" hidden="1">{"'vert'!$A$1:$T$117"}</definedName>
    <definedName name="Test_1" localSheetId="5" hidden="1">{"'vert'!$A$1:$T$117"}</definedName>
    <definedName name="Test_1" hidden="1">{"'vert'!$A$1:$T$117"}</definedName>
    <definedName name="Test_1_1" localSheetId="8" hidden="1">{"'vert'!$A$1:$T$117"}</definedName>
    <definedName name="Test_1_1" localSheetId="5" hidden="1">{"'vert'!$A$1:$T$117"}</definedName>
    <definedName name="Test_1_1" hidden="1">{"'vert'!$A$1:$T$117"}</definedName>
    <definedName name="Test_1_1_1" localSheetId="8" hidden="1">{"'vert'!$A$1:$T$117"}</definedName>
    <definedName name="Test_1_1_1" localSheetId="5" hidden="1">{"'vert'!$A$1:$T$117"}</definedName>
    <definedName name="Test_1_1_1" hidden="1">{"'vert'!$A$1:$T$117"}</definedName>
    <definedName name="Test_1_2" localSheetId="8" hidden="1">{"'vert'!$A$1:$T$117"}</definedName>
    <definedName name="Test_1_2" localSheetId="5" hidden="1">{"'vert'!$A$1:$T$117"}</definedName>
    <definedName name="Test_1_2" hidden="1">{"'vert'!$A$1:$T$117"}</definedName>
    <definedName name="Test_2" localSheetId="8" hidden="1">{"'vert'!$A$1:$T$117"}</definedName>
    <definedName name="Test_2" localSheetId="5" hidden="1">{"'vert'!$A$1:$T$117"}</definedName>
    <definedName name="Test_2" hidden="1">{"'vert'!$A$1:$T$117"}</definedName>
    <definedName name="Test_2_1" localSheetId="8" hidden="1">{"'vert'!$A$1:$T$117"}</definedName>
    <definedName name="Test_2_1" localSheetId="5" hidden="1">{"'vert'!$A$1:$T$117"}</definedName>
    <definedName name="Test_2_1" hidden="1">{"'vert'!$A$1:$T$117"}</definedName>
    <definedName name="Test_2_1_1" localSheetId="8" hidden="1">{"'vert'!$A$1:$T$117"}</definedName>
    <definedName name="Test_2_1_1" localSheetId="5" hidden="1">{"'vert'!$A$1:$T$117"}</definedName>
    <definedName name="Test_2_1_1" hidden="1">{"'vert'!$A$1:$T$117"}</definedName>
    <definedName name="Test_2_2" localSheetId="8" hidden="1">{"'vert'!$A$1:$T$117"}</definedName>
    <definedName name="Test_2_2" localSheetId="5" hidden="1">{"'vert'!$A$1:$T$117"}</definedName>
    <definedName name="Test_2_2" hidden="1">{"'vert'!$A$1:$T$117"}</definedName>
    <definedName name="Test_3" localSheetId="8" hidden="1">{"'vert'!$A$1:$T$117"}</definedName>
    <definedName name="Test_3" localSheetId="5" hidden="1">{"'vert'!$A$1:$T$117"}</definedName>
    <definedName name="Test_3" hidden="1">{"'vert'!$A$1:$T$117"}</definedName>
    <definedName name="Test_3_1" localSheetId="8" hidden="1">{"'vert'!$A$1:$T$117"}</definedName>
    <definedName name="Test_3_1" localSheetId="5" hidden="1">{"'vert'!$A$1:$T$117"}</definedName>
    <definedName name="Test_3_1" hidden="1">{"'vert'!$A$1:$T$117"}</definedName>
    <definedName name="Test_4" localSheetId="8" hidden="1">{"'vert'!$A$1:$T$117"}</definedName>
    <definedName name="Test_4" localSheetId="5" hidden="1">{"'vert'!$A$1:$T$117"}</definedName>
    <definedName name="Test_4" hidden="1">{"'vert'!$A$1:$T$117"}</definedName>
    <definedName name="test2" localSheetId="8" hidden="1">{"'vert'!$A$1:$T$117"}</definedName>
    <definedName name="test2" localSheetId="5" hidden="1">{"'vert'!$A$1:$T$117"}</definedName>
    <definedName name="test2" hidden="1">{"'vert'!$A$1:$T$117"}</definedName>
    <definedName name="test2_1" localSheetId="8" hidden="1">{"'vert'!$A$1:$T$117"}</definedName>
    <definedName name="test2_1" localSheetId="5" hidden="1">{"'vert'!$A$1:$T$117"}</definedName>
    <definedName name="test2_1" hidden="1">{"'vert'!$A$1:$T$117"}</definedName>
    <definedName name="test2_1_1" localSheetId="8" hidden="1">{"'vert'!$A$1:$T$117"}</definedName>
    <definedName name="test2_1_1" localSheetId="5" hidden="1">{"'vert'!$A$1:$T$117"}</definedName>
    <definedName name="test2_1_1" hidden="1">{"'vert'!$A$1:$T$117"}</definedName>
    <definedName name="test2_1_1_1" localSheetId="8" hidden="1">{"'vert'!$A$1:$T$117"}</definedName>
    <definedName name="test2_1_1_1" localSheetId="5" hidden="1">{"'vert'!$A$1:$T$117"}</definedName>
    <definedName name="test2_1_1_1" hidden="1">{"'vert'!$A$1:$T$117"}</definedName>
    <definedName name="test2_1_2" localSheetId="8" hidden="1">{"'vert'!$A$1:$T$117"}</definedName>
    <definedName name="test2_1_2" localSheetId="5" hidden="1">{"'vert'!$A$1:$T$117"}</definedName>
    <definedName name="test2_1_2" hidden="1">{"'vert'!$A$1:$T$117"}</definedName>
    <definedName name="test2_2" localSheetId="8" hidden="1">{"'vert'!$A$1:$T$117"}</definedName>
    <definedName name="test2_2" localSheetId="5" hidden="1">{"'vert'!$A$1:$T$117"}</definedName>
    <definedName name="test2_2" hidden="1">{"'vert'!$A$1:$T$117"}</definedName>
    <definedName name="test2_2_1" localSheetId="8" hidden="1">{"'vert'!$A$1:$T$117"}</definedName>
    <definedName name="test2_2_1" localSheetId="5" hidden="1">{"'vert'!$A$1:$T$117"}</definedName>
    <definedName name="test2_2_1" hidden="1">{"'vert'!$A$1:$T$117"}</definedName>
    <definedName name="test2_2_1_1" localSheetId="8" hidden="1">{"'vert'!$A$1:$T$117"}</definedName>
    <definedName name="test2_2_1_1" localSheetId="5" hidden="1">{"'vert'!$A$1:$T$117"}</definedName>
    <definedName name="test2_2_1_1" hidden="1">{"'vert'!$A$1:$T$117"}</definedName>
    <definedName name="test2_2_2" localSheetId="8" hidden="1">{"'vert'!$A$1:$T$117"}</definedName>
    <definedName name="test2_2_2" localSheetId="5" hidden="1">{"'vert'!$A$1:$T$117"}</definedName>
    <definedName name="test2_2_2" hidden="1">{"'vert'!$A$1:$T$117"}</definedName>
    <definedName name="test2_3" localSheetId="8" hidden="1">{"'vert'!$A$1:$T$117"}</definedName>
    <definedName name="test2_3" localSheetId="5" hidden="1">{"'vert'!$A$1:$T$117"}</definedName>
    <definedName name="test2_3" hidden="1">{"'vert'!$A$1:$T$117"}</definedName>
    <definedName name="test2_3_1" localSheetId="8" hidden="1">{"'vert'!$A$1:$T$117"}</definedName>
    <definedName name="test2_3_1" localSheetId="5" hidden="1">{"'vert'!$A$1:$T$117"}</definedName>
    <definedName name="test2_3_1" hidden="1">{"'vert'!$A$1:$T$117"}</definedName>
    <definedName name="test2_4" localSheetId="8" hidden="1">{"'vert'!$A$1:$T$117"}</definedName>
    <definedName name="test2_4" localSheetId="5" hidden="1">{"'vert'!$A$1:$T$117"}</definedName>
    <definedName name="test2_4" hidden="1">{"'vert'!$A$1:$T$117"}</definedName>
    <definedName name="test3" localSheetId="8" hidden="1">{"'vert'!$A$1:$T$117"}</definedName>
    <definedName name="test3" localSheetId="5" hidden="1">{"'vert'!$A$1:$T$117"}</definedName>
    <definedName name="test3" hidden="1">{"'vert'!$A$1:$T$117"}</definedName>
    <definedName name="test3_1" localSheetId="8" hidden="1">{"'vert'!$A$1:$T$117"}</definedName>
    <definedName name="test3_1" localSheetId="5" hidden="1">{"'vert'!$A$1:$T$117"}</definedName>
    <definedName name="test3_1" hidden="1">{"'vert'!$A$1:$T$117"}</definedName>
    <definedName name="test3_1_1" localSheetId="8" hidden="1">{"'vert'!$A$1:$T$117"}</definedName>
    <definedName name="test3_1_1" localSheetId="5" hidden="1">{"'vert'!$A$1:$T$117"}</definedName>
    <definedName name="test3_1_1" hidden="1">{"'vert'!$A$1:$T$117"}</definedName>
    <definedName name="test3_1_1_1" localSheetId="8" hidden="1">{"'vert'!$A$1:$T$117"}</definedName>
    <definedName name="test3_1_1_1" localSheetId="5" hidden="1">{"'vert'!$A$1:$T$117"}</definedName>
    <definedName name="test3_1_1_1" hidden="1">{"'vert'!$A$1:$T$117"}</definedName>
    <definedName name="test3_1_2" localSheetId="8" hidden="1">{"'vert'!$A$1:$T$117"}</definedName>
    <definedName name="test3_1_2" localSheetId="5" hidden="1">{"'vert'!$A$1:$T$117"}</definedName>
    <definedName name="test3_1_2" hidden="1">{"'vert'!$A$1:$T$117"}</definedName>
    <definedName name="test3_2" localSheetId="8" hidden="1">{"'vert'!$A$1:$T$117"}</definedName>
    <definedName name="test3_2" localSheetId="5" hidden="1">{"'vert'!$A$1:$T$117"}</definedName>
    <definedName name="test3_2" hidden="1">{"'vert'!$A$1:$T$117"}</definedName>
    <definedName name="test3_2_1" localSheetId="8" hidden="1">{"'vert'!$A$1:$T$117"}</definedName>
    <definedName name="test3_2_1" localSheetId="5" hidden="1">{"'vert'!$A$1:$T$117"}</definedName>
    <definedName name="test3_2_1" hidden="1">{"'vert'!$A$1:$T$117"}</definedName>
    <definedName name="test3_2_1_1" localSheetId="8" hidden="1">{"'vert'!$A$1:$T$117"}</definedName>
    <definedName name="test3_2_1_1" localSheetId="5" hidden="1">{"'vert'!$A$1:$T$117"}</definedName>
    <definedName name="test3_2_1_1" hidden="1">{"'vert'!$A$1:$T$117"}</definedName>
    <definedName name="test3_2_2" localSheetId="8" hidden="1">{"'vert'!$A$1:$T$117"}</definedName>
    <definedName name="test3_2_2" localSheetId="5" hidden="1">{"'vert'!$A$1:$T$117"}</definedName>
    <definedName name="test3_2_2" hidden="1">{"'vert'!$A$1:$T$117"}</definedName>
    <definedName name="test3_3" localSheetId="8" hidden="1">{"'vert'!$A$1:$T$117"}</definedName>
    <definedName name="test3_3" localSheetId="5" hidden="1">{"'vert'!$A$1:$T$117"}</definedName>
    <definedName name="test3_3" hidden="1">{"'vert'!$A$1:$T$117"}</definedName>
    <definedName name="test3_3_1" localSheetId="8" hidden="1">{"'vert'!$A$1:$T$117"}</definedName>
    <definedName name="test3_3_1" localSheetId="5" hidden="1">{"'vert'!$A$1:$T$117"}</definedName>
    <definedName name="test3_3_1" hidden="1">{"'vert'!$A$1:$T$117"}</definedName>
    <definedName name="test3_4" localSheetId="8" hidden="1">{"'vert'!$A$1:$T$117"}</definedName>
    <definedName name="test3_4" localSheetId="5" hidden="1">{"'vert'!$A$1:$T$117"}</definedName>
    <definedName name="test3_4" hidden="1">{"'vert'!$A$1:$T$117"}</definedName>
    <definedName name="test4" localSheetId="8" hidden="1">{"'vert'!$A$1:$T$117"}</definedName>
    <definedName name="test4" localSheetId="5" hidden="1">{"'vert'!$A$1:$T$117"}</definedName>
    <definedName name="test4" hidden="1">{"'vert'!$A$1:$T$117"}</definedName>
    <definedName name="test4_1" localSheetId="8" hidden="1">{"'vert'!$A$1:$T$117"}</definedName>
    <definedName name="test4_1" localSheetId="5" hidden="1">{"'vert'!$A$1:$T$117"}</definedName>
    <definedName name="test4_1" hidden="1">{"'vert'!$A$1:$T$117"}</definedName>
    <definedName name="test4_1_1" localSheetId="8" hidden="1">{"'vert'!$A$1:$T$117"}</definedName>
    <definedName name="test4_1_1" localSheetId="5" hidden="1">{"'vert'!$A$1:$T$117"}</definedName>
    <definedName name="test4_1_1" hidden="1">{"'vert'!$A$1:$T$117"}</definedName>
    <definedName name="test4_1_2" localSheetId="8" hidden="1">{"'vert'!$A$1:$T$117"}</definedName>
    <definedName name="test4_1_2" localSheetId="5" hidden="1">{"'vert'!$A$1:$T$117"}</definedName>
    <definedName name="test4_1_2" hidden="1">{"'vert'!$A$1:$T$117"}</definedName>
    <definedName name="test4_2" localSheetId="8" hidden="1">{"'vert'!$A$1:$T$117"}</definedName>
    <definedName name="test4_2" localSheetId="5" hidden="1">{"'vert'!$A$1:$T$117"}</definedName>
    <definedName name="test4_2" hidden="1">{"'vert'!$A$1:$T$117"}</definedName>
    <definedName name="test4_3" localSheetId="8" hidden="1">{"'vert'!$A$1:$T$117"}</definedName>
    <definedName name="test4_3" localSheetId="5" hidden="1">{"'vert'!$A$1:$T$117"}</definedName>
    <definedName name="test4_3" hidden="1">{"'vert'!$A$1:$T$117"}</definedName>
    <definedName name="test5" localSheetId="8" hidden="1">{"'vert'!$A$1:$T$117"}</definedName>
    <definedName name="test5" localSheetId="5" hidden="1">{"'vert'!$A$1:$T$117"}</definedName>
    <definedName name="test5" hidden="1">{"'vert'!$A$1:$T$117"}</definedName>
    <definedName name="test5_1" localSheetId="8" hidden="1">{"'vert'!$A$1:$T$117"}</definedName>
    <definedName name="test5_1" localSheetId="5" hidden="1">{"'vert'!$A$1:$T$117"}</definedName>
    <definedName name="test5_1" hidden="1">{"'vert'!$A$1:$T$117"}</definedName>
    <definedName name="test5_1_1" localSheetId="8" hidden="1">{"'vert'!$A$1:$T$117"}</definedName>
    <definedName name="test5_1_1" localSheetId="5" hidden="1">{"'vert'!$A$1:$T$117"}</definedName>
    <definedName name="test5_1_1" hidden="1">{"'vert'!$A$1:$T$117"}</definedName>
    <definedName name="test5_1_2" localSheetId="8" hidden="1">{"'vert'!$A$1:$T$117"}</definedName>
    <definedName name="test5_1_2" localSheetId="5" hidden="1">{"'vert'!$A$1:$T$117"}</definedName>
    <definedName name="test5_1_2" hidden="1">{"'vert'!$A$1:$T$117"}</definedName>
    <definedName name="test5_2" localSheetId="8" hidden="1">{"'vert'!$A$1:$T$117"}</definedName>
    <definedName name="test5_2" localSheetId="5" hidden="1">{"'vert'!$A$1:$T$117"}</definedName>
    <definedName name="test5_2" hidden="1">{"'vert'!$A$1:$T$117"}</definedName>
    <definedName name="test5_3" localSheetId="8" hidden="1">{"'vert'!$A$1:$T$117"}</definedName>
    <definedName name="test5_3" localSheetId="5" hidden="1">{"'vert'!$A$1:$T$117"}</definedName>
    <definedName name="test5_3" hidden="1">{"'vert'!$A$1:$T$117"}</definedName>
    <definedName name="tester" localSheetId="8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_1" localSheetId="8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_1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_1_1" localSheetId="8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_1_1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_1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_1_1_1" localSheetId="8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_1_1_1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_1_1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_1_2" localSheetId="8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_1_2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_1_2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_2" localSheetId="8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_2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_2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_2_1" localSheetId="8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_2_1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_2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_2_1_1" localSheetId="8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_2_1_1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_2_1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_2_2" localSheetId="8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_2_2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_2_2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_3" localSheetId="8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_3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_3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_3_1" localSheetId="8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_3_1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_3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_4" localSheetId="8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_4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_4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3" localSheetId="8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3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3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3_1" localSheetId="8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3_1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3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3_1_1" localSheetId="8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3_1_1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3_1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3_1_1_1" localSheetId="8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3_1_1_1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3_1_1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3_1_2" localSheetId="8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3_1_2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3_1_2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3_2" localSheetId="8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3_2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3_2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3_2_1" localSheetId="8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3_2_1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3_2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3_2_1_1" localSheetId="8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3_2_1_1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3_2_1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3_2_2" localSheetId="8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3_2_2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3_2_2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3_3" localSheetId="8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3_3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3_3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3_3_1" localSheetId="8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3_3_1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3_3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3_4" localSheetId="8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3_4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3_4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ss" localSheetId="8" hidden="1">{"'vert'!$A$1:$T$117"}</definedName>
    <definedName name="testss" localSheetId="5" hidden="1">{"'vert'!$A$1:$T$117"}</definedName>
    <definedName name="testss" hidden="1">{"'vert'!$A$1:$T$117"}</definedName>
    <definedName name="TM1REBUILDOPTION">1</definedName>
    <definedName name="TM1REBUILDOPTION_1">0</definedName>
    <definedName name="tradcomp" localSheetId="8" hidden="1">{#N/A,#N/A,FALSE,"Trading-Mult ";#N/A,#N/A,FALSE,"Trading-Cap";#N/A,#N/A,FALSE,"Trading-Inc";#N/A,#N/A,FALSE,"Cash Flow";#N/A,#N/A,FALSE,"M&amp;A info"}</definedName>
    <definedName name="tradcomp" localSheetId="5" hidden="1">{#N/A,#N/A,FALSE,"Trading-Mult ";#N/A,#N/A,FALSE,"Trading-Cap";#N/A,#N/A,FALSE,"Trading-Inc";#N/A,#N/A,FALSE,"Cash Flow";#N/A,#N/A,FALSE,"M&amp;A info"}</definedName>
    <definedName name="tradcomp" hidden="1">{#N/A,#N/A,FALSE,"Trading-Mult ";#N/A,#N/A,FALSE,"Trading-Cap";#N/A,#N/A,FALSE,"Trading-Inc";#N/A,#N/A,FALSE,"Cash Flow";#N/A,#N/A,FALSE,"M&amp;A info"}</definedName>
    <definedName name="tradcompar" localSheetId="8" hidden="1">{#N/A,#N/A,FALSE,"Trading-Mult ";#N/A,#N/A,FALSE,"Trading-Cap";#N/A,#N/A,FALSE,"Trading-Inc";#N/A,#N/A,FALSE,"Cash Flow";#N/A,#N/A,FALSE,"M&amp;A info"}</definedName>
    <definedName name="tradcompar" localSheetId="5" hidden="1">{#N/A,#N/A,FALSE,"Trading-Mult ";#N/A,#N/A,FALSE,"Trading-Cap";#N/A,#N/A,FALSE,"Trading-Inc";#N/A,#N/A,FALSE,"Cash Flow";#N/A,#N/A,FALSE,"M&amp;A info"}</definedName>
    <definedName name="tradcompar" hidden="1">{#N/A,#N/A,FALSE,"Trading-Mult ";#N/A,#N/A,FALSE,"Trading-Cap";#N/A,#N/A,FALSE,"Trading-Inc";#N/A,#N/A,FALSE,"Cash Flow";#N/A,#N/A,FALSE,"M&amp;A info"}</definedName>
    <definedName name="tradingcompar" localSheetId="8" hidden="1">{#N/A,#N/A,FALSE,"Trading-Mult ";#N/A,#N/A,FALSE,"Trading-Cap";#N/A,#N/A,FALSE,"Trading-Inc";#N/A,#N/A,FALSE,"Cash Flow";#N/A,#N/A,FALSE,"M&amp;A info"}</definedName>
    <definedName name="tradingcompar" localSheetId="5" hidden="1">{#N/A,#N/A,FALSE,"Trading-Mult ";#N/A,#N/A,FALSE,"Trading-Cap";#N/A,#N/A,FALSE,"Trading-Inc";#N/A,#N/A,FALSE,"Cash Flow";#N/A,#N/A,FALSE,"M&amp;A info"}</definedName>
    <definedName name="tradingcompar" hidden="1">{#N/A,#N/A,FALSE,"Trading-Mult ";#N/A,#N/A,FALSE,"Trading-Cap";#N/A,#N/A,FALSE,"Trading-Inc";#N/A,#N/A,FALSE,"Cash Flow";#N/A,#N/A,FALSE,"M&amp;A info"}</definedName>
    <definedName name="trhktrkh" localSheetId="8" hidden="1">{"'vert'!$A$1:$T$117"}</definedName>
    <definedName name="trhktrkh" localSheetId="5" hidden="1">{"'vert'!$A$1:$T$117"}</definedName>
    <definedName name="trhktrkh" hidden="1">{"'vert'!$A$1:$T$117"}</definedName>
    <definedName name="trhktrkh_1" localSheetId="8" hidden="1">{"'vert'!$A$1:$T$117"}</definedName>
    <definedName name="trhktrkh_1" localSheetId="5" hidden="1">{"'vert'!$A$1:$T$117"}</definedName>
    <definedName name="trhktrkh_1" hidden="1">{"'vert'!$A$1:$T$117"}</definedName>
    <definedName name="trhktrkh_1_1" localSheetId="8" hidden="1">{"'vert'!$A$1:$T$117"}</definedName>
    <definedName name="trhktrkh_1_1" localSheetId="5" hidden="1">{"'vert'!$A$1:$T$117"}</definedName>
    <definedName name="trhktrkh_1_1" hidden="1">{"'vert'!$A$1:$T$117"}</definedName>
    <definedName name="trhktrkh_1_1_1" localSheetId="8" hidden="1">{"'vert'!$A$1:$T$117"}</definedName>
    <definedName name="trhktrkh_1_1_1" localSheetId="5" hidden="1">{"'vert'!$A$1:$T$117"}</definedName>
    <definedName name="trhktrkh_1_1_1" hidden="1">{"'vert'!$A$1:$T$117"}</definedName>
    <definedName name="trhktrkh_1_2" localSheetId="8" hidden="1">{"'vert'!$A$1:$T$117"}</definedName>
    <definedName name="trhktrkh_1_2" localSheetId="5" hidden="1">{"'vert'!$A$1:$T$117"}</definedName>
    <definedName name="trhktrkh_1_2" hidden="1">{"'vert'!$A$1:$T$117"}</definedName>
    <definedName name="trhktrkh_2" localSheetId="8" hidden="1">{"'vert'!$A$1:$T$117"}</definedName>
    <definedName name="trhktrkh_2" localSheetId="5" hidden="1">{"'vert'!$A$1:$T$117"}</definedName>
    <definedName name="trhktrkh_2" hidden="1">{"'vert'!$A$1:$T$117"}</definedName>
    <definedName name="trhktrkh_2_1" localSheetId="8" hidden="1">{"'vert'!$A$1:$T$117"}</definedName>
    <definedName name="trhktrkh_2_1" localSheetId="5" hidden="1">{"'vert'!$A$1:$T$117"}</definedName>
    <definedName name="trhktrkh_2_1" hidden="1">{"'vert'!$A$1:$T$117"}</definedName>
    <definedName name="trhktrkh_2_1_1" localSheetId="8" hidden="1">{"'vert'!$A$1:$T$117"}</definedName>
    <definedName name="trhktrkh_2_1_1" localSheetId="5" hidden="1">{"'vert'!$A$1:$T$117"}</definedName>
    <definedName name="trhktrkh_2_1_1" hidden="1">{"'vert'!$A$1:$T$117"}</definedName>
    <definedName name="trhktrkh_2_2" localSheetId="8" hidden="1">{"'vert'!$A$1:$T$117"}</definedName>
    <definedName name="trhktrkh_2_2" localSheetId="5" hidden="1">{"'vert'!$A$1:$T$117"}</definedName>
    <definedName name="trhktrkh_2_2" hidden="1">{"'vert'!$A$1:$T$117"}</definedName>
    <definedName name="trhktrkh_3" localSheetId="8" hidden="1">{"'vert'!$A$1:$T$117"}</definedName>
    <definedName name="trhktrkh_3" localSheetId="5" hidden="1">{"'vert'!$A$1:$T$117"}</definedName>
    <definedName name="trhktrkh_3" hidden="1">{"'vert'!$A$1:$T$117"}</definedName>
    <definedName name="trhktrkh_3_1" localSheetId="8" hidden="1">{"'vert'!$A$1:$T$117"}</definedName>
    <definedName name="trhktrkh_3_1" localSheetId="5" hidden="1">{"'vert'!$A$1:$T$117"}</definedName>
    <definedName name="trhktrkh_3_1" hidden="1">{"'vert'!$A$1:$T$117"}</definedName>
    <definedName name="trhktrkh_4" localSheetId="8" hidden="1">{"'vert'!$A$1:$T$117"}</definedName>
    <definedName name="trhktrkh_4" localSheetId="5" hidden="1">{"'vert'!$A$1:$T$117"}</definedName>
    <definedName name="trhktrkh_4" hidden="1">{"'vert'!$A$1:$T$117"}</definedName>
    <definedName name="ttt" localSheetId="8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tt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tt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tt_1" localSheetId="8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tt_1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tt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tt_1_1" localSheetId="8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tt_1_1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tt_1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tt_1_1_1" localSheetId="8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tt_1_1_1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tt_1_1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tt_1_2" localSheetId="8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tt_1_2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tt_1_2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tt_2" localSheetId="8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tt_2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tt_2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tt_2_1" localSheetId="8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tt_2_1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tt_2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tt_2_1_1" localSheetId="8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tt_2_1_1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tt_2_1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tt_2_2" localSheetId="8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tt_2_2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tt_2_2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tt_3" localSheetId="8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tt_3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tt_3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tt_3_1" localSheetId="8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tt_3_1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tt_3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tt_4" localSheetId="8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tt_4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tt_4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ttt" localSheetId="8" hidden="1">{"'vert'!$A$1:$T$117"}</definedName>
    <definedName name="tttt" localSheetId="5" hidden="1">{"'vert'!$A$1:$T$117"}</definedName>
    <definedName name="tttt" hidden="1">{"'vert'!$A$1:$T$117"}</definedName>
    <definedName name="USFC_Inventory_2" localSheetId="8" hidden="1">{"'vert'!$A$1:$T$117"}</definedName>
    <definedName name="USFC_Inventory_2" localSheetId="5" hidden="1">{"'vert'!$A$1:$T$117"}</definedName>
    <definedName name="USFC_Inventory_2" hidden="1">{"'vert'!$A$1:$T$117"}</definedName>
    <definedName name="USFC_Inventory_2_1" localSheetId="8" hidden="1">{"'vert'!$A$1:$T$117"}</definedName>
    <definedName name="USFC_Inventory_2_1" localSheetId="5" hidden="1">{"'vert'!$A$1:$T$117"}</definedName>
    <definedName name="USFC_Inventory_2_1" hidden="1">{"'vert'!$A$1:$T$117"}</definedName>
    <definedName name="USFC_Inventory_2_1_1" localSheetId="8" hidden="1">{"'vert'!$A$1:$T$117"}</definedName>
    <definedName name="USFC_Inventory_2_1_1" localSheetId="5" hidden="1">{"'vert'!$A$1:$T$117"}</definedName>
    <definedName name="USFC_Inventory_2_1_1" hidden="1">{"'vert'!$A$1:$T$117"}</definedName>
    <definedName name="USFC_Inventory_2_1_1_1" localSheetId="8" hidden="1">{"'vert'!$A$1:$T$117"}</definedName>
    <definedName name="USFC_Inventory_2_1_1_1" localSheetId="5" hidden="1">{"'vert'!$A$1:$T$117"}</definedName>
    <definedName name="USFC_Inventory_2_1_1_1" hidden="1">{"'vert'!$A$1:$T$117"}</definedName>
    <definedName name="USFC_Inventory_2_1_2" localSheetId="8" hidden="1">{"'vert'!$A$1:$T$117"}</definedName>
    <definedName name="USFC_Inventory_2_1_2" localSheetId="5" hidden="1">{"'vert'!$A$1:$T$117"}</definedName>
    <definedName name="USFC_Inventory_2_1_2" hidden="1">{"'vert'!$A$1:$T$117"}</definedName>
    <definedName name="USFC_Inventory_2_2" localSheetId="8" hidden="1">{"'vert'!$A$1:$T$117"}</definedName>
    <definedName name="USFC_Inventory_2_2" localSheetId="5" hidden="1">{"'vert'!$A$1:$T$117"}</definedName>
    <definedName name="USFC_Inventory_2_2" hidden="1">{"'vert'!$A$1:$T$117"}</definedName>
    <definedName name="USFC_Inventory_2_2_1" localSheetId="8" hidden="1">{"'vert'!$A$1:$T$117"}</definedName>
    <definedName name="USFC_Inventory_2_2_1" localSheetId="5" hidden="1">{"'vert'!$A$1:$T$117"}</definedName>
    <definedName name="USFC_Inventory_2_2_1" hidden="1">{"'vert'!$A$1:$T$117"}</definedName>
    <definedName name="USFC_Inventory_2_2_1_1" localSheetId="8" hidden="1">{"'vert'!$A$1:$T$117"}</definedName>
    <definedName name="USFC_Inventory_2_2_1_1" localSheetId="5" hidden="1">{"'vert'!$A$1:$T$117"}</definedName>
    <definedName name="USFC_Inventory_2_2_1_1" hidden="1">{"'vert'!$A$1:$T$117"}</definedName>
    <definedName name="USFC_Inventory_2_2_2" localSheetId="8" hidden="1">{"'vert'!$A$1:$T$117"}</definedName>
    <definedName name="USFC_Inventory_2_2_2" localSheetId="5" hidden="1">{"'vert'!$A$1:$T$117"}</definedName>
    <definedName name="USFC_Inventory_2_2_2" hidden="1">{"'vert'!$A$1:$T$117"}</definedName>
    <definedName name="USFC_Inventory_2_3" localSheetId="8" hidden="1">{"'vert'!$A$1:$T$117"}</definedName>
    <definedName name="USFC_Inventory_2_3" localSheetId="5" hidden="1">{"'vert'!$A$1:$T$117"}</definedName>
    <definedName name="USFC_Inventory_2_3" hidden="1">{"'vert'!$A$1:$T$117"}</definedName>
    <definedName name="USFC_Inventory_2_3_1" localSheetId="8" hidden="1">{"'vert'!$A$1:$T$117"}</definedName>
    <definedName name="USFC_Inventory_2_3_1" localSheetId="5" hidden="1">{"'vert'!$A$1:$T$117"}</definedName>
    <definedName name="USFC_Inventory_2_3_1" hidden="1">{"'vert'!$A$1:$T$117"}</definedName>
    <definedName name="USFC_Inventory_2_4" localSheetId="8" hidden="1">{"'vert'!$A$1:$T$117"}</definedName>
    <definedName name="USFC_Inventory_2_4" localSheetId="5" hidden="1">{"'vert'!$A$1:$T$117"}</definedName>
    <definedName name="USFC_Inventory_2_4" hidden="1">{"'vert'!$A$1:$T$117"}</definedName>
    <definedName name="V1_country">[11]CN!$B$3</definedName>
    <definedName name="V1_Country_Code">[17]CurrYear_V1!$C$28</definedName>
    <definedName name="V1_currency">[11]CN!$F$5</definedName>
    <definedName name="V1_view">[11]CN!$F$4</definedName>
    <definedName name="V1yoy_Period_View">[22]NA_Est_V1!$C$26</definedName>
    <definedName name="V2_Year">[17]V2!$C$24</definedName>
    <definedName name="vb" localSheetId="8" hidden="1">{"'vert'!$A$1:$T$117"}</definedName>
    <definedName name="vb" localSheetId="5" hidden="1">{"'vert'!$A$1:$T$117"}</definedName>
    <definedName name="vb" hidden="1">{"'vert'!$A$1:$T$117"}</definedName>
    <definedName name="VBA_Macros_Author" hidden="1">"Greg Lovern - http://PrecisionCalc.com - (425)747-1548 - Custom Microsoft Excel VBA Programming - Save Time - Reduce Errors"</definedName>
    <definedName name="VendorFunded">[15]Lists!$E$33:$E$34</definedName>
    <definedName name="vfdasvdfs" localSheetId="8" hidden="1">{"'vert'!$A$1:$T$117"}</definedName>
    <definedName name="vfdasvdfs" localSheetId="5" hidden="1">{"'vert'!$A$1:$T$117"}</definedName>
    <definedName name="vfdasvdfs" hidden="1">{"'vert'!$A$1:$T$117"}</definedName>
    <definedName name="VIEW">[11]Admin!$P$7:$P$11</definedName>
    <definedName name="waf" localSheetId="8" hidden="1">{"'vert'!$A$1:$T$117"}</definedName>
    <definedName name="waf" localSheetId="5" hidden="1">{"'vert'!$A$1:$T$117"}</definedName>
    <definedName name="waf" hidden="1">{"'vert'!$A$1:$T$117"}</definedName>
    <definedName name="waf_1" localSheetId="8" hidden="1">{"'vert'!$A$1:$T$117"}</definedName>
    <definedName name="waf_1" localSheetId="5" hidden="1">{"'vert'!$A$1:$T$117"}</definedName>
    <definedName name="waf_1" hidden="1">{"'vert'!$A$1:$T$117"}</definedName>
    <definedName name="waf_1_1" localSheetId="8" hidden="1">{"'vert'!$A$1:$T$117"}</definedName>
    <definedName name="waf_1_1" localSheetId="5" hidden="1">{"'vert'!$A$1:$T$117"}</definedName>
    <definedName name="waf_1_1" hidden="1">{"'vert'!$A$1:$T$117"}</definedName>
    <definedName name="waf_1_2" localSheetId="8" hidden="1">{"'vert'!$A$1:$T$117"}</definedName>
    <definedName name="waf_1_2" localSheetId="5" hidden="1">{"'vert'!$A$1:$T$117"}</definedName>
    <definedName name="waf_1_2" hidden="1">{"'vert'!$A$1:$T$117"}</definedName>
    <definedName name="waf_2" localSheetId="8" hidden="1">{"'vert'!$A$1:$T$117"}</definedName>
    <definedName name="waf_2" localSheetId="5" hidden="1">{"'vert'!$A$1:$T$117"}</definedName>
    <definedName name="waf_2" hidden="1">{"'vert'!$A$1:$T$117"}</definedName>
    <definedName name="waf_3" localSheetId="8" hidden="1">{"'vert'!$A$1:$T$117"}</definedName>
    <definedName name="waf_3" localSheetId="5" hidden="1">{"'vert'!$A$1:$T$117"}</definedName>
    <definedName name="waf_3" hidden="1">{"'vert'!$A$1:$T$117"}</definedName>
    <definedName name="Waterfall" localSheetId="8" hidden="1">{"'vert'!$A$1:$T$117"}</definedName>
    <definedName name="Waterfall" localSheetId="5" hidden="1">{"'vert'!$A$1:$T$117"}</definedName>
    <definedName name="Waterfall" hidden="1">{"'vert'!$A$1:$T$117"}</definedName>
    <definedName name="Waterfall_1" localSheetId="8" hidden="1">{"'vert'!$A$1:$T$117"}</definedName>
    <definedName name="Waterfall_1" localSheetId="5" hidden="1">{"'vert'!$A$1:$T$117"}</definedName>
    <definedName name="Waterfall_1" hidden="1">{"'vert'!$A$1:$T$117"}</definedName>
    <definedName name="Waterfall_1_1" localSheetId="8" hidden="1">{"'vert'!$A$1:$T$117"}</definedName>
    <definedName name="Waterfall_1_1" localSheetId="5" hidden="1">{"'vert'!$A$1:$T$117"}</definedName>
    <definedName name="Waterfall_1_1" hidden="1">{"'vert'!$A$1:$T$117"}</definedName>
    <definedName name="Waterfall_1_1_1" localSheetId="8" hidden="1">{"'vert'!$A$1:$T$117"}</definedName>
    <definedName name="Waterfall_1_1_1" localSheetId="5" hidden="1">{"'vert'!$A$1:$T$117"}</definedName>
    <definedName name="Waterfall_1_1_1" hidden="1">{"'vert'!$A$1:$T$117"}</definedName>
    <definedName name="Waterfall_1_1_1_1" localSheetId="8" hidden="1">{"'vert'!$A$1:$T$117"}</definedName>
    <definedName name="Waterfall_1_1_1_1" localSheetId="5" hidden="1">{"'vert'!$A$1:$T$117"}</definedName>
    <definedName name="Waterfall_1_1_1_1" hidden="1">{"'vert'!$A$1:$T$117"}</definedName>
    <definedName name="Waterfall_1_1_2" localSheetId="8" hidden="1">{"'vert'!$A$1:$T$117"}</definedName>
    <definedName name="Waterfall_1_1_2" localSheetId="5" hidden="1">{"'vert'!$A$1:$T$117"}</definedName>
    <definedName name="Waterfall_1_1_2" hidden="1">{"'vert'!$A$1:$T$117"}</definedName>
    <definedName name="Waterfall_1_2" localSheetId="8" hidden="1">{"'vert'!$A$1:$T$117"}</definedName>
    <definedName name="Waterfall_1_2" localSheetId="5" hidden="1">{"'vert'!$A$1:$T$117"}</definedName>
    <definedName name="Waterfall_1_2" hidden="1">{"'vert'!$A$1:$T$117"}</definedName>
    <definedName name="Waterfall_1_2_1" localSheetId="8" hidden="1">{"'vert'!$A$1:$T$117"}</definedName>
    <definedName name="Waterfall_1_2_1" localSheetId="5" hidden="1">{"'vert'!$A$1:$T$117"}</definedName>
    <definedName name="Waterfall_1_2_1" hidden="1">{"'vert'!$A$1:$T$117"}</definedName>
    <definedName name="Waterfall_1_2_1_1" localSheetId="8" hidden="1">{"'vert'!$A$1:$T$117"}</definedName>
    <definedName name="Waterfall_1_2_1_1" localSheetId="5" hidden="1">{"'vert'!$A$1:$T$117"}</definedName>
    <definedName name="Waterfall_1_2_1_1" hidden="1">{"'vert'!$A$1:$T$117"}</definedName>
    <definedName name="Waterfall_1_2_2" localSheetId="8" hidden="1">{"'vert'!$A$1:$T$117"}</definedName>
    <definedName name="Waterfall_1_2_2" localSheetId="5" hidden="1">{"'vert'!$A$1:$T$117"}</definedName>
    <definedName name="Waterfall_1_2_2" hidden="1">{"'vert'!$A$1:$T$117"}</definedName>
    <definedName name="Waterfall_1_3" localSheetId="8" hidden="1">{"'vert'!$A$1:$T$117"}</definedName>
    <definedName name="Waterfall_1_3" localSheetId="5" hidden="1">{"'vert'!$A$1:$T$117"}</definedName>
    <definedName name="Waterfall_1_3" hidden="1">{"'vert'!$A$1:$T$117"}</definedName>
    <definedName name="Waterfall_1_3_1" localSheetId="8" hidden="1">{"'vert'!$A$1:$T$117"}</definedName>
    <definedName name="Waterfall_1_3_1" localSheetId="5" hidden="1">{"'vert'!$A$1:$T$117"}</definedName>
    <definedName name="Waterfall_1_3_1" hidden="1">{"'vert'!$A$1:$T$117"}</definedName>
    <definedName name="Waterfall_1_4" localSheetId="8" hidden="1">{"'vert'!$A$1:$T$117"}</definedName>
    <definedName name="Waterfall_1_4" localSheetId="5" hidden="1">{"'vert'!$A$1:$T$117"}</definedName>
    <definedName name="Waterfall_1_4" hidden="1">{"'vert'!$A$1:$T$117"}</definedName>
    <definedName name="Waterfall_2" localSheetId="8" hidden="1">{"'vert'!$A$1:$T$117"}</definedName>
    <definedName name="Waterfall_2" localSheetId="5" hidden="1">{"'vert'!$A$1:$T$117"}</definedName>
    <definedName name="Waterfall_2" hidden="1">{"'vert'!$A$1:$T$117"}</definedName>
    <definedName name="Waterfall_2_1" localSheetId="8" hidden="1">{"'vert'!$A$1:$T$117"}</definedName>
    <definedName name="Waterfall_2_1" localSheetId="5" hidden="1">{"'vert'!$A$1:$T$117"}</definedName>
    <definedName name="Waterfall_2_1" hidden="1">{"'vert'!$A$1:$T$117"}</definedName>
    <definedName name="Waterfall_2_1_1" localSheetId="8" hidden="1">{"'vert'!$A$1:$T$117"}</definedName>
    <definedName name="Waterfall_2_1_1" localSheetId="5" hidden="1">{"'vert'!$A$1:$T$117"}</definedName>
    <definedName name="Waterfall_2_1_1" hidden="1">{"'vert'!$A$1:$T$117"}</definedName>
    <definedName name="Waterfall_2_2" localSheetId="8" hidden="1">{"'vert'!$A$1:$T$117"}</definedName>
    <definedName name="Waterfall_2_2" localSheetId="5" hidden="1">{"'vert'!$A$1:$T$117"}</definedName>
    <definedName name="Waterfall_2_2" hidden="1">{"'vert'!$A$1:$T$117"}</definedName>
    <definedName name="Waterfall_3" localSheetId="8" hidden="1">{"'vert'!$A$1:$T$117"}</definedName>
    <definedName name="Waterfall_3" localSheetId="5" hidden="1">{"'vert'!$A$1:$T$117"}</definedName>
    <definedName name="Waterfall_3" hidden="1">{"'vert'!$A$1:$T$117"}</definedName>
    <definedName name="Waterfall_3_1" localSheetId="8" hidden="1">{"'vert'!$A$1:$T$117"}</definedName>
    <definedName name="Waterfall_3_1" localSheetId="5" hidden="1">{"'vert'!$A$1:$T$117"}</definedName>
    <definedName name="Waterfall_3_1" hidden="1">{"'vert'!$A$1:$T$117"}</definedName>
    <definedName name="Waterfall_3_1_1" localSheetId="8" hidden="1">{"'vert'!$A$1:$T$117"}</definedName>
    <definedName name="Waterfall_3_1_1" localSheetId="5" hidden="1">{"'vert'!$A$1:$T$117"}</definedName>
    <definedName name="Waterfall_3_1_1" hidden="1">{"'vert'!$A$1:$T$117"}</definedName>
    <definedName name="Waterfall_3_2" localSheetId="8" hidden="1">{"'vert'!$A$1:$T$117"}</definedName>
    <definedName name="Waterfall_3_2" localSheetId="5" hidden="1">{"'vert'!$A$1:$T$117"}</definedName>
    <definedName name="Waterfall_3_2" hidden="1">{"'vert'!$A$1:$T$117"}</definedName>
    <definedName name="Waterfall_4" localSheetId="8" hidden="1">{"'vert'!$A$1:$T$117"}</definedName>
    <definedName name="Waterfall_4" localSheetId="5" hidden="1">{"'vert'!$A$1:$T$117"}</definedName>
    <definedName name="Waterfall_4" hidden="1">{"'vert'!$A$1:$T$117"}</definedName>
    <definedName name="Waterfall_4_1" localSheetId="8" hidden="1">{"'vert'!$A$1:$T$117"}</definedName>
    <definedName name="Waterfall_4_1" localSheetId="5" hidden="1">{"'vert'!$A$1:$T$117"}</definedName>
    <definedName name="Waterfall_4_1" hidden="1">{"'vert'!$A$1:$T$117"}</definedName>
    <definedName name="Waterfall_5" localSheetId="8" hidden="1">{"'vert'!$A$1:$T$117"}</definedName>
    <definedName name="Waterfall_5" localSheetId="5" hidden="1">{"'vert'!$A$1:$T$117"}</definedName>
    <definedName name="Waterfall_5" hidden="1">{"'vert'!$A$1:$T$117"}</definedName>
    <definedName name="Waterfall1" localSheetId="8" hidden="1">{"'vert'!$A$1:$T$117"}</definedName>
    <definedName name="Waterfall1" localSheetId="5" hidden="1">{"'vert'!$A$1:$T$117"}</definedName>
    <definedName name="Waterfall1" hidden="1">{"'vert'!$A$1:$T$117"}</definedName>
    <definedName name="Waterfall1_1" localSheetId="8" hidden="1">{"'vert'!$A$1:$T$117"}</definedName>
    <definedName name="Waterfall1_1" localSheetId="5" hidden="1">{"'vert'!$A$1:$T$117"}</definedName>
    <definedName name="Waterfall1_1" hidden="1">{"'vert'!$A$1:$T$117"}</definedName>
    <definedName name="Waterfall1_1_1" localSheetId="8" hidden="1">{"'vert'!$A$1:$T$117"}</definedName>
    <definedName name="Waterfall1_1_1" localSheetId="5" hidden="1">{"'vert'!$A$1:$T$117"}</definedName>
    <definedName name="Waterfall1_1_1" hidden="1">{"'vert'!$A$1:$T$117"}</definedName>
    <definedName name="Waterfall1_1_1_1" localSheetId="8" hidden="1">{"'vert'!$A$1:$T$117"}</definedName>
    <definedName name="Waterfall1_1_1_1" localSheetId="5" hidden="1">{"'vert'!$A$1:$T$117"}</definedName>
    <definedName name="Waterfall1_1_1_1" hidden="1">{"'vert'!$A$1:$T$117"}</definedName>
    <definedName name="Waterfall1_1_2" localSheetId="8" hidden="1">{"'vert'!$A$1:$T$117"}</definedName>
    <definedName name="Waterfall1_1_2" localSheetId="5" hidden="1">{"'vert'!$A$1:$T$117"}</definedName>
    <definedName name="Waterfall1_1_2" hidden="1">{"'vert'!$A$1:$T$117"}</definedName>
    <definedName name="Waterfall1_2" localSheetId="8" hidden="1">{"'vert'!$A$1:$T$117"}</definedName>
    <definedName name="Waterfall1_2" localSheetId="5" hidden="1">{"'vert'!$A$1:$T$117"}</definedName>
    <definedName name="Waterfall1_2" hidden="1">{"'vert'!$A$1:$T$117"}</definedName>
    <definedName name="Waterfall1_2_1" localSheetId="8" hidden="1">{"'vert'!$A$1:$T$117"}</definedName>
    <definedName name="Waterfall1_2_1" localSheetId="5" hidden="1">{"'vert'!$A$1:$T$117"}</definedName>
    <definedName name="Waterfall1_2_1" hidden="1">{"'vert'!$A$1:$T$117"}</definedName>
    <definedName name="Waterfall1_2_1_1" localSheetId="8" hidden="1">{"'vert'!$A$1:$T$117"}</definedName>
    <definedName name="Waterfall1_2_1_1" localSheetId="5" hidden="1">{"'vert'!$A$1:$T$117"}</definedName>
    <definedName name="Waterfall1_2_1_1" hidden="1">{"'vert'!$A$1:$T$117"}</definedName>
    <definedName name="Waterfall1_2_2" localSheetId="8" hidden="1">{"'vert'!$A$1:$T$117"}</definedName>
    <definedName name="Waterfall1_2_2" localSheetId="5" hidden="1">{"'vert'!$A$1:$T$117"}</definedName>
    <definedName name="Waterfall1_2_2" hidden="1">{"'vert'!$A$1:$T$117"}</definedName>
    <definedName name="Waterfall1_3" localSheetId="8" hidden="1">{"'vert'!$A$1:$T$117"}</definedName>
    <definedName name="Waterfall1_3" localSheetId="5" hidden="1">{"'vert'!$A$1:$T$117"}</definedName>
    <definedName name="Waterfall1_3" hidden="1">{"'vert'!$A$1:$T$117"}</definedName>
    <definedName name="Waterfall1_3_1" localSheetId="8" hidden="1">{"'vert'!$A$1:$T$117"}</definedName>
    <definedName name="Waterfall1_3_1" localSheetId="5" hidden="1">{"'vert'!$A$1:$T$117"}</definedName>
    <definedName name="Waterfall1_3_1" hidden="1">{"'vert'!$A$1:$T$117"}</definedName>
    <definedName name="Waterfall1_4" localSheetId="8" hidden="1">{"'vert'!$A$1:$T$117"}</definedName>
    <definedName name="Waterfall1_4" localSheetId="5" hidden="1">{"'vert'!$A$1:$T$117"}</definedName>
    <definedName name="Waterfall1_4" hidden="1">{"'vert'!$A$1:$T$117"}</definedName>
    <definedName name="Waterfall2" localSheetId="8" hidden="1">{"'vert'!$A$1:$T$117"}</definedName>
    <definedName name="Waterfall2" localSheetId="5" hidden="1">{"'vert'!$A$1:$T$117"}</definedName>
    <definedName name="Waterfall2" hidden="1">{"'vert'!$A$1:$T$117"}</definedName>
    <definedName name="Waterfall2_1" localSheetId="8" hidden="1">{"'vert'!$A$1:$T$117"}</definedName>
    <definedName name="Waterfall2_1" localSheetId="5" hidden="1">{"'vert'!$A$1:$T$117"}</definedName>
    <definedName name="Waterfall2_1" hidden="1">{"'vert'!$A$1:$T$117"}</definedName>
    <definedName name="Waterfall2_1_1" localSheetId="8" hidden="1">{"'vert'!$A$1:$T$117"}</definedName>
    <definedName name="Waterfall2_1_1" localSheetId="5" hidden="1">{"'vert'!$A$1:$T$117"}</definedName>
    <definedName name="Waterfall2_1_1" hidden="1">{"'vert'!$A$1:$T$117"}</definedName>
    <definedName name="Waterfall2_1_1_1" localSheetId="8" hidden="1">{"'vert'!$A$1:$T$117"}</definedName>
    <definedName name="Waterfall2_1_1_1" localSheetId="5" hidden="1">{"'vert'!$A$1:$T$117"}</definedName>
    <definedName name="Waterfall2_1_1_1" hidden="1">{"'vert'!$A$1:$T$117"}</definedName>
    <definedName name="Waterfall2_1_2" localSheetId="8" hidden="1">{"'vert'!$A$1:$T$117"}</definedName>
    <definedName name="Waterfall2_1_2" localSheetId="5" hidden="1">{"'vert'!$A$1:$T$117"}</definedName>
    <definedName name="Waterfall2_1_2" hidden="1">{"'vert'!$A$1:$T$117"}</definedName>
    <definedName name="Waterfall2_2" localSheetId="8" hidden="1">{"'vert'!$A$1:$T$117"}</definedName>
    <definedName name="Waterfall2_2" localSheetId="5" hidden="1">{"'vert'!$A$1:$T$117"}</definedName>
    <definedName name="Waterfall2_2" hidden="1">{"'vert'!$A$1:$T$117"}</definedName>
    <definedName name="Waterfall2_2_1" localSheetId="8" hidden="1">{"'vert'!$A$1:$T$117"}</definedName>
    <definedName name="Waterfall2_2_1" localSheetId="5" hidden="1">{"'vert'!$A$1:$T$117"}</definedName>
    <definedName name="Waterfall2_2_1" hidden="1">{"'vert'!$A$1:$T$117"}</definedName>
    <definedName name="Waterfall2_2_1_1" localSheetId="8" hidden="1">{"'vert'!$A$1:$T$117"}</definedName>
    <definedName name="Waterfall2_2_1_1" localSheetId="5" hidden="1">{"'vert'!$A$1:$T$117"}</definedName>
    <definedName name="Waterfall2_2_1_1" hidden="1">{"'vert'!$A$1:$T$117"}</definedName>
    <definedName name="Waterfall2_2_2" localSheetId="8" hidden="1">{"'vert'!$A$1:$T$117"}</definedName>
    <definedName name="Waterfall2_2_2" localSheetId="5" hidden="1">{"'vert'!$A$1:$T$117"}</definedName>
    <definedName name="Waterfall2_2_2" hidden="1">{"'vert'!$A$1:$T$117"}</definedName>
    <definedName name="Waterfall2_3" localSheetId="8" hidden="1">{"'vert'!$A$1:$T$117"}</definedName>
    <definedName name="Waterfall2_3" localSheetId="5" hidden="1">{"'vert'!$A$1:$T$117"}</definedName>
    <definedName name="Waterfall2_3" hidden="1">{"'vert'!$A$1:$T$117"}</definedName>
    <definedName name="Waterfall2_3_1" localSheetId="8" hidden="1">{"'vert'!$A$1:$T$117"}</definedName>
    <definedName name="Waterfall2_3_1" localSheetId="5" hidden="1">{"'vert'!$A$1:$T$117"}</definedName>
    <definedName name="Waterfall2_3_1" hidden="1">{"'vert'!$A$1:$T$117"}</definedName>
    <definedName name="Waterfall2_4" localSheetId="8" hidden="1">{"'vert'!$A$1:$T$117"}</definedName>
    <definedName name="Waterfall2_4" localSheetId="5" hidden="1">{"'vert'!$A$1:$T$117"}</definedName>
    <definedName name="Waterfall2_4" hidden="1">{"'vert'!$A$1:$T$117"}</definedName>
    <definedName name="WeekdayOption">#N/A</definedName>
    <definedName name="Weekdays" localSheetId="8">{"Monday","Tuesday","Wednesday","Thursday","Friday","Saturday","Sunday"}</definedName>
    <definedName name="Weekdays" localSheetId="5">{"Monday","Tuesday","Wednesday","Thursday","Friday","Saturday","Sunday"}</definedName>
    <definedName name="Weekdays">{"Monday","Tuesday","Wednesday","Thursday","Friday","Saturday","Sunday"}</definedName>
    <definedName name="WeekStart">#REF!</definedName>
    <definedName name="WeekStartValue">#N/A</definedName>
    <definedName name="wew" localSheetId="8" hidden="1">{#N/A,#N/A,FALSE,"Sheet1"}</definedName>
    <definedName name="wew" localSheetId="5" hidden="1">{#N/A,#N/A,FALSE,"Sheet1"}</definedName>
    <definedName name="wew" hidden="1">{#N/A,#N/A,FALSE,"Sheet1"}</definedName>
    <definedName name="What" localSheetId="8" hidden="1">{"'vert'!$A$1:$T$117"}</definedName>
    <definedName name="What" localSheetId="5" hidden="1">{"'vert'!$A$1:$T$117"}</definedName>
    <definedName name="What" hidden="1">{"'vert'!$A$1:$T$117"}</definedName>
    <definedName name="whoa" localSheetId="8" hidden="1">{"'weekly data'!$A$2:$AS$36"}</definedName>
    <definedName name="whoa" localSheetId="5" hidden="1">{"'weekly data'!$A$2:$AS$36"}</definedName>
    <definedName name="whoa" hidden="1">{"'weekly data'!$A$2:$AS$36"}</definedName>
    <definedName name="whoa_1" localSheetId="8" hidden="1">{"'weekly data'!$A$2:$AS$36"}</definedName>
    <definedName name="whoa_1" localSheetId="5" hidden="1">{"'weekly data'!$A$2:$AS$36"}</definedName>
    <definedName name="whoa_1" hidden="1">{"'weekly data'!$A$2:$AS$36"}</definedName>
    <definedName name="whoa_1_1" localSheetId="8" hidden="1">{"'weekly data'!$A$2:$AS$36"}</definedName>
    <definedName name="whoa_1_1" localSheetId="5" hidden="1">{"'weekly data'!$A$2:$AS$36"}</definedName>
    <definedName name="whoa_1_1" hidden="1">{"'weekly data'!$A$2:$AS$36"}</definedName>
    <definedName name="whoa_1_1_1" localSheetId="8" hidden="1">{"'weekly data'!$A$2:$AS$36"}</definedName>
    <definedName name="whoa_1_1_1" localSheetId="5" hidden="1">{"'weekly data'!$A$2:$AS$36"}</definedName>
    <definedName name="whoa_1_1_1" hidden="1">{"'weekly data'!$A$2:$AS$36"}</definedName>
    <definedName name="whoa_1_2" localSheetId="8" hidden="1">{"'weekly data'!$A$2:$AS$36"}</definedName>
    <definedName name="whoa_1_2" localSheetId="5" hidden="1">{"'weekly data'!$A$2:$AS$36"}</definedName>
    <definedName name="whoa_1_2" hidden="1">{"'weekly data'!$A$2:$AS$36"}</definedName>
    <definedName name="whoa_2" localSheetId="8" hidden="1">{"'weekly data'!$A$2:$AS$36"}</definedName>
    <definedName name="whoa_2" localSheetId="5" hidden="1">{"'weekly data'!$A$2:$AS$36"}</definedName>
    <definedName name="whoa_2" hidden="1">{"'weekly data'!$A$2:$AS$36"}</definedName>
    <definedName name="whoa_2_1" localSheetId="8" hidden="1">{"'weekly data'!$A$2:$AS$36"}</definedName>
    <definedName name="whoa_2_1" localSheetId="5" hidden="1">{"'weekly data'!$A$2:$AS$36"}</definedName>
    <definedName name="whoa_2_1" hidden="1">{"'weekly data'!$A$2:$AS$36"}</definedName>
    <definedName name="whoa_2_1_1" localSheetId="8" hidden="1">{"'weekly data'!$A$2:$AS$36"}</definedName>
    <definedName name="whoa_2_1_1" localSheetId="5" hidden="1">{"'weekly data'!$A$2:$AS$36"}</definedName>
    <definedName name="whoa_2_1_1" hidden="1">{"'weekly data'!$A$2:$AS$36"}</definedName>
    <definedName name="whoa_2_2" localSheetId="8" hidden="1">{"'weekly data'!$A$2:$AS$36"}</definedName>
    <definedName name="whoa_2_2" localSheetId="5" hidden="1">{"'weekly data'!$A$2:$AS$36"}</definedName>
    <definedName name="whoa_2_2" hidden="1">{"'weekly data'!$A$2:$AS$36"}</definedName>
    <definedName name="whoa_3" localSheetId="8" hidden="1">{"'weekly data'!$A$2:$AS$36"}</definedName>
    <definedName name="whoa_3" localSheetId="5" hidden="1">{"'weekly data'!$A$2:$AS$36"}</definedName>
    <definedName name="whoa_3" hidden="1">{"'weekly data'!$A$2:$AS$36"}</definedName>
    <definedName name="whoa_3_1" localSheetId="8" hidden="1">{"'weekly data'!$A$2:$AS$36"}</definedName>
    <definedName name="whoa_3_1" localSheetId="5" hidden="1">{"'weekly data'!$A$2:$AS$36"}</definedName>
    <definedName name="whoa_3_1" hidden="1">{"'weekly data'!$A$2:$AS$36"}</definedName>
    <definedName name="whoa_4" localSheetId="8" hidden="1">{"'weekly data'!$A$2:$AS$36"}</definedName>
    <definedName name="whoa_4" localSheetId="5" hidden="1">{"'weekly data'!$A$2:$AS$36"}</definedName>
    <definedName name="whoa_4" hidden="1">{"'weekly data'!$A$2:$AS$36"}</definedName>
    <definedName name="wrn" localSheetId="8" hidden="1">{#N/A,#N/A,FALSE,"Sheet1"}</definedName>
    <definedName name="wrn" localSheetId="5" hidden="1">{#N/A,#N/A,FALSE,"Sheet1"}</definedName>
    <definedName name="wrn" hidden="1">{#N/A,#N/A,FALSE,"Sheet1"}</definedName>
    <definedName name="wrn.1." localSheetId="8" hidden="1">{#N/A,#N/A,FALSE,"Calc";#N/A,#N/A,FALSE,"Sensitivity";#N/A,#N/A,FALSE,"LT Earn.Dil.";#N/A,#N/A,FALSE,"Dil. AVP"}</definedName>
    <definedName name="wrn.1." localSheetId="5" hidden="1">{#N/A,#N/A,FALSE,"Calc";#N/A,#N/A,FALSE,"Sensitivity";#N/A,#N/A,FALSE,"LT Earn.Dil.";#N/A,#N/A,FALSE,"Dil. AVP"}</definedName>
    <definedName name="wrn.1." hidden="1">{#N/A,#N/A,FALSE,"Calc";#N/A,#N/A,FALSE,"Sensitivity";#N/A,#N/A,FALSE,"LT Earn.Dil.";#N/A,#N/A,FALSE,"Dil. AVP"}</definedName>
    <definedName name="wrn.50._.50." localSheetId="8" hidden="1">{"assumption 50 50",#N/A,TRUE,"Merger";"has gets cash",#N/A,TRUE,"Merger";"accretion dilution",#N/A,TRUE,"Merger";"comparison credit stats",#N/A,TRUE,"Merger";"pf credit stats",#N/A,TRUE,"Merger";"pf sheets",#N/A,TRUE,"Merger"}</definedName>
    <definedName name="wrn.50._.50." localSheetId="5" hidden="1">{"assumption 50 50",#N/A,TRUE,"Merger";"has gets cash",#N/A,TRUE,"Merger";"accretion dilution",#N/A,TRUE,"Merger";"comparison credit stats",#N/A,TRUE,"Merger";"pf credit stats",#N/A,TRUE,"Merger";"pf sheets",#N/A,TRUE,"Merger"}</definedName>
    <definedName name="wrn.50._.50." hidden="1">{"assumption 50 50",#N/A,TRUE,"Merger";"has gets cash",#N/A,TRUE,"Merger";"accretion dilution",#N/A,TRUE,"Merger";"comparison credit stats",#N/A,TRUE,"Merger";"pf credit stats",#N/A,TRUE,"Merger";"pf sheets",#N/A,TRUE,"Merger"}</definedName>
    <definedName name="wrn.adj95." localSheetId="8" hidden="1">{"adj95mult",#N/A,FALSE,"COMPCO";"adj95est",#N/A,FALSE,"COMPCO"}</definedName>
    <definedName name="wrn.adj95." localSheetId="5" hidden="1">{"adj95mult",#N/A,FALSE,"COMPCO";"adj95est",#N/A,FALSE,"COMPCO"}</definedName>
    <definedName name="wrn.adj95." hidden="1">{"adj95mult",#N/A,FALSE,"COMPCO";"adj95est",#N/A,FALSE,"COMPCO"}</definedName>
    <definedName name="wrn.All." localSheetId="8" hidden="1">{"Matrix",#N/A,FALSE,"ACQMTRX";"Fees",#N/A,FALSE,"ACQMTRX"}</definedName>
    <definedName name="wrn.All." localSheetId="5" hidden="1">{"Matrix",#N/A,FALSE,"ACQMTRX";"Fees",#N/A,FALSE,"ACQMTRX"}</definedName>
    <definedName name="wrn.All." hidden="1">{"Matrix",#N/A,FALSE,"ACQMTRX";"Fees",#N/A,FALSE,"ACQMTRX"}</definedName>
    <definedName name="wrn.app_a" localSheetId="8" hidden="1">{#N/A,#N/A,FALSE,"toc";#N/A,#N/A,FALSE,"a1";#N/A,#N/A,FALSE,"a2";#N/A,#N/A,FALSE,"a3";#N/A,#N/A,FALSE,"a4";#N/A,#N/A,FALSE,"a5";#N/A,#N/A,FALSE,"a6";#N/A,#N/A,FALSE,"a7";#N/A,#N/A,FALSE,"a8";#N/A,#N/A,FALSE,"a9";#N/A,#N/A,FALSE,"a10";#N/A,#N/A,FALSE,"a11";#N/A,#N/A,FALSE,"a12";#N/A,#N/A,FALSE,"a13";#N/A,#N/A,FALSE,"a14a";#N/A,#N/A,FALSE,"a14b";#N/A,#N/A,FALSE,"a15";#N/A,#N/A,FALSE,"a16"}</definedName>
    <definedName name="wrn.app_a" localSheetId="5" hidden="1">{#N/A,#N/A,FALSE,"toc";#N/A,#N/A,FALSE,"a1";#N/A,#N/A,FALSE,"a2";#N/A,#N/A,FALSE,"a3";#N/A,#N/A,FALSE,"a4";#N/A,#N/A,FALSE,"a5";#N/A,#N/A,FALSE,"a6";#N/A,#N/A,FALSE,"a7";#N/A,#N/A,FALSE,"a8";#N/A,#N/A,FALSE,"a9";#N/A,#N/A,FALSE,"a10";#N/A,#N/A,FALSE,"a11";#N/A,#N/A,FALSE,"a12";#N/A,#N/A,FALSE,"a13";#N/A,#N/A,FALSE,"a14a";#N/A,#N/A,FALSE,"a14b";#N/A,#N/A,FALSE,"a15";#N/A,#N/A,FALSE,"a16"}</definedName>
    <definedName name="wrn.app_a" hidden="1">{#N/A,#N/A,FALSE,"toc";#N/A,#N/A,FALSE,"a1";#N/A,#N/A,FALSE,"a2";#N/A,#N/A,FALSE,"a3";#N/A,#N/A,FALSE,"a4";#N/A,#N/A,FALSE,"a5";#N/A,#N/A,FALSE,"a6";#N/A,#N/A,FALSE,"a7";#N/A,#N/A,FALSE,"a8";#N/A,#N/A,FALSE,"a9";#N/A,#N/A,FALSE,"a10";#N/A,#N/A,FALSE,"a11";#N/A,#N/A,FALSE,"a12";#N/A,#N/A,FALSE,"a13";#N/A,#N/A,FALSE,"a14a";#N/A,#N/A,FALSE,"a14b";#N/A,#N/A,FALSE,"a15";#N/A,#N/A,FALSE,"a16"}</definedName>
    <definedName name="wrn.app_a." localSheetId="8" hidden="1">{#N/A,#N/A,FALSE,"toc";#N/A,#N/A,FALSE,"a1";#N/A,#N/A,FALSE,"a2";#N/A,#N/A,FALSE,"a3";#N/A,#N/A,FALSE,"a4";#N/A,#N/A,FALSE,"a5";#N/A,#N/A,FALSE,"a6";#N/A,#N/A,FALSE,"a7";#N/A,#N/A,FALSE,"a8";#N/A,#N/A,FALSE,"a9";#N/A,#N/A,FALSE,"a10";#N/A,#N/A,FALSE,"a11";#N/A,#N/A,FALSE,"a12";#N/A,#N/A,FALSE,"a13";#N/A,#N/A,FALSE,"a14a";#N/A,#N/A,FALSE,"a14b";#N/A,#N/A,FALSE,"a15";#N/A,#N/A,FALSE,"a16"}</definedName>
    <definedName name="wrn.app_a." localSheetId="5" hidden="1">{#N/A,#N/A,FALSE,"toc";#N/A,#N/A,FALSE,"a1";#N/A,#N/A,FALSE,"a2";#N/A,#N/A,FALSE,"a3";#N/A,#N/A,FALSE,"a4";#N/A,#N/A,FALSE,"a5";#N/A,#N/A,FALSE,"a6";#N/A,#N/A,FALSE,"a7";#N/A,#N/A,FALSE,"a8";#N/A,#N/A,FALSE,"a9";#N/A,#N/A,FALSE,"a10";#N/A,#N/A,FALSE,"a11";#N/A,#N/A,FALSE,"a12";#N/A,#N/A,FALSE,"a13";#N/A,#N/A,FALSE,"a14a";#N/A,#N/A,FALSE,"a14b";#N/A,#N/A,FALSE,"a15";#N/A,#N/A,FALSE,"a16"}</definedName>
    <definedName name="wrn.app_a." hidden="1">{#N/A,#N/A,FALSE,"toc";#N/A,#N/A,FALSE,"a1";#N/A,#N/A,FALSE,"a2";#N/A,#N/A,FALSE,"a3";#N/A,#N/A,FALSE,"a4";#N/A,#N/A,FALSE,"a5";#N/A,#N/A,FALSE,"a6";#N/A,#N/A,FALSE,"a7";#N/A,#N/A,FALSE,"a8";#N/A,#N/A,FALSE,"a9";#N/A,#N/A,FALSE,"a10";#N/A,#N/A,FALSE,"a11";#N/A,#N/A,FALSE,"a12";#N/A,#N/A,FALSE,"a13";#N/A,#N/A,FALSE,"a14a";#N/A,#N/A,FALSE,"a14b";#N/A,#N/A,FALSE,"a15";#N/A,#N/A,FALSE,"a16"}</definedName>
    <definedName name="wrn.AppendixA." localSheetId="8" hidden="1">{#N/A,#N/A,FALSE,"toc";#N/A,#N/A,FALSE,"a1";#N/A,#N/A,FALSE,"a2";#N/A,#N/A,FALSE,"a3";#N/A,#N/A,FALSE,"a4";#N/A,#N/A,FALSE,"a5";#N/A,#N/A,FALSE,"a6";#N/A,#N/A,FALSE,"a7";#N/A,#N/A,FALSE,"a8";#N/A,#N/A,FALSE,"a9";#N/A,#N/A,FALSE,"a10";#N/A,#N/A,FALSE,"a11";#N/A,#N/A,FALSE,"a12";#N/A,#N/A,FALSE,"a13";#N/A,#N/A,FALSE,"a14";#N/A,#N/A,FALSE,"a15";#N/A,#N/A,FALSE,"a16";#N/A,#N/A,FALSE,"a17";#N/A,#N/A,FALSE,"a18";#N/A,#N/A,FALSE,"a19";#N/A,#N/A,FALSE,"a20";#N/A,#N/A,FALSE,"a21";#N/A,#N/A,FALSE,"a22";#N/A,#N/A,FALSE,"a23";#N/A,#N/A,FALSE,"a24";#N/A,#N/A,FALSE,"a25"}</definedName>
    <definedName name="wrn.AppendixA." localSheetId="5" hidden="1">{#N/A,#N/A,FALSE,"toc";#N/A,#N/A,FALSE,"a1";#N/A,#N/A,FALSE,"a2";#N/A,#N/A,FALSE,"a3";#N/A,#N/A,FALSE,"a4";#N/A,#N/A,FALSE,"a5";#N/A,#N/A,FALSE,"a6";#N/A,#N/A,FALSE,"a7";#N/A,#N/A,FALSE,"a8";#N/A,#N/A,FALSE,"a9";#N/A,#N/A,FALSE,"a10";#N/A,#N/A,FALSE,"a11";#N/A,#N/A,FALSE,"a12";#N/A,#N/A,FALSE,"a13";#N/A,#N/A,FALSE,"a14";#N/A,#N/A,FALSE,"a15";#N/A,#N/A,FALSE,"a16";#N/A,#N/A,FALSE,"a17";#N/A,#N/A,FALSE,"a18";#N/A,#N/A,FALSE,"a19";#N/A,#N/A,FALSE,"a20";#N/A,#N/A,FALSE,"a21";#N/A,#N/A,FALSE,"a22";#N/A,#N/A,FALSE,"a23";#N/A,#N/A,FALSE,"a24";#N/A,#N/A,FALSE,"a25"}</definedName>
    <definedName name="wrn.AppendixA." hidden="1">{#N/A,#N/A,FALSE,"toc";#N/A,#N/A,FALSE,"a1";#N/A,#N/A,FALSE,"a2";#N/A,#N/A,FALSE,"a3";#N/A,#N/A,FALSE,"a4";#N/A,#N/A,FALSE,"a5";#N/A,#N/A,FALSE,"a6";#N/A,#N/A,FALSE,"a7";#N/A,#N/A,FALSE,"a8";#N/A,#N/A,FALSE,"a9";#N/A,#N/A,FALSE,"a10";#N/A,#N/A,FALSE,"a11";#N/A,#N/A,FALSE,"a12";#N/A,#N/A,FALSE,"a13";#N/A,#N/A,FALSE,"a14";#N/A,#N/A,FALSE,"a15";#N/A,#N/A,FALSE,"a16";#N/A,#N/A,FALSE,"a17";#N/A,#N/A,FALSE,"a18";#N/A,#N/A,FALSE,"a19";#N/A,#N/A,FALSE,"a20";#N/A,#N/A,FALSE,"a21";#N/A,#N/A,FALSE,"a22";#N/A,#N/A,FALSE,"a23";#N/A,#N/A,FALSE,"a24";#N/A,#N/A,FALSE,"a25"}</definedName>
    <definedName name="wrn.Asia." localSheetId="8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" localSheetId="5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uto._.Comp." localSheetId="8" hidden="1">{#N/A,#N/A,FALSE,"Sheet1"}</definedName>
    <definedName name="wrn.Auto._.Comp." localSheetId="5" hidden="1">{#N/A,#N/A,FALSE,"Sheet1"}</definedName>
    <definedName name="wrn.Auto._.Comp." hidden="1">{#N/A,#N/A,FALSE,"Sheet1"}</definedName>
    <definedName name="wrn.Auto._.Comp2." localSheetId="8" hidden="1">{#N/A,#N/A,FALSE,"Sheet1"}</definedName>
    <definedName name="wrn.Auto._.Comp2." localSheetId="5" hidden="1">{#N/A,#N/A,FALSE,"Sheet1"}</definedName>
    <definedName name="wrn.Auto._.Comp2." hidden="1">{#N/A,#N/A,FALSE,"Sheet1"}</definedName>
    <definedName name="wrn.away." localSheetId="8" hidden="1">{"away stand alones",#N/A,FALSE,"Target"}</definedName>
    <definedName name="wrn.away." localSheetId="5" hidden="1">{"away stand alones",#N/A,FALSE,"Target"}</definedName>
    <definedName name="wrn.away." hidden="1">{"away stand alones",#N/A,FALSE,"Target"}</definedName>
    <definedName name="wrn.belknap._.package." localSheetId="8" hidden="1">{#N/A,#N/A,TRUE,"income statement";#N/A,#N/A,TRUE,"balance sheet";#N/A,#N/A,TRUE,"cash flow";#N/A,#N/A,TRUE,"borrowing base";#N/A,#N/A,TRUE,"primary assumptions";#N/A,#N/A,TRUE,"finishing assumptions";#N/A,#N/A,TRUE,"dist. assumptions";#N/A,#N/A,TRUE,"sales summary";#N/A,#N/A,TRUE,"costs per ton";#N/A,#N/A,TRUE,"cogs";#N/A,#N/A,TRUE,"Coke";#N/A,#N/A,TRUE,"coke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conversion";#N/A,#N/A,TRUE,"Stbnvl";#N/A,#N/A,TRUE,"Allenport";#N/A,#N/A,TRUE,"Yorkville";#N/A,#N/A,TRUE,"MF";#N/A,#N/A,TRUE,"Canfield";#N/A,#N/A,TRUE,"WCC"}</definedName>
    <definedName name="wrn.belknap._.package." localSheetId="5" hidden="1">{#N/A,#N/A,TRUE,"income statement";#N/A,#N/A,TRUE,"balance sheet";#N/A,#N/A,TRUE,"cash flow";#N/A,#N/A,TRUE,"borrowing base";#N/A,#N/A,TRUE,"primary assumptions";#N/A,#N/A,TRUE,"finishing assumptions";#N/A,#N/A,TRUE,"dist. assumptions";#N/A,#N/A,TRUE,"sales summary";#N/A,#N/A,TRUE,"costs per ton";#N/A,#N/A,TRUE,"cogs";#N/A,#N/A,TRUE,"Coke";#N/A,#N/A,TRUE,"coke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conversion";#N/A,#N/A,TRUE,"Stbnvl";#N/A,#N/A,TRUE,"Allenport";#N/A,#N/A,TRUE,"Yorkville";#N/A,#N/A,TRUE,"MF";#N/A,#N/A,TRUE,"Canfield";#N/A,#N/A,TRUE,"WCC"}</definedName>
    <definedName name="wrn.belknap._.package." hidden="1">{#N/A,#N/A,TRUE,"income statement";#N/A,#N/A,TRUE,"balance sheet";#N/A,#N/A,TRUE,"cash flow";#N/A,#N/A,TRUE,"borrowing base";#N/A,#N/A,TRUE,"primary assumptions";#N/A,#N/A,TRUE,"finishing assumptions";#N/A,#N/A,TRUE,"dist. assumptions";#N/A,#N/A,TRUE,"sales summary";#N/A,#N/A,TRUE,"costs per ton";#N/A,#N/A,TRUE,"cogs";#N/A,#N/A,TRUE,"Coke";#N/A,#N/A,TRUE,"coke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conversion";#N/A,#N/A,TRUE,"Stbnvl";#N/A,#N/A,TRUE,"Allenport";#N/A,#N/A,TRUE,"Yorkville";#N/A,#N/A,TRUE,"MF";#N/A,#N/A,TRUE,"Canfield";#N/A,#N/A,TRUE,"WCC"}</definedName>
    <definedName name="wrn.Business._.Plan._.Package." localSheetId="8" hidden="1">{#N/A,#N/A,TRUE,"income statement";#N/A,#N/A,TRUE,"balance sheet";#N/A,#N/A,TRUE,"cash flow";#N/A,#N/A,TRUE,"borrowing base";#N/A,#N/A,TRUE,"sales summary"}</definedName>
    <definedName name="wrn.Business._.Plan._.Package." localSheetId="5" hidden="1">{#N/A,#N/A,TRUE,"income statement";#N/A,#N/A,TRUE,"balance sheet";#N/A,#N/A,TRUE,"cash flow";#N/A,#N/A,TRUE,"borrowing base";#N/A,#N/A,TRUE,"sales summary"}</definedName>
    <definedName name="wrn.Business._.Plan._.Package." hidden="1">{#N/A,#N/A,TRUE,"income statement";#N/A,#N/A,TRUE,"balance sheet";#N/A,#N/A,TRUE,"cash flow";#N/A,#N/A,TRUE,"borrowing base";#N/A,#N/A,TRUE,"sales summary"}</definedName>
    <definedName name="wrn.business._.plan._.with._.detail." localSheetId="8" hidden="1">{#N/A,#N/A,TRUE,"income statement";#N/A,#N/A,TRUE,"balance sheet";#N/A,#N/A,TRUE,"cash flow";#N/A,#N/A,TRUE,"borrowing base";#N/A,#N/A,TRUE,"sales summary";#N/A,#N/A,TRUE,"costs per ton";#N/A,#N/A,TRUE,"primary assumptions";#N/A,#N/A,TRUE,"finishing assumptions"}</definedName>
    <definedName name="wrn.business._.plan._.with._.detail." localSheetId="5" hidden="1">{#N/A,#N/A,TRUE,"income statement";#N/A,#N/A,TRUE,"balance sheet";#N/A,#N/A,TRUE,"cash flow";#N/A,#N/A,TRUE,"borrowing base";#N/A,#N/A,TRUE,"sales summary";#N/A,#N/A,TRUE,"costs per ton";#N/A,#N/A,TRUE,"primary assumptions";#N/A,#N/A,TRUE,"finishing assumptions"}</definedName>
    <definedName name="wrn.business._.plan._.with._.detail." hidden="1">{#N/A,#N/A,TRUE,"income statement";#N/A,#N/A,TRUE,"balance sheet";#N/A,#N/A,TRUE,"cash flow";#N/A,#N/A,TRUE,"borrowing base";#N/A,#N/A,TRUE,"sales summary";#N/A,#N/A,TRUE,"costs per ton";#N/A,#N/A,TRUE,"primary assumptions";#N/A,#N/A,TRUE,"finishing assumptions"}</definedName>
    <definedName name="wrn.cash." localSheetId="8" hidden="1">{"assumption cash",#N/A,TRUE,"Merger";"has gets cash",#N/A,TRUE,"Merger";"accretion dilution",#N/A,TRUE,"Merger";"comparison credit stats",#N/A,TRUE,"Merger";"pf credit stats",#N/A,TRUE,"Merger";"pf sheets",#N/A,TRUE,"Merger"}</definedName>
    <definedName name="wrn.cash." localSheetId="5" hidden="1">{"assumption cash",#N/A,TRUE,"Merger";"has gets cash",#N/A,TRUE,"Merger";"accretion dilution",#N/A,TRUE,"Merger";"comparison credit stats",#N/A,TRUE,"Merger";"pf credit stats",#N/A,TRUE,"Merger";"pf sheets",#N/A,TRUE,"Merger"}</definedName>
    <definedName name="wrn.cash." hidden="1">{"assumption cash",#N/A,TRUE,"Merger";"has gets cash",#N/A,TRUE,"Merger";"accretion dilution",#N/A,TRUE,"Merger";"comparison credit stats",#N/A,TRUE,"Merger";"pf credit stats",#N/A,TRUE,"Merger";"pf sheets",#N/A,TRUE,"Merger"}</definedName>
    <definedName name="wrn.compco." localSheetId="8" hidden="1">{"page1",#N/A,FALSE,"BHCOMPC5";"page2",#N/A,FALSE,"BHCOMPC5";"page3",#N/A,FALSE,"BHCOMPC5";"page4",#N/A,FALSE,"BHCOMPC5"}</definedName>
    <definedName name="wrn.compco." localSheetId="5" hidden="1">{"page1",#N/A,FALSE,"BHCOMPC5";"page2",#N/A,FALSE,"BHCOMPC5";"page3",#N/A,FALSE,"BHCOMPC5";"page4",#N/A,FALSE,"BHCOMPC5"}</definedName>
    <definedName name="wrn.compco." hidden="1">{"page1",#N/A,FALSE,"BHCOMPC5";"page2",#N/A,FALSE,"BHCOMPC5";"page3",#N/A,FALSE,"BHCOMPC5";"page4",#N/A,FALSE,"BHCOMPC5"}</definedName>
    <definedName name="wrn.Consolidated._.cash._.flows." localSheetId="8" hidden="1">{"Total consolidation",#N/A,FALSE,"Total Consolidation";"Chemical Anual",#N/A,FALSE,"Chemical";"Non Chemical Anual",#N/A,FALSE,"Non_Chemical";"Other cias consolidated anual",#N/A,FALSE,"Other_Consolidation"}</definedName>
    <definedName name="wrn.Consolidated._.cash._.flows." localSheetId="5" hidden="1">{"Total consolidation",#N/A,FALSE,"Total Consolidation";"Chemical Anual",#N/A,FALSE,"Chemical";"Non Chemical Anual",#N/A,FALSE,"Non_Chemical";"Other cias consolidated anual",#N/A,FALSE,"Other_Consolidation"}</definedName>
    <definedName name="wrn.Consolidated._.cash._.flows." hidden="1">{"Total consolidation",#N/A,FALSE,"Total Consolidation";"Chemical Anual",#N/A,FALSE,"Chemical";"Non Chemical Anual",#N/A,FALSE,"Non_Chemical";"Other cias consolidated anual",#N/A,FALSE,"Other_Consolidation"}</definedName>
    <definedName name="wrn.Cover." localSheetId="8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" localSheetId="5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s." localSheetId="8" hidden="1">{#N/A,#N/A,FALSE,"FrntPg";#N/A,#N/A,FALSE,"IncACvr";#N/A,#N/A,FALSE,"CashACvr";#N/A,#N/A,FALSE,"CapxCvr";#N/A,#N/A,FALSE,"OtherCvr";#N/A,#N/A,FALSE,"RevCvr";#N/A,#N/A,FALSE,"ExpCvr";#N/A,#N/A,FALSE,"BegCvr"}</definedName>
    <definedName name="wrn.Covers." localSheetId="5" hidden="1">{#N/A,#N/A,FALSE,"FrntPg";#N/A,#N/A,FALSE,"IncACvr";#N/A,#N/A,FALSE,"CashACvr";#N/A,#N/A,FALSE,"CapxCvr";#N/A,#N/A,FALSE,"OtherCvr";#N/A,#N/A,FALSE,"RevCvr";#N/A,#N/A,FALSE,"ExpCvr";#N/A,#N/A,FALSE,"BegCvr"}</definedName>
    <definedName name="wrn.Covers." hidden="1">{#N/A,#N/A,FALSE,"FrntPg";#N/A,#N/A,FALSE,"IncACvr";#N/A,#N/A,FALSE,"CashACvr";#N/A,#N/A,FALSE,"CapxCvr";#N/A,#N/A,FALSE,"OtherCvr";#N/A,#N/A,FALSE,"RevCvr";#N/A,#N/A,FALSE,"ExpCvr";#N/A,#N/A,FALSE,"BegCvr"}</definedName>
    <definedName name="wrn.Covers._1" localSheetId="8" hidden="1">{#N/A,#N/A,FALSE,"FrntPg";#N/A,#N/A,FALSE,"IncACvr";#N/A,#N/A,FALSE,"CashACvr";#N/A,#N/A,FALSE,"CapxCvr";#N/A,#N/A,FALSE,"OtherCvr";#N/A,#N/A,FALSE,"RevCvr";#N/A,#N/A,FALSE,"ExpCvr";#N/A,#N/A,FALSE,"BegCvr"}</definedName>
    <definedName name="wrn.Covers._1" localSheetId="5" hidden="1">{#N/A,#N/A,FALSE,"FrntPg";#N/A,#N/A,FALSE,"IncACvr";#N/A,#N/A,FALSE,"CashACvr";#N/A,#N/A,FALSE,"CapxCvr";#N/A,#N/A,FALSE,"OtherCvr";#N/A,#N/A,FALSE,"RevCvr";#N/A,#N/A,FALSE,"ExpCvr";#N/A,#N/A,FALSE,"BegCvr"}</definedName>
    <definedName name="wrn.Covers._1" hidden="1">{#N/A,#N/A,FALSE,"FrntPg";#N/A,#N/A,FALSE,"IncACvr";#N/A,#N/A,FALSE,"CashACvr";#N/A,#N/A,FALSE,"CapxCvr";#N/A,#N/A,FALSE,"OtherCvr";#N/A,#N/A,FALSE,"RevCvr";#N/A,#N/A,FALSE,"ExpCvr";#N/A,#N/A,FALSE,"BegCvr"}</definedName>
    <definedName name="wrn.Covers._1_1" localSheetId="8" hidden="1">{#N/A,#N/A,FALSE,"FrntPg";#N/A,#N/A,FALSE,"IncACvr";#N/A,#N/A,FALSE,"CashACvr";#N/A,#N/A,FALSE,"CapxCvr";#N/A,#N/A,FALSE,"OtherCvr";#N/A,#N/A,FALSE,"RevCvr";#N/A,#N/A,FALSE,"ExpCvr";#N/A,#N/A,FALSE,"BegCvr"}</definedName>
    <definedName name="wrn.Covers._1_1" localSheetId="5" hidden="1">{#N/A,#N/A,FALSE,"FrntPg";#N/A,#N/A,FALSE,"IncACvr";#N/A,#N/A,FALSE,"CashACvr";#N/A,#N/A,FALSE,"CapxCvr";#N/A,#N/A,FALSE,"OtherCvr";#N/A,#N/A,FALSE,"RevCvr";#N/A,#N/A,FALSE,"ExpCvr";#N/A,#N/A,FALSE,"BegCvr"}</definedName>
    <definedName name="wrn.Covers._1_1" hidden="1">{#N/A,#N/A,FALSE,"FrntPg";#N/A,#N/A,FALSE,"IncACvr";#N/A,#N/A,FALSE,"CashACvr";#N/A,#N/A,FALSE,"CapxCvr";#N/A,#N/A,FALSE,"OtherCvr";#N/A,#N/A,FALSE,"RevCvr";#N/A,#N/A,FALSE,"ExpCvr";#N/A,#N/A,FALSE,"BegCvr"}</definedName>
    <definedName name="wrn.Covers._1_1_1" localSheetId="8" hidden="1">{#N/A,#N/A,FALSE,"FrntPg";#N/A,#N/A,FALSE,"IncACvr";#N/A,#N/A,FALSE,"CashACvr";#N/A,#N/A,FALSE,"CapxCvr";#N/A,#N/A,FALSE,"OtherCvr";#N/A,#N/A,FALSE,"RevCvr";#N/A,#N/A,FALSE,"ExpCvr";#N/A,#N/A,FALSE,"BegCvr"}</definedName>
    <definedName name="wrn.Covers._1_1_1" localSheetId="5" hidden="1">{#N/A,#N/A,FALSE,"FrntPg";#N/A,#N/A,FALSE,"IncACvr";#N/A,#N/A,FALSE,"CashACvr";#N/A,#N/A,FALSE,"CapxCvr";#N/A,#N/A,FALSE,"OtherCvr";#N/A,#N/A,FALSE,"RevCvr";#N/A,#N/A,FALSE,"ExpCvr";#N/A,#N/A,FALSE,"BegCvr"}</definedName>
    <definedName name="wrn.Covers._1_1_1" hidden="1">{#N/A,#N/A,FALSE,"FrntPg";#N/A,#N/A,FALSE,"IncACvr";#N/A,#N/A,FALSE,"CashACvr";#N/A,#N/A,FALSE,"CapxCvr";#N/A,#N/A,FALSE,"OtherCvr";#N/A,#N/A,FALSE,"RevCvr";#N/A,#N/A,FALSE,"ExpCvr";#N/A,#N/A,FALSE,"BegCvr"}</definedName>
    <definedName name="wrn.Covers._1_2" localSheetId="8" hidden="1">{#N/A,#N/A,FALSE,"FrntPg";#N/A,#N/A,FALSE,"IncACvr";#N/A,#N/A,FALSE,"CashACvr";#N/A,#N/A,FALSE,"CapxCvr";#N/A,#N/A,FALSE,"OtherCvr";#N/A,#N/A,FALSE,"RevCvr";#N/A,#N/A,FALSE,"ExpCvr";#N/A,#N/A,FALSE,"BegCvr"}</definedName>
    <definedName name="wrn.Covers._1_2" localSheetId="5" hidden="1">{#N/A,#N/A,FALSE,"FrntPg";#N/A,#N/A,FALSE,"IncACvr";#N/A,#N/A,FALSE,"CashACvr";#N/A,#N/A,FALSE,"CapxCvr";#N/A,#N/A,FALSE,"OtherCvr";#N/A,#N/A,FALSE,"RevCvr";#N/A,#N/A,FALSE,"ExpCvr";#N/A,#N/A,FALSE,"BegCvr"}</definedName>
    <definedName name="wrn.Covers._1_2" hidden="1">{#N/A,#N/A,FALSE,"FrntPg";#N/A,#N/A,FALSE,"IncACvr";#N/A,#N/A,FALSE,"CashACvr";#N/A,#N/A,FALSE,"CapxCvr";#N/A,#N/A,FALSE,"OtherCvr";#N/A,#N/A,FALSE,"RevCvr";#N/A,#N/A,FALSE,"ExpCvr";#N/A,#N/A,FALSE,"BegCvr"}</definedName>
    <definedName name="wrn.Covers._2" localSheetId="8" hidden="1">{#N/A,#N/A,FALSE,"FrntPg";#N/A,#N/A,FALSE,"IncACvr";#N/A,#N/A,FALSE,"CashACvr";#N/A,#N/A,FALSE,"CapxCvr";#N/A,#N/A,FALSE,"OtherCvr";#N/A,#N/A,FALSE,"RevCvr";#N/A,#N/A,FALSE,"ExpCvr";#N/A,#N/A,FALSE,"BegCvr"}</definedName>
    <definedName name="wrn.Covers._2" localSheetId="5" hidden="1">{#N/A,#N/A,FALSE,"FrntPg";#N/A,#N/A,FALSE,"IncACvr";#N/A,#N/A,FALSE,"CashACvr";#N/A,#N/A,FALSE,"CapxCvr";#N/A,#N/A,FALSE,"OtherCvr";#N/A,#N/A,FALSE,"RevCvr";#N/A,#N/A,FALSE,"ExpCvr";#N/A,#N/A,FALSE,"BegCvr"}</definedName>
    <definedName name="wrn.Covers._2" hidden="1">{#N/A,#N/A,FALSE,"FrntPg";#N/A,#N/A,FALSE,"IncACvr";#N/A,#N/A,FALSE,"CashACvr";#N/A,#N/A,FALSE,"CapxCvr";#N/A,#N/A,FALSE,"OtherCvr";#N/A,#N/A,FALSE,"RevCvr";#N/A,#N/A,FALSE,"ExpCvr";#N/A,#N/A,FALSE,"BegCvr"}</definedName>
    <definedName name="wrn.Covers._2_1" localSheetId="8" hidden="1">{#N/A,#N/A,FALSE,"FrntPg";#N/A,#N/A,FALSE,"IncACvr";#N/A,#N/A,FALSE,"CashACvr";#N/A,#N/A,FALSE,"CapxCvr";#N/A,#N/A,FALSE,"OtherCvr";#N/A,#N/A,FALSE,"RevCvr";#N/A,#N/A,FALSE,"ExpCvr";#N/A,#N/A,FALSE,"BegCvr"}</definedName>
    <definedName name="wrn.Covers._2_1" localSheetId="5" hidden="1">{#N/A,#N/A,FALSE,"FrntPg";#N/A,#N/A,FALSE,"IncACvr";#N/A,#N/A,FALSE,"CashACvr";#N/A,#N/A,FALSE,"CapxCvr";#N/A,#N/A,FALSE,"OtherCvr";#N/A,#N/A,FALSE,"RevCvr";#N/A,#N/A,FALSE,"ExpCvr";#N/A,#N/A,FALSE,"BegCvr"}</definedName>
    <definedName name="wrn.Covers._2_1" hidden="1">{#N/A,#N/A,FALSE,"FrntPg";#N/A,#N/A,FALSE,"IncACvr";#N/A,#N/A,FALSE,"CashACvr";#N/A,#N/A,FALSE,"CapxCvr";#N/A,#N/A,FALSE,"OtherCvr";#N/A,#N/A,FALSE,"RevCvr";#N/A,#N/A,FALSE,"ExpCvr";#N/A,#N/A,FALSE,"BegCvr"}</definedName>
    <definedName name="wrn.Covers._2_1_1" localSheetId="8" hidden="1">{#N/A,#N/A,FALSE,"FrntPg";#N/A,#N/A,FALSE,"IncACvr";#N/A,#N/A,FALSE,"CashACvr";#N/A,#N/A,FALSE,"CapxCvr";#N/A,#N/A,FALSE,"OtherCvr";#N/A,#N/A,FALSE,"RevCvr";#N/A,#N/A,FALSE,"ExpCvr";#N/A,#N/A,FALSE,"BegCvr"}</definedName>
    <definedName name="wrn.Covers._2_1_1" localSheetId="5" hidden="1">{#N/A,#N/A,FALSE,"FrntPg";#N/A,#N/A,FALSE,"IncACvr";#N/A,#N/A,FALSE,"CashACvr";#N/A,#N/A,FALSE,"CapxCvr";#N/A,#N/A,FALSE,"OtherCvr";#N/A,#N/A,FALSE,"RevCvr";#N/A,#N/A,FALSE,"ExpCvr";#N/A,#N/A,FALSE,"BegCvr"}</definedName>
    <definedName name="wrn.Covers._2_1_1" hidden="1">{#N/A,#N/A,FALSE,"FrntPg";#N/A,#N/A,FALSE,"IncACvr";#N/A,#N/A,FALSE,"CashACvr";#N/A,#N/A,FALSE,"CapxCvr";#N/A,#N/A,FALSE,"OtherCvr";#N/A,#N/A,FALSE,"RevCvr";#N/A,#N/A,FALSE,"ExpCvr";#N/A,#N/A,FALSE,"BegCvr"}</definedName>
    <definedName name="wrn.Covers._2_2" localSheetId="8" hidden="1">{#N/A,#N/A,FALSE,"FrntPg";#N/A,#N/A,FALSE,"IncACvr";#N/A,#N/A,FALSE,"CashACvr";#N/A,#N/A,FALSE,"CapxCvr";#N/A,#N/A,FALSE,"OtherCvr";#N/A,#N/A,FALSE,"RevCvr";#N/A,#N/A,FALSE,"ExpCvr";#N/A,#N/A,FALSE,"BegCvr"}</definedName>
    <definedName name="wrn.Covers._2_2" localSheetId="5" hidden="1">{#N/A,#N/A,FALSE,"FrntPg";#N/A,#N/A,FALSE,"IncACvr";#N/A,#N/A,FALSE,"CashACvr";#N/A,#N/A,FALSE,"CapxCvr";#N/A,#N/A,FALSE,"OtherCvr";#N/A,#N/A,FALSE,"RevCvr";#N/A,#N/A,FALSE,"ExpCvr";#N/A,#N/A,FALSE,"BegCvr"}</definedName>
    <definedName name="wrn.Covers._2_2" hidden="1">{#N/A,#N/A,FALSE,"FrntPg";#N/A,#N/A,FALSE,"IncACvr";#N/A,#N/A,FALSE,"CashACvr";#N/A,#N/A,FALSE,"CapxCvr";#N/A,#N/A,FALSE,"OtherCvr";#N/A,#N/A,FALSE,"RevCvr";#N/A,#N/A,FALSE,"ExpCvr";#N/A,#N/A,FALSE,"BegCvr"}</definedName>
    <definedName name="wrn.Covers._3" localSheetId="8" hidden="1">{#N/A,#N/A,FALSE,"FrntPg";#N/A,#N/A,FALSE,"IncACvr";#N/A,#N/A,FALSE,"CashACvr";#N/A,#N/A,FALSE,"CapxCvr";#N/A,#N/A,FALSE,"OtherCvr";#N/A,#N/A,FALSE,"RevCvr";#N/A,#N/A,FALSE,"ExpCvr";#N/A,#N/A,FALSE,"BegCvr"}</definedName>
    <definedName name="wrn.Covers._3" localSheetId="5" hidden="1">{#N/A,#N/A,FALSE,"FrntPg";#N/A,#N/A,FALSE,"IncACvr";#N/A,#N/A,FALSE,"CashACvr";#N/A,#N/A,FALSE,"CapxCvr";#N/A,#N/A,FALSE,"OtherCvr";#N/A,#N/A,FALSE,"RevCvr";#N/A,#N/A,FALSE,"ExpCvr";#N/A,#N/A,FALSE,"BegCvr"}</definedName>
    <definedName name="wrn.Covers._3" hidden="1">{#N/A,#N/A,FALSE,"FrntPg";#N/A,#N/A,FALSE,"IncACvr";#N/A,#N/A,FALSE,"CashACvr";#N/A,#N/A,FALSE,"CapxCvr";#N/A,#N/A,FALSE,"OtherCvr";#N/A,#N/A,FALSE,"RevCvr";#N/A,#N/A,FALSE,"ExpCvr";#N/A,#N/A,FALSE,"BegCvr"}</definedName>
    <definedName name="wrn.Covers._3_1" localSheetId="8" hidden="1">{#N/A,#N/A,FALSE,"FrntPg";#N/A,#N/A,FALSE,"IncACvr";#N/A,#N/A,FALSE,"CashACvr";#N/A,#N/A,FALSE,"CapxCvr";#N/A,#N/A,FALSE,"OtherCvr";#N/A,#N/A,FALSE,"RevCvr";#N/A,#N/A,FALSE,"ExpCvr";#N/A,#N/A,FALSE,"BegCvr"}</definedName>
    <definedName name="wrn.Covers._3_1" localSheetId="5" hidden="1">{#N/A,#N/A,FALSE,"FrntPg";#N/A,#N/A,FALSE,"IncACvr";#N/A,#N/A,FALSE,"CashACvr";#N/A,#N/A,FALSE,"CapxCvr";#N/A,#N/A,FALSE,"OtherCvr";#N/A,#N/A,FALSE,"RevCvr";#N/A,#N/A,FALSE,"ExpCvr";#N/A,#N/A,FALSE,"BegCvr"}</definedName>
    <definedName name="wrn.Covers._3_1" hidden="1">{#N/A,#N/A,FALSE,"FrntPg";#N/A,#N/A,FALSE,"IncACvr";#N/A,#N/A,FALSE,"CashACvr";#N/A,#N/A,FALSE,"CapxCvr";#N/A,#N/A,FALSE,"OtherCvr";#N/A,#N/A,FALSE,"RevCvr";#N/A,#N/A,FALSE,"ExpCvr";#N/A,#N/A,FALSE,"BegCvr"}</definedName>
    <definedName name="wrn.Covers._4" localSheetId="8" hidden="1">{#N/A,#N/A,FALSE,"FrntPg";#N/A,#N/A,FALSE,"IncACvr";#N/A,#N/A,FALSE,"CashACvr";#N/A,#N/A,FALSE,"CapxCvr";#N/A,#N/A,FALSE,"OtherCvr";#N/A,#N/A,FALSE,"RevCvr";#N/A,#N/A,FALSE,"ExpCvr";#N/A,#N/A,FALSE,"BegCvr"}</definedName>
    <definedName name="wrn.Covers._4" localSheetId="5" hidden="1">{#N/A,#N/A,FALSE,"FrntPg";#N/A,#N/A,FALSE,"IncACvr";#N/A,#N/A,FALSE,"CashACvr";#N/A,#N/A,FALSE,"CapxCvr";#N/A,#N/A,FALSE,"OtherCvr";#N/A,#N/A,FALSE,"RevCvr";#N/A,#N/A,FALSE,"ExpCvr";#N/A,#N/A,FALSE,"BegCvr"}</definedName>
    <definedName name="wrn.Covers._4" hidden="1">{#N/A,#N/A,FALSE,"FrntPg";#N/A,#N/A,FALSE,"IncACvr";#N/A,#N/A,FALSE,"CashACvr";#N/A,#N/A,FALSE,"CapxCvr";#N/A,#N/A,FALSE,"OtherCvr";#N/A,#N/A,FALSE,"RevCvr";#N/A,#N/A,FALSE,"ExpCvr";#N/A,#N/A,FALSE,"BegCvr"}</definedName>
    <definedName name="wrn.DCF." localSheetId="8" hidden="1">{"DCF1",#N/A,FALSE,"SIERRA DCF";"MATRIX1",#N/A,FALSE,"SIERRA DCF"}</definedName>
    <definedName name="wrn.DCF." localSheetId="5" hidden="1">{"DCF1",#N/A,FALSE,"SIERRA DCF";"MATRIX1",#N/A,FALSE,"SIERRA DCF"}</definedName>
    <definedName name="wrn.DCF." hidden="1">{"DCF1",#N/A,FALSE,"SIERRA DCF";"MATRIX1",#N/A,FALSE,"SIERRA DCF"}</definedName>
    <definedName name="wrn.Demographic._.report." localSheetId="8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wrn.Demographic._.report.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wrn.Demographic._.report.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wrn.Demographic._.report._1" localSheetId="8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wrn.Demographic._.report._1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wrn.Demographic._.report.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wrn.Demographic._.report._1_1" localSheetId="8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wrn.Demographic._.report._1_1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wrn.Demographic._.report._1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wrn.Demographic._.report._1_1_1" localSheetId="8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wrn.Demographic._.report._1_1_1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wrn.Demographic._.report._1_1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wrn.Demographic._.report._1_2" localSheetId="8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wrn.Demographic._.report._1_2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wrn.Demographic._.report._1_2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wrn.Demographic._.report._2" localSheetId="8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wrn.Demographic._.report._2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wrn.Demographic._.report._2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wrn.Demographic._.report._2_1" localSheetId="8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wrn.Demographic._.report._2_1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wrn.Demographic._.report._2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wrn.Demographic._.report._2_1_1" localSheetId="8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wrn.Demographic._.report._2_1_1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wrn.Demographic._.report._2_1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wrn.Demographic._.report._2_2" localSheetId="8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wrn.Demographic._.report._2_2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wrn.Demographic._.report._2_2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wrn.Demographic._.report._3" localSheetId="8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wrn.Demographic._.report._3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wrn.Demographic._.report._3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wrn.Demographic._.report._3_1" localSheetId="8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wrn.Demographic._.report._3_1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wrn.Demographic._.report._3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wrn.Demographic._.report._4" localSheetId="8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wrn.Demographic._.report._4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wrn.Demographic._.report._4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wrn.Detail._.anual._.by._.company." localSheetId="8" hidden="1">{"Iquisa anual",#N/A,FALSE,"Iquisa";"Sisa anual",#N/A,FALSE,"Sisa";"Policyd anual",#N/A,FALSE,"Policyd";"Rex anual",#N/A,FALSE,"Rex";"Mspk anual",#N/A,FALSE,"MSPK";"Crysel anual",#N/A,FALSE,"Crysel";"Dasa anual",#N/A,FALSE,"Dasa";"San marcos anual",#N/A,FALSE,"SanMarcos";"areoinmob anual",#N/A,FALSE,"Aero_Inmob";"Holding anual",#N/A,FALSE,"Holding";"Corporativo anual",#N/A,FALSE,"Corporativo"}</definedName>
    <definedName name="wrn.Detail._.anual._.by._.company." localSheetId="5" hidden="1">{"Iquisa anual",#N/A,FALSE,"Iquisa";"Sisa anual",#N/A,FALSE,"Sisa";"Policyd anual",#N/A,FALSE,"Policyd";"Rex anual",#N/A,FALSE,"Rex";"Mspk anual",#N/A,FALSE,"MSPK";"Crysel anual",#N/A,FALSE,"Crysel";"Dasa anual",#N/A,FALSE,"Dasa";"San marcos anual",#N/A,FALSE,"SanMarcos";"areoinmob anual",#N/A,FALSE,"Aero_Inmob";"Holding anual",#N/A,FALSE,"Holding";"Corporativo anual",#N/A,FALSE,"Corporativo"}</definedName>
    <definedName name="wrn.Detail._.anual._.by._.company." hidden="1">{"Iquisa anual",#N/A,FALSE,"Iquisa";"Sisa anual",#N/A,FALSE,"Sisa";"Policyd anual",#N/A,FALSE,"Policyd";"Rex anual",#N/A,FALSE,"Rex";"Mspk anual",#N/A,FALSE,"MSPK";"Crysel anual",#N/A,FALSE,"Crysel";"Dasa anual",#N/A,FALSE,"Dasa";"San marcos anual",#N/A,FALSE,"SanMarcos";"areoinmob anual",#N/A,FALSE,"Aero_Inmob";"Holding anual",#N/A,FALSE,"Holding";"Corporativo anual",#N/A,FALSE,"Corporativo"}</definedName>
    <definedName name="wrn.document." localSheetId="8" hidden="1">{"consolidated",#N/A,FALSE,"Sheet1";"cms",#N/A,FALSE,"Sheet1";"fse",#N/A,FALSE,"Sheet1"}</definedName>
    <definedName name="wrn.document." localSheetId="5" hidden="1">{"consolidated",#N/A,FALSE,"Sheet1";"cms",#N/A,FALSE,"Sheet1";"fse",#N/A,FALSE,"Sheet1"}</definedName>
    <definedName name="wrn.document." hidden="1">{"consolidated",#N/A,FALSE,"Sheet1";"cms",#N/A,FALSE,"Sheet1";"fse",#N/A,FALSE,"Sheet1"}</definedName>
    <definedName name="wrn.Economic._.Value._.Added._.Analysis." localSheetId="8" hidden="1">{"EVA",#N/A,FALSE,"EVA";"WACC",#N/A,FALSE,"WACC"}</definedName>
    <definedName name="wrn.Economic._.Value._.Added._.Analysis." localSheetId="5" hidden="1">{"EVA",#N/A,FALSE,"EVA";"WACC",#N/A,FALSE,"WACC"}</definedName>
    <definedName name="wrn.Economic._.Value._.Added._.Analysis." hidden="1">{"EVA",#N/A,FALSE,"EVA";"WACC",#N/A,FALSE,"WACC"}</definedName>
    <definedName name="wrn.Europe." localSheetId="8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" localSheetId="5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FB" localSheetId="8" hidden="1">{"FCB_ALL",#N/A,FALSE,"FCB"}</definedName>
    <definedName name="wrn.FB" localSheetId="5" hidden="1">{"FCB_ALL",#N/A,FALSE,"FCB"}</definedName>
    <definedName name="wrn.FB" hidden="1">{"FCB_ALL",#N/A,FALSE,"FCB"}</definedName>
    <definedName name="wrn.FCB." localSheetId="8" hidden="1">{"FCB_ALL",#N/A,FALSE,"FCB"}</definedName>
    <definedName name="wrn.FCB." localSheetId="5" hidden="1">{"FCB_ALL",#N/A,FALSE,"FCB"}</definedName>
    <definedName name="wrn.FCB." hidden="1">{"FCB_ALL",#N/A,FALSE,"FCB"}</definedName>
    <definedName name="wrn.Financial._.Forecast." localSheetId="8" hidden="1">{#N/A,#N/A,TRUE,"FrntPg";#N/A,#N/A,TRUE,"TC";#N/A,#N/A,TRUE,"IncACvr";#N/A,#N/A,TRUE,"IncM";#N/A,#N/A,TRUE,"CashACvr";#N/A,#N/A,TRUE,"CashM";#N/A,#N/A,TRUE,"CapxCvr";#N/A,#N/A,TRUE,"CapxM";#N/A,#N/A,TRUE,"OtherCvr";#N/A,#N/A,TRUE,"OtherM";#N/A,#N/A,TRUE,"RevCvr";#N/A,#N/A,TRUE,"RevM";#N/A,#N/A,TRUE,"ExpCvr";#N/A,#N/A,TRUE,"ExpM";#N/A,#N/A,TRUE,"BegCvr";#N/A,#N/A,TRUE,"BegA"}</definedName>
    <definedName name="wrn.Financial._.Forecast." localSheetId="5" hidden="1">{#N/A,#N/A,TRUE,"FrntPg";#N/A,#N/A,TRUE,"TC";#N/A,#N/A,TRUE,"IncACvr";#N/A,#N/A,TRUE,"IncM";#N/A,#N/A,TRUE,"CashACvr";#N/A,#N/A,TRUE,"CashM";#N/A,#N/A,TRUE,"CapxCvr";#N/A,#N/A,TRUE,"CapxM";#N/A,#N/A,TRUE,"OtherCvr";#N/A,#N/A,TRUE,"OtherM";#N/A,#N/A,TRUE,"RevCvr";#N/A,#N/A,TRUE,"RevM";#N/A,#N/A,TRUE,"ExpCvr";#N/A,#N/A,TRUE,"ExpM";#N/A,#N/A,TRUE,"BegCvr";#N/A,#N/A,TRUE,"BegA"}</definedName>
    <definedName name="wrn.Financial._.Forecast." hidden="1">{#N/A,#N/A,TRUE,"FrntPg";#N/A,#N/A,TRUE,"TC";#N/A,#N/A,TRUE,"IncACvr";#N/A,#N/A,TRUE,"IncM";#N/A,#N/A,TRUE,"CashACvr";#N/A,#N/A,TRUE,"CashM";#N/A,#N/A,TRUE,"CapxCvr";#N/A,#N/A,TRUE,"CapxM";#N/A,#N/A,TRUE,"OtherCvr";#N/A,#N/A,TRUE,"OtherM";#N/A,#N/A,TRUE,"RevCvr";#N/A,#N/A,TRUE,"RevM";#N/A,#N/A,TRUE,"ExpCvr";#N/A,#N/A,TRUE,"ExpM";#N/A,#N/A,TRUE,"BegCvr";#N/A,#N/A,TRUE,"BegA"}</definedName>
    <definedName name="wrn.Financial._.Forecast._1" localSheetId="8" hidden="1">{#N/A,#N/A,TRUE,"FrntPg";#N/A,#N/A,TRUE,"TC";#N/A,#N/A,TRUE,"IncACvr";#N/A,#N/A,TRUE,"IncM";#N/A,#N/A,TRUE,"CashACvr";#N/A,#N/A,TRUE,"CashM";#N/A,#N/A,TRUE,"CapxCvr";#N/A,#N/A,TRUE,"CapxM";#N/A,#N/A,TRUE,"OtherCvr";#N/A,#N/A,TRUE,"OtherM";#N/A,#N/A,TRUE,"RevCvr";#N/A,#N/A,TRUE,"RevM";#N/A,#N/A,TRUE,"ExpCvr";#N/A,#N/A,TRUE,"ExpM";#N/A,#N/A,TRUE,"BegCvr";#N/A,#N/A,TRUE,"BegA"}</definedName>
    <definedName name="wrn.Financial._.Forecast._1" localSheetId="5" hidden="1">{#N/A,#N/A,TRUE,"FrntPg";#N/A,#N/A,TRUE,"TC";#N/A,#N/A,TRUE,"IncACvr";#N/A,#N/A,TRUE,"IncM";#N/A,#N/A,TRUE,"CashACvr";#N/A,#N/A,TRUE,"CashM";#N/A,#N/A,TRUE,"CapxCvr";#N/A,#N/A,TRUE,"CapxM";#N/A,#N/A,TRUE,"OtherCvr";#N/A,#N/A,TRUE,"OtherM";#N/A,#N/A,TRUE,"RevCvr";#N/A,#N/A,TRUE,"RevM";#N/A,#N/A,TRUE,"ExpCvr";#N/A,#N/A,TRUE,"ExpM";#N/A,#N/A,TRUE,"BegCvr";#N/A,#N/A,TRUE,"BegA"}</definedName>
    <definedName name="wrn.Financial._.Forecast._1" hidden="1">{#N/A,#N/A,TRUE,"FrntPg";#N/A,#N/A,TRUE,"TC";#N/A,#N/A,TRUE,"IncACvr";#N/A,#N/A,TRUE,"IncM";#N/A,#N/A,TRUE,"CashACvr";#N/A,#N/A,TRUE,"CashM";#N/A,#N/A,TRUE,"CapxCvr";#N/A,#N/A,TRUE,"CapxM";#N/A,#N/A,TRUE,"OtherCvr";#N/A,#N/A,TRUE,"OtherM";#N/A,#N/A,TRUE,"RevCvr";#N/A,#N/A,TRUE,"RevM";#N/A,#N/A,TRUE,"ExpCvr";#N/A,#N/A,TRUE,"ExpM";#N/A,#N/A,TRUE,"BegCvr";#N/A,#N/A,TRUE,"BegA"}</definedName>
    <definedName name="wrn.Financial._.Forecast._1_1" localSheetId="8" hidden="1">{#N/A,#N/A,TRUE,"FrntPg";#N/A,#N/A,TRUE,"TC";#N/A,#N/A,TRUE,"IncACvr";#N/A,#N/A,TRUE,"IncM";#N/A,#N/A,TRUE,"CashACvr";#N/A,#N/A,TRUE,"CashM";#N/A,#N/A,TRUE,"CapxCvr";#N/A,#N/A,TRUE,"CapxM";#N/A,#N/A,TRUE,"OtherCvr";#N/A,#N/A,TRUE,"OtherM";#N/A,#N/A,TRUE,"RevCvr";#N/A,#N/A,TRUE,"RevM";#N/A,#N/A,TRUE,"ExpCvr";#N/A,#N/A,TRUE,"ExpM";#N/A,#N/A,TRUE,"BegCvr";#N/A,#N/A,TRUE,"BegA"}</definedName>
    <definedName name="wrn.Financial._.Forecast._1_1" localSheetId="5" hidden="1">{#N/A,#N/A,TRUE,"FrntPg";#N/A,#N/A,TRUE,"TC";#N/A,#N/A,TRUE,"IncACvr";#N/A,#N/A,TRUE,"IncM";#N/A,#N/A,TRUE,"CashACvr";#N/A,#N/A,TRUE,"CashM";#N/A,#N/A,TRUE,"CapxCvr";#N/A,#N/A,TRUE,"CapxM";#N/A,#N/A,TRUE,"OtherCvr";#N/A,#N/A,TRUE,"OtherM";#N/A,#N/A,TRUE,"RevCvr";#N/A,#N/A,TRUE,"RevM";#N/A,#N/A,TRUE,"ExpCvr";#N/A,#N/A,TRUE,"ExpM";#N/A,#N/A,TRUE,"BegCvr";#N/A,#N/A,TRUE,"BegA"}</definedName>
    <definedName name="wrn.Financial._.Forecast._1_1" hidden="1">{#N/A,#N/A,TRUE,"FrntPg";#N/A,#N/A,TRUE,"TC";#N/A,#N/A,TRUE,"IncACvr";#N/A,#N/A,TRUE,"IncM";#N/A,#N/A,TRUE,"CashACvr";#N/A,#N/A,TRUE,"CashM";#N/A,#N/A,TRUE,"CapxCvr";#N/A,#N/A,TRUE,"CapxM";#N/A,#N/A,TRUE,"OtherCvr";#N/A,#N/A,TRUE,"OtherM";#N/A,#N/A,TRUE,"RevCvr";#N/A,#N/A,TRUE,"RevM";#N/A,#N/A,TRUE,"ExpCvr";#N/A,#N/A,TRUE,"ExpM";#N/A,#N/A,TRUE,"BegCvr";#N/A,#N/A,TRUE,"BegA"}</definedName>
    <definedName name="wrn.Financial._.Forecast._1_1_1" localSheetId="8" hidden="1">{#N/A,#N/A,TRUE,"FrntPg";#N/A,#N/A,TRUE,"TC";#N/A,#N/A,TRUE,"IncACvr";#N/A,#N/A,TRUE,"IncM";#N/A,#N/A,TRUE,"CashACvr";#N/A,#N/A,TRUE,"CashM";#N/A,#N/A,TRUE,"CapxCvr";#N/A,#N/A,TRUE,"CapxM";#N/A,#N/A,TRUE,"OtherCvr";#N/A,#N/A,TRUE,"OtherM";#N/A,#N/A,TRUE,"RevCvr";#N/A,#N/A,TRUE,"RevM";#N/A,#N/A,TRUE,"ExpCvr";#N/A,#N/A,TRUE,"ExpM";#N/A,#N/A,TRUE,"BegCvr";#N/A,#N/A,TRUE,"BegA"}</definedName>
    <definedName name="wrn.Financial._.Forecast._1_1_1" localSheetId="5" hidden="1">{#N/A,#N/A,TRUE,"FrntPg";#N/A,#N/A,TRUE,"TC";#N/A,#N/A,TRUE,"IncACvr";#N/A,#N/A,TRUE,"IncM";#N/A,#N/A,TRUE,"CashACvr";#N/A,#N/A,TRUE,"CashM";#N/A,#N/A,TRUE,"CapxCvr";#N/A,#N/A,TRUE,"CapxM";#N/A,#N/A,TRUE,"OtherCvr";#N/A,#N/A,TRUE,"OtherM";#N/A,#N/A,TRUE,"RevCvr";#N/A,#N/A,TRUE,"RevM";#N/A,#N/A,TRUE,"ExpCvr";#N/A,#N/A,TRUE,"ExpM";#N/A,#N/A,TRUE,"BegCvr";#N/A,#N/A,TRUE,"BegA"}</definedName>
    <definedName name="wrn.Financial._.Forecast._1_1_1" hidden="1">{#N/A,#N/A,TRUE,"FrntPg";#N/A,#N/A,TRUE,"TC";#N/A,#N/A,TRUE,"IncACvr";#N/A,#N/A,TRUE,"IncM";#N/A,#N/A,TRUE,"CashACvr";#N/A,#N/A,TRUE,"CashM";#N/A,#N/A,TRUE,"CapxCvr";#N/A,#N/A,TRUE,"CapxM";#N/A,#N/A,TRUE,"OtherCvr";#N/A,#N/A,TRUE,"OtherM";#N/A,#N/A,TRUE,"RevCvr";#N/A,#N/A,TRUE,"RevM";#N/A,#N/A,TRUE,"ExpCvr";#N/A,#N/A,TRUE,"ExpM";#N/A,#N/A,TRUE,"BegCvr";#N/A,#N/A,TRUE,"BegA"}</definedName>
    <definedName name="wrn.Financial._.Forecast._1_2" localSheetId="8" hidden="1">{#N/A,#N/A,TRUE,"FrntPg";#N/A,#N/A,TRUE,"TC";#N/A,#N/A,TRUE,"IncACvr";#N/A,#N/A,TRUE,"IncM";#N/A,#N/A,TRUE,"CashACvr";#N/A,#N/A,TRUE,"CashM";#N/A,#N/A,TRUE,"CapxCvr";#N/A,#N/A,TRUE,"CapxM";#N/A,#N/A,TRUE,"OtherCvr";#N/A,#N/A,TRUE,"OtherM";#N/A,#N/A,TRUE,"RevCvr";#N/A,#N/A,TRUE,"RevM";#N/A,#N/A,TRUE,"ExpCvr";#N/A,#N/A,TRUE,"ExpM";#N/A,#N/A,TRUE,"BegCvr";#N/A,#N/A,TRUE,"BegA"}</definedName>
    <definedName name="wrn.Financial._.Forecast._1_2" localSheetId="5" hidden="1">{#N/A,#N/A,TRUE,"FrntPg";#N/A,#N/A,TRUE,"TC";#N/A,#N/A,TRUE,"IncACvr";#N/A,#N/A,TRUE,"IncM";#N/A,#N/A,TRUE,"CashACvr";#N/A,#N/A,TRUE,"CashM";#N/A,#N/A,TRUE,"CapxCvr";#N/A,#N/A,TRUE,"CapxM";#N/A,#N/A,TRUE,"OtherCvr";#N/A,#N/A,TRUE,"OtherM";#N/A,#N/A,TRUE,"RevCvr";#N/A,#N/A,TRUE,"RevM";#N/A,#N/A,TRUE,"ExpCvr";#N/A,#N/A,TRUE,"ExpM";#N/A,#N/A,TRUE,"BegCvr";#N/A,#N/A,TRUE,"BegA"}</definedName>
    <definedName name="wrn.Financial._.Forecast._1_2" hidden="1">{#N/A,#N/A,TRUE,"FrntPg";#N/A,#N/A,TRUE,"TC";#N/A,#N/A,TRUE,"IncACvr";#N/A,#N/A,TRUE,"IncM";#N/A,#N/A,TRUE,"CashACvr";#N/A,#N/A,TRUE,"CashM";#N/A,#N/A,TRUE,"CapxCvr";#N/A,#N/A,TRUE,"CapxM";#N/A,#N/A,TRUE,"OtherCvr";#N/A,#N/A,TRUE,"OtherM";#N/A,#N/A,TRUE,"RevCvr";#N/A,#N/A,TRUE,"RevM";#N/A,#N/A,TRUE,"ExpCvr";#N/A,#N/A,TRUE,"ExpM";#N/A,#N/A,TRUE,"BegCvr";#N/A,#N/A,TRUE,"BegA"}</definedName>
    <definedName name="wrn.Financial._.Forecast._2" localSheetId="8" hidden="1">{#N/A,#N/A,TRUE,"FrntPg";#N/A,#N/A,TRUE,"TC";#N/A,#N/A,TRUE,"IncACvr";#N/A,#N/A,TRUE,"IncM";#N/A,#N/A,TRUE,"CashACvr";#N/A,#N/A,TRUE,"CashM";#N/A,#N/A,TRUE,"CapxCvr";#N/A,#N/A,TRUE,"CapxM";#N/A,#N/A,TRUE,"OtherCvr";#N/A,#N/A,TRUE,"OtherM";#N/A,#N/A,TRUE,"RevCvr";#N/A,#N/A,TRUE,"RevM";#N/A,#N/A,TRUE,"ExpCvr";#N/A,#N/A,TRUE,"ExpM";#N/A,#N/A,TRUE,"BegCvr";#N/A,#N/A,TRUE,"BegA"}</definedName>
    <definedName name="wrn.Financial._.Forecast._2" localSheetId="5" hidden="1">{#N/A,#N/A,TRUE,"FrntPg";#N/A,#N/A,TRUE,"TC";#N/A,#N/A,TRUE,"IncACvr";#N/A,#N/A,TRUE,"IncM";#N/A,#N/A,TRUE,"CashACvr";#N/A,#N/A,TRUE,"CashM";#N/A,#N/A,TRUE,"CapxCvr";#N/A,#N/A,TRUE,"CapxM";#N/A,#N/A,TRUE,"OtherCvr";#N/A,#N/A,TRUE,"OtherM";#N/A,#N/A,TRUE,"RevCvr";#N/A,#N/A,TRUE,"RevM";#N/A,#N/A,TRUE,"ExpCvr";#N/A,#N/A,TRUE,"ExpM";#N/A,#N/A,TRUE,"BegCvr";#N/A,#N/A,TRUE,"BegA"}</definedName>
    <definedName name="wrn.Financial._.Forecast._2" hidden="1">{#N/A,#N/A,TRUE,"FrntPg";#N/A,#N/A,TRUE,"TC";#N/A,#N/A,TRUE,"IncACvr";#N/A,#N/A,TRUE,"IncM";#N/A,#N/A,TRUE,"CashACvr";#N/A,#N/A,TRUE,"CashM";#N/A,#N/A,TRUE,"CapxCvr";#N/A,#N/A,TRUE,"CapxM";#N/A,#N/A,TRUE,"OtherCvr";#N/A,#N/A,TRUE,"OtherM";#N/A,#N/A,TRUE,"RevCvr";#N/A,#N/A,TRUE,"RevM";#N/A,#N/A,TRUE,"ExpCvr";#N/A,#N/A,TRUE,"ExpM";#N/A,#N/A,TRUE,"BegCvr";#N/A,#N/A,TRUE,"BegA"}</definedName>
    <definedName name="wrn.Financial._.Forecast._2_1" localSheetId="8" hidden="1">{#N/A,#N/A,TRUE,"FrntPg";#N/A,#N/A,TRUE,"TC";#N/A,#N/A,TRUE,"IncACvr";#N/A,#N/A,TRUE,"IncM";#N/A,#N/A,TRUE,"CashACvr";#N/A,#N/A,TRUE,"CashM";#N/A,#N/A,TRUE,"CapxCvr";#N/A,#N/A,TRUE,"CapxM";#N/A,#N/A,TRUE,"OtherCvr";#N/A,#N/A,TRUE,"OtherM";#N/A,#N/A,TRUE,"RevCvr";#N/A,#N/A,TRUE,"RevM";#N/A,#N/A,TRUE,"ExpCvr";#N/A,#N/A,TRUE,"ExpM";#N/A,#N/A,TRUE,"BegCvr";#N/A,#N/A,TRUE,"BegA"}</definedName>
    <definedName name="wrn.Financial._.Forecast._2_1" localSheetId="5" hidden="1">{#N/A,#N/A,TRUE,"FrntPg";#N/A,#N/A,TRUE,"TC";#N/A,#N/A,TRUE,"IncACvr";#N/A,#N/A,TRUE,"IncM";#N/A,#N/A,TRUE,"CashACvr";#N/A,#N/A,TRUE,"CashM";#N/A,#N/A,TRUE,"CapxCvr";#N/A,#N/A,TRUE,"CapxM";#N/A,#N/A,TRUE,"OtherCvr";#N/A,#N/A,TRUE,"OtherM";#N/A,#N/A,TRUE,"RevCvr";#N/A,#N/A,TRUE,"RevM";#N/A,#N/A,TRUE,"ExpCvr";#N/A,#N/A,TRUE,"ExpM";#N/A,#N/A,TRUE,"BegCvr";#N/A,#N/A,TRUE,"BegA"}</definedName>
    <definedName name="wrn.Financial._.Forecast._2_1" hidden="1">{#N/A,#N/A,TRUE,"FrntPg";#N/A,#N/A,TRUE,"TC";#N/A,#N/A,TRUE,"IncACvr";#N/A,#N/A,TRUE,"IncM";#N/A,#N/A,TRUE,"CashACvr";#N/A,#N/A,TRUE,"CashM";#N/A,#N/A,TRUE,"CapxCvr";#N/A,#N/A,TRUE,"CapxM";#N/A,#N/A,TRUE,"OtherCvr";#N/A,#N/A,TRUE,"OtherM";#N/A,#N/A,TRUE,"RevCvr";#N/A,#N/A,TRUE,"RevM";#N/A,#N/A,TRUE,"ExpCvr";#N/A,#N/A,TRUE,"ExpM";#N/A,#N/A,TRUE,"BegCvr";#N/A,#N/A,TRUE,"BegA"}</definedName>
    <definedName name="wrn.Financial._.Forecast._2_1_1" localSheetId="8" hidden="1">{#N/A,#N/A,TRUE,"FrntPg";#N/A,#N/A,TRUE,"TC";#N/A,#N/A,TRUE,"IncACvr";#N/A,#N/A,TRUE,"IncM";#N/A,#N/A,TRUE,"CashACvr";#N/A,#N/A,TRUE,"CashM";#N/A,#N/A,TRUE,"CapxCvr";#N/A,#N/A,TRUE,"CapxM";#N/A,#N/A,TRUE,"OtherCvr";#N/A,#N/A,TRUE,"OtherM";#N/A,#N/A,TRUE,"RevCvr";#N/A,#N/A,TRUE,"RevM";#N/A,#N/A,TRUE,"ExpCvr";#N/A,#N/A,TRUE,"ExpM";#N/A,#N/A,TRUE,"BegCvr";#N/A,#N/A,TRUE,"BegA"}</definedName>
    <definedName name="wrn.Financial._.Forecast._2_1_1" localSheetId="5" hidden="1">{#N/A,#N/A,TRUE,"FrntPg";#N/A,#N/A,TRUE,"TC";#N/A,#N/A,TRUE,"IncACvr";#N/A,#N/A,TRUE,"IncM";#N/A,#N/A,TRUE,"CashACvr";#N/A,#N/A,TRUE,"CashM";#N/A,#N/A,TRUE,"CapxCvr";#N/A,#N/A,TRUE,"CapxM";#N/A,#N/A,TRUE,"OtherCvr";#N/A,#N/A,TRUE,"OtherM";#N/A,#N/A,TRUE,"RevCvr";#N/A,#N/A,TRUE,"RevM";#N/A,#N/A,TRUE,"ExpCvr";#N/A,#N/A,TRUE,"ExpM";#N/A,#N/A,TRUE,"BegCvr";#N/A,#N/A,TRUE,"BegA"}</definedName>
    <definedName name="wrn.Financial._.Forecast._2_1_1" hidden="1">{#N/A,#N/A,TRUE,"FrntPg";#N/A,#N/A,TRUE,"TC";#N/A,#N/A,TRUE,"IncACvr";#N/A,#N/A,TRUE,"IncM";#N/A,#N/A,TRUE,"CashACvr";#N/A,#N/A,TRUE,"CashM";#N/A,#N/A,TRUE,"CapxCvr";#N/A,#N/A,TRUE,"CapxM";#N/A,#N/A,TRUE,"OtherCvr";#N/A,#N/A,TRUE,"OtherM";#N/A,#N/A,TRUE,"RevCvr";#N/A,#N/A,TRUE,"RevM";#N/A,#N/A,TRUE,"ExpCvr";#N/A,#N/A,TRUE,"ExpM";#N/A,#N/A,TRUE,"BegCvr";#N/A,#N/A,TRUE,"BegA"}</definedName>
    <definedName name="wrn.Financial._.Forecast._2_2" localSheetId="8" hidden="1">{#N/A,#N/A,TRUE,"FrntPg";#N/A,#N/A,TRUE,"TC";#N/A,#N/A,TRUE,"IncACvr";#N/A,#N/A,TRUE,"IncM";#N/A,#N/A,TRUE,"CashACvr";#N/A,#N/A,TRUE,"CashM";#N/A,#N/A,TRUE,"CapxCvr";#N/A,#N/A,TRUE,"CapxM";#N/A,#N/A,TRUE,"OtherCvr";#N/A,#N/A,TRUE,"OtherM";#N/A,#N/A,TRUE,"RevCvr";#N/A,#N/A,TRUE,"RevM";#N/A,#N/A,TRUE,"ExpCvr";#N/A,#N/A,TRUE,"ExpM";#N/A,#N/A,TRUE,"BegCvr";#N/A,#N/A,TRUE,"BegA"}</definedName>
    <definedName name="wrn.Financial._.Forecast._2_2" localSheetId="5" hidden="1">{#N/A,#N/A,TRUE,"FrntPg";#N/A,#N/A,TRUE,"TC";#N/A,#N/A,TRUE,"IncACvr";#N/A,#N/A,TRUE,"IncM";#N/A,#N/A,TRUE,"CashACvr";#N/A,#N/A,TRUE,"CashM";#N/A,#N/A,TRUE,"CapxCvr";#N/A,#N/A,TRUE,"CapxM";#N/A,#N/A,TRUE,"OtherCvr";#N/A,#N/A,TRUE,"OtherM";#N/A,#N/A,TRUE,"RevCvr";#N/A,#N/A,TRUE,"RevM";#N/A,#N/A,TRUE,"ExpCvr";#N/A,#N/A,TRUE,"ExpM";#N/A,#N/A,TRUE,"BegCvr";#N/A,#N/A,TRUE,"BegA"}</definedName>
    <definedName name="wrn.Financial._.Forecast._2_2" hidden="1">{#N/A,#N/A,TRUE,"FrntPg";#N/A,#N/A,TRUE,"TC";#N/A,#N/A,TRUE,"IncACvr";#N/A,#N/A,TRUE,"IncM";#N/A,#N/A,TRUE,"CashACvr";#N/A,#N/A,TRUE,"CashM";#N/A,#N/A,TRUE,"CapxCvr";#N/A,#N/A,TRUE,"CapxM";#N/A,#N/A,TRUE,"OtherCvr";#N/A,#N/A,TRUE,"OtherM";#N/A,#N/A,TRUE,"RevCvr";#N/A,#N/A,TRUE,"RevM";#N/A,#N/A,TRUE,"ExpCvr";#N/A,#N/A,TRUE,"ExpM";#N/A,#N/A,TRUE,"BegCvr";#N/A,#N/A,TRUE,"BegA"}</definedName>
    <definedName name="wrn.Financial._.Forecast._3" localSheetId="8" hidden="1">{#N/A,#N/A,TRUE,"FrntPg";#N/A,#N/A,TRUE,"TC";#N/A,#N/A,TRUE,"IncACvr";#N/A,#N/A,TRUE,"IncM";#N/A,#N/A,TRUE,"CashACvr";#N/A,#N/A,TRUE,"CashM";#N/A,#N/A,TRUE,"CapxCvr";#N/A,#N/A,TRUE,"CapxM";#N/A,#N/A,TRUE,"OtherCvr";#N/A,#N/A,TRUE,"OtherM";#N/A,#N/A,TRUE,"RevCvr";#N/A,#N/A,TRUE,"RevM";#N/A,#N/A,TRUE,"ExpCvr";#N/A,#N/A,TRUE,"ExpM";#N/A,#N/A,TRUE,"BegCvr";#N/A,#N/A,TRUE,"BegA"}</definedName>
    <definedName name="wrn.Financial._.Forecast._3" localSheetId="5" hidden="1">{#N/A,#N/A,TRUE,"FrntPg";#N/A,#N/A,TRUE,"TC";#N/A,#N/A,TRUE,"IncACvr";#N/A,#N/A,TRUE,"IncM";#N/A,#N/A,TRUE,"CashACvr";#N/A,#N/A,TRUE,"CashM";#N/A,#N/A,TRUE,"CapxCvr";#N/A,#N/A,TRUE,"CapxM";#N/A,#N/A,TRUE,"OtherCvr";#N/A,#N/A,TRUE,"OtherM";#N/A,#N/A,TRUE,"RevCvr";#N/A,#N/A,TRUE,"RevM";#N/A,#N/A,TRUE,"ExpCvr";#N/A,#N/A,TRUE,"ExpM";#N/A,#N/A,TRUE,"BegCvr";#N/A,#N/A,TRUE,"BegA"}</definedName>
    <definedName name="wrn.Financial._.Forecast._3" hidden="1">{#N/A,#N/A,TRUE,"FrntPg";#N/A,#N/A,TRUE,"TC";#N/A,#N/A,TRUE,"IncACvr";#N/A,#N/A,TRUE,"IncM";#N/A,#N/A,TRUE,"CashACvr";#N/A,#N/A,TRUE,"CashM";#N/A,#N/A,TRUE,"CapxCvr";#N/A,#N/A,TRUE,"CapxM";#N/A,#N/A,TRUE,"OtherCvr";#N/A,#N/A,TRUE,"OtherM";#N/A,#N/A,TRUE,"RevCvr";#N/A,#N/A,TRUE,"RevM";#N/A,#N/A,TRUE,"ExpCvr";#N/A,#N/A,TRUE,"ExpM";#N/A,#N/A,TRUE,"BegCvr";#N/A,#N/A,TRUE,"BegA"}</definedName>
    <definedName name="wrn.Financial._.Forecast._3_1" localSheetId="8" hidden="1">{#N/A,#N/A,TRUE,"FrntPg";#N/A,#N/A,TRUE,"TC";#N/A,#N/A,TRUE,"IncACvr";#N/A,#N/A,TRUE,"IncM";#N/A,#N/A,TRUE,"CashACvr";#N/A,#N/A,TRUE,"CashM";#N/A,#N/A,TRUE,"CapxCvr";#N/A,#N/A,TRUE,"CapxM";#N/A,#N/A,TRUE,"OtherCvr";#N/A,#N/A,TRUE,"OtherM";#N/A,#N/A,TRUE,"RevCvr";#N/A,#N/A,TRUE,"RevM";#N/A,#N/A,TRUE,"ExpCvr";#N/A,#N/A,TRUE,"ExpM";#N/A,#N/A,TRUE,"BegCvr";#N/A,#N/A,TRUE,"BegA"}</definedName>
    <definedName name="wrn.Financial._.Forecast._3_1" localSheetId="5" hidden="1">{#N/A,#N/A,TRUE,"FrntPg";#N/A,#N/A,TRUE,"TC";#N/A,#N/A,TRUE,"IncACvr";#N/A,#N/A,TRUE,"IncM";#N/A,#N/A,TRUE,"CashACvr";#N/A,#N/A,TRUE,"CashM";#N/A,#N/A,TRUE,"CapxCvr";#N/A,#N/A,TRUE,"CapxM";#N/A,#N/A,TRUE,"OtherCvr";#N/A,#N/A,TRUE,"OtherM";#N/A,#N/A,TRUE,"RevCvr";#N/A,#N/A,TRUE,"RevM";#N/A,#N/A,TRUE,"ExpCvr";#N/A,#N/A,TRUE,"ExpM";#N/A,#N/A,TRUE,"BegCvr";#N/A,#N/A,TRUE,"BegA"}</definedName>
    <definedName name="wrn.Financial._.Forecast._3_1" hidden="1">{#N/A,#N/A,TRUE,"FrntPg";#N/A,#N/A,TRUE,"TC";#N/A,#N/A,TRUE,"IncACvr";#N/A,#N/A,TRUE,"IncM";#N/A,#N/A,TRUE,"CashACvr";#N/A,#N/A,TRUE,"CashM";#N/A,#N/A,TRUE,"CapxCvr";#N/A,#N/A,TRUE,"CapxM";#N/A,#N/A,TRUE,"OtherCvr";#N/A,#N/A,TRUE,"OtherM";#N/A,#N/A,TRUE,"RevCvr";#N/A,#N/A,TRUE,"RevM";#N/A,#N/A,TRUE,"ExpCvr";#N/A,#N/A,TRUE,"ExpM";#N/A,#N/A,TRUE,"BegCvr";#N/A,#N/A,TRUE,"BegA"}</definedName>
    <definedName name="wrn.Financial._.Forecast._4" localSheetId="8" hidden="1">{#N/A,#N/A,TRUE,"FrntPg";#N/A,#N/A,TRUE,"TC";#N/A,#N/A,TRUE,"IncACvr";#N/A,#N/A,TRUE,"IncM";#N/A,#N/A,TRUE,"CashACvr";#N/A,#N/A,TRUE,"CashM";#N/A,#N/A,TRUE,"CapxCvr";#N/A,#N/A,TRUE,"CapxM";#N/A,#N/A,TRUE,"OtherCvr";#N/A,#N/A,TRUE,"OtherM";#N/A,#N/A,TRUE,"RevCvr";#N/A,#N/A,TRUE,"RevM";#N/A,#N/A,TRUE,"ExpCvr";#N/A,#N/A,TRUE,"ExpM";#N/A,#N/A,TRUE,"BegCvr";#N/A,#N/A,TRUE,"BegA"}</definedName>
    <definedName name="wrn.Financial._.Forecast._4" localSheetId="5" hidden="1">{#N/A,#N/A,TRUE,"FrntPg";#N/A,#N/A,TRUE,"TC";#N/A,#N/A,TRUE,"IncACvr";#N/A,#N/A,TRUE,"IncM";#N/A,#N/A,TRUE,"CashACvr";#N/A,#N/A,TRUE,"CashM";#N/A,#N/A,TRUE,"CapxCvr";#N/A,#N/A,TRUE,"CapxM";#N/A,#N/A,TRUE,"OtherCvr";#N/A,#N/A,TRUE,"OtherM";#N/A,#N/A,TRUE,"RevCvr";#N/A,#N/A,TRUE,"RevM";#N/A,#N/A,TRUE,"ExpCvr";#N/A,#N/A,TRUE,"ExpM";#N/A,#N/A,TRUE,"BegCvr";#N/A,#N/A,TRUE,"BegA"}</definedName>
    <definedName name="wrn.Financial._.Forecast._4" hidden="1">{#N/A,#N/A,TRUE,"FrntPg";#N/A,#N/A,TRUE,"TC";#N/A,#N/A,TRUE,"IncACvr";#N/A,#N/A,TRUE,"IncM";#N/A,#N/A,TRUE,"CashACvr";#N/A,#N/A,TRUE,"CashM";#N/A,#N/A,TRUE,"CapxCvr";#N/A,#N/A,TRUE,"CapxM";#N/A,#N/A,TRUE,"OtherCvr";#N/A,#N/A,TRUE,"OtherM";#N/A,#N/A,TRUE,"RevCvr";#N/A,#N/A,TRUE,"RevM";#N/A,#N/A,TRUE,"ExpCvr";#N/A,#N/A,TRUE,"ExpM";#N/A,#N/A,TRUE,"BegCvr";#N/A,#N/A,TRUE,"BegA"}</definedName>
    <definedName name="wrn.Flash." localSheetId="8" hidden="1">{#N/A,#N/A,FALSE,"JKFLASH2";#N/A,#N/A,FALSE,"Page 4";#N/A,#N/A,FALSE,"page 3"}</definedName>
    <definedName name="wrn.Flash." localSheetId="5" hidden="1">{#N/A,#N/A,FALSE,"JKFLASH2";#N/A,#N/A,FALSE,"Page 4";#N/A,#N/A,FALSE,"page 3"}</definedName>
    <definedName name="wrn.Flash." hidden="1">{#N/A,#N/A,FALSE,"JKFLASH2";#N/A,#N/A,FALSE,"Page 4";#N/A,#N/A,FALSE,"page 3"}</definedName>
    <definedName name="wrn.Full." localSheetId="8" hidden="1">{#N/A,#N/A,FALSE,"Cover";#N/A,#N/A,FALSE,"Pres";#N/A,#N/A,FALSE,"Outputs";#N/A,#N/A,FALSE,"Deal Inputs (In)";#N/A,#N/A,FALSE,"Bidder (In)";#N/A,#N/A,FALSE,"Target (In)";#N/A,#N/A,FALSE,"PL";#N/A,#N/A,FALSE,"EV";#N/A,#N/A,FALSE,"Options (In)";#N/A,#N/A,FALSE,"Disposal (In)";#N/A,#N/A,FALSE,"Check (In)"}</definedName>
    <definedName name="wrn.Full." localSheetId="5" hidden="1">{#N/A,#N/A,FALSE,"Cover";#N/A,#N/A,FALSE,"Pres";#N/A,#N/A,FALSE,"Outputs";#N/A,#N/A,FALSE,"Deal Inputs (In)";#N/A,#N/A,FALSE,"Bidder (In)";#N/A,#N/A,FALSE,"Target (In)";#N/A,#N/A,FALSE,"PL";#N/A,#N/A,FALSE,"EV";#N/A,#N/A,FALSE,"Options (In)";#N/A,#N/A,FALSE,"Disposal (In)";#N/A,#N/A,FALSE,"Check (In)"}</definedName>
    <definedName name="wrn.Full." hidden="1">{#N/A,#N/A,FALSE,"Cover";#N/A,#N/A,FALSE,"Pres";#N/A,#N/A,FALSE,"Outputs";#N/A,#N/A,FALSE,"Deal Inputs (In)";#N/A,#N/A,FALSE,"Bidder (In)";#N/A,#N/A,FALSE,"Target (In)";#N/A,#N/A,FALSE,"PL";#N/A,#N/A,FALSE,"EV";#N/A,#N/A,FALSE,"Options (In)";#N/A,#N/A,FALSE,"Disposal (In)";#N/A,#N/A,FALSE,"Check (In)"}</definedName>
    <definedName name="wrn.Full._.Model." localSheetId="8" hidden="1">{#N/A,#N/A,TRUE,"Cover sheet";#N/A,#N/A,TRUE,"DCF analysis";#N/A,#N/A,TRUE,"WACC calculation"}</definedName>
    <definedName name="wrn.Full._.Model." localSheetId="5" hidden="1">{#N/A,#N/A,TRUE,"Cover sheet";#N/A,#N/A,TRUE,"DCF analysis";#N/A,#N/A,TRUE,"WACC calculation"}</definedName>
    <definedName name="wrn.Full._.Model." hidden="1">{#N/A,#N/A,TRUE,"Cover sheet";#N/A,#N/A,TRUE,"DCF analysis";#N/A,#N/A,TRUE,"WACC calculation"}</definedName>
    <definedName name="wrn.Full._.Report." localSheetId="8" hidden="1">{"Assumptions",#N/A,FALSE,"Sheet1";"Main Report",#N/A,FALSE,"Sheet1";"Results",#N/A,FALSE,"Sheet1";"Advances",#N/A,FALSE,"Sheet1"}</definedName>
    <definedName name="wrn.Full._.Report." localSheetId="5" hidden="1">{"Assumptions",#N/A,FALSE,"Sheet1";"Main Report",#N/A,FALSE,"Sheet1";"Results",#N/A,FALSE,"Sheet1";"Advances",#N/A,FALSE,"Sheet1"}</definedName>
    <definedName name="wrn.Full._.Report." hidden="1">{"Assumptions",#N/A,FALSE,"Sheet1";"Main Report",#N/A,FALSE,"Sheet1";"Results",#N/A,FALSE,"Sheet1";"Advances",#N/A,FALSE,"Sheet1"}</definedName>
    <definedName name="wrn.input._.and._.output." localSheetId="8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nput._.and._.output." localSheetId="5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nput._.and._.output.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merger." localSheetId="8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wrn.merger." localSheetId="5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wrn.merger.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wrn.offering." localSheetId="8" hidden="1">{"nwp1",#N/A,FALSE,"pro forma offering";"first sensitivity",#N/A,FALSE,"pro forma offering";"summary",#N/A,FALSE,"pro forma offering";"ownership",#N/A,FALSE,"pro forma offering";"pf1",#N/A,FALSE,"pro forma offering";"data tables",#N/A,FALSE,"pro forma offering"}</definedName>
    <definedName name="wrn.offering." localSheetId="5" hidden="1">{"nwp1",#N/A,FALSE,"pro forma offering";"first sensitivity",#N/A,FALSE,"pro forma offering";"summary",#N/A,FALSE,"pro forma offering";"ownership",#N/A,FALSE,"pro forma offering";"pf1",#N/A,FALSE,"pro forma offering";"data tables",#N/A,FALSE,"pro forma offering"}</definedName>
    <definedName name="wrn.offering." hidden="1">{"nwp1",#N/A,FALSE,"pro forma offering";"first sensitivity",#N/A,FALSE,"pro forma offering";"summary",#N/A,FALSE,"pro forma offering";"ownership",#N/A,FALSE,"pro forma offering";"pf1",#N/A,FALSE,"pro forma offering";"data tables",#N/A,FALSE,"pro forma offering"}</definedName>
    <definedName name="wrn.OUTPUT." localSheetId="8" hidden="1">{"DCF","UPSIDE CASE",FALSE,"Sheet1";"DCF","BASE CASE",FALSE,"Sheet1";"DCF","DOWNSIDE CASE",FALSE,"Sheet1"}</definedName>
    <definedName name="wrn.OUTPUT." localSheetId="5" hidden="1">{"DCF","UPSIDE CASE",FALSE,"Sheet1";"DCF","BASE CASE",FALSE,"Sheet1";"DCF","DOWNSIDE CASE",FALSE,"Sheet1"}</definedName>
    <definedName name="wrn.OUTPUT." hidden="1">{"DCF","UPSIDE CASE",FALSE,"Sheet1";"DCF","BASE CASE",FALSE,"Sheet1";"DCF","DOWNSIDE CASE",FALSE,"Sheet1"}</definedName>
    <definedName name="wrn.OUTPUT._1" localSheetId="8" hidden="1">{"DCF","UPSIDE CASE",FALSE,"Sheet1";"DCF","BASE CASE",FALSE,"Sheet1";"DCF","DOWNSIDE CASE",FALSE,"Sheet1"}</definedName>
    <definedName name="wrn.OUTPUT._1" localSheetId="5" hidden="1">{"DCF","UPSIDE CASE",FALSE,"Sheet1";"DCF","BASE CASE",FALSE,"Sheet1";"DCF","DOWNSIDE CASE",FALSE,"Sheet1"}</definedName>
    <definedName name="wrn.OUTPUT._1" hidden="1">{"DCF","UPSIDE CASE",FALSE,"Sheet1";"DCF","BASE CASE",FALSE,"Sheet1";"DCF","DOWNSIDE CASE",FALSE,"Sheet1"}</definedName>
    <definedName name="wrn.OUTPUT._1_1" localSheetId="8" hidden="1">{"DCF","UPSIDE CASE",FALSE,"Sheet1";"DCF","BASE CASE",FALSE,"Sheet1";"DCF","DOWNSIDE CASE",FALSE,"Sheet1"}</definedName>
    <definedName name="wrn.OUTPUT._1_1" localSheetId="5" hidden="1">{"DCF","UPSIDE CASE",FALSE,"Sheet1";"DCF","BASE CASE",FALSE,"Sheet1";"DCF","DOWNSIDE CASE",FALSE,"Sheet1"}</definedName>
    <definedName name="wrn.OUTPUT._1_1" hidden="1">{"DCF","UPSIDE CASE",FALSE,"Sheet1";"DCF","BASE CASE",FALSE,"Sheet1";"DCF","DOWNSIDE CASE",FALSE,"Sheet1"}</definedName>
    <definedName name="wrn.OUTPUT._1_2" localSheetId="8" hidden="1">{"DCF","UPSIDE CASE",FALSE,"Sheet1";"DCF","BASE CASE",FALSE,"Sheet1";"DCF","DOWNSIDE CASE",FALSE,"Sheet1"}</definedName>
    <definedName name="wrn.OUTPUT._1_2" localSheetId="5" hidden="1">{"DCF","UPSIDE CASE",FALSE,"Sheet1";"DCF","BASE CASE",FALSE,"Sheet1";"DCF","DOWNSIDE CASE",FALSE,"Sheet1"}</definedName>
    <definedName name="wrn.OUTPUT._1_2" hidden="1">{"DCF","UPSIDE CASE",FALSE,"Sheet1";"DCF","BASE CASE",FALSE,"Sheet1";"DCF","DOWNSIDE CASE",FALSE,"Sheet1"}</definedName>
    <definedName name="wrn.OUTPUT._2" localSheetId="8" hidden="1">{"DCF","UPSIDE CASE",FALSE,"Sheet1";"DCF","BASE CASE",FALSE,"Sheet1";"DCF","DOWNSIDE CASE",FALSE,"Sheet1"}</definedName>
    <definedName name="wrn.OUTPUT._2" localSheetId="5" hidden="1">{"DCF","UPSIDE CASE",FALSE,"Sheet1";"DCF","BASE CASE",FALSE,"Sheet1";"DCF","DOWNSIDE CASE",FALSE,"Sheet1"}</definedName>
    <definedName name="wrn.OUTPUT._2" hidden="1">{"DCF","UPSIDE CASE",FALSE,"Sheet1";"DCF","BASE CASE",FALSE,"Sheet1";"DCF","DOWNSIDE CASE",FALSE,"Sheet1"}</definedName>
    <definedName name="wrn.OUTPUT._3" localSheetId="8" hidden="1">{"DCF","UPSIDE CASE",FALSE,"Sheet1";"DCF","BASE CASE",FALSE,"Sheet1";"DCF","DOWNSIDE CASE",FALSE,"Sheet1"}</definedName>
    <definedName name="wrn.OUTPUT._3" localSheetId="5" hidden="1">{"DCF","UPSIDE CASE",FALSE,"Sheet1";"DCF","BASE CASE",FALSE,"Sheet1";"DCF","DOWNSIDE CASE",FALSE,"Sheet1"}</definedName>
    <definedName name="wrn.OUTPUT._3" hidden="1">{"DCF","UPSIDE CASE",FALSE,"Sheet1";"DCF","BASE CASE",FALSE,"Sheet1";"DCF","DOWNSIDE CASE",FALSE,"Sheet1"}</definedName>
    <definedName name="wrn.Placer._.Dome." localSheetId="8" hidden="1">{"Placer Dome Mines",#N/A,FALSE,"PDG";"Placer Dome Summary",#N/A,FALSE,"PDG"}</definedName>
    <definedName name="wrn.Placer._.Dome." localSheetId="5" hidden="1">{"Placer Dome Mines",#N/A,FALSE,"PDG";"Placer Dome Summary",#N/A,FALSE,"PDG"}</definedName>
    <definedName name="wrn.Placer._.Dome." hidden="1">{"Placer Dome Mines",#N/A,FALSE,"PDG";"Placer Dome Summary",#N/A,FALSE,"PDG"}</definedName>
    <definedName name="wrn.Presentation." localSheetId="8" hidden="1">{#N/A,#N/A,TRUE,"Cover";#N/A,#N/A,TRUE,"Sum";#N/A,#N/A,TRUE,"SubsRev";#N/A,#N/A,TRUE,"CapEx";#N/A,#N/A,TRUE,"OpEx";#N/A,#N/A,TRUE,"SUs";#N/A,#N/A,TRUE,"OrgChart";#N/A,#N/A,TRUE,"Staff";#N/A,#N/A,TRUE,"P&amp;L";#N/A,#N/A,TRUE,"Cash";#N/A,#N/A,TRUE,"BS";#N/A,#N/A,TRUE,"Valuation";#N/A,#N/A,TRUE,"CapEx-Assumptions";#N/A,#N/A,TRUE,"OpEx-Assumptions"}</definedName>
    <definedName name="wrn.Presentation." localSheetId="5" hidden="1">{#N/A,#N/A,TRUE,"Cover";#N/A,#N/A,TRUE,"Sum";#N/A,#N/A,TRUE,"SubsRev";#N/A,#N/A,TRUE,"CapEx";#N/A,#N/A,TRUE,"OpEx";#N/A,#N/A,TRUE,"SUs";#N/A,#N/A,TRUE,"OrgChart";#N/A,#N/A,TRUE,"Staff";#N/A,#N/A,TRUE,"P&amp;L";#N/A,#N/A,TRUE,"Cash";#N/A,#N/A,TRUE,"BS";#N/A,#N/A,TRUE,"Valuation";#N/A,#N/A,TRUE,"CapEx-Assumptions";#N/A,#N/A,TRUE,"OpEx-Assumptions"}</definedName>
    <definedName name="wrn.Presentation." hidden="1">{#N/A,#N/A,TRUE,"Cover";#N/A,#N/A,TRUE,"Sum";#N/A,#N/A,TRUE,"SubsRev";#N/A,#N/A,TRUE,"CapEx";#N/A,#N/A,TRUE,"OpEx";#N/A,#N/A,TRUE,"SUs";#N/A,#N/A,TRUE,"OrgChart";#N/A,#N/A,TRUE,"Staff";#N/A,#N/A,TRUE,"P&amp;L";#N/A,#N/A,TRUE,"Cash";#N/A,#N/A,TRUE,"BS";#N/A,#N/A,TRUE,"Valuation";#N/A,#N/A,TRUE,"CapEx-Assumptions";#N/A,#N/A,TRUE,"OpEx-Assumptions"}</definedName>
    <definedName name="wrn.presentation2" localSheetId="8" hidden="1">{#N/A,#N/A,TRUE,"Cover";#N/A,#N/A,TRUE,"Sum";#N/A,#N/A,TRUE,"SubsRev";#N/A,#N/A,TRUE,"CapEx";#N/A,#N/A,TRUE,"OpEx";#N/A,#N/A,TRUE,"SUs";#N/A,#N/A,TRUE,"OrgChart";#N/A,#N/A,TRUE,"Staff";#N/A,#N/A,TRUE,"P&amp;L";#N/A,#N/A,TRUE,"Cash";#N/A,#N/A,TRUE,"BS";#N/A,#N/A,TRUE,"Valuation";#N/A,#N/A,TRUE,"CapEx-Assumptions";#N/A,#N/A,TRUE,"OpEx-Assumptions"}</definedName>
    <definedName name="wrn.presentation2" localSheetId="5" hidden="1">{#N/A,#N/A,TRUE,"Cover";#N/A,#N/A,TRUE,"Sum";#N/A,#N/A,TRUE,"SubsRev";#N/A,#N/A,TRUE,"CapEx";#N/A,#N/A,TRUE,"OpEx";#N/A,#N/A,TRUE,"SUs";#N/A,#N/A,TRUE,"OrgChart";#N/A,#N/A,TRUE,"Staff";#N/A,#N/A,TRUE,"P&amp;L";#N/A,#N/A,TRUE,"Cash";#N/A,#N/A,TRUE,"BS";#N/A,#N/A,TRUE,"Valuation";#N/A,#N/A,TRUE,"CapEx-Assumptions";#N/A,#N/A,TRUE,"OpEx-Assumptions"}</definedName>
    <definedName name="wrn.presentation2" hidden="1">{#N/A,#N/A,TRUE,"Cover";#N/A,#N/A,TRUE,"Sum";#N/A,#N/A,TRUE,"SubsRev";#N/A,#N/A,TRUE,"CapEx";#N/A,#N/A,TRUE,"OpEx";#N/A,#N/A,TRUE,"SUs";#N/A,#N/A,TRUE,"OrgChart";#N/A,#N/A,TRUE,"Staff";#N/A,#N/A,TRUE,"P&amp;L";#N/A,#N/A,TRUE,"Cash";#N/A,#N/A,TRUE,"BS";#N/A,#N/A,TRUE,"Valuation";#N/A,#N/A,TRUE,"CapEx-Assumptions";#N/A,#N/A,TRUE,"OpEx-Assumptions"}</definedName>
    <definedName name="wrn.print" localSheetId="8" hidden="1">{#N/A,#N/A,FALSE,"Trading-Mult ";#N/A,#N/A,FALSE,"Trading-Cap";#N/A,#N/A,FALSE,"Trading-Inc";#N/A,#N/A,FALSE,"Cash Flow";#N/A,#N/A,FALSE,"M&amp;A info"}</definedName>
    <definedName name="wrn.print" localSheetId="5" hidden="1">{#N/A,#N/A,FALSE,"Trading-Mult ";#N/A,#N/A,FALSE,"Trading-Cap";#N/A,#N/A,FALSE,"Trading-Inc";#N/A,#N/A,FALSE,"Cash Flow";#N/A,#N/A,FALSE,"M&amp;A info"}</definedName>
    <definedName name="wrn.print" hidden="1">{#N/A,#N/A,FALSE,"Trading-Mult ";#N/A,#N/A,FALSE,"Trading-Cap";#N/A,#N/A,FALSE,"Trading-Inc";#N/A,#N/A,FALSE,"Cash Flow";#N/A,#N/A,FALSE,"M&amp;A info"}</definedName>
    <definedName name="wrn.Print." localSheetId="8" hidden="1">{#N/A,#N/A,FALSE,"Trading-Mult ";#N/A,#N/A,FALSE,"Trading-Cap";#N/A,#N/A,FALSE,"Trading-Inc";#N/A,#N/A,FALSE,"Cash Flow";#N/A,#N/A,FALSE,"M&amp;A info"}</definedName>
    <definedName name="wrn.Print." localSheetId="5" hidden="1">{#N/A,#N/A,FALSE,"Trading-Mult ";#N/A,#N/A,FALSE,"Trading-Cap";#N/A,#N/A,FALSE,"Trading-Inc";#N/A,#N/A,FALSE,"Cash Flow";#N/A,#N/A,FALSE,"M&amp;A info"}</definedName>
    <definedName name="wrn.Print." hidden="1">{#N/A,#N/A,FALSE,"Trading-Mult ";#N/A,#N/A,FALSE,"Trading-Cap";#N/A,#N/A,FALSE,"Trading-Inc";#N/A,#N/A,FALSE,"Cash Flow";#N/A,#N/A,FALSE,"M&amp;A info"}</definedName>
    <definedName name="wrn.PrintCap." localSheetId="8" hidden="1">{"page1",#N/A,FALSE,"Capital";"page2",#N/A,FALSE,"Capital";"page3",#N/A,FALSE,"Capital"}</definedName>
    <definedName name="wrn.PrintCap." localSheetId="5" hidden="1">{"page1",#N/A,FALSE,"Capital";"page2",#N/A,FALSE,"Capital";"page3",#N/A,FALSE,"Capital"}</definedName>
    <definedName name="wrn.PrintCap." hidden="1">{"page1",#N/A,FALSE,"Capital";"page2",#N/A,FALSE,"Capital";"page3",#N/A,FALSE,"Capital"}</definedName>
    <definedName name="wrn.SBEI." localSheetId="8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wrn.SBEI." localSheetId="5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wrn.SBEI.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wrn.Sm_Bus_Char." localSheetId="8" hidden="1">{#N/A,#N/A,TRUE,"Self_Emp_inv";#N/A,#N/A,TRUE,"Self_Emp_bus";#N/A,#N/A,TRUE,"Employees";#N/A,#N/A,TRUE,"Empl_Char";#N/A,#N/A,TRUE,"Empl_Age";#N/A,#N/A,TRUE,"Empl_Educ";#N/A,#N/A,TRUE,"Empl_Loc";#N/A,#N/A,TRUE,"Empl_Fin_Asst";#N/A,#N/A,TRUE,"Empl_Pens";#N/A,#N/A,TRUE,"Empl_Health"}</definedName>
    <definedName name="wrn.Sm_Bus_Char." localSheetId="5" hidden="1">{#N/A,#N/A,TRUE,"Self_Emp_inv";#N/A,#N/A,TRUE,"Self_Emp_bus";#N/A,#N/A,TRUE,"Employees";#N/A,#N/A,TRUE,"Empl_Char";#N/A,#N/A,TRUE,"Empl_Age";#N/A,#N/A,TRUE,"Empl_Educ";#N/A,#N/A,TRUE,"Empl_Loc";#N/A,#N/A,TRUE,"Empl_Fin_Asst";#N/A,#N/A,TRUE,"Empl_Pens";#N/A,#N/A,TRUE,"Empl_Health"}</definedName>
    <definedName name="wrn.Sm_Bus_Char." hidden="1">{#N/A,#N/A,TRUE,"Self_Emp_inv";#N/A,#N/A,TRUE,"Self_Emp_bus";#N/A,#N/A,TRUE,"Employees";#N/A,#N/A,TRUE,"Empl_Char";#N/A,#N/A,TRUE,"Empl_Age";#N/A,#N/A,TRUE,"Empl_Educ";#N/A,#N/A,TRUE,"Empl_Loc";#N/A,#N/A,TRUE,"Empl_Fin_Asst";#N/A,#N/A,TRUE,"Empl_Pens";#N/A,#N/A,TRUE,"Empl_Health"}</definedName>
    <definedName name="wrn.STAND_ALONE_BOTH." localSheetId="8" hidden="1">{"FCB_ALL",#N/A,FALSE,"FCB";"GREY_ALL",#N/A,FALSE,"GREY"}</definedName>
    <definedName name="wrn.STAND_ALONE_BOTH." localSheetId="5" hidden="1">{"FCB_ALL",#N/A,FALSE,"FCB";"GREY_ALL",#N/A,FALSE,"GREY"}</definedName>
    <definedName name="wrn.STAND_ALONE_BOTH." hidden="1">{"FCB_ALL",#N/A,FALSE,"FCB";"GREY_ALL",#N/A,FALSE,"GREY"}</definedName>
    <definedName name="wrn.Summary." localSheetId="8" hidden="1">{#N/A,#N/A,FALSE,"Inputs - Prices &amp; Forecasts"}</definedName>
    <definedName name="wrn.Summary." localSheetId="5" hidden="1">{#N/A,#N/A,FALSE,"Inputs - Prices &amp; Forecasts"}</definedName>
    <definedName name="wrn.Summary." hidden="1">{#N/A,#N/A,FALSE,"Inputs - Prices &amp; Forecasts"}</definedName>
    <definedName name="wrn.Summary._.with._.short._.outputs." localSheetId="8" hidden="1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name="wrn.Summary._.with._.short._.outputs." localSheetId="5" hidden="1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name="wrn.Summary._.with._.short._.outputs." hidden="1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name="wrn.SUNRISE." localSheetId="8" hidden="1">{#N/A,#N/A,TRUE,"income statement";#N/A,#N/A,TRUE,"balance sheet";#N/A,#N/A,TRUE,"cash flow";#N/A,#N/A,TRUE,"borrowing base";#N/A,#N/A,TRUE,"primary assumptions";#N/A,#N/A,TRUE,"finishing assumptions";#N/A,#N/A,TRUE,"sales summary";#N/A,#N/A,TRUE,"costs per ton";#N/A,#N/A,TRUE,"Coke";#N/A,#N/A,TRUE,"coke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conversion";#N/A,#N/A,TRUE,"Stbnvl";#N/A,#N/A,TRUE,"Allenport";#N/A,#N/A,TRUE,"Yorkville";#N/A,#N/A,TRUE,"MF";#N/A,#N/A,TRUE,"WCC"}</definedName>
    <definedName name="wrn.SUNRISE." localSheetId="5" hidden="1">{#N/A,#N/A,TRUE,"income statement";#N/A,#N/A,TRUE,"balance sheet";#N/A,#N/A,TRUE,"cash flow";#N/A,#N/A,TRUE,"borrowing base";#N/A,#N/A,TRUE,"primary assumptions";#N/A,#N/A,TRUE,"finishing assumptions";#N/A,#N/A,TRUE,"sales summary";#N/A,#N/A,TRUE,"costs per ton";#N/A,#N/A,TRUE,"Coke";#N/A,#N/A,TRUE,"coke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conversion";#N/A,#N/A,TRUE,"Stbnvl";#N/A,#N/A,TRUE,"Allenport";#N/A,#N/A,TRUE,"Yorkville";#N/A,#N/A,TRUE,"MF";#N/A,#N/A,TRUE,"WCC"}</definedName>
    <definedName name="wrn.SUNRISE." hidden="1">{#N/A,#N/A,TRUE,"income statement";#N/A,#N/A,TRUE,"balance sheet";#N/A,#N/A,TRUE,"cash flow";#N/A,#N/A,TRUE,"borrowing base";#N/A,#N/A,TRUE,"primary assumptions";#N/A,#N/A,TRUE,"finishing assumptions";#N/A,#N/A,TRUE,"sales summary";#N/A,#N/A,TRUE,"costs per ton";#N/A,#N/A,TRUE,"Coke";#N/A,#N/A,TRUE,"coke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conversion";#N/A,#N/A,TRUE,"Stbnvl";#N/A,#N/A,TRUE,"Allenport";#N/A,#N/A,TRUE,"Yorkville";#N/A,#N/A,TRUE,"MF";#N/A,#N/A,TRUE,"WCC"}</definedName>
    <definedName name="wrn.test." localSheetId="8" hidden="1">{"test2",#N/A,TRUE,"Prices"}</definedName>
    <definedName name="wrn.test." localSheetId="5" hidden="1">{"test2",#N/A,TRUE,"Prices"}</definedName>
    <definedName name="wrn.test." hidden="1">{"test2",#N/A,TRUE,"Prices"}</definedName>
    <definedName name="wrn.up." localSheetId="8" hidden="1">{"up stand alones",#N/A,FALSE,"Acquiror"}</definedName>
    <definedName name="wrn.up." localSheetId="5" hidden="1">{"up stand alones",#N/A,FALSE,"Acquiror"}</definedName>
    <definedName name="wrn.up." hidden="1">{"up stand alones",#N/A,FALSE,"Acquiror"}</definedName>
    <definedName name="wrn.zolfo._.package." localSheetId="8" hidden="1">{#N/A,#N/A,TRUE,"income statement";#N/A,#N/A,TRUE,"balance sheet";#N/A,#N/A,TRUE,"cash flow";#N/A,#N/A,TRUE,"primary assumptions";#N/A,#N/A,TRUE,"finishing assumptions";#N/A,#N/A,TRUE,"dist. assumptions";#N/A,#N/A,TRUE,"borrowing base";#N/A,#N/A,TRUE,"sales summary";#N/A,#N/A,TRUE,"costs per ton";#N/A,#N/A,TRUE,"cogs";#N/A,#N/A,TRUE,"Coke";#N/A,#N/A,TRUE,"coke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conversion";#N/A,#N/A,TRUE,"Stbnvl";#N/A,#N/A,TRUE,"stbvl pickler";#N/A,#N/A,TRUE,"stbvl 14";#N/A,#N/A,TRUE,"stbvl slitter";#N/A,#N/A,TRUE,"Allenport";#N/A,#N/A,TRUE,"alport pickler";#N/A,#N/A,TRUE,"alport tandem";#N/A,#N/A,TRUE,"alport anneal";#N/A,#N/A,TRUE,"alport temper";#N/A,#N/A,TRUE,"Yorkville";#N/A,#N/A,TRUE,"ykvl pickler";#N/A,#N/A,TRUE,"ykvl tandem";#N/A,#N/A,TRUE,"ykvl cont annel";#N/A,#N/A,TRUE,"ykvl washer";#N/A,#N/A,TRUE,"ykvl batch anneal";#N/A,#N/A,TRUE,"ykvl 8";#N/A,#N/A,TRUE,"ykvl 11";#N/A,#N/A,TRUE,"ykvl DR";#N/A,#N/A,TRUE,"MF";#N/A,#N/A,TRUE,"mf 36";#N/A,#N/A,TRUE,"mf 48";#N/A,#N/A,TRUE,"mf 60";#N/A,#N/A,TRUE,"Canfield";#N/A,#N/A,TRUE,"can eg";#N/A,#N/A,TRUE,"can paint";#N/A,#N/A,TRUE,"can oscilate";#N/A,#N/A,TRUE,"can slitter";#N/A,#N/A,TRUE,"WCC"}</definedName>
    <definedName name="wrn.zolfo._.package." localSheetId="5" hidden="1">{#N/A,#N/A,TRUE,"income statement";#N/A,#N/A,TRUE,"balance sheet";#N/A,#N/A,TRUE,"cash flow";#N/A,#N/A,TRUE,"primary assumptions";#N/A,#N/A,TRUE,"finishing assumptions";#N/A,#N/A,TRUE,"dist. assumptions";#N/A,#N/A,TRUE,"borrowing base";#N/A,#N/A,TRUE,"sales summary";#N/A,#N/A,TRUE,"costs per ton";#N/A,#N/A,TRUE,"cogs";#N/A,#N/A,TRUE,"Coke";#N/A,#N/A,TRUE,"coke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conversion";#N/A,#N/A,TRUE,"Stbnvl";#N/A,#N/A,TRUE,"stbvl pickler";#N/A,#N/A,TRUE,"stbvl 14";#N/A,#N/A,TRUE,"stbvl slitter";#N/A,#N/A,TRUE,"Allenport";#N/A,#N/A,TRUE,"alport pickler";#N/A,#N/A,TRUE,"alport tandem";#N/A,#N/A,TRUE,"alport anneal";#N/A,#N/A,TRUE,"alport temper";#N/A,#N/A,TRUE,"Yorkville";#N/A,#N/A,TRUE,"ykvl pickler";#N/A,#N/A,TRUE,"ykvl tandem";#N/A,#N/A,TRUE,"ykvl cont annel";#N/A,#N/A,TRUE,"ykvl washer";#N/A,#N/A,TRUE,"ykvl batch anneal";#N/A,#N/A,TRUE,"ykvl 8";#N/A,#N/A,TRUE,"ykvl 11";#N/A,#N/A,TRUE,"ykvl DR";#N/A,#N/A,TRUE,"MF";#N/A,#N/A,TRUE,"mf 36";#N/A,#N/A,TRUE,"mf 48";#N/A,#N/A,TRUE,"mf 60";#N/A,#N/A,TRUE,"Canfield";#N/A,#N/A,TRUE,"can eg";#N/A,#N/A,TRUE,"can paint";#N/A,#N/A,TRUE,"can oscilate";#N/A,#N/A,TRUE,"can slitter";#N/A,#N/A,TRUE,"WCC"}</definedName>
    <definedName name="wrn.zolfo._.package." hidden="1">{#N/A,#N/A,TRUE,"income statement";#N/A,#N/A,TRUE,"balance sheet";#N/A,#N/A,TRUE,"cash flow";#N/A,#N/A,TRUE,"primary assumptions";#N/A,#N/A,TRUE,"finishing assumptions";#N/A,#N/A,TRUE,"dist. assumptions";#N/A,#N/A,TRUE,"borrowing base";#N/A,#N/A,TRUE,"sales summary";#N/A,#N/A,TRUE,"costs per ton";#N/A,#N/A,TRUE,"cogs";#N/A,#N/A,TRUE,"Coke";#N/A,#N/A,TRUE,"coke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conversion";#N/A,#N/A,TRUE,"Stbnvl";#N/A,#N/A,TRUE,"stbvl pickler";#N/A,#N/A,TRUE,"stbvl 14";#N/A,#N/A,TRUE,"stbvl slitter";#N/A,#N/A,TRUE,"Allenport";#N/A,#N/A,TRUE,"alport pickler";#N/A,#N/A,TRUE,"alport tandem";#N/A,#N/A,TRUE,"alport anneal";#N/A,#N/A,TRUE,"alport temper";#N/A,#N/A,TRUE,"Yorkville";#N/A,#N/A,TRUE,"ykvl pickler";#N/A,#N/A,TRUE,"ykvl tandem";#N/A,#N/A,TRUE,"ykvl cont annel";#N/A,#N/A,TRUE,"ykvl washer";#N/A,#N/A,TRUE,"ykvl batch anneal";#N/A,#N/A,TRUE,"ykvl 8";#N/A,#N/A,TRUE,"ykvl 11";#N/A,#N/A,TRUE,"ykvl DR";#N/A,#N/A,TRUE,"MF";#N/A,#N/A,TRUE,"mf 36";#N/A,#N/A,TRUE,"mf 48";#N/A,#N/A,TRUE,"mf 60";#N/A,#N/A,TRUE,"Canfield";#N/A,#N/A,TRUE,"can eg";#N/A,#N/A,TRUE,"can paint";#N/A,#N/A,TRUE,"can oscilate";#N/A,#N/A,TRUE,"can slitter";#N/A,#N/A,TRUE,"WCC"}</definedName>
    <definedName name="ww_1" localSheetId="8" hidden="1">{"'vert'!$A$1:$T$117"}</definedName>
    <definedName name="ww_1" localSheetId="5" hidden="1">{"'vert'!$A$1:$T$117"}</definedName>
    <definedName name="ww_1" hidden="1">{"'vert'!$A$1:$T$117"}</definedName>
    <definedName name="ww_1_1" localSheetId="8" hidden="1">{"'vert'!$A$1:$T$117"}</definedName>
    <definedName name="ww_1_1" localSheetId="5" hidden="1">{"'vert'!$A$1:$T$117"}</definedName>
    <definedName name="ww_1_1" hidden="1">{"'vert'!$A$1:$T$117"}</definedName>
    <definedName name="ww_1_2" localSheetId="8" hidden="1">{"'vert'!$A$1:$T$117"}</definedName>
    <definedName name="ww_1_2" localSheetId="5" hidden="1">{"'vert'!$A$1:$T$117"}</definedName>
    <definedName name="ww_1_2" hidden="1">{"'vert'!$A$1:$T$117"}</definedName>
    <definedName name="ww_2" localSheetId="8" hidden="1">{"'vert'!$A$1:$T$117"}</definedName>
    <definedName name="ww_2" localSheetId="5" hidden="1">{"'vert'!$A$1:$T$117"}</definedName>
    <definedName name="ww_2" hidden="1">{"'vert'!$A$1:$T$117"}</definedName>
    <definedName name="ww_3" localSheetId="8" hidden="1">{"'vert'!$A$1:$T$117"}</definedName>
    <definedName name="ww_3" localSheetId="5" hidden="1">{"'vert'!$A$1:$T$117"}</definedName>
    <definedName name="ww_3" hidden="1">{"'vert'!$A$1:$T$117"}</definedName>
    <definedName name="wwww" localSheetId="8" hidden="1">{"'vert'!$A$1:$T$117"}</definedName>
    <definedName name="wwww" localSheetId="5" hidden="1">{"'vert'!$A$1:$T$117"}</definedName>
    <definedName name="wwww" hidden="1">{"'vert'!$A$1:$T$117"}</definedName>
    <definedName name="wxp">#REF!</definedName>
    <definedName name="x" localSheetId="8" hidden="1">{#N/A,#N/A,FALSE,"Sheet1"}</definedName>
    <definedName name="x" localSheetId="5" hidden="1">{#N/A,#N/A,FALSE,"Sheet1"}</definedName>
    <definedName name="x" hidden="1">{#N/A,#N/A,FALSE,"Sheet1"}</definedName>
    <definedName name="x1x" localSheetId="8" hidden="1">{"'vert'!$A$1:$T$117"}</definedName>
    <definedName name="x1x" localSheetId="5" hidden="1">{"'vert'!$A$1:$T$117"}</definedName>
    <definedName name="x1x" hidden="1">{"'vert'!$A$1:$T$117"}</definedName>
    <definedName name="xbasdf" localSheetId="8" hidden="1">{"'vert'!$A$1:$T$117"}</definedName>
    <definedName name="xbasdf" localSheetId="5" hidden="1">{"'vert'!$A$1:$T$117"}</definedName>
    <definedName name="xbasdf" hidden="1">{"'vert'!$A$1:$T$117"}</definedName>
    <definedName name="xx" localSheetId="8" hidden="1">{"'vert'!$A$1:$T$117"}</definedName>
    <definedName name="xx" localSheetId="5" hidden="1">{"'vert'!$A$1:$T$117"}</definedName>
    <definedName name="xx" hidden="1">{"'vert'!$A$1:$T$117"}</definedName>
    <definedName name="xxx" localSheetId="8" hidden="1">{"'vert'!$A$1:$T$117"}</definedName>
    <definedName name="xxx" localSheetId="5" hidden="1">{"'vert'!$A$1:$T$117"}</definedName>
    <definedName name="xxx" hidden="1">{"'vert'!$A$1:$T$117"}</definedName>
    <definedName name="xxx_1" localSheetId="8" hidden="1">{"'vert'!$A$1:$T$117"}</definedName>
    <definedName name="xxx_1" localSheetId="5" hidden="1">{"'vert'!$A$1:$T$117"}</definedName>
    <definedName name="xxx_1" hidden="1">{"'vert'!$A$1:$T$117"}</definedName>
    <definedName name="xxx_1_1" localSheetId="8" hidden="1">{"'vert'!$A$1:$T$117"}</definedName>
    <definedName name="xxx_1_1" localSheetId="5" hidden="1">{"'vert'!$A$1:$T$117"}</definedName>
    <definedName name="xxx_1_1" hidden="1">{"'vert'!$A$1:$T$117"}</definedName>
    <definedName name="xxx_1_1_1" localSheetId="8" hidden="1">{"'vert'!$A$1:$T$117"}</definedName>
    <definedName name="xxx_1_1_1" localSheetId="5" hidden="1">{"'vert'!$A$1:$T$117"}</definedName>
    <definedName name="xxx_1_1_1" hidden="1">{"'vert'!$A$1:$T$117"}</definedName>
    <definedName name="xxx_1_2" localSheetId="8" hidden="1">{"'vert'!$A$1:$T$117"}</definedName>
    <definedName name="xxx_1_2" localSheetId="5" hidden="1">{"'vert'!$A$1:$T$117"}</definedName>
    <definedName name="xxx_1_2" hidden="1">{"'vert'!$A$1:$T$117"}</definedName>
    <definedName name="xxx_2" localSheetId="8" hidden="1">{"'vert'!$A$1:$T$117"}</definedName>
    <definedName name="xxx_2" localSheetId="5" hidden="1">{"'vert'!$A$1:$T$117"}</definedName>
    <definedName name="xxx_2" hidden="1">{"'vert'!$A$1:$T$117"}</definedName>
    <definedName name="xxx_2_1" localSheetId="8" hidden="1">{"'vert'!$A$1:$T$117"}</definedName>
    <definedName name="xxx_2_1" localSheetId="5" hidden="1">{"'vert'!$A$1:$T$117"}</definedName>
    <definedName name="xxx_2_1" hidden="1">{"'vert'!$A$1:$T$117"}</definedName>
    <definedName name="xxx_2_1_1" localSheetId="8" hidden="1">{"'vert'!$A$1:$T$117"}</definedName>
    <definedName name="xxx_2_1_1" localSheetId="5" hidden="1">{"'vert'!$A$1:$T$117"}</definedName>
    <definedName name="xxx_2_1_1" hidden="1">{"'vert'!$A$1:$T$117"}</definedName>
    <definedName name="xxx_2_2" localSheetId="8" hidden="1">{"'vert'!$A$1:$T$117"}</definedName>
    <definedName name="xxx_2_2" localSheetId="5" hidden="1">{"'vert'!$A$1:$T$117"}</definedName>
    <definedName name="xxx_2_2" hidden="1">{"'vert'!$A$1:$T$117"}</definedName>
    <definedName name="xxx_3" localSheetId="8" hidden="1">{"'vert'!$A$1:$T$117"}</definedName>
    <definedName name="xxx_3" localSheetId="5" hidden="1">{"'vert'!$A$1:$T$117"}</definedName>
    <definedName name="xxx_3" hidden="1">{"'vert'!$A$1:$T$117"}</definedName>
    <definedName name="xxx_3_1" localSheetId="8" hidden="1">{"'vert'!$A$1:$T$117"}</definedName>
    <definedName name="xxx_3_1" localSheetId="5" hidden="1">{"'vert'!$A$1:$T$117"}</definedName>
    <definedName name="xxx_3_1" hidden="1">{"'vert'!$A$1:$T$117"}</definedName>
    <definedName name="xxx_4" localSheetId="8" hidden="1">{"'vert'!$A$1:$T$117"}</definedName>
    <definedName name="xxx_4" localSheetId="5" hidden="1">{"'vert'!$A$1:$T$117"}</definedName>
    <definedName name="xxx_4" hidden="1">{"'vert'!$A$1:$T$117"}</definedName>
    <definedName name="xyz" localSheetId="8" hidden="1">{"'vert'!$A$1:$T$117"}</definedName>
    <definedName name="xyz" localSheetId="5" hidden="1">{"'vert'!$A$1:$T$117"}</definedName>
    <definedName name="xyz" hidden="1">{"'vert'!$A$1:$T$117"}</definedName>
    <definedName name="y" localSheetId="8" hidden="1">{#N/A,#N/A,FALSE,"Sheet1"}</definedName>
    <definedName name="y" localSheetId="5" hidden="1">{#N/A,#N/A,FALSE,"Sheet1"}</definedName>
    <definedName name="y" hidden="1">{#N/A,#N/A,FALSE,"Sheet1"}</definedName>
    <definedName name="yo" localSheetId="8" hidden="1">{"'vert'!$A$1:$T$117"}</definedName>
    <definedName name="yo" localSheetId="5" hidden="1">{"'vert'!$A$1:$T$117"}</definedName>
    <definedName name="yo" hidden="1">{"'vert'!$A$1:$T$117"}</definedName>
    <definedName name="yy" localSheetId="8" hidden="1">{#N/A,#N/A,FALSE,"Sheet1"}</definedName>
    <definedName name="yy" localSheetId="5" hidden="1">{#N/A,#N/A,FALSE,"Sheet1"}</definedName>
    <definedName name="yy" hidden="1">{#N/A,#N/A,FALSE,"Sheet1"}</definedName>
    <definedName name="yy_1" localSheetId="8" hidden="1">{"'vert'!$A$1:$T$117"}</definedName>
    <definedName name="yy_1" localSheetId="5" hidden="1">{"'vert'!$A$1:$T$117"}</definedName>
    <definedName name="yy_1" hidden="1">{"'vert'!$A$1:$T$117"}</definedName>
    <definedName name="yy_1_1" localSheetId="8" hidden="1">{"'vert'!$A$1:$T$117"}</definedName>
    <definedName name="yy_1_1" localSheetId="5" hidden="1">{"'vert'!$A$1:$T$117"}</definedName>
    <definedName name="yy_1_1" hidden="1">{"'vert'!$A$1:$T$117"}</definedName>
    <definedName name="yy_1_2" localSheetId="8" hidden="1">{"'vert'!$A$1:$T$117"}</definedName>
    <definedName name="yy_1_2" localSheetId="5" hidden="1">{"'vert'!$A$1:$T$117"}</definedName>
    <definedName name="yy_1_2" hidden="1">{"'vert'!$A$1:$T$117"}</definedName>
    <definedName name="yy_2" localSheetId="8" hidden="1">{"'vert'!$A$1:$T$117"}</definedName>
    <definedName name="yy_2" localSheetId="5" hidden="1">{"'vert'!$A$1:$T$117"}</definedName>
    <definedName name="yy_2" hidden="1">{"'vert'!$A$1:$T$117"}</definedName>
    <definedName name="yy_3" localSheetId="8" hidden="1">{"'vert'!$A$1:$T$117"}</definedName>
    <definedName name="yy_3" localSheetId="5" hidden="1">{"'vert'!$A$1:$T$117"}</definedName>
    <definedName name="yy_3" hidden="1">{"'vert'!$A$1:$T$117"}</definedName>
    <definedName name="yyy" localSheetId="8" hidden="1">{"'vert'!$A$1:$T$117"}</definedName>
    <definedName name="yyy" localSheetId="5" hidden="1">{"'vert'!$A$1:$T$117"}</definedName>
    <definedName name="yyy" hidden="1">{"'vert'!$A$1:$T$117"}</definedName>
    <definedName name="yyy_1" localSheetId="8" hidden="1">{"'vert'!$A$1:$T$117"}</definedName>
    <definedName name="yyy_1" localSheetId="5" hidden="1">{"'vert'!$A$1:$T$117"}</definedName>
    <definedName name="yyy_1" hidden="1">{"'vert'!$A$1:$T$117"}</definedName>
    <definedName name="yyy_1_1" localSheetId="8" hidden="1">{"'vert'!$A$1:$T$117"}</definedName>
    <definedName name="yyy_1_1" localSheetId="5" hidden="1">{"'vert'!$A$1:$T$117"}</definedName>
    <definedName name="yyy_1_1" hidden="1">{"'vert'!$A$1:$T$117"}</definedName>
    <definedName name="yyy_1_2" localSheetId="8" hidden="1">{"'vert'!$A$1:$T$117"}</definedName>
    <definedName name="yyy_1_2" localSheetId="5" hidden="1">{"'vert'!$A$1:$T$117"}</definedName>
    <definedName name="yyy_1_2" hidden="1">{"'vert'!$A$1:$T$117"}</definedName>
    <definedName name="yyy_2" localSheetId="8" hidden="1">{"'vert'!$A$1:$T$117"}</definedName>
    <definedName name="yyy_2" localSheetId="5" hidden="1">{"'vert'!$A$1:$T$117"}</definedName>
    <definedName name="yyy_2" hidden="1">{"'vert'!$A$1:$T$117"}</definedName>
    <definedName name="yyy_3" localSheetId="8" hidden="1">{"'vert'!$A$1:$T$117"}</definedName>
    <definedName name="yyy_3" localSheetId="5" hidden="1">{"'vert'!$A$1:$T$117"}</definedName>
    <definedName name="yyy_3" hidden="1">{"'vert'!$A$1:$T$117"}</definedName>
    <definedName name="yyyyyyyyyyyyyyyyyyyyyyyyyyyyyyyyyyyyyyyyyyyyyyyyyyyyyyyyyyyyyyyyyyyyyyyyyyyyyyyyyyyyyyyyyyyyyyyyyyyyyyyyyyyyyyyyyyyyyyyyyyyyyyyyyyyyyyyyyyyyyyyyyyyyyyyyyyyyyyyyyy" hidden="1">#REF!</definedName>
    <definedName name="yyyyyyyyyyyyyyyyyyyyyyyyyyyyyyyyyyyyyyyyyyyyyyyyyyyyyyyyyyyyyyyyyyyyyyyyyyyyyyyyyyyyyyyyyyyyyyyyyyyyyyyyyyyyyyyyyyyyyyyyyyyyyyyyyyyyyyyyyyyyyyyyyyyyyyyyyyyyyyyyyyyyyyyyyyyyyyyyyyyyyyyyyyyyyyyyyyyyyyyyyyyyyyyyyyyyyyyyyyyyyyyyyyyyyyyyyyyyyyyyyyyyyyyyyyyyyyy" hidden="1">[8]merger!#REF!</definedName>
    <definedName name="z" localSheetId="8" hidden="1">{"'vert'!$A$1:$T$117"}</definedName>
    <definedName name="z" localSheetId="5" hidden="1">{"'vert'!$A$1:$T$117"}</definedName>
    <definedName name="z" hidden="1">{"'vert'!$A$1:$T$117"}</definedName>
    <definedName name="z_1" localSheetId="8" hidden="1">{"'vert'!$A$1:$T$117"}</definedName>
    <definedName name="z_1" localSheetId="5" hidden="1">{"'vert'!$A$1:$T$117"}</definedName>
    <definedName name="z_1" hidden="1">{"'vert'!$A$1:$T$117"}</definedName>
    <definedName name="z_1_1" localSheetId="8" hidden="1">{"'vert'!$A$1:$T$117"}</definedName>
    <definedName name="z_1_1" localSheetId="5" hidden="1">{"'vert'!$A$1:$T$117"}</definedName>
    <definedName name="z_1_1" hidden="1">{"'vert'!$A$1:$T$117"}</definedName>
    <definedName name="z_1_2" localSheetId="8" hidden="1">{"'vert'!$A$1:$T$117"}</definedName>
    <definedName name="z_1_2" localSheetId="5" hidden="1">{"'vert'!$A$1:$T$117"}</definedName>
    <definedName name="z_1_2" hidden="1">{"'vert'!$A$1:$T$117"}</definedName>
    <definedName name="z_2" localSheetId="8" hidden="1">{"'vert'!$A$1:$T$117"}</definedName>
    <definedName name="z_2" localSheetId="5" hidden="1">{"'vert'!$A$1:$T$117"}</definedName>
    <definedName name="z_2" hidden="1">{"'vert'!$A$1:$T$117"}</definedName>
    <definedName name="z_3" localSheetId="8" hidden="1">{"'vert'!$A$1:$T$117"}</definedName>
    <definedName name="z_3" localSheetId="5" hidden="1">{"'vert'!$A$1:$T$117"}</definedName>
    <definedName name="z_3" hidden="1">{"'vert'!$A$1:$T$117"}</definedName>
    <definedName name="zzz" localSheetId="8" hidden="1">{"'vert'!$A$1:$T$117"}</definedName>
    <definedName name="zzz" localSheetId="5" hidden="1">{"'vert'!$A$1:$T$117"}</definedName>
    <definedName name="zzz" hidden="1">{"'vert'!$A$1:$T$117"}</definedName>
    <definedName name="授权管理">OFFSET('[37]Categorty Definition'!$D$22,MATCH([37]Jan!$H1&amp;[37]Jan!$I1,'[37]Categorty Definition'!$B$22:$B$42&amp;'[37]Categorty Definition'!$C$22:$C$42,0)-1,,,10)</definedName>
    <definedName name="元データー" localSheetId="8" hidden="1">{"'vert'!$A$1:$T$117"}</definedName>
    <definedName name="元データー" localSheetId="5" hidden="1">{"'vert'!$A$1:$T$117"}</definedName>
    <definedName name="元データー" hidden="1">{"'vert'!$A$1:$T$117"}</definedName>
    <definedName name="元データー_1" localSheetId="8" hidden="1">{"'vert'!$A$1:$T$117"}</definedName>
    <definedName name="元データー_1" localSheetId="5" hidden="1">{"'vert'!$A$1:$T$117"}</definedName>
    <definedName name="元データー_1" hidden="1">{"'vert'!$A$1:$T$117"}</definedName>
    <definedName name="元データー_1_1" localSheetId="8" hidden="1">{"'vert'!$A$1:$T$117"}</definedName>
    <definedName name="元データー_1_1" localSheetId="5" hidden="1">{"'vert'!$A$1:$T$117"}</definedName>
    <definedName name="元データー_1_1" hidden="1">{"'vert'!$A$1:$T$117"}</definedName>
    <definedName name="元データー_1_1_1" localSheetId="8" hidden="1">{"'vert'!$A$1:$T$117"}</definedName>
    <definedName name="元データー_1_1_1" localSheetId="5" hidden="1">{"'vert'!$A$1:$T$117"}</definedName>
    <definedName name="元データー_1_1_1" hidden="1">{"'vert'!$A$1:$T$117"}</definedName>
    <definedName name="元データー_1_2" localSheetId="8" hidden="1">{"'vert'!$A$1:$T$117"}</definedName>
    <definedName name="元データー_1_2" localSheetId="5" hidden="1">{"'vert'!$A$1:$T$117"}</definedName>
    <definedName name="元データー_1_2" hidden="1">{"'vert'!$A$1:$T$117"}</definedName>
    <definedName name="元データー_2" localSheetId="8" hidden="1">{"'vert'!$A$1:$T$117"}</definedName>
    <definedName name="元データー_2" localSheetId="5" hidden="1">{"'vert'!$A$1:$T$117"}</definedName>
    <definedName name="元データー_2" hidden="1">{"'vert'!$A$1:$T$117"}</definedName>
    <definedName name="元データー_2_1" localSheetId="8" hidden="1">{"'vert'!$A$1:$T$117"}</definedName>
    <definedName name="元データー_2_1" localSheetId="5" hidden="1">{"'vert'!$A$1:$T$117"}</definedName>
    <definedName name="元データー_2_1" hidden="1">{"'vert'!$A$1:$T$117"}</definedName>
    <definedName name="元データー_2_1_1" localSheetId="8" hidden="1">{"'vert'!$A$1:$T$117"}</definedName>
    <definedName name="元データー_2_1_1" localSheetId="5" hidden="1">{"'vert'!$A$1:$T$117"}</definedName>
    <definedName name="元データー_2_1_1" hidden="1">{"'vert'!$A$1:$T$117"}</definedName>
    <definedName name="元データー_2_2" localSheetId="8" hidden="1">{"'vert'!$A$1:$T$117"}</definedName>
    <definedName name="元データー_2_2" localSheetId="5" hidden="1">{"'vert'!$A$1:$T$117"}</definedName>
    <definedName name="元データー_2_2" hidden="1">{"'vert'!$A$1:$T$117"}</definedName>
    <definedName name="元データー_3" localSheetId="8" hidden="1">{"'vert'!$A$1:$T$117"}</definedName>
    <definedName name="元データー_3" localSheetId="5" hidden="1">{"'vert'!$A$1:$T$117"}</definedName>
    <definedName name="元データー_3" hidden="1">{"'vert'!$A$1:$T$117"}</definedName>
    <definedName name="元データー_3_1" localSheetId="8" hidden="1">{"'vert'!$A$1:$T$117"}</definedName>
    <definedName name="元データー_3_1" localSheetId="5" hidden="1">{"'vert'!$A$1:$T$117"}</definedName>
    <definedName name="元データー_3_1" hidden="1">{"'vert'!$A$1:$T$117"}</definedName>
    <definedName name="元データー_4" localSheetId="8" hidden="1">{"'vert'!$A$1:$T$117"}</definedName>
    <definedName name="元データー_4" localSheetId="5" hidden="1">{"'vert'!$A$1:$T$117"}</definedName>
    <definedName name="元データー_4" hidden="1">{"'vert'!$A$1:$T$117"}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8" i="9" l="1"/>
  <c r="R38" i="9"/>
  <c r="Q38" i="9"/>
  <c r="P38" i="9"/>
  <c r="V37" i="9"/>
  <c r="S37" i="9"/>
  <c r="R37" i="9"/>
  <c r="Q37" i="9"/>
  <c r="P37" i="9"/>
  <c r="V36" i="9"/>
  <c r="S36" i="9"/>
  <c r="R36" i="9"/>
  <c r="Q36" i="9"/>
  <c r="S35" i="9"/>
  <c r="R35" i="9"/>
  <c r="Q35" i="9"/>
  <c r="P35" i="9"/>
  <c r="S34" i="9"/>
  <c r="R34" i="9"/>
  <c r="Q34" i="9"/>
  <c r="S33" i="9"/>
  <c r="R33" i="9"/>
  <c r="Q33" i="9"/>
  <c r="P33" i="9"/>
  <c r="V32" i="9"/>
  <c r="S32" i="9"/>
  <c r="R32" i="9"/>
  <c r="Q32" i="9"/>
  <c r="S31" i="9"/>
  <c r="R31" i="9"/>
  <c r="Q31" i="9"/>
  <c r="P31" i="9"/>
  <c r="S30" i="9"/>
  <c r="R30" i="9"/>
  <c r="Q30" i="9"/>
  <c r="P30" i="9"/>
  <c r="S29" i="9"/>
  <c r="R29" i="9"/>
  <c r="Q29" i="9"/>
  <c r="S28" i="9"/>
  <c r="R28" i="9"/>
  <c r="Q28" i="9"/>
  <c r="V27" i="9"/>
  <c r="V38" i="9" s="1"/>
  <c r="T27" i="9"/>
  <c r="T38" i="9" s="1"/>
  <c r="U38" i="9" s="1"/>
  <c r="P27" i="9"/>
  <c r="V26" i="9"/>
  <c r="T26" i="9"/>
  <c r="T37" i="9" s="1"/>
  <c r="U37" i="9" s="1"/>
  <c r="P26" i="9"/>
  <c r="V25" i="9"/>
  <c r="T25" i="9"/>
  <c r="T36" i="9" s="1"/>
  <c r="U36" i="9" s="1"/>
  <c r="P25" i="9"/>
  <c r="P36" i="9" s="1"/>
  <c r="V24" i="9"/>
  <c r="V35" i="9" s="1"/>
  <c r="T24" i="9"/>
  <c r="T35" i="9" s="1"/>
  <c r="U35" i="9" s="1"/>
  <c r="P24" i="9"/>
  <c r="V23" i="9"/>
  <c r="V34" i="9" s="1"/>
  <c r="T23" i="9"/>
  <c r="U23" i="9" s="1"/>
  <c r="P23" i="9"/>
  <c r="P34" i="9" s="1"/>
  <c r="V22" i="9"/>
  <c r="V33" i="9" s="1"/>
  <c r="T22" i="9"/>
  <c r="U22" i="9" s="1"/>
  <c r="P22" i="9"/>
  <c r="V21" i="9"/>
  <c r="T21" i="9"/>
  <c r="T32" i="9" s="1"/>
  <c r="U32" i="9" s="1"/>
  <c r="P21" i="9"/>
  <c r="V20" i="9"/>
  <c r="T20" i="9"/>
  <c r="U20" i="9" s="1"/>
  <c r="P20" i="9"/>
  <c r="V19" i="9"/>
  <c r="V30" i="9" s="1"/>
  <c r="T19" i="9"/>
  <c r="U19" i="9" s="1"/>
  <c r="P19" i="9"/>
  <c r="V18" i="9"/>
  <c r="V29" i="9" s="1"/>
  <c r="T18" i="9"/>
  <c r="T29" i="9" s="1"/>
  <c r="U29" i="9" s="1"/>
  <c r="P18" i="9"/>
  <c r="P29" i="9" s="1"/>
  <c r="V17" i="9"/>
  <c r="V28" i="9" s="1"/>
  <c r="T17" i="9"/>
  <c r="U17" i="9" s="1"/>
  <c r="P17" i="9"/>
  <c r="P28" i="9" s="1"/>
  <c r="V16" i="9"/>
  <c r="T16" i="9"/>
  <c r="U16" i="9" s="1"/>
  <c r="P16" i="9"/>
  <c r="V15" i="9"/>
  <c r="T15" i="9"/>
  <c r="U15" i="9" s="1"/>
  <c r="P15" i="9"/>
  <c r="V14" i="9"/>
  <c r="T14" i="9"/>
  <c r="U14" i="9" s="1"/>
  <c r="P14" i="9"/>
  <c r="V13" i="9"/>
  <c r="T13" i="9"/>
  <c r="U13" i="9" s="1"/>
  <c r="P13" i="9"/>
  <c r="V12" i="9"/>
  <c r="T12" i="9"/>
  <c r="U12" i="9" s="1"/>
  <c r="P12" i="9"/>
  <c r="V11" i="9"/>
  <c r="T11" i="9"/>
  <c r="U11" i="9" s="1"/>
  <c r="P11" i="9"/>
  <c r="V10" i="9"/>
  <c r="T10" i="9"/>
  <c r="U10" i="9" s="1"/>
  <c r="P10" i="9"/>
  <c r="P32" i="9" s="1"/>
  <c r="V9" i="9"/>
  <c r="V31" i="9" s="1"/>
  <c r="T9" i="9"/>
  <c r="T31" i="9" s="1"/>
  <c r="U31" i="9" s="1"/>
  <c r="P9" i="9"/>
  <c r="V8" i="9"/>
  <c r="T8" i="9"/>
  <c r="U8" i="9" s="1"/>
  <c r="P8" i="9"/>
  <c r="V7" i="9"/>
  <c r="T7" i="9"/>
  <c r="U7" i="9" s="1"/>
  <c r="P7" i="9"/>
  <c r="V6" i="9"/>
  <c r="T6" i="9"/>
  <c r="U6" i="9" s="1"/>
  <c r="P6" i="9"/>
  <c r="P5" i="8"/>
  <c r="U5" i="8"/>
  <c r="N7" i="8"/>
  <c r="O7" i="8"/>
  <c r="D9" i="8"/>
  <c r="D7" i="8" s="1"/>
  <c r="D8" i="8" s="1"/>
  <c r="E9" i="8"/>
  <c r="E15" i="8" s="1"/>
  <c r="F9" i="8"/>
  <c r="F15" i="8" s="1"/>
  <c r="G9" i="8"/>
  <c r="G7" i="8" s="1"/>
  <c r="G8" i="8" s="1"/>
  <c r="H9" i="8"/>
  <c r="H7" i="8" s="1"/>
  <c r="H8" i="8" s="1"/>
  <c r="I9" i="8"/>
  <c r="I15" i="8" s="1"/>
  <c r="J9" i="8"/>
  <c r="J7" i="8" s="1"/>
  <c r="K9" i="8"/>
  <c r="K7" i="8" s="1"/>
  <c r="K8" i="8" s="1"/>
  <c r="L9" i="8"/>
  <c r="L15" i="8" s="1"/>
  <c r="M9" i="8"/>
  <c r="M7" i="8" s="1"/>
  <c r="M8" i="8" s="1"/>
  <c r="N9" i="8"/>
  <c r="O9" i="8"/>
  <c r="R9" i="8"/>
  <c r="R15" i="8" s="1"/>
  <c r="S9" i="8"/>
  <c r="S15" i="8" s="1"/>
  <c r="T9" i="8"/>
  <c r="T7" i="8" s="1"/>
  <c r="T8" i="8" s="1"/>
  <c r="P11" i="8"/>
  <c r="U11" i="8"/>
  <c r="U9" i="8" s="1"/>
  <c r="P12" i="8"/>
  <c r="P9" i="8" s="1"/>
  <c r="U12" i="8"/>
  <c r="P13" i="8"/>
  <c r="U13" i="8"/>
  <c r="P14" i="8"/>
  <c r="U14" i="8"/>
  <c r="D15" i="8"/>
  <c r="H15" i="8"/>
  <c r="J15" i="8"/>
  <c r="O15" i="8"/>
  <c r="D16" i="8"/>
  <c r="D20" i="8" s="1"/>
  <c r="E16" i="8"/>
  <c r="E20" i="8" s="1"/>
  <c r="F16" i="8"/>
  <c r="F20" i="8" s="1"/>
  <c r="G16" i="8"/>
  <c r="H16" i="8"/>
  <c r="I16" i="8"/>
  <c r="J16" i="8"/>
  <c r="K16" i="8"/>
  <c r="K20" i="8" s="1"/>
  <c r="L16" i="8"/>
  <c r="L20" i="8" s="1"/>
  <c r="M16" i="8"/>
  <c r="N16" i="8"/>
  <c r="O16" i="8"/>
  <c r="P16" i="8"/>
  <c r="P20" i="8" s="1"/>
  <c r="R16" i="8"/>
  <c r="R20" i="8" s="1"/>
  <c r="S16" i="8"/>
  <c r="S20" i="8" s="1"/>
  <c r="T16" i="8"/>
  <c r="U17" i="8"/>
  <c r="U16" i="8" s="1"/>
  <c r="U20" i="8" s="1"/>
  <c r="U18" i="8"/>
  <c r="U19" i="8"/>
  <c r="G20" i="8"/>
  <c r="H20" i="8"/>
  <c r="I20" i="8"/>
  <c r="J20" i="8"/>
  <c r="M20" i="8"/>
  <c r="N20" i="8"/>
  <c r="O20" i="8"/>
  <c r="D21" i="8"/>
  <c r="D25" i="8" s="1"/>
  <c r="E21" i="8"/>
  <c r="E25" i="8" s="1"/>
  <c r="F21" i="8"/>
  <c r="G21" i="8"/>
  <c r="H21" i="8"/>
  <c r="H25" i="8" s="1"/>
  <c r="I21" i="8"/>
  <c r="I25" i="8" s="1"/>
  <c r="J21" i="8"/>
  <c r="J25" i="8" s="1"/>
  <c r="K21" i="8"/>
  <c r="L21" i="8"/>
  <c r="M21" i="8"/>
  <c r="N21" i="8"/>
  <c r="N25" i="8" s="1"/>
  <c r="O21" i="8"/>
  <c r="O25" i="8" s="1"/>
  <c r="P21" i="8"/>
  <c r="R21" i="8"/>
  <c r="R25" i="8" s="1"/>
  <c r="S21" i="8"/>
  <c r="T21" i="8"/>
  <c r="P22" i="8"/>
  <c r="U22" i="8"/>
  <c r="U21" i="8" s="1"/>
  <c r="P23" i="8"/>
  <c r="U23" i="8"/>
  <c r="P24" i="8"/>
  <c r="U24" i="8"/>
  <c r="F25" i="8"/>
  <c r="K25" i="8"/>
  <c r="S25" i="8"/>
  <c r="K28" i="8"/>
  <c r="L28" i="8"/>
  <c r="M28" i="8"/>
  <c r="Q28" i="8"/>
  <c r="D29" i="8"/>
  <c r="D28" i="8" s="1"/>
  <c r="E29" i="8"/>
  <c r="E28" i="8" s="1"/>
  <c r="F29" i="8"/>
  <c r="F28" i="8" s="1"/>
  <c r="G29" i="8"/>
  <c r="G28" i="8" s="1"/>
  <c r="H29" i="8"/>
  <c r="I29" i="8"/>
  <c r="J29" i="8"/>
  <c r="K29" i="8"/>
  <c r="L29" i="8"/>
  <c r="M29" i="8"/>
  <c r="M15" i="8" s="1"/>
  <c r="N29" i="8"/>
  <c r="N28" i="8" s="1"/>
  <c r="O29" i="8"/>
  <c r="O28" i="8" s="1"/>
  <c r="P29" i="8"/>
  <c r="P28" i="8" s="1"/>
  <c r="R29" i="8"/>
  <c r="R28" i="8" s="1"/>
  <c r="S29" i="8"/>
  <c r="S28" i="8" s="1"/>
  <c r="T29" i="8"/>
  <c r="T28" i="8" s="1"/>
  <c r="U30" i="8"/>
  <c r="U31" i="8"/>
  <c r="U29" i="8" s="1"/>
  <c r="U28" i="8" s="1"/>
  <c r="U32" i="8"/>
  <c r="U33" i="8"/>
  <c r="D34" i="8"/>
  <c r="E34" i="8"/>
  <c r="F34" i="8"/>
  <c r="G34" i="8"/>
  <c r="H34" i="8"/>
  <c r="H28" i="8" s="1"/>
  <c r="I34" i="8"/>
  <c r="I28" i="8" s="1"/>
  <c r="J34" i="8"/>
  <c r="J28" i="8" s="1"/>
  <c r="K34" i="8"/>
  <c r="L34" i="8"/>
  <c r="M34" i="8"/>
  <c r="N34" i="8"/>
  <c r="O34" i="8"/>
  <c r="P34" i="8"/>
  <c r="R34" i="8"/>
  <c r="S34" i="8"/>
  <c r="T34" i="8"/>
  <c r="T20" i="8" s="1"/>
  <c r="U35" i="8"/>
  <c r="U34" i="8" s="1"/>
  <c r="U36" i="8"/>
  <c r="U37" i="8"/>
  <c r="D38" i="8"/>
  <c r="E38" i="8"/>
  <c r="F38" i="8"/>
  <c r="G38" i="8"/>
  <c r="G25" i="8" s="1"/>
  <c r="H38" i="8"/>
  <c r="I38" i="8"/>
  <c r="J38" i="8"/>
  <c r="K38" i="8"/>
  <c r="L38" i="8"/>
  <c r="L25" i="8" s="1"/>
  <c r="M38" i="8"/>
  <c r="M25" i="8" s="1"/>
  <c r="N38" i="8"/>
  <c r="O38" i="8"/>
  <c r="R38" i="8"/>
  <c r="S38" i="8"/>
  <c r="T38" i="8"/>
  <c r="T25" i="8" s="1"/>
  <c r="P39" i="8"/>
  <c r="P38" i="8" s="1"/>
  <c r="U39" i="8"/>
  <c r="P40" i="8"/>
  <c r="U40" i="8"/>
  <c r="U38" i="8" s="1"/>
  <c r="P41" i="8"/>
  <c r="U41" i="8"/>
  <c r="K44" i="8"/>
  <c r="M45" i="8"/>
  <c r="J46" i="8"/>
  <c r="K46" i="8" s="1"/>
  <c r="K47" i="8"/>
  <c r="K48" i="8"/>
  <c r="K49" i="8"/>
  <c r="K50" i="8"/>
  <c r="J51" i="8"/>
  <c r="J62" i="8" s="1"/>
  <c r="K62" i="8" s="1"/>
  <c r="K52" i="8"/>
  <c r="K53" i="8"/>
  <c r="K54" i="8"/>
  <c r="K55" i="8"/>
  <c r="D56" i="8"/>
  <c r="E56" i="8"/>
  <c r="G56" i="8"/>
  <c r="H56" i="8"/>
  <c r="I56" i="8"/>
  <c r="D57" i="8"/>
  <c r="E57" i="8"/>
  <c r="G57" i="8"/>
  <c r="H57" i="8"/>
  <c r="I57" i="8"/>
  <c r="D58" i="8"/>
  <c r="E58" i="8"/>
  <c r="G58" i="8"/>
  <c r="H58" i="8"/>
  <c r="I58" i="8"/>
  <c r="J58" i="8"/>
  <c r="K58" i="8" s="1"/>
  <c r="D59" i="8"/>
  <c r="E59" i="8"/>
  <c r="G59" i="8"/>
  <c r="H59" i="8"/>
  <c r="I59" i="8"/>
  <c r="J59" i="8"/>
  <c r="K59" i="8" s="1"/>
  <c r="D60" i="8"/>
  <c r="E60" i="8"/>
  <c r="K60" i="8" s="1"/>
  <c r="G60" i="8"/>
  <c r="H60" i="8"/>
  <c r="I60" i="8"/>
  <c r="J60" i="8"/>
  <c r="D61" i="8"/>
  <c r="E61" i="8"/>
  <c r="G61" i="8"/>
  <c r="H61" i="8"/>
  <c r="I61" i="8"/>
  <c r="J61" i="8"/>
  <c r="K61" i="8"/>
  <c r="D62" i="8"/>
  <c r="E62" i="8"/>
  <c r="G62" i="8"/>
  <c r="H62" i="8"/>
  <c r="I62" i="8"/>
  <c r="D63" i="8"/>
  <c r="E63" i="8"/>
  <c r="G63" i="8"/>
  <c r="H63" i="8"/>
  <c r="I63" i="8"/>
  <c r="J63" i="8"/>
  <c r="K63" i="8"/>
  <c r="D64" i="8"/>
  <c r="E64" i="8"/>
  <c r="G64" i="8"/>
  <c r="H64" i="8"/>
  <c r="I64" i="8"/>
  <c r="J64" i="8"/>
  <c r="K64" i="8"/>
  <c r="D65" i="8"/>
  <c r="E65" i="8"/>
  <c r="G65" i="8"/>
  <c r="H65" i="8"/>
  <c r="I65" i="8"/>
  <c r="J65" i="8"/>
  <c r="K65" i="8" s="1"/>
  <c r="D66" i="8"/>
  <c r="E66" i="8"/>
  <c r="G66" i="8"/>
  <c r="H66" i="8"/>
  <c r="I66" i="8"/>
  <c r="J66" i="8"/>
  <c r="K66" i="8"/>
  <c r="D67" i="8"/>
  <c r="E67" i="8"/>
  <c r="H67" i="8"/>
  <c r="J67" i="8" s="1"/>
  <c r="K67" i="8" s="1"/>
  <c r="I67" i="8"/>
  <c r="J68" i="8"/>
  <c r="K68" i="8"/>
  <c r="J69" i="8"/>
  <c r="K69" i="8"/>
  <c r="U9" i="9" l="1"/>
  <c r="U24" i="9"/>
  <c r="T34" i="9"/>
  <c r="U34" i="9" s="1"/>
  <c r="T33" i="9"/>
  <c r="U33" i="9" s="1"/>
  <c r="U26" i="9"/>
  <c r="T30" i="9"/>
  <c r="U30" i="9" s="1"/>
  <c r="U18" i="9"/>
  <c r="U27" i="9"/>
  <c r="U25" i="9"/>
  <c r="T28" i="9"/>
  <c r="U28" i="9" s="1"/>
  <c r="U21" i="9"/>
  <c r="J8" i="8"/>
  <c r="P25" i="8"/>
  <c r="P7" i="8"/>
  <c r="P8" i="8" s="1"/>
  <c r="P15" i="8"/>
  <c r="U15" i="8"/>
  <c r="U7" i="8"/>
  <c r="U8" i="8" s="1"/>
  <c r="O8" i="8"/>
  <c r="U25" i="8"/>
  <c r="N8" i="8"/>
  <c r="N15" i="8"/>
  <c r="J45" i="8"/>
  <c r="L7" i="8"/>
  <c r="L8" i="8" s="1"/>
  <c r="K51" i="8"/>
  <c r="K15" i="8"/>
  <c r="J57" i="8"/>
  <c r="K57" i="8" s="1"/>
  <c r="I7" i="8"/>
  <c r="I8" i="8" s="1"/>
  <c r="T15" i="8"/>
  <c r="G15" i="8"/>
  <c r="S7" i="8"/>
  <c r="S8" i="8" s="1"/>
  <c r="F7" i="8"/>
  <c r="F8" i="8" s="1"/>
  <c r="R7" i="8"/>
  <c r="R8" i="8" s="1"/>
  <c r="E7" i="8"/>
  <c r="E8" i="8" s="1"/>
  <c r="J56" i="8" l="1"/>
  <c r="K56" i="8" s="1"/>
  <c r="K45" i="8"/>
  <c r="G54" i="4" l="1"/>
  <c r="F54" i="4"/>
  <c r="E54" i="4"/>
  <c r="D54" i="4"/>
  <c r="C54" i="4"/>
  <c r="H53" i="4"/>
  <c r="G53" i="4"/>
  <c r="H52" i="4"/>
  <c r="G52" i="4"/>
  <c r="H51" i="4"/>
  <c r="G51" i="4"/>
  <c r="H50" i="4"/>
  <c r="G50" i="4"/>
  <c r="H49" i="4"/>
  <c r="G49" i="4"/>
  <c r="H48" i="4"/>
  <c r="G48" i="4"/>
  <c r="H47" i="4"/>
  <c r="G47" i="4"/>
  <c r="H46" i="4"/>
  <c r="G46" i="4"/>
  <c r="H38" i="4"/>
  <c r="G38" i="4"/>
  <c r="H30" i="4"/>
  <c r="G30" i="4"/>
  <c r="H29" i="4"/>
  <c r="G29" i="4"/>
  <c r="H28" i="4"/>
  <c r="G28" i="4"/>
  <c r="H27" i="4"/>
  <c r="G27" i="4"/>
  <c r="H26" i="4"/>
  <c r="G26" i="4"/>
  <c r="F26" i="4"/>
  <c r="E26" i="4"/>
  <c r="D26" i="4"/>
  <c r="C26" i="4"/>
  <c r="H25" i="4"/>
  <c r="G25" i="4"/>
  <c r="F25" i="4"/>
  <c r="E25" i="4"/>
  <c r="D25" i="4"/>
  <c r="C25" i="4"/>
  <c r="H24" i="4"/>
  <c r="G24" i="4"/>
  <c r="F24" i="4"/>
  <c r="E24" i="4"/>
  <c r="D24" i="4"/>
  <c r="C24" i="4"/>
  <c r="H23" i="4"/>
  <c r="G23" i="4"/>
  <c r="F23" i="4"/>
  <c r="E23" i="4"/>
  <c r="D23" i="4"/>
  <c r="C23" i="4"/>
  <c r="H22" i="4"/>
  <c r="G22" i="4"/>
  <c r="F22" i="4"/>
  <c r="E22" i="4"/>
  <c r="D22" i="4"/>
  <c r="C22" i="4"/>
  <c r="H14" i="4"/>
  <c r="G14" i="4"/>
  <c r="F14" i="4"/>
  <c r="E14" i="4"/>
  <c r="D14" i="4"/>
  <c r="C14" i="4"/>
  <c r="H6" i="4"/>
  <c r="G6" i="4"/>
  <c r="F6" i="4"/>
  <c r="E6" i="4"/>
  <c r="D6" i="4"/>
  <c r="C6" i="4"/>
  <c r="V32" i="1"/>
  <c r="U32" i="1"/>
  <c r="T32" i="1"/>
  <c r="S32" i="1"/>
  <c r="P32" i="1"/>
  <c r="O32" i="1"/>
  <c r="N32" i="1"/>
  <c r="M32" i="1"/>
  <c r="L32" i="1"/>
  <c r="K32" i="1"/>
  <c r="J32" i="1"/>
  <c r="I32" i="1"/>
  <c r="Q32" i="1" s="1"/>
  <c r="Q31" i="1"/>
  <c r="Q30" i="1"/>
  <c r="Q29" i="1"/>
  <c r="Q26" i="1"/>
  <c r="X25" i="1"/>
  <c r="P25" i="1"/>
  <c r="P24" i="1" s="1"/>
  <c r="V24" i="1"/>
  <c r="T24" i="1"/>
  <c r="O24" i="1"/>
  <c r="N24" i="1"/>
  <c r="M24" i="1"/>
  <c r="L24" i="1"/>
  <c r="K24" i="1"/>
  <c r="J24" i="1"/>
  <c r="I24" i="1"/>
  <c r="H24" i="1"/>
  <c r="G24" i="1"/>
  <c r="F24" i="1"/>
  <c r="E24" i="1"/>
  <c r="Q22" i="1"/>
  <c r="Q21" i="1"/>
  <c r="V20" i="1"/>
  <c r="T20" i="1"/>
  <c r="P20" i="1"/>
  <c r="O20" i="1"/>
  <c r="N20" i="1"/>
  <c r="M20" i="1"/>
  <c r="L20" i="1"/>
  <c r="K20" i="1"/>
  <c r="J20" i="1"/>
  <c r="I20" i="1"/>
  <c r="H20" i="1"/>
  <c r="Q20" i="1" s="1"/>
  <c r="G20" i="1"/>
  <c r="E20" i="1"/>
  <c r="Q18" i="1"/>
  <c r="P17" i="1"/>
  <c r="Q17" i="1" s="1"/>
  <c r="V16" i="1"/>
  <c r="T16" i="1"/>
  <c r="O16" i="1"/>
  <c r="N16" i="1"/>
  <c r="M16" i="1"/>
  <c r="L16" i="1"/>
  <c r="K16" i="1"/>
  <c r="J16" i="1"/>
  <c r="I16" i="1"/>
  <c r="H16" i="1"/>
  <c r="G16" i="1"/>
  <c r="F16" i="1"/>
  <c r="E16" i="1"/>
  <c r="Q14" i="1"/>
  <c r="P13" i="1"/>
  <c r="P12" i="1" s="1"/>
  <c r="V12" i="1"/>
  <c r="T12" i="1"/>
  <c r="O12" i="1"/>
  <c r="N12" i="1"/>
  <c r="M12" i="1"/>
  <c r="L12" i="1"/>
  <c r="K12" i="1"/>
  <c r="J12" i="1"/>
  <c r="I12" i="1"/>
  <c r="H12" i="1"/>
  <c r="G12" i="1"/>
  <c r="F12" i="1"/>
  <c r="E12" i="1"/>
  <c r="Q10" i="1"/>
  <c r="P9" i="1"/>
  <c r="Q9" i="1" s="1"/>
  <c r="V8" i="1"/>
  <c r="T8" i="1"/>
  <c r="O8" i="1"/>
  <c r="N8" i="1"/>
  <c r="M8" i="1"/>
  <c r="L8" i="1"/>
  <c r="K8" i="1"/>
  <c r="J8" i="1"/>
  <c r="I8" i="1"/>
  <c r="H8" i="1"/>
  <c r="G8" i="1"/>
  <c r="F8" i="1"/>
  <c r="E8" i="1"/>
  <c r="Q6" i="1"/>
  <c r="P5" i="1"/>
  <c r="P4" i="1" s="1"/>
  <c r="V4" i="1"/>
  <c r="T4" i="1"/>
  <c r="S4" i="1"/>
  <c r="O4" i="1"/>
  <c r="N4" i="1"/>
  <c r="M4" i="1"/>
  <c r="L4" i="1"/>
  <c r="K4" i="1"/>
  <c r="J4" i="1"/>
  <c r="I4" i="1"/>
  <c r="H4" i="1"/>
  <c r="G4" i="1"/>
  <c r="F4" i="1"/>
  <c r="E4" i="1"/>
  <c r="Q4" i="1" s="1"/>
  <c r="BC19" i="5"/>
  <c r="BB19" i="5"/>
  <c r="BA19" i="5"/>
  <c r="AZ19" i="5"/>
  <c r="AY19" i="5"/>
  <c r="AX19" i="5"/>
  <c r="AW19" i="5"/>
  <c r="AV19" i="5"/>
  <c r="AU19" i="5"/>
  <c r="AT19" i="5"/>
  <c r="AS19" i="5"/>
  <c r="AR19" i="5"/>
  <c r="AQ19" i="5"/>
  <c r="AP19" i="5"/>
  <c r="AO19" i="5"/>
  <c r="AN19" i="5"/>
  <c r="AM19" i="5"/>
  <c r="AL19" i="5"/>
  <c r="AK19" i="5"/>
  <c r="AJ19" i="5"/>
  <c r="AI19" i="5"/>
  <c r="AH19" i="5"/>
  <c r="AG19" i="5"/>
  <c r="AF19" i="5"/>
  <c r="AE19" i="5"/>
  <c r="AD19" i="5"/>
  <c r="AC19" i="5"/>
  <c r="AB19" i="5"/>
  <c r="AA19" i="5"/>
  <c r="Z19" i="5"/>
  <c r="Y19" i="5"/>
  <c r="X19" i="5"/>
  <c r="W19" i="5"/>
  <c r="V19" i="5"/>
  <c r="U19" i="5"/>
  <c r="T19" i="5"/>
  <c r="S19" i="5"/>
  <c r="R19" i="5"/>
  <c r="Q19" i="5"/>
  <c r="P19" i="5"/>
  <c r="O19" i="5"/>
  <c r="N19" i="5"/>
  <c r="M19" i="5"/>
  <c r="L19" i="5"/>
  <c r="K19" i="5"/>
  <c r="J19" i="5"/>
  <c r="I19" i="5"/>
  <c r="H19" i="5"/>
  <c r="G19" i="5"/>
  <c r="BC18" i="5"/>
  <c r="BB18" i="5"/>
  <c r="BA18" i="5"/>
  <c r="AZ18" i="5"/>
  <c r="AY18" i="5"/>
  <c r="AX18" i="5"/>
  <c r="AW18" i="5"/>
  <c r="AV18" i="5"/>
  <c r="AU18" i="5"/>
  <c r="AT18" i="5"/>
  <c r="AS18" i="5"/>
  <c r="AR18" i="5"/>
  <c r="AQ18" i="5"/>
  <c r="AP18" i="5"/>
  <c r="AO18" i="5"/>
  <c r="AN18" i="5"/>
  <c r="AM18" i="5"/>
  <c r="AL18" i="5"/>
  <c r="AK18" i="5"/>
  <c r="AJ18" i="5"/>
  <c r="AI18" i="5"/>
  <c r="AH18" i="5"/>
  <c r="AG18" i="5"/>
  <c r="AF18" i="5"/>
  <c r="AE18" i="5"/>
  <c r="AD18" i="5"/>
  <c r="AC18" i="5"/>
  <c r="AB18" i="5"/>
  <c r="AA18" i="5"/>
  <c r="Z18" i="5"/>
  <c r="Y18" i="5"/>
  <c r="X18" i="5"/>
  <c r="W18" i="5"/>
  <c r="V18" i="5"/>
  <c r="U18" i="5"/>
  <c r="T18" i="5"/>
  <c r="S18" i="5"/>
  <c r="R18" i="5"/>
  <c r="Q18" i="5"/>
  <c r="P18" i="5"/>
  <c r="O18" i="5"/>
  <c r="N18" i="5"/>
  <c r="M18" i="5"/>
  <c r="L18" i="5"/>
  <c r="K18" i="5"/>
  <c r="J18" i="5"/>
  <c r="I18" i="5"/>
  <c r="H18" i="5"/>
  <c r="G18" i="5"/>
  <c r="BB17" i="5"/>
  <c r="AZ17" i="5"/>
  <c r="AX17" i="5"/>
  <c r="AM17" i="5"/>
  <c r="AB17" i="5"/>
  <c r="Q17" i="5"/>
  <c r="BC16" i="5"/>
  <c r="BB16" i="5"/>
  <c r="BA16" i="5"/>
  <c r="AZ16" i="5"/>
  <c r="AY16" i="5"/>
  <c r="AX16" i="5"/>
  <c r="AW16" i="5"/>
  <c r="AV16" i="5"/>
  <c r="AU16" i="5"/>
  <c r="AT16" i="5"/>
  <c r="AS16" i="5"/>
  <c r="AR16" i="5"/>
  <c r="AQ16" i="5"/>
  <c r="AP16" i="5"/>
  <c r="AO16" i="5"/>
  <c r="AN16" i="5"/>
  <c r="AM16" i="5"/>
  <c r="AL16" i="5"/>
  <c r="AK16" i="5"/>
  <c r="AJ16" i="5"/>
  <c r="AI16" i="5"/>
  <c r="AH16" i="5"/>
  <c r="AG16" i="5"/>
  <c r="AF16" i="5"/>
  <c r="AE16" i="5"/>
  <c r="AD16" i="5"/>
  <c r="AC16" i="5"/>
  <c r="AB16" i="5"/>
  <c r="AA16" i="5"/>
  <c r="Z16" i="5"/>
  <c r="Y16" i="5"/>
  <c r="X16" i="5"/>
  <c r="W16" i="5"/>
  <c r="V16" i="5"/>
  <c r="U16" i="5"/>
  <c r="T16" i="5"/>
  <c r="S16" i="5"/>
  <c r="R16" i="5"/>
  <c r="Q16" i="5"/>
  <c r="P16" i="5"/>
  <c r="O16" i="5"/>
  <c r="N16" i="5"/>
  <c r="M16" i="5"/>
  <c r="L16" i="5"/>
  <c r="K16" i="5"/>
  <c r="J16" i="5"/>
  <c r="I16" i="5"/>
  <c r="H16" i="5"/>
  <c r="G16" i="5"/>
  <c r="BC15" i="5"/>
  <c r="BB15" i="5"/>
  <c r="BA15" i="5"/>
  <c r="AZ15" i="5"/>
  <c r="AY15" i="5"/>
  <c r="AX15" i="5"/>
  <c r="AW15" i="5"/>
  <c r="AV15" i="5"/>
  <c r="AU15" i="5"/>
  <c r="AT15" i="5"/>
  <c r="AS15" i="5"/>
  <c r="AR15" i="5"/>
  <c r="AQ15" i="5"/>
  <c r="AP15" i="5"/>
  <c r="AO15" i="5"/>
  <c r="AN15" i="5"/>
  <c r="AM15" i="5"/>
  <c r="AL15" i="5"/>
  <c r="AK15" i="5"/>
  <c r="AJ15" i="5"/>
  <c r="AI15" i="5"/>
  <c r="AH15" i="5"/>
  <c r="AG15" i="5"/>
  <c r="AF15" i="5"/>
  <c r="AE15" i="5"/>
  <c r="AD15" i="5"/>
  <c r="AC15" i="5"/>
  <c r="AB15" i="5"/>
  <c r="AA15" i="5"/>
  <c r="Z15" i="5"/>
  <c r="Y15" i="5"/>
  <c r="X15" i="5"/>
  <c r="W15" i="5"/>
  <c r="V15" i="5"/>
  <c r="U15" i="5"/>
  <c r="T15" i="5"/>
  <c r="S15" i="5"/>
  <c r="R15" i="5"/>
  <c r="Q15" i="5"/>
  <c r="P15" i="5"/>
  <c r="O15" i="5"/>
  <c r="N15" i="5"/>
  <c r="M15" i="5"/>
  <c r="L15" i="5"/>
  <c r="K15" i="5"/>
  <c r="J15" i="5"/>
  <c r="I15" i="5"/>
  <c r="H15" i="5"/>
  <c r="G15" i="5"/>
  <c r="BC14" i="5"/>
  <c r="BB14" i="5"/>
  <c r="BA14" i="5"/>
  <c r="AZ14" i="5"/>
  <c r="AY14" i="5"/>
  <c r="AX14" i="5"/>
  <c r="AW14" i="5"/>
  <c r="AV14" i="5"/>
  <c r="AU14" i="5"/>
  <c r="AT14" i="5"/>
  <c r="AS14" i="5"/>
  <c r="AR14" i="5"/>
  <c r="AQ14" i="5"/>
  <c r="AP14" i="5"/>
  <c r="AO14" i="5"/>
  <c r="AN14" i="5"/>
  <c r="AM14" i="5"/>
  <c r="AL14" i="5"/>
  <c r="AK14" i="5"/>
  <c r="AJ14" i="5"/>
  <c r="AI14" i="5"/>
  <c r="AH14" i="5"/>
  <c r="AG14" i="5"/>
  <c r="AF14" i="5"/>
  <c r="AE14" i="5"/>
  <c r="AD14" i="5"/>
  <c r="AC14" i="5"/>
  <c r="AB14" i="5"/>
  <c r="AA14" i="5"/>
  <c r="Z14" i="5"/>
  <c r="Y14" i="5"/>
  <c r="X14" i="5"/>
  <c r="W14" i="5"/>
  <c r="V14" i="5"/>
  <c r="U14" i="5"/>
  <c r="T14" i="5"/>
  <c r="S14" i="5"/>
  <c r="R14" i="5"/>
  <c r="Q14" i="5"/>
  <c r="P14" i="5"/>
  <c r="O14" i="5"/>
  <c r="N14" i="5"/>
  <c r="M14" i="5"/>
  <c r="L14" i="5"/>
  <c r="K14" i="5"/>
  <c r="J14" i="5"/>
  <c r="I14" i="5"/>
  <c r="H14" i="5"/>
  <c r="G14" i="5"/>
  <c r="BC13" i="5"/>
  <c r="BB13" i="5"/>
  <c r="BA13" i="5"/>
  <c r="AZ13" i="5"/>
  <c r="AY13" i="5"/>
  <c r="AX13" i="5"/>
  <c r="AW13" i="5"/>
  <c r="AV13" i="5"/>
  <c r="AU13" i="5"/>
  <c r="AT13" i="5"/>
  <c r="AS13" i="5"/>
  <c r="AR13" i="5"/>
  <c r="AQ13" i="5"/>
  <c r="AP13" i="5"/>
  <c r="AO13" i="5"/>
  <c r="AN13" i="5"/>
  <c r="AM13" i="5"/>
  <c r="AL13" i="5"/>
  <c r="AK13" i="5"/>
  <c r="AJ13" i="5"/>
  <c r="AI13" i="5"/>
  <c r="AH13" i="5"/>
  <c r="AG13" i="5"/>
  <c r="AF13" i="5"/>
  <c r="AE13" i="5"/>
  <c r="AD13" i="5"/>
  <c r="AC13" i="5"/>
  <c r="AB13" i="5"/>
  <c r="AA13" i="5"/>
  <c r="Z13" i="5"/>
  <c r="Y13" i="5"/>
  <c r="X13" i="5"/>
  <c r="W13" i="5"/>
  <c r="V13" i="5"/>
  <c r="U13" i="5"/>
  <c r="T13" i="5"/>
  <c r="S13" i="5"/>
  <c r="R13" i="5"/>
  <c r="Q13" i="5"/>
  <c r="P13" i="5"/>
  <c r="O13" i="5"/>
  <c r="N13" i="5"/>
  <c r="M13" i="5"/>
  <c r="L13" i="5"/>
  <c r="K13" i="5"/>
  <c r="J13" i="5"/>
  <c r="I13" i="5"/>
  <c r="H13" i="5"/>
  <c r="G13" i="5"/>
  <c r="BC12" i="5"/>
  <c r="BB12" i="5"/>
  <c r="BA12" i="5"/>
  <c r="AZ12" i="5"/>
  <c r="AY12" i="5"/>
  <c r="AX12" i="5"/>
  <c r="AW12" i="5"/>
  <c r="AV12" i="5"/>
  <c r="AU12" i="5"/>
  <c r="AT12" i="5"/>
  <c r="AS12" i="5"/>
  <c r="AR12" i="5"/>
  <c r="AQ12" i="5"/>
  <c r="AP12" i="5"/>
  <c r="AO12" i="5"/>
  <c r="AN12" i="5"/>
  <c r="AM12" i="5"/>
  <c r="AL12" i="5"/>
  <c r="AK12" i="5"/>
  <c r="AJ12" i="5"/>
  <c r="AI12" i="5"/>
  <c r="AH12" i="5"/>
  <c r="AG12" i="5"/>
  <c r="AF12" i="5"/>
  <c r="AE12" i="5"/>
  <c r="AD12" i="5"/>
  <c r="AC12" i="5"/>
  <c r="AB12" i="5"/>
  <c r="AA12" i="5"/>
  <c r="Z12" i="5"/>
  <c r="Y12" i="5"/>
  <c r="X12" i="5"/>
  <c r="W12" i="5"/>
  <c r="V12" i="5"/>
  <c r="U12" i="5"/>
  <c r="T12" i="5"/>
  <c r="S12" i="5"/>
  <c r="R12" i="5"/>
  <c r="Q12" i="5"/>
  <c r="P12" i="5"/>
  <c r="O12" i="5"/>
  <c r="N12" i="5"/>
  <c r="M12" i="5"/>
  <c r="L12" i="5"/>
  <c r="K12" i="5"/>
  <c r="J12" i="5"/>
  <c r="I12" i="5"/>
  <c r="H12" i="5"/>
  <c r="G12" i="5"/>
  <c r="BC11" i="5"/>
  <c r="BB11" i="5"/>
  <c r="BA11" i="5"/>
  <c r="AZ11" i="5"/>
  <c r="AY11" i="5"/>
  <c r="AX11" i="5"/>
  <c r="AW11" i="5"/>
  <c r="AV11" i="5"/>
  <c r="AU11" i="5"/>
  <c r="AT11" i="5"/>
  <c r="AS11" i="5"/>
  <c r="AR11" i="5"/>
  <c r="AQ11" i="5"/>
  <c r="AP11" i="5"/>
  <c r="AO11" i="5"/>
  <c r="AN11" i="5"/>
  <c r="AM11" i="5"/>
  <c r="AL11" i="5"/>
  <c r="AK11" i="5"/>
  <c r="AJ11" i="5"/>
  <c r="AI11" i="5"/>
  <c r="AH11" i="5"/>
  <c r="AG11" i="5"/>
  <c r="AF11" i="5"/>
  <c r="AE11" i="5"/>
  <c r="AD11" i="5"/>
  <c r="AC11" i="5"/>
  <c r="AB11" i="5"/>
  <c r="AA11" i="5"/>
  <c r="Z11" i="5"/>
  <c r="Y11" i="5"/>
  <c r="X11" i="5"/>
  <c r="W11" i="5"/>
  <c r="V11" i="5"/>
  <c r="U11" i="5"/>
  <c r="T11" i="5"/>
  <c r="S11" i="5"/>
  <c r="R11" i="5"/>
  <c r="Q11" i="5"/>
  <c r="P11" i="5"/>
  <c r="O11" i="5"/>
  <c r="N11" i="5"/>
  <c r="M11" i="5"/>
  <c r="L11" i="5"/>
  <c r="K11" i="5"/>
  <c r="J11" i="5"/>
  <c r="I11" i="5"/>
  <c r="H11" i="5"/>
  <c r="G11" i="5"/>
  <c r="BC10" i="5"/>
  <c r="BB10" i="5"/>
  <c r="BA10" i="5"/>
  <c r="AZ10" i="5"/>
  <c r="AY10" i="5"/>
  <c r="AX10" i="5"/>
  <c r="AW10" i="5"/>
  <c r="AV10" i="5"/>
  <c r="AU10" i="5"/>
  <c r="AT10" i="5"/>
  <c r="AS10" i="5"/>
  <c r="AR10" i="5"/>
  <c r="AQ10" i="5"/>
  <c r="AP10" i="5"/>
  <c r="AO10" i="5"/>
  <c r="AN10" i="5"/>
  <c r="AM10" i="5"/>
  <c r="AL10" i="5"/>
  <c r="AK10" i="5"/>
  <c r="AJ10" i="5"/>
  <c r="AI10" i="5"/>
  <c r="AH10" i="5"/>
  <c r="AG10" i="5"/>
  <c r="AF10" i="5"/>
  <c r="AE10" i="5"/>
  <c r="AD10" i="5"/>
  <c r="AC10" i="5"/>
  <c r="AB10" i="5"/>
  <c r="AA10" i="5"/>
  <c r="Z10" i="5"/>
  <c r="Y10" i="5"/>
  <c r="X10" i="5"/>
  <c r="W10" i="5"/>
  <c r="V10" i="5"/>
  <c r="U10" i="5"/>
  <c r="T10" i="5"/>
  <c r="S10" i="5"/>
  <c r="R10" i="5"/>
  <c r="Q10" i="5"/>
  <c r="P10" i="5"/>
  <c r="O10" i="5"/>
  <c r="N10" i="5"/>
  <c r="M10" i="5"/>
  <c r="L10" i="5"/>
  <c r="K10" i="5"/>
  <c r="J10" i="5"/>
  <c r="I10" i="5"/>
  <c r="H10" i="5"/>
  <c r="G10" i="5"/>
  <c r="BC9" i="5"/>
  <c r="BB9" i="5"/>
  <c r="BA9" i="5"/>
  <c r="AZ9" i="5"/>
  <c r="AY9" i="5"/>
  <c r="AX9" i="5"/>
  <c r="AW9" i="5"/>
  <c r="AV9" i="5"/>
  <c r="AU9" i="5"/>
  <c r="AT9" i="5"/>
  <c r="AS9" i="5"/>
  <c r="AR9" i="5"/>
  <c r="AQ9" i="5"/>
  <c r="AP9" i="5"/>
  <c r="AO9" i="5"/>
  <c r="AN9" i="5"/>
  <c r="AM9" i="5"/>
  <c r="AL9" i="5"/>
  <c r="AK9" i="5"/>
  <c r="AJ9" i="5"/>
  <c r="AI9" i="5"/>
  <c r="AH9" i="5"/>
  <c r="AG9" i="5"/>
  <c r="AF9" i="5"/>
  <c r="AE9" i="5"/>
  <c r="AD9" i="5"/>
  <c r="AC9" i="5"/>
  <c r="AB9" i="5"/>
  <c r="AA9" i="5"/>
  <c r="Z9" i="5"/>
  <c r="Y9" i="5"/>
  <c r="X9" i="5"/>
  <c r="W9" i="5"/>
  <c r="V9" i="5"/>
  <c r="U9" i="5"/>
  <c r="T9" i="5"/>
  <c r="S9" i="5"/>
  <c r="R9" i="5"/>
  <c r="Q9" i="5"/>
  <c r="P9" i="5"/>
  <c r="O9" i="5"/>
  <c r="N9" i="5"/>
  <c r="M9" i="5"/>
  <c r="L9" i="5"/>
  <c r="K9" i="5"/>
  <c r="J9" i="5"/>
  <c r="I9" i="5"/>
  <c r="H9" i="5"/>
  <c r="G9" i="5"/>
  <c r="BC8" i="5"/>
  <c r="BB8" i="5"/>
  <c r="BA8" i="5"/>
  <c r="AZ8" i="5"/>
  <c r="AY8" i="5"/>
  <c r="AX8" i="5"/>
  <c r="AW8" i="5"/>
  <c r="AV8" i="5"/>
  <c r="AU8" i="5"/>
  <c r="AT8" i="5"/>
  <c r="AS8" i="5"/>
  <c r="AR8" i="5"/>
  <c r="AQ8" i="5"/>
  <c r="AP8" i="5"/>
  <c r="AO8" i="5"/>
  <c r="AN8" i="5"/>
  <c r="AM8" i="5"/>
  <c r="AL8" i="5"/>
  <c r="AK8" i="5"/>
  <c r="AJ8" i="5"/>
  <c r="AI8" i="5"/>
  <c r="AH8" i="5"/>
  <c r="AG8" i="5"/>
  <c r="AF8" i="5"/>
  <c r="AE8" i="5"/>
  <c r="AD8" i="5"/>
  <c r="AC8" i="5"/>
  <c r="AB8" i="5"/>
  <c r="AA8" i="5"/>
  <c r="Z8" i="5"/>
  <c r="Y8" i="5"/>
  <c r="X8" i="5"/>
  <c r="W8" i="5"/>
  <c r="V8" i="5"/>
  <c r="U8" i="5"/>
  <c r="T8" i="5"/>
  <c r="S8" i="5"/>
  <c r="R8" i="5"/>
  <c r="Q8" i="5"/>
  <c r="P8" i="5"/>
  <c r="O8" i="5"/>
  <c r="N8" i="5"/>
  <c r="M8" i="5"/>
  <c r="L8" i="5"/>
  <c r="K8" i="5"/>
  <c r="J8" i="5"/>
  <c r="I8" i="5"/>
  <c r="H8" i="5"/>
  <c r="G8" i="5"/>
  <c r="Q8" i="1" l="1"/>
  <c r="Q24" i="1"/>
  <c r="Q12" i="1"/>
  <c r="Q5" i="1"/>
  <c r="Q13" i="1"/>
  <c r="P8" i="1"/>
  <c r="P16" i="1"/>
  <c r="Q16" i="1" s="1"/>
  <c r="Q2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C69" authorId="0" shapeId="0" xr:uid="{F5E04ABF-76F4-4912-937C-18068741CC6D}">
      <text>
        <r>
          <rPr>
            <b/>
            <sz val="9"/>
            <rFont val="宋体"/>
            <family val="3"/>
            <charset val="134"/>
          </rPr>
          <t>Author:</t>
        </r>
        <r>
          <rPr>
            <sz val="9"/>
            <rFont val="宋体"/>
            <family val="3"/>
            <charset val="134"/>
          </rPr>
          <t xml:space="preserve">
旧内容优化后对应链接带来的提及量
</t>
        </r>
      </text>
    </comment>
  </commentList>
</comments>
</file>

<file path=xl/sharedStrings.xml><?xml version="1.0" encoding="utf-8"?>
<sst xmlns="http://schemas.openxmlformats.org/spreadsheetml/2006/main" count="3427" uniqueCount="1492">
  <si>
    <t>2025年AI平台数据统计（月访问量 维度）</t>
  </si>
  <si>
    <t>2026年AI平台数据统计（月访问量 维度）</t>
  </si>
  <si>
    <t>2025
(单位：万)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</si>
  <si>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</si>
  <si>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</si>
  <si>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</si>
  <si>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</si>
  <si>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</si>
  <si>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</si>
  <si>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</si>
  <si>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</si>
  <si>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</si>
  <si>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</si>
  <si>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</si>
  <si>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</si>
  <si>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YTD</t>
  </si>
  <si>
    <t>平台检索偏好</t>
  </si>
  <si>
    <t>AI平台
（月访问量）</t>
  </si>
  <si>
    <t>CN</t>
  </si>
  <si>
    <t>国内 AI 说明</t>
  </si>
  <si>
    <t>DeepSeek R1发布引发国产算力革命，以极低成本对标GPT-4，导致1月流量激增；随后春节效应带动全民尝试AI。</t>
  </si>
  <si>
    <t>春节假期结束，非生产力用户开始流失；平台算力紧张初现端倪。
Kimi、DeepSeek数据下滑：主要是非生产力用户流失；同时因流量过大导致算力紧张（限流），用户体验下降导致留存走低。</t>
  </si>
  <si>
    <t>部分平台限流缓解，刚需用户回流；暑期开启，学生群体小幅激活市场。
学生开学季，字节跳动通过抖音全域引流，豆包流量暴涨，带动大盘回暖。</t>
  </si>
  <si>
    <t>国庆假期提升活跃度；豆包转型导购助手（接入抖音商城），场景化流量大增。
通义千问大版本升级+ 双 11 企业云促销，专业 / 企业用户激增，拉动技术类平台增长。（有一部分千问投放硬广的原因）</t>
  </si>
  <si>
    <t>国内大盘 1 月→2 月 小幅回落，多数通用型 AI 流量下滑，仅Kimi 逆势增长
KIMI-垂直场景红利：假期用户长文本阅读、学习、文档整理需求提升，Kimi 长文本优势精准匹配，实现独立增长。</t>
  </si>
  <si>
    <t>4月除了千问有一定程度的上涨</t>
  </si>
  <si>
    <t>当前国内最受欢迎的AI平台，强调国产算力与低成本API，挑战OpenAI</t>
  </si>
  <si>
    <t>deepseek</t>
  </si>
  <si>
    <t>APP</t>
  </si>
  <si>
    <t>Website</t>
  </si>
  <si>
    <t>说明</t>
  </si>
  <si>
    <t>APP占比：26.79%  Website占比：73.21%</t>
  </si>
  <si>
    <t>APP占比：47.4%  Website占比：</t>
  </si>
  <si>
    <t>APP占比：27.93%  Website占比：72.07%</t>
  </si>
  <si>
    <t>APP占比：31.67%  Website占比：68.33%</t>
  </si>
  <si>
    <t>APP占比：29.65%  Website占比：70.35%</t>
  </si>
  <si>
    <t>APP占比：49.71  Website占比：50.29%</t>
  </si>
  <si>
    <t>APP占比：32.61%  Website占比：67.39%</t>
  </si>
  <si>
    <t>APP占比：22.22%  Website占比：77.78%</t>
  </si>
  <si>
    <t>网页端的访问数据更透明、更容易被观测到</t>
  </si>
  <si>
    <t>豆包</t>
  </si>
  <si>
    <t>字节跳动旗下AI助手，侧重高互动、强场景感的生活娱乐与学习类内容，紧跟热点且偏好具有社交传播属性的信息。</t>
  </si>
  <si>
    <t>APP占比：70.59%  Website占比：29.41%</t>
  </si>
  <si>
    <t>APP占比：68.63%  Website占比：31.37%</t>
  </si>
  <si>
    <t>APP占比：69.79%  Website占比：30.21%</t>
  </si>
  <si>
    <t>APP占比：71.50%  Website占比：28.50%</t>
  </si>
  <si>
    <t>APP占比：68.43%  Website占比：31.57%</t>
  </si>
  <si>
    <t>APP占比：66.47%  Website占比：33.53%</t>
  </si>
  <si>
    <t>APP占比：85.53%  Website占比：14.47%</t>
  </si>
  <si>
    <t>APP占比：76.41%  Website占比：23.59%</t>
  </si>
  <si>
    <t>APP占比：67.35%  Website占比：32.65%</t>
  </si>
  <si>
    <t>豆包“重App、轻网页”的策略，与当前AI产品的发展阶段息息相关。</t>
  </si>
  <si>
    <t>元宝</t>
  </si>
  <si>
    <t>腾讯25年正式推出的AI助手，依托Deepseek和微信生态整合，优先抓取公众号、多格式文档及带实用工具的本地生活与 B 端服务信息。</t>
  </si>
  <si>
    <t>APP占比：63.66%  Website占比：36.34%</t>
  </si>
  <si>
    <t>APP占比：51.93%  Website占比：48.07%</t>
  </si>
  <si>
    <t>APP占比：49.83%  Website占比：50.17%</t>
  </si>
  <si>
    <t>APP占比：52.99%  Website占比：47.01%</t>
  </si>
  <si>
    <t>APP占比：61.28%  Website占比：38.72%</t>
  </si>
  <si>
    <t>APP占比：59.62%  Website占比：40.38%</t>
  </si>
  <si>
    <t>APP占比：79.86%  Website占比：20.14%</t>
  </si>
  <si>
    <t>APP占比：87.86%  Website占比：12.14%</t>
  </si>
  <si>
    <t>APP占比：86.24%  Website占比：13.76%</t>
  </si>
  <si>
    <t>除了背靠腾讯这颗流量大树，还在2026年春节前后发起了总金额高达 10亿元 的红包活动，下载元宝App才能领取现金红包</t>
  </si>
  <si>
    <t>KIMI</t>
  </si>
  <si>
    <t>国内首个开源万亿参数模型，擅长处理长文本，偏好体系化、逻辑完整且来源可溯源的深度内容，支持广泛抓取后筛选弱相关信息。</t>
  </si>
  <si>
    <t>APP占比：30.35%  Website占比：69.65%</t>
  </si>
  <si>
    <t>APP占比：43.26%  Website占比：56.74%</t>
  </si>
  <si>
    <t>APP占比：26.16%  Website占比：73.84%</t>
  </si>
  <si>
    <t>APP占比：24.10%  Website占比：75.9%</t>
  </si>
  <si>
    <t>APP占比：32.01%  Website占比：67.99%</t>
  </si>
  <si>
    <t>APP占比：35.44%  Website占比：64.56%</t>
  </si>
  <si>
    <t>APP占比：26.7%  Website占比：63.3%</t>
  </si>
  <si>
    <t>主动放弃“烧钱换流量”的移动端竞争，转而深耕需要更大屏幕和更强算力的专业级生产力场景</t>
  </si>
  <si>
    <t>文小言</t>
  </si>
  <si>
    <t>百度旗下AI助手，高时效性突出，精准抓取与问题强相关的内容，聚焦新闻热点、政策更新及创意写作类需求。</t>
  </si>
  <si>
    <t>APP占比：42.46%  Website占比：57.94%</t>
  </si>
  <si>
    <t>APP占比：48.77%  Website占比：51.23%</t>
  </si>
  <si>
    <t>APP占比：46.38%  Website占比：53.62%</t>
  </si>
  <si>
    <t>APP占比：46.92%  Website占比：53.08%</t>
  </si>
  <si>
    <t>APP占比：85.41%  Website占比：14.59%</t>
  </si>
  <si>
    <t>APP占比：78.86%  Website占比：21.14%</t>
  </si>
  <si>
    <t>APP占比：76.93%  Website占比：23.07%</t>
  </si>
  <si>
    <t>百度在腾讯、字节系（抖音）以及自家应用商店为文小言投放了大量广告。用户点击广告后，跳转下载的99%都是App，而不是网页端</t>
  </si>
  <si>
    <t>千问</t>
  </si>
  <si>
    <t>阿里开源大模型，偏好技术文档、FAQ 类结构化知识，注重内容的版本一致性与术语规范性，适配专业查询需求。</t>
  </si>
  <si>
    <t>APP占比：80.00%  Website占比：20.00%</t>
  </si>
  <si>
    <t>APP占比：85.29%  Website占比：14.71%</t>
  </si>
  <si>
    <t>APP占比：56.15%  Website占比：43.85%</t>
  </si>
  <si>
    <t>APP占比：86.81%  Website占比：13.19%</t>
  </si>
  <si>
    <t>APP占比：13.94%  Website占比：86.06%</t>
  </si>
  <si>
    <t>可以点外卖、订酒店、买机票、办政务、购物比，不止是chatbot，主要是智能体，所以更适合个人使用，app占比更高</t>
  </si>
  <si>
    <t>境外</t>
  </si>
  <si>
    <t>国外 AI 说明</t>
  </si>
  <si>
    <t>ChatGPT 凭借全球壁垒，流量基数碾压所有对手，占据绝对主导地位</t>
  </si>
  <si>
    <t>OpenAI 发布 GPT-o1 预览版，技术革新引发新一轮全球增长</t>
  </si>
  <si>
    <t>Google 完成 Android 系统深度集成，系统级入口加持，流量逐月暴涨</t>
  </si>
  <si>
    <t>海外大盘同步小幅下行，仅 Gemini 凭借生态优势微增，头部通用 AI 小幅回落
Gemini-核心驱动：Google 完成 Android 系统深度集成，系统级入口打通带来原生新增流量，抵消假期下滑，实现独立增长。</t>
  </si>
  <si>
    <t>变化不大</t>
  </si>
  <si>
    <t>Chatgpt</t>
  </si>
  <si>
    <t>OpenAI旗下AI，全球用户体量最大，偏好高质量、可信赖、结构化的内容，强调主题权威性、事实性，并根据用户意图（如购物）优化产品展示和语气的个性化。</t>
  </si>
  <si>
    <t>Gemini</t>
  </si>
  <si>
    <t>Google旗下AI平台，强调多模态输入（文本、图片等）的连贯处理，支持偏好调优以控制模型输出与基准的一致程度，并追求简洁、高效的回答。</t>
  </si>
  <si>
    <t>Grok</t>
  </si>
  <si>
    <t>强调情感理解、创作表现与查证可靠性，致力于提升情感互动体验并显著降低幻觉率。</t>
  </si>
  <si>
    <t>TTL</t>
  </si>
  <si>
    <t>数据来源：新榜AI榜https://www.newrank.cn/rankvoice/all/2/30  部分流量数据来源于similarweb
26年3月开始数据统计来源于AIBase：https://www.aicpb.com/zh/ai-rankings/products/china-ai-rankings/websites</t>
  </si>
  <si>
    <r>
      <rPr>
        <b/>
        <sz val="11"/>
        <color theme="1"/>
        <rFont val="微软雅黑"/>
        <charset val="134"/>
      </rPr>
      <t>1、官网是所有平台的共识来源</t>
    </r>
    <r>
      <rPr>
        <sz val="11"/>
        <color theme="1"/>
        <rFont val="微软雅黑"/>
        <charset val="134"/>
      </rPr>
      <t xml:space="preserve">
目前大部分提示词都引用官网，信源覆盖率在30%-40%。
</t>
    </r>
    <r>
      <rPr>
        <b/>
        <sz val="11"/>
        <color theme="1"/>
        <rFont val="微软雅黑"/>
        <charset val="134"/>
      </rPr>
      <t>2、不同平台的“补充信源偏好”不同</t>
    </r>
    <r>
      <rPr>
        <sz val="11"/>
        <color theme="1"/>
        <rFont val="微软雅黑"/>
        <charset val="134"/>
      </rPr>
      <t xml:space="preserve">
豆包偏抖音/内容平台，元宝偏跨境垂直站和腾讯生态，DeepSeek偏跨境服务商，千问来源更混杂，Kimi偏媒体和工具导航，ChatGPT偏官方国际站和英文/全球站点。</t>
    </r>
    <r>
      <rPr>
        <b/>
        <sz val="11"/>
        <color theme="1"/>
        <rFont val="微软雅黑"/>
        <charset val="134"/>
      </rPr>
      <t xml:space="preserve">
</t>
    </r>
    <r>
      <rPr>
        <sz val="11"/>
        <color theme="1"/>
        <rFont val="微软雅黑"/>
        <charset val="134"/>
      </rPr>
      <t>备注：gemini没有信源露出目前不可监控；另外目前品牌/行业词的信源还在拆分分析，下周在给一份分词类的信源分析报告</t>
    </r>
  </si>
  <si>
    <t>DeepSeek</t>
  </si>
  <si>
    <t>kimi</t>
  </si>
  <si>
    <t>chatgpt</t>
  </si>
  <si>
    <t>名称</t>
  </si>
  <si>
    <t>链接</t>
  </si>
  <si>
    <t>占比</t>
  </si>
  <si>
    <t>亚马逊全球开店</t>
  </si>
  <si>
    <t>gs.amazon.cn</t>
  </si>
  <si>
    <t>抖音</t>
  </si>
  <si>
    <t>https://www.douyin.com/jingxuan</t>
  </si>
  <si>
    <t>大数跨境</t>
  </si>
  <si>
    <t>10100.com</t>
  </si>
  <si>
    <t>CoGoLinks</t>
  </si>
  <si>
    <t>cogolinks.com</t>
  </si>
  <si>
    <t>雨果跨境</t>
  </si>
  <si>
    <t>cifnews.com</t>
  </si>
  <si>
    <t>Sell on Amazon</t>
  </si>
  <si>
    <t>https://sell.amazon.com/</t>
  </si>
  <si>
    <t>Amazon Seller Central Japan</t>
  </si>
  <si>
    <t>sell.amazon.com</t>
  </si>
  <si>
    <t>跨境魔方</t>
  </si>
  <si>
    <t>https://www.upkuajing.com/</t>
  </si>
  <si>
    <t>php中文网</t>
  </si>
  <si>
    <t>php.cn</t>
  </si>
  <si>
    <t>新手小白也能看懂的全流程指南</t>
  </si>
  <si>
    <t>kuajingnote.com</t>
  </si>
  <si>
    <t>财讯网</t>
  </si>
  <si>
    <t>https://www.caixun.cn/</t>
  </si>
  <si>
    <t>https://www.cifnews.com/</t>
  </si>
  <si>
    <t>腾讯网</t>
  </si>
  <si>
    <t>qq.com</t>
  </si>
  <si>
    <t>连连国际</t>
  </si>
  <si>
    <t>https://www.lianlianpay.com/</t>
  </si>
  <si>
    <t>sellercentral.amazon.com</t>
  </si>
  <si>
    <t>腾讯</t>
  </si>
  <si>
    <t>出海网</t>
  </si>
  <si>
    <t>chwang.com</t>
  </si>
  <si>
    <t>今日头条</t>
  </si>
  <si>
    <t>toutiao.com</t>
  </si>
  <si>
    <t>AMZ123亚马逊导航-跨境电商出海门户</t>
  </si>
  <si>
    <t>amz123.com</t>
  </si>
  <si>
    <t>iPayLinks</t>
  </si>
  <si>
    <t>https://www.ipaylinks.com/</t>
  </si>
  <si>
    <t>神马</t>
  </si>
  <si>
    <t>sm.cn</t>
  </si>
  <si>
    <t>飞跨浏览器</t>
  </si>
  <si>
    <t>feikua.net</t>
  </si>
  <si>
    <t>亚马逊中国</t>
  </si>
  <si>
    <t>https://www.amazon.cn/</t>
  </si>
  <si>
    <t>亚马逊媒体</t>
  </si>
  <si>
    <t>media-amazon.com</t>
  </si>
  <si>
    <t>CoGoLinks结行国际官网</t>
  </si>
  <si>
    <t>cbibank</t>
  </si>
  <si>
    <t>https://cbibank.com/</t>
  </si>
  <si>
    <t>百运网</t>
  </si>
  <si>
    <t>by56.com</t>
  </si>
  <si>
    <t>电商派</t>
  </si>
  <si>
    <t>https://www.pai.com.cn/</t>
  </si>
  <si>
    <t>出海网CHWANG</t>
  </si>
  <si>
    <t>Amazon UK</t>
  </si>
  <si>
    <t>https://sell.amazon.co.uk/</t>
  </si>
  <si>
    <t>lianlianpay.com</t>
  </si>
  <si>
    <t>AMZ123</t>
  </si>
  <si>
    <t>youtube.com</t>
  </si>
  <si>
    <t>搜狐网</t>
  </si>
  <si>
    <t>sohu.com</t>
  </si>
  <si>
    <t>飞跨跨境</t>
  </si>
  <si>
    <t>Amazon Selling Partners</t>
  </si>
  <si>
    <t>aboutamazon.com</t>
  </si>
  <si>
    <t>CSDN</t>
  </si>
  <si>
    <t>csdn.net</t>
  </si>
  <si>
    <t>云登浏览器</t>
  </si>
  <si>
    <t>yunlogin.com</t>
  </si>
  <si>
    <t>amzdh亚马逊导航</t>
  </si>
  <si>
    <t>amzdh.com</t>
  </si>
  <si>
    <t>Ai-indeed</t>
  </si>
  <si>
    <t>https://www.ai-indeed.com/</t>
  </si>
  <si>
    <t>连网</t>
  </si>
  <si>
    <t>Amazon.in</t>
  </si>
  <si>
    <t>https://business.amazon.in/</t>
  </si>
  <si>
    <t>西格跨境网</t>
  </si>
  <si>
    <t>xeeger.com</t>
  </si>
  <si>
    <t>搜狐</t>
  </si>
  <si>
    <t>亚马逊日本</t>
  </si>
  <si>
    <t>https://www.amazon.co.jp/</t>
  </si>
  <si>
    <t>https://www.chwang.com/</t>
  </si>
  <si>
    <t>https://www.amz123.com/</t>
  </si>
  <si>
    <t>平台</t>
  </si>
  <si>
    <t>主要发现</t>
  </si>
  <si>
    <t>官方源第一，但抖音占比异常高</t>
  </si>
  <si>
    <t>gs.amazon.cn 占 33.45%，但抖音达到 22.13%，说明豆包在这个主题下更容易吸收短视频/内容平台信息。它的信息结构更偏“内容分发型”，除了官网，还会参考抖音、头条、搜狐、雨果等泛内容源。</t>
  </si>
  <si>
    <t>官方源 + 跨境垂直站权重高</t>
  </si>
  <si>
    <t>gs.amazon.cn 占 34.10%，大数跨境占 14.42%，Seller Central Japan 占 10.74%。元宝更像是把官网、卖家中心、跨境电商媒体一起作为判断依据，同时腾讯网也进入前列，说明腾讯生态内容对它有一定影响。</t>
  </si>
  <si>
    <t>官方源最强，同时偏服务商/支付类来源</t>
  </si>
  <si>
    <t>gs.amazon.cn 占 42.18%，同时 CoGoLinks、连连国际、iPayLinks、CBiBank 等跨境服务商进入前列。说明 DeepSeek 对“亚马逊开店”这类问题，不只看媒体文章，也会抓取支付、收款、出海服务类网站，偏解决方案/工具链视角。</t>
  </si>
  <si>
    <t>官网依赖最强之一，但来源混杂</t>
  </si>
  <si>
    <t>gs.amazon.cn 占 44.98%，是所有平台里最高之一；同时出现雨果跨境、Seller Central、神马、CSDN、php中文网等。说明千问会强依赖官方源，但补充来源比较杂，既有跨境媒体，也有搜索/技术内容站。</t>
  </si>
  <si>
    <t>Kimi</t>
  </si>
  <si>
    <t>官方源稳定，偏跨境媒体、笔记和导航站</t>
  </si>
  <si>
    <t>gs.amazon.cn 占 44.20%，雨果跨境、跨境笔记、腾讯、AMZ123、飞跨浏览器等靠前。Kimi 的来源结构更像“官网 + 媒体解读 + 工具导航”，对跨境从业者常看的内容站有较强吸收。</t>
  </si>
  <si>
    <t>ChatGPT</t>
  </si>
  <si>
    <t>官方国际站和权威域名占比更高</t>
  </si>
  <si>
    <t>gs.amazon.cn 占 39.20%，同时 sell.amazon.com、amazon.cn、amazon.co.jp 都进入前列。相比其他平台，ChatGPT 更倾向补充引用 Amazon 官方国际站点和大型公开站点，也会引</t>
  </si>
  <si>
    <t>Input</t>
  </si>
  <si>
    <t>提示词#</t>
  </si>
  <si>
    <t>品牌提示词</t>
  </si>
  <si>
    <t>行业提示词</t>
  </si>
  <si>
    <t>品牌#</t>
  </si>
  <si>
    <t>doubao</t>
  </si>
  <si>
    <t>品牌词链接提及</t>
  </si>
  <si>
    <t>品牌词链接提及率</t>
  </si>
  <si>
    <t>行业词#</t>
  </si>
  <si>
    <t>行业词提及#</t>
  </si>
  <si>
    <t>行业词提及率#</t>
  </si>
  <si>
    <t>新建内容#</t>
  </si>
  <si>
    <t>品牌内容#</t>
  </si>
  <si>
    <t>品牌内容提及</t>
  </si>
  <si>
    <t>品牌内容链接提及</t>
  </si>
  <si>
    <t>行业内容#</t>
  </si>
  <si>
    <t>行业内容提及率</t>
  </si>
  <si>
    <t>旧内容优化#</t>
  </si>
  <si>
    <t>1、各平台都高度集中在 “入驻&amp;注册、入口、其他” 三类，主要是：怎么注册、怎么入驻、入口在哪里、后台/官网怎么进。
2、费用、政策、物流、品类、站点、决策，因为提示词的原因整体链接露出比较低。
结论：大部分提示词都能产生引用，提到入口/链接/入驻/注册类的提示词基本上会出链接，其他没有提及到的出链接的概率比较低</t>
  </si>
  <si>
    <t>序号</t>
  </si>
  <si>
    <t>分类</t>
  </si>
  <si>
    <t>选词说明</t>
  </si>
  <si>
    <t>流量</t>
  </si>
  <si>
    <t>11月</t>
  </si>
  <si>
    <t>12月</t>
  </si>
  <si>
    <t>1月</t>
  </si>
  <si>
    <t>2月</t>
  </si>
  <si>
    <t>3月</t>
  </si>
  <si>
    <t>4月</t>
  </si>
  <si>
    <t>4月-week15-16</t>
  </si>
  <si>
    <t>5月-week19-20</t>
  </si>
  <si>
    <t>5月</t>
  </si>
  <si>
    <t>6月</t>
  </si>
  <si>
    <t>入口</t>
  </si>
  <si>
    <t xml:space="preserve">1、”入口/入驻&amp;注册“类是当前重要覆盖的类别，未来挖掘提示词也主要以这两类为主；
2、“其他”类别提示词比较泛，优先级比较低可以以拆解文章的方式慢慢的覆盖；
</t>
  </si>
  <si>
    <t>入驻&amp;注册</t>
  </si>
  <si>
    <t>费用</t>
  </si>
  <si>
    <t>政策</t>
  </si>
  <si>
    <t>新手</t>
  </si>
  <si>
    <t>品类</t>
  </si>
  <si>
    <t>决策</t>
  </si>
  <si>
    <t>站点</t>
  </si>
  <si>
    <t>物流</t>
  </si>
  <si>
    <t>行业</t>
  </si>
  <si>
    <t>其他</t>
  </si>
  <si>
    <t>汇总</t>
  </si>
  <si>
    <t>提示词</t>
  </si>
  <si>
    <t>提及引用链接</t>
  </si>
  <si>
    <t>Prompt #1</t>
  </si>
  <si>
    <t>Amazon德国官网如何访问？有哪些特点？</t>
  </si>
  <si>
    <t>gs.amazon.cn/zhishi/article-251103-1</t>
  </si>
  <si>
    <t>Amazon日本网站的官方入口是什么？如何访问？</t>
  </si>
  <si>
    <t>gs.amazon.cn/zhishi/article-251103-2</t>
  </si>
  <si>
    <t>美国亚马逊官网的访问方式和主要功能是什么？</t>
  </si>
  <si>
    <t>https://gs.amazon.cn/zhishi/article-240522</t>
  </si>
  <si>
    <t>日本亚马逊的官方网址是什么？如何访问？</t>
  </si>
  <si>
    <t>gs.amazon.cn/zhishi/article-251103-3</t>
  </si>
  <si>
    <t>亚马逊购物官网的正确访问入口是什么？</t>
  </si>
  <si>
    <t>https://gs.amazon.cn/zhishi/article-251104-2</t>
  </si>
  <si>
    <t>亚马逊美国官网如何访问？有哪些主要功能？</t>
  </si>
  <si>
    <t>成为亚马逊卖家需要具备哪些条件和技能？</t>
  </si>
  <si>
    <t>https://gs.amazon.cn/zhishi/article-260113-4</t>
  </si>
  <si>
    <t>如何注册亚马逊账号？有哪些类型的账号？</t>
  </si>
  <si>
    <t>gs.amazon.cn/zhishi/251105-2</t>
  </si>
  <si>
    <t>入驻亚马逊平台需要投入多少资金？各项费用是多少？</t>
  </si>
  <si>
    <t>https://gs.amazon.cn/zhishi/article-260113-3</t>
  </si>
  <si>
    <t>入驻亚马逊平台需要支付哪些费用？具体金额是多少？</t>
  </si>
  <si>
    <t>https://gs.amazon.cn/zhishi/article-260113-2</t>
  </si>
  <si>
    <t>在亚马逊开店需要什么类型的营业执照？如何办理？</t>
  </si>
  <si>
    <t>gs.amazon.cn/zhishi/article-251106-1</t>
  </si>
  <si>
    <t>做亚马逊电商需要投入多少资金？各项成本是多少？</t>
  </si>
  <si>
    <t>https://gs.amazon.cn/zhishi/article-260112-3</t>
  </si>
  <si>
    <t>Amazon北美站包括哪些国家？有什么特点？</t>
  </si>
  <si>
    <t>Amazon官方网站提供哪些服务和功能？</t>
  </si>
  <si>
    <t>gs.amazon.cn/zhishi/article-251105-5</t>
  </si>
  <si>
    <t>Amazon卖家平台有哪些主要功能和使用技巧？</t>
  </si>
  <si>
    <t>https://gs.amazon.cn/zhishi/article-260202-2</t>
  </si>
  <si>
    <t>Amazon美国网站有哪些主要功能和特点？</t>
  </si>
  <si>
    <t>Amazon美国站的特点和运营策略是什么？</t>
  </si>
  <si>
    <t>https://gs.amazon.cn/zhishi/article-260106-3</t>
  </si>
  <si>
    <t>Amazon美国站有什么特点和运营策略？</t>
  </si>
  <si>
    <t>https://gs.amazon.cn/zhishi/article-260101-1</t>
  </si>
  <si>
    <t>Amazon平台有哪些主要功能和特色？</t>
  </si>
  <si>
    <t>https://gs.amazon.cn/zhishi/article-260108-2</t>
  </si>
  <si>
    <t>Amazon全球开店项目有哪些特点和优势？</t>
  </si>
  <si>
    <t>https://gs.amazon.cn/zhishi/article-260101-3</t>
  </si>
  <si>
    <t>Amazon日本站有哪些特点和运营要点？</t>
  </si>
  <si>
    <t>gs.amazon.cn/zhishi/article-260101-4</t>
  </si>
  <si>
    <t>Amazon日本站有什么特点和运营策略？</t>
  </si>
  <si>
    <t>gs.amazon.cn/zhishi/article-260101-5</t>
  </si>
  <si>
    <t>Amazon英国站有什么特点和市场情况？</t>
  </si>
  <si>
    <t>https://gs.amazon.cn/zhishi/article-260101-6</t>
  </si>
  <si>
    <t>德国亚马逊平台有什么特点和市场情况？</t>
  </si>
  <si>
    <t>https://gs.amazon.cn/zhishi/article-260102-4</t>
  </si>
  <si>
    <t>国际亚马逊平台有哪些不同的站点和特点？</t>
  </si>
  <si>
    <t>https://gs.amazon.cn/zhishi/article-260102-1</t>
  </si>
  <si>
    <t>美国Amazon网站有哪些特点和使用方法？</t>
  </si>
  <si>
    <t>https://gs.amazon.cn/zhishi/article-260106-2</t>
  </si>
  <si>
    <t>美国亚马逊官网首页有哪些主要功能和板块？</t>
  </si>
  <si>
    <t>https://gs.amazon.cn/zhishi/article-260104-3</t>
  </si>
  <si>
    <t>美国亚马逊平台有什么特点和运营策略？</t>
  </si>
  <si>
    <t>美国亚马逊站有哪些特点和运营策略？</t>
  </si>
  <si>
    <t>日本亚马逊跨境电商有什么特点和运营策略？</t>
  </si>
  <si>
    <t>https://gs.amazon.cn/zhishi/article-260102-6</t>
  </si>
  <si>
    <t>日本亚马逊平台有什么特点和市场情况？</t>
  </si>
  <si>
    <t>gs.amazon.cn/zhishi/article-260102-5</t>
  </si>
  <si>
    <t>日本亚马逊平台有什么特点和运营策略？</t>
  </si>
  <si>
    <t>https://gs.amazon.cn/zhishi/article-260103-1</t>
  </si>
  <si>
    <t>如何经营好亚马逊网店？有哪些成功策略？</t>
  </si>
  <si>
    <t>https://gs.amazon.cn/zhishi/article-260114-2</t>
  </si>
  <si>
    <t>什么是跨境电商？它的运作模式和优势是什么？</t>
  </si>
  <si>
    <t>亚马逊北美站包括哪些国家？有什么特点？</t>
  </si>
  <si>
    <t>https://gs.amazon.cn/zhishi/article-260103-4</t>
  </si>
  <si>
    <t>亚马逊德国站有什么特点和市场情况？</t>
  </si>
  <si>
    <t>亚马逊的官方网站提供哪些服务和功能？</t>
  </si>
  <si>
    <t>gs.amazon.cn/zhishi/article-260103-5</t>
  </si>
  <si>
    <t>亚马逊电商模式有什么特点和优势？</t>
  </si>
  <si>
    <t>亚马逊电商平台的功能和特点有哪些？</t>
  </si>
  <si>
    <t>gs.amazon.cn/zhishi/article-260104-1</t>
  </si>
  <si>
    <t>亚马逊官方网站提供哪些核心服务？</t>
  </si>
  <si>
    <t>gs.amazon.cn/zhishi/article-260104-2</t>
  </si>
  <si>
    <t>亚马逊官网首页有哪些主要板块和功能？</t>
  </si>
  <si>
    <t>亚马逊国际版有哪些功能和特点？</t>
  </si>
  <si>
    <t>https://gs.amazon.cn/zhishi/article-260104-4</t>
  </si>
  <si>
    <t>亚马逊国际网站有哪些功能和特点？</t>
  </si>
  <si>
    <t>亚马逊国际业务有哪些特点和运营模式？</t>
  </si>
  <si>
    <t>亚马逊国外版本有哪些区别和特点？</t>
  </si>
  <si>
    <t>https://gs.amazon.cn/zhishi/article-260105-1</t>
  </si>
  <si>
    <t>亚马逊跨境电商的运营模式和优势是什么？</t>
  </si>
  <si>
    <t>https://gs.amazon.cn/zhishi/article-260105-2</t>
  </si>
  <si>
    <t>亚马逊跨境电商平台有哪些特点和优势？</t>
  </si>
  <si>
    <t>gs.amazon.cn/zhishi/article-260105-3</t>
  </si>
  <si>
    <t>亚马逊跨境业务有哪些模式和优势？</t>
  </si>
  <si>
    <t>gs.amazon.cn/zhishi/article-260105-4</t>
  </si>
  <si>
    <t>亚马逊卖家常用的工具有哪些？如何有效使用？</t>
  </si>
  <si>
    <t>https://gs.amazon.cn/zhishi/article-260105-5</t>
  </si>
  <si>
    <t>亚马逊卖家平台有哪些功能和使用技巧？</t>
  </si>
  <si>
    <t>亚马逊美国版有什么特点和运营策略？</t>
  </si>
  <si>
    <t>亚马逊美国网站有什么特点和使用方法？</t>
  </si>
  <si>
    <t>gs.amazon.cn/zhishi/article-260106-2</t>
  </si>
  <si>
    <t>亚马逊美国站的特点和运营策略是什么？</t>
  </si>
  <si>
    <t>亚马逊美国站的运营情况和市场特点是什么？</t>
  </si>
  <si>
    <t>https://gs.amazon.cn/zhishi/article-260106-6</t>
  </si>
  <si>
    <t>亚马逊美国站有什么特点和市场情况？</t>
  </si>
  <si>
    <t>https://gs.amazon.cn/zhishi/article-260102-3</t>
  </si>
  <si>
    <t>亚马逊美国站有什么特点和运营要点？</t>
  </si>
  <si>
    <t>亚马逊平台的收费标准是怎样的？详细介绍一下各项费用。</t>
  </si>
  <si>
    <t>亚马逊平台有哪些主要功能和特点？</t>
  </si>
  <si>
    <t>gs.amazon.cn/zhishi/article-260107-2</t>
  </si>
  <si>
    <t>亚马逊全球店铺有哪些特点和运营模式？</t>
  </si>
  <si>
    <t>亚马逊全球购物有哪些特点和使用方法？</t>
  </si>
  <si>
    <t>亚马逊全球开店项目有哪些特点和优势？</t>
  </si>
  <si>
    <t>亚马逊日本站有什么特点和运营策略？</t>
  </si>
  <si>
    <t>https://gs.amazon.cn/zhishi/article-260107-5</t>
  </si>
  <si>
    <t>亚马逊日本站有什么特点和运营要点？</t>
  </si>
  <si>
    <t>亚马逊商城的主要功能和特点是什么？</t>
  </si>
  <si>
    <t xml:space="preserve">gs.amazon.cn/zhishi/article-260107-6
</t>
  </si>
  <si>
    <t>亚马逊商家版应用有哪些功能和使用方法？</t>
  </si>
  <si>
    <t>https://gs.amazon.cn/zhishi/article-260108-1</t>
  </si>
  <si>
    <t>亚马逊是什么平台？它有哪些主要功能和特点？</t>
  </si>
  <si>
    <t>https://gs.amazon.cn/zhishi/article-260107-2</t>
  </si>
  <si>
    <t>亚马逊是一家什么样的公司？主要业务有哪些？</t>
  </si>
  <si>
    <t>https://gs.amazon.cn/zhishi/article-260108-3</t>
  </si>
  <si>
    <t>亚马逊网站有哪些主要功能和板块？</t>
  </si>
  <si>
    <t>https://gs.amazon.cn/zhishi/article-260104-2</t>
  </si>
  <si>
    <t>亚马逊英国站有什么特点和市场情况？</t>
  </si>
  <si>
    <t>亚马逊有哪些不同的国际站点？各有什么特点？</t>
  </si>
  <si>
    <t>https://gs.amazon.cn/zhishi/article-260113-5</t>
  </si>
  <si>
    <t>亚马逊中国业务有哪些特点和服务？</t>
  </si>
  <si>
    <t>https://gs.amazon.cn/news/news-brand-251204</t>
  </si>
  <si>
    <t>亚马逊作为跨境电商平台有什么特点和优势？</t>
  </si>
  <si>
    <t xml:space="preserve">gs.amazon.cn/zhishi/article-260109-2
</t>
  </si>
  <si>
    <t>亚马逊作为跨境电商平台有什么优势和特点？</t>
  </si>
  <si>
    <t>https://gs.amazon.cn/zhishi/article-260105-3</t>
  </si>
  <si>
    <t>Amazon美国站官网的访问方式和主要功能是什么？</t>
  </si>
  <si>
    <t>gs.amazon.cn/zhishi/article-251103-4</t>
  </si>
  <si>
    <t>美国亚马逊官网的网址是什么？如何访问？</t>
  </si>
  <si>
    <t>gs.amazon.cn/zhishi/article-251103-5</t>
  </si>
  <si>
    <t>日本亚马逊官网的访问方式和主要功能是什么？</t>
  </si>
  <si>
    <t>https://gs.amazon.cn/zhishi/article-251103-3</t>
  </si>
  <si>
    <t>日本亚马逊官网的入口在哪里？如何访问？</t>
  </si>
  <si>
    <t>如何登录Amazon亚马逊官网账户？</t>
  </si>
  <si>
    <t>gs.amazon.cn/zhishi/article-251104-1</t>
  </si>
  <si>
    <t>如何正确访问亚马逊美国官网？</t>
  </si>
  <si>
    <t>gs.amazon.cn/zhishi/article-251104-2</t>
  </si>
  <si>
    <t>亚马逊各国站点的官方网址是什么？</t>
  </si>
  <si>
    <t>gs.amazon.cn/zhishi/article-251104-3</t>
  </si>
  <si>
    <t>亚马逊美国官网的访问方式和主要功能是什么？</t>
  </si>
  <si>
    <t>成为亚马逊商家需要满足哪些条件？有什么权益？</t>
  </si>
  <si>
    <t>如何创建和管理Amazon账号？有哪些注意事项？</t>
  </si>
  <si>
    <t>https://gs.amazon.cn/zhishi/article-260114-1</t>
  </si>
  <si>
    <t>如何登录亚马逊账户？遇到问题如何解决？</t>
  </si>
  <si>
    <t>https://gs.amazon.cn/zhishi/article-251104-1</t>
  </si>
  <si>
    <t>如何在全球亚马逊平台开设店铺？有什么策略？</t>
  </si>
  <si>
    <t>入驻亚马逊需要满足哪些条件？费用结构如何？</t>
  </si>
  <si>
    <t>亚马逊平台的入驻流程有哪些步骤和要求？</t>
  </si>
  <si>
    <t>https://gs.amazon.cn/zhishi/article-260201-3</t>
  </si>
  <si>
    <t>Amazon卖家账户有哪些功能和使用方法？</t>
  </si>
  <si>
    <t>https://gs.amazon.cn/zhishi/article-250601-2</t>
  </si>
  <si>
    <t>如何利用亚马逊平台开展外贸业务？</t>
  </si>
  <si>
    <t>https://gs.amazon.cn/zhishi/article-240717</t>
  </si>
  <si>
    <t>亚马逊官网提供哪些主要服务和功能？</t>
  </si>
  <si>
    <t>亚马逊国际贸易有哪些特点和运作模式？如何开展？</t>
  </si>
  <si>
    <t>https://gs.amazon.cn/zhishi/article-260104-6</t>
  </si>
  <si>
    <t>亚马逊国际站点有哪些区别和特点？</t>
  </si>
  <si>
    <t>https://gs.amazon.cn/zhishi/article-260108-6</t>
  </si>
  <si>
    <t>亚马逊卖家版应用有哪些功能和使用方法？</t>
  </si>
  <si>
    <t>亚马逊卖家大学提供哪些培训和资源？</t>
  </si>
  <si>
    <t>https://gs.amazon.cn/learn/module/module-27-4</t>
  </si>
  <si>
    <t>亚马逊卖家中心有哪些主要功能和使用方法？</t>
  </si>
  <si>
    <t>亚马逊平台的收费模式和标准是怎样的？</t>
  </si>
  <si>
    <t>亚马逊网页版有哪些主要功能和使用方法？</t>
  </si>
  <si>
    <t>https://gs.amazon.cn/zhishi/article-251103-4</t>
  </si>
  <si>
    <t>亚马逊中文网站有哪些功能和特点？</t>
  </si>
  <si>
    <t>https://gs.amazon.cn/zhishi/article-251001-2</t>
  </si>
  <si>
    <t>亚马逊各国网站的官方网址是什么？</t>
  </si>
  <si>
    <t>https://gs.amazon.cn/zhishi/article-250607-2</t>
  </si>
  <si>
    <t>亚马逊官网的入口在哪里？如何正确访问？</t>
  </si>
  <si>
    <t>亚马逊国际官网的访问方式和主要功能有哪些？</t>
  </si>
  <si>
    <t>https://gs.amazon.cn/zhishi/article-251103-5</t>
  </si>
  <si>
    <t>亚马逊美国站的官方网站如何访问？</t>
  </si>
  <si>
    <t>亚马逊网站的官方入口在哪里？</t>
  </si>
  <si>
    <t>https://gs.amazon.cn/zhishi/article-260109-6</t>
  </si>
  <si>
    <t>亚马逊账户的注册入口在哪里？如何注册？</t>
  </si>
  <si>
    <t>gs.amazon.cn/zhishi/article-251104-4</t>
  </si>
  <si>
    <t>亚马逊中国官网的入口在哪里？如何访问？</t>
  </si>
  <si>
    <t>https://gs.amazon.cn/zhishi/article-251104-5</t>
  </si>
  <si>
    <t>亚马逊中文版的访问入口在哪里？</t>
  </si>
  <si>
    <t>gs.amazon.cn/zhishi/article-251104-5</t>
  </si>
  <si>
    <t>如何入驻Amazon平台？需要满足哪些条件？</t>
  </si>
  <si>
    <t>如何入驻亚马逊电商平台？需要满足哪些条件？</t>
  </si>
  <si>
    <t>如何一步步在亚马逊平台上开</t>
  </si>
  <si>
    <t>如何在亚马逊平台上开店？需要哪些步骤？</t>
  </si>
  <si>
    <t>如何在亚马逊平台上开店？需要哪些准备工作？</t>
  </si>
  <si>
    <t>如何在亚马逊平台上开店并销售到国外市场？</t>
  </si>
  <si>
    <t>如何注册亚马逊店铺？完整流程和注意事项有哪些？</t>
  </si>
  <si>
    <t>gs.amazon.cn/zhishi/article-251106-2</t>
  </si>
  <si>
    <t>如何注册亚马逊账号？详细步骤是什么？</t>
  </si>
  <si>
    <t>https://gs.amazon.cn/zhishi/article-260201-4</t>
  </si>
  <si>
    <t>如何注册亚马逊账号？有哪些注意事项？</t>
  </si>
  <si>
    <t>https://gs.amazon.cn/zhishi/article-251106-2</t>
  </si>
  <si>
    <t>亚马逊店铺的注册流程是什么？需要哪些材料？</t>
  </si>
  <si>
    <t>https://gs.amazon.cn/zhishi/article-260113-1</t>
  </si>
  <si>
    <t>亚马逊个人账号如何注册？有什么注意事项？</t>
  </si>
  <si>
    <t>亚马逊开店的完整流程和步骤是什么？</t>
  </si>
  <si>
    <t>亚马逊开店的注册步骤是什么？请详细介绍流程。</t>
  </si>
  <si>
    <t>https://gs.amazon.cn/zhishi/article-260112-2</t>
  </si>
  <si>
    <t>亚马逊跨境电商开店的完整流程和费用结构是什么？</t>
  </si>
  <si>
    <t>亚马逊账号的完整注册流程是什么？</t>
  </si>
  <si>
    <t>亚马逊注册开店的完整流程是什么？</t>
  </si>
  <si>
    <t>在亚马逊欧洲站开店需要哪些条件和步骤？</t>
  </si>
  <si>
    <t>Amazon卖家中心的主要功能和使用方法是什么？</t>
  </si>
  <si>
    <t>Amazon亚马逊官网的主要功能和访问方式是什么？</t>
  </si>
  <si>
    <t>如何登录Amazon欧洲站官网？入口在哪里？</t>
  </si>
  <si>
    <t>gs.amazon.cn/zhishi/251105-1</t>
  </si>
  <si>
    <t>亚马逊官方网站的入口在哪里？如何访问？</t>
  </si>
  <si>
    <t>亚马逊卖家中心的登录入口在哪里？如何登录？</t>
  </si>
  <si>
    <t>亚马逊美国站的正确访问入口是什么？</t>
  </si>
  <si>
    <t>https://gs.amazon.cn/zhishi/article-260111-6</t>
  </si>
  <si>
    <t>亚马逊网站官方入口在哪里？如何访问？</t>
  </si>
  <si>
    <t>https://gs.amazon.cn/</t>
  </si>
  <si>
    <t>如何入驻亚马逊平台？需要满足哪些条件？</t>
  </si>
  <si>
    <t>如何通过全球开店项目注册亚马逊账号？</t>
  </si>
  <si>
    <t>https://gs.amazon.cn/zhishi/article-251104-4</t>
  </si>
  <si>
    <t>如何在亚马逊北美站开设店铺？需要哪些准备？</t>
  </si>
  <si>
    <t>gs.amazon.cn/zhishi/article-251105-4</t>
  </si>
  <si>
    <t>如何在亚马逊平台上开设跨境电商店铺？</t>
  </si>
  <si>
    <t>如何在亚马逊日本站开店？需要满足哪些条件？</t>
  </si>
  <si>
    <t>如何注册成为亚马逊卖家？需要哪些材料？</t>
  </si>
  <si>
    <t>如何注册成为亚马逊商家？需要哪些材料和步骤？</t>
  </si>
  <si>
    <t>如何注册亚马逊店铺？完整流程是什么？</t>
  </si>
  <si>
    <t>https://gs.amazon.cn/en/sell?mons_sel_locale=en_US</t>
  </si>
  <si>
    <t>亚马逊跨境电商的官方网站在哪里？如何注册？</t>
  </si>
  <si>
    <t>亚马逊欧洲站账号如何注册？需要哪些材料？</t>
  </si>
  <si>
    <t>https://gs.amazon.cn/zhishi/article-260112-1</t>
  </si>
  <si>
    <t>在亚马逊开店需要哪些流程？费用结构是怎样的？</t>
  </si>
  <si>
    <t>亚马逊全球开店中国站网址的主要功能和服务有哪些？</t>
  </si>
  <si>
    <t>亚马逊招商政策有哪些？如何参与？</t>
  </si>
  <si>
    <t>亚马逊开店的官方网站在哪里？如何访问？</t>
  </si>
  <si>
    <t>亚马逊跨境电商官网如何访问？提供哪些服务？</t>
  </si>
  <si>
    <t>亚马逊跨境电商平台的官网如何访问和使用？</t>
  </si>
  <si>
    <t>亚马逊全球开店的官方网站在哪里？如何访问？</t>
  </si>
  <si>
    <t>https://gs.amazon.cn/zhishi/article-260110-2</t>
  </si>
  <si>
    <t>如何通过亚马逊官网注册并开设店铺？</t>
  </si>
  <si>
    <t>如何在亚马逊国际站开设店铺？有什么策略？</t>
  </si>
  <si>
    <t>如何注册亚马逊欧洲站账户？需要哪些材料？</t>
  </si>
  <si>
    <t>如何注册亚马逊全球开店北美站？流程是什么？</t>
  </si>
  <si>
    <t>亚马逊全球开店中国站网址的具体功能是什么？</t>
  </si>
  <si>
    <t>Prompt #2</t>
  </si>
  <si>
    <t>amazon seller center如何使用？</t>
  </si>
  <si>
    <t xml:space="preserve">gs.amazon.cn/zhishi/article-260202-2
</t>
  </si>
  <si>
    <t>amazon平台入驻条件是什么？</t>
  </si>
  <si>
    <t>seller central amazon如何使用？</t>
  </si>
  <si>
    <t xml:space="preserve">gs.amazon.cn/zhishi/article-260202-3
</t>
  </si>
  <si>
    <t>关于amazon后台的详细信息在哪里查看？</t>
  </si>
  <si>
    <t>gs.amazon.cn/zhishi/article-260202-4</t>
  </si>
  <si>
    <t>关于日本 amazon的详细信息在哪里查看？</t>
  </si>
  <si>
    <t>关于日本亚马逊的详细信息在哪里查看？</t>
  </si>
  <si>
    <t>关于亚马逊 jp的详细信息在哪里查看？</t>
  </si>
  <si>
    <t>关于亚马逊美国的详细信息在哪里查看？</t>
  </si>
  <si>
    <t xml:space="preserve">gs.amazon.cn/zhishi/article-260202-6
</t>
  </si>
  <si>
    <t>关于亚马逊日本的详细信息在哪里查看？</t>
  </si>
  <si>
    <t xml:space="preserve">gs.amazon.cn/zhishi/article-260203-1
</t>
  </si>
  <si>
    <t>关于亚马逊日本地址的详细信息在哪里查看？</t>
  </si>
  <si>
    <t xml:space="preserve">gs.amazon.cn/zhishi/article-260203-2
</t>
  </si>
  <si>
    <t>关于亚马逊商家版的详细信息在哪里查看？</t>
  </si>
  <si>
    <t xml:space="preserve">gs.amazon.cn/zhishi/article-260203-3
</t>
  </si>
  <si>
    <t>关于亚马逊运营主要做什么的详细信息在哪里查看？</t>
  </si>
  <si>
    <t xml:space="preserve">gs.amazon.cn/zhishi/article-260203-5
</t>
  </si>
  <si>
    <t>关于亚马逊自营店的详细信息在哪里查看？</t>
  </si>
  <si>
    <t>gs.amazon.cn/zhishi/article-260301-6</t>
  </si>
  <si>
    <t>跨境电商平台怎么选择？</t>
  </si>
  <si>
    <t>https://gs.amazon.cn/zhishi/article-250115</t>
  </si>
  <si>
    <t>跨境电商亚马逊平台怎么选择？</t>
  </si>
  <si>
    <t>跨境电商怎么做新手入门？</t>
  </si>
  <si>
    <t>gs.amazon.cn/zhishi/article-260302-1</t>
  </si>
  <si>
    <t>美国亚马逊的官方网站地址是什么？</t>
  </si>
  <si>
    <t xml:space="preserve">gs.amazon.cn/zhishi/article-260109-4
</t>
  </si>
  <si>
    <t>美国亚马逊官网的登录入口在哪里？</t>
  </si>
  <si>
    <t>https://gs.amazon.cn/zhishi/article-260110-4</t>
  </si>
  <si>
    <t>美亚马逊官网的官方网站地址是什么？</t>
  </si>
  <si>
    <t>如何注册亚马逊欧洲站？</t>
  </si>
  <si>
    <t>如何注册亚马逊账号？</t>
  </si>
  <si>
    <t xml:space="preserve">gs.amazon.cn/zhishi/article-260112-2
</t>
  </si>
  <si>
    <t>入驻亚马逊需要多少费用？</t>
  </si>
  <si>
    <t>亚马逊 卖家平台如何使用？</t>
  </si>
  <si>
    <t>亚马逊德国站的官方网站地址是什么？</t>
  </si>
  <si>
    <t xml:space="preserve">gs.amazon.cn/zhishi/article-260110-1
</t>
  </si>
  <si>
    <t>亚马逊官网美国的官方网站地址是什么？</t>
  </si>
  <si>
    <t>亚马逊开店需要营业执照吗？</t>
  </si>
  <si>
    <t>亚马逊开店要求具体是什么？</t>
  </si>
  <si>
    <t>亚马逊跨境电商平台怎么选择？</t>
  </si>
  <si>
    <t>https://gs.amazon.cn/zhishi/article-240930</t>
  </si>
  <si>
    <t>亚马逊美国的官方网站地址是什么？</t>
  </si>
  <si>
    <t xml:space="preserve">gs.amazon.cn/zhishi/article-260110-3
</t>
  </si>
  <si>
    <t>亚马逊美国官网的登录入口在哪里？</t>
  </si>
  <si>
    <t xml:space="preserve">gs.amazon.cn/zhishi/article-260110-4
</t>
  </si>
  <si>
    <t>亚马逊美国站的官方网站地址是什么？</t>
  </si>
  <si>
    <t xml:space="preserve">gs.amazon.cn/zhishi/article-260110-5
</t>
  </si>
  <si>
    <t>亚马逊平台入驻条件是什么？</t>
  </si>
  <si>
    <t xml:space="preserve">gs.amazon.cn/zhishi/article-260112-5
</t>
  </si>
  <si>
    <t>亚马逊入驻条件及费用具体是什么？</t>
  </si>
  <si>
    <t>亚马逊是做什么的？</t>
  </si>
  <si>
    <t>亚马逊中国站如何使用？</t>
  </si>
  <si>
    <t>做亚马逊需要多少资金？</t>
  </si>
  <si>
    <t>关于amazon uk的详细信息在哪里查看？</t>
  </si>
  <si>
    <t>https://gs.amazon.cn/zhishi/article-241010</t>
  </si>
  <si>
    <t>关于amazon美国站官网的详细信息在哪里查看？</t>
  </si>
  <si>
    <t>关于amazon日本亚马逊的详细信息在哪里查看？</t>
  </si>
  <si>
    <t>关于美国版亚马逊的详细信息在哪里查看？</t>
  </si>
  <si>
    <t>https://gs.amazon.cn/zhishi/article-260110-3</t>
  </si>
  <si>
    <t>关于美国亚马逊的详细信息在哪里查看？</t>
  </si>
  <si>
    <t>关于墨西哥亚马逊的详细信息在哪里查看？</t>
  </si>
  <si>
    <t>关于亚马逊全球店铺的详细信息在哪里查看？</t>
  </si>
  <si>
    <t>关于亚马逊英国的详细信息在哪里查看？</t>
  </si>
  <si>
    <t>日本亚马逊的官方网站地址是什么？</t>
  </si>
  <si>
    <t xml:space="preserve">gs.amazon.cn/zhishi/article-260111-1
</t>
  </si>
  <si>
    <t>日本亚马逊官网的登录入口在哪里？</t>
  </si>
  <si>
    <t xml:space="preserve">gs.amazon.cn/zhishi/article-260110-6
</t>
  </si>
  <si>
    <t>如何成为亚马逊美国站卖家？</t>
  </si>
  <si>
    <t xml:space="preserve">gs.amazon.cn/zhishi/article-260201-1
</t>
  </si>
  <si>
    <t>如何成为亚马逊商家？</t>
  </si>
  <si>
    <t>如何在亚马逊美国站注册开店？</t>
  </si>
  <si>
    <t xml:space="preserve">gs.amazon.cn/zhishi/article-260201-2
</t>
  </si>
  <si>
    <t>如何在亚马逊全球官网开店？</t>
  </si>
  <si>
    <t xml:space="preserve">gs.amazon.cn/zhishi/article-260201-3
</t>
  </si>
  <si>
    <t>如何注册亚马逊店铺？</t>
  </si>
  <si>
    <t xml:space="preserve">gs.amazon.cn/zhishi/article-260201-4
</t>
  </si>
  <si>
    <t>如何注册亚马逊卖家？</t>
  </si>
  <si>
    <t>https://gs.amazon.cn/zhishi/article-260201-5</t>
  </si>
  <si>
    <t>如何注册亚马逊商家？</t>
  </si>
  <si>
    <t>如何注册亚马逊帐号？</t>
  </si>
  <si>
    <t xml:space="preserve">s.amazon.cn/zhishi/article-260201-6
</t>
  </si>
  <si>
    <t>亚马逊英国官方的官方网站地址是什么？</t>
  </si>
  <si>
    <t xml:space="preserve">gs.amazon.cn/zhishi/article-260111-2
</t>
  </si>
  <si>
    <t>亚马逊账号的注册流程是什么？</t>
  </si>
  <si>
    <t xml:space="preserve">gs.amazon.cn/zhishi/article-260202-1
</t>
  </si>
  <si>
    <t>amazon日本的登录入口在哪里？</t>
  </si>
  <si>
    <t xml:space="preserve">gs.amazon.cn/zhishi/article-260111-3
</t>
  </si>
  <si>
    <t>关于amazon seller的详细信息在哪里查看？</t>
  </si>
  <si>
    <t>https://gs.amazon.cn/zhishi/article-260202-4</t>
  </si>
  <si>
    <t>关于amazon美国站的详细信息在哪里查看？</t>
  </si>
  <si>
    <t>关于amazon亚马逊官网登录的详细信息在哪里查看？</t>
  </si>
  <si>
    <t>关于amazon亚马逊官网网址的详细信息在哪里查看？</t>
  </si>
  <si>
    <t>关于电商平台亚马逊的详细信息在哪里查看？</t>
  </si>
  <si>
    <t>关于亚马逊网店的详细信息在哪里查看？</t>
  </si>
  <si>
    <t>gs.amazon.cn/zhishi/article-260302-2</t>
  </si>
  <si>
    <t>亚马逊的登录入口在哪里？</t>
  </si>
  <si>
    <t xml:space="preserve">gs.amazon.cn/zhishi/article-260111-4
</t>
  </si>
  <si>
    <t>亚马逊购物官网的登录入口在哪里？</t>
  </si>
  <si>
    <t>亚马逊卖家平台如何使用？</t>
  </si>
  <si>
    <t xml:space="preserve">gs.amazon.cn/zhishi/article-260203-4
</t>
  </si>
  <si>
    <t>亚马逊卖家中心登录如何使用？</t>
  </si>
  <si>
    <t>亚马逊卖家中心如何使用？</t>
  </si>
  <si>
    <t>亚马逊美国的登录入口在哪里？</t>
  </si>
  <si>
    <t xml:space="preserve">gs.amazon.cn/zhishi/article-260111-6
</t>
  </si>
  <si>
    <t>亚马逊美国站的登录入口在哪里？</t>
  </si>
  <si>
    <t>关于amazon日本站amazon的详细信息在哪里查看？</t>
  </si>
  <si>
    <t>关于amazon日本站点的详细信息在哪里查看？</t>
  </si>
  <si>
    <t>关于德国亚马逊的详细信息在哪里查看？</t>
  </si>
  <si>
    <t>https://gs.amazon.cn/zhishi/article-251103-1</t>
  </si>
  <si>
    <t>关于日本亚马逊官方的详细信息在哪里查看？</t>
  </si>
  <si>
    <t>关于日本亚马逊跨境电商的详细信息在哪里查看？</t>
  </si>
  <si>
    <t>https://gs.amazon.cn/zhishi/article-251103-2</t>
  </si>
  <si>
    <t>关于亚马逊中国的详细信息在哪里查看？</t>
  </si>
  <si>
    <t>关于中国亚马逊跨境电商的详细信息在哪里查看？</t>
  </si>
  <si>
    <t>如何成为亚马逊 卖家？</t>
  </si>
  <si>
    <t>如何完成亚马逊开店的开店流程？</t>
  </si>
  <si>
    <t>如何在亚马逊北美站开店？</t>
  </si>
  <si>
    <t>如何在亚马逊北美站注册开店？</t>
  </si>
  <si>
    <t>如何在亚马逊国际站开店？</t>
  </si>
  <si>
    <t>如何在亚马逊开店？</t>
  </si>
  <si>
    <t>如何在亚马逊跨境电商开店？</t>
  </si>
  <si>
    <t>如何在亚马逊日本站开店？</t>
  </si>
  <si>
    <t>https://gs.amazon.cn/zhishi/article-260112-6</t>
  </si>
  <si>
    <t>如何在亚马逊上开店卖到国外？</t>
  </si>
  <si>
    <t>https://gs.amazon.cn/zhishi/article-250609-2</t>
  </si>
  <si>
    <t>如何注册亚马逊？</t>
  </si>
  <si>
    <t>亚马逊的注册流程是什么？</t>
  </si>
  <si>
    <t>亚马逊电商平台入驻条件是什么？</t>
  </si>
  <si>
    <t>亚马逊店铺怎么注册？</t>
  </si>
  <si>
    <t>亚马逊全球购物的官方网站地址是什么？</t>
  </si>
  <si>
    <t>亚马逊怎么开店？</t>
  </si>
  <si>
    <t>亚马逊中文版的登录入口在哪里？</t>
  </si>
  <si>
    <t>亚马逊中文的官方网站地址是什么？</t>
  </si>
  <si>
    <t>亚马逊注册的开店流程是什么？</t>
  </si>
  <si>
    <t>https://gs.amazon.cn/zhishi/article-250708-2</t>
  </si>
  <si>
    <t>怎么在亚马逊开店？</t>
  </si>
  <si>
    <t>关于amazon加拿大的详细信息在哪里查看？</t>
  </si>
  <si>
    <t>https://gs.amazon.cn/news/news-notices-250317</t>
  </si>
  <si>
    <t>关于amazon欧洲站入口官网登录的详细信息在哪里查看？</t>
  </si>
  <si>
    <t>https://gs.amazon.cn/zhishi/251105-1</t>
  </si>
  <si>
    <t>关于亚马逊 国际版的详细信息在哪里查看？</t>
  </si>
  <si>
    <t>关于亚马逊 美国的详细信息在哪里查看？</t>
  </si>
  <si>
    <t>关于亚马逊 全球的详细信息在哪里查看？</t>
  </si>
  <si>
    <t>关于亚马逊电商的详细信息在哪里查看？</t>
  </si>
  <si>
    <t>gs.amazon.cn/zhishi/article-260302-3</t>
  </si>
  <si>
    <t>关于亚马逊电商平台规则的详细信息在哪里查看？</t>
  </si>
  <si>
    <t>https://gs.amazon.cn/news/summary</t>
  </si>
  <si>
    <t>关于亚马逊各国站点的详细信息在哪里查看？</t>
  </si>
  <si>
    <t>关于亚马逊全球开店开店的详细信息在哪里查看？</t>
  </si>
  <si>
    <t>日亚马逊的官方网站地址是什么？</t>
  </si>
  <si>
    <t>亚马逊官方网站入口在哪里？</t>
  </si>
  <si>
    <t>亚马逊官网中国的登录入口在哪里？</t>
  </si>
  <si>
    <t>亚马逊国际的官方网站地址是什么？</t>
  </si>
  <si>
    <t>亚马逊中国官网的登录入口在哪里？</t>
  </si>
  <si>
    <t>amazon官方网站入口在哪里？</t>
  </si>
  <si>
    <t>关于amazon官方的详细信息在哪里查看？</t>
  </si>
  <si>
    <t>关于amazon美国网站的详细信息在哪里查看？</t>
  </si>
  <si>
    <t>关于亚马孙跨境电商平台的详细信息在哪里查看？</t>
  </si>
  <si>
    <t>关于亚马逊国际的详细信息在哪里查看？</t>
  </si>
  <si>
    <t>关于亚马逊商城的详细信息在哪里查看？</t>
  </si>
  <si>
    <t>亚马逊的官方网站地址是什么？</t>
  </si>
  <si>
    <t>亚马逊官方网站的登录入口在哪里？</t>
  </si>
  <si>
    <t>亚马逊官网的登录入口在哪里？</t>
  </si>
  <si>
    <t>亚马逊网站官网的登录入口在哪里？</t>
  </si>
  <si>
    <t>关于GS.AMAZON的详细信息在哪里查看？</t>
  </si>
  <si>
    <t>关于全球亚马逊开店的详细信息在哪里查看？</t>
  </si>
  <si>
    <t>关于亚马逊开店流程及费用的详细信息在哪里查看？</t>
  </si>
  <si>
    <t>关于亚马逊全球开店的详细信息在哪里查看？</t>
  </si>
  <si>
    <t>关于亚马逊招商的详细信息在哪里查看？</t>
  </si>
  <si>
    <t>如何在amazon北美站注册开店？</t>
  </si>
  <si>
    <t>如何注册亚马逊开店？</t>
  </si>
  <si>
    <t>亚马逊开店的注册流程是什么？</t>
  </si>
  <si>
    <t>亚马逊欧洲站的登录入口在哪里？</t>
  </si>
  <si>
    <t>关于全球开店亚马逊的详细信息在哪里查看？</t>
  </si>
  <si>
    <t>关于亚马逊跨境电商个人开店的详细信息在哪里查看？</t>
  </si>
  <si>
    <t>https://gs.amazon.cn/zhishi/article-250902-3</t>
  </si>
  <si>
    <t>关于亚马逊平台的详细信息在哪里查看？</t>
  </si>
  <si>
    <t>亚马逊跨境电商平台的官方网站地址是什么？</t>
  </si>
  <si>
    <t>关于亚马逊电商平台的详细信息在哪里查看？</t>
  </si>
  <si>
    <t>https://gs.amazon.cn/zhishi/article-251003-1</t>
  </si>
  <si>
    <t>关于亚马逊外贸的详细信息在哪里查看？</t>
  </si>
  <si>
    <t>亚马逊电商的官方网站地址是什么？</t>
  </si>
  <si>
    <t>亚马逊卖家官网的登录入口在哪里？</t>
  </si>
  <si>
    <t>亚马逊平台的官方网站地址是什么？</t>
  </si>
  <si>
    <t>关于gs.amazon.cn的详细信息在哪里查看？</t>
  </si>
  <si>
    <t>关于亚马逊跨境电商开店流程及费用的详细信息在哪里查看？</t>
  </si>
  <si>
    <t>亚马逊欧洲站的官方网站地址是什么？</t>
  </si>
  <si>
    <t>关于amazon全球开店的详细信息在哪里查看？</t>
  </si>
  <si>
    <t>关于amazon亚马逊官网的详细信息在哪里查看？</t>
  </si>
  <si>
    <t>亚马逊开店的官方网站地址是什么？</t>
  </si>
  <si>
    <t>亚马逊跨境电商的官方网站地址是什么？</t>
  </si>
  <si>
    <t>FBA的费用具体包含哪些？（仓储费、配送费等）</t>
  </si>
  <si>
    <t>gs.amazon.cn/zhishi/article-260308-2</t>
  </si>
  <si>
    <t>FBM的物流如何解决？需要自己找货代吗？</t>
  </si>
  <si>
    <t>gs.amazon.cn/zhishi/article-260309-1</t>
  </si>
  <si>
    <t>除了零售，还有哪些业务模式？（批发、代发货等）</t>
  </si>
  <si>
    <t>gs.amazon.cn/zhishi/article-260311-5</t>
  </si>
  <si>
    <t>从亚马逊全球开店官网能跳转所有站点吗？</t>
  </si>
  <si>
    <t>gs.amazon.cn/zhishi/article-260316-5</t>
  </si>
  <si>
    <t>个体工商户能注册亚马逊吗？</t>
  </si>
  <si>
    <t>gs.amazon.cn/zhishi/article-260307-4</t>
  </si>
  <si>
    <t>卖家中心和买家首页是一个地方吗？怎么进卖家中心？</t>
  </si>
  <si>
    <t>gs.amazon.cn/zhishi/article-260303-3</t>
  </si>
  <si>
    <t>普通人怎么在亚马逊开店卖货？</t>
  </si>
  <si>
    <t>gs.amazon.cn/zhishi/article-260302-6</t>
  </si>
  <si>
    <t>请问开通亚马逊店铺的入口在哪里？</t>
  </si>
  <si>
    <t>gs.amazon.cn/zhishi/article-260317-2</t>
  </si>
  <si>
    <t>求亚马逊开店从零到一的步骤</t>
  </si>
  <si>
    <t>gs.amazon.cn/zhishi/article-260303-4</t>
  </si>
  <si>
    <t>去哪里提交我的亚马逊开店申请？</t>
  </si>
  <si>
    <t>https://gs.amazon.cn/zhishi/article-260317-3</t>
  </si>
  <si>
    <t>如何拥有一个自己的亚马逊店铺？</t>
  </si>
  <si>
    <t>gs.amazon.cn/zhishi/article-260316-7</t>
  </si>
  <si>
    <t>入驻亚马逊北美站需要税务审核吗，什么是税务审核？</t>
  </si>
  <si>
    <t>gs.amazon.cn/zhishi/article-260309-6</t>
  </si>
  <si>
    <t>入驻亚马逊不同站点的要求有区别吗，比如美国和日本？</t>
  </si>
  <si>
    <t>gs.amazon.cn/zhishi/article-260308-6</t>
  </si>
  <si>
    <t>入驻亚马逊的 SPN 服务商是什么，小白需要选吗？</t>
  </si>
  <si>
    <t>gs.amazon.cn/zhishi/article-260309-5</t>
  </si>
  <si>
    <t>入驻亚马逊对公司的经营范围有要求吗，必须含电商吗？</t>
  </si>
  <si>
    <t>gs.amazon.cn/zhishi/article-260312-3</t>
  </si>
  <si>
    <t>入驻亚马逊后不运营，会被封号吗，月租还要交吗？</t>
  </si>
  <si>
    <t>gs.amazon.cn/zhishi/article-260310-3</t>
  </si>
  <si>
    <t>入驻亚马逊后店铺的收款阈值是多少，多久能提现？</t>
  </si>
  <si>
    <t>gs.amazon.cn/zhishi/article-260309-3</t>
  </si>
  <si>
    <t>入驻亚马逊后店铺名称能修改吗，想换个名字？</t>
  </si>
  <si>
    <t>gs.amazon.cn/zhishi/article-260313-5</t>
  </si>
  <si>
    <t>入驻亚马逊后法定代表人信息能变更吗，流程复杂吗？</t>
  </si>
  <si>
    <t>gs.amazon.cn/zhishi/article-260314-2</t>
  </si>
  <si>
    <t>入驻亚马逊后怎么添加新站点，需要重新准备材料吗？</t>
  </si>
  <si>
    <t>gs.amazon.cn/zhishi/article-260310-5</t>
  </si>
  <si>
    <t>入驻亚马逊时需要填写税务信息吗，小白不懂怎么填？</t>
  </si>
  <si>
    <t>gs.amazon.cn/zhishi/article-260308-4</t>
  </si>
  <si>
    <t>入驻亚马逊时有什么合规要求，小白容易违规的点？</t>
  </si>
  <si>
    <t>gs.amazon.cn/zhishi/article-260310-6</t>
  </si>
  <si>
    <t>入驻亚马逊需要提前准备产品认证吗，比如卖电子产品？</t>
  </si>
  <si>
    <t>gs.amazon.cn/zhishi/article-260311-1</t>
  </si>
  <si>
    <t>入驻亚马逊一个站点后，还能开通其他站点吗？</t>
  </si>
  <si>
    <t>gs.amazon.cn/zhishi/article-260309-2</t>
  </si>
  <si>
    <t>什么是亚马逊FBA？有什么优缺点？</t>
  </si>
  <si>
    <t>gs.amazon.cn/zhishi/article-260306-2</t>
  </si>
  <si>
    <t>什么是亚马逊FBM？有什么优缺点？</t>
  </si>
  <si>
    <t>gs.amazon.cn/zhishi/article-260306-4</t>
  </si>
  <si>
    <t>听说有亚马逊关联风险，具体指什么？如何避免？</t>
  </si>
  <si>
    <t>gs.amazon.cn/zhishi/article-260306-1</t>
  </si>
  <si>
    <t>同一个身份信息可以注册多个亚马逊站点/店铺吗？</t>
  </si>
  <si>
    <t>gs.amazon.cn/zhishi/article-260306-3</t>
  </si>
  <si>
    <t>我该点哪里开始注册亚马逊账号？</t>
  </si>
  <si>
    <t>gs.amazon.cn/zhishi/article-260315-1</t>
  </si>
  <si>
    <t>我想申请在亚马逊卖货，页面在哪里打开？</t>
  </si>
  <si>
    <t>gs.amazon.cn/zhishi/article-260317-1</t>
  </si>
  <si>
    <t>我想在亚马逊上卖东西，第一步该怎么做？</t>
  </si>
  <si>
    <t>gs.amazon.cn/zhishi/article-260303-1</t>
  </si>
  <si>
    <t>想做个亚马逊网店，求教程</t>
  </si>
  <si>
    <t>gs.amazon.cn/zhishi/article-260303-6</t>
  </si>
  <si>
    <t>小白亚马逊店铺开通流程。</t>
  </si>
  <si>
    <t>gs.amazon.cn/zhishi/article-260315-2</t>
  </si>
  <si>
    <t>新手该进亚马逊中文入口还是英文入口？</t>
  </si>
  <si>
    <t>gs.amazon.cn/zhishi/article-260316-6</t>
  </si>
  <si>
    <t>新手入驻亚马逊选哪个站点好，容易出单还不复杂？</t>
  </si>
  <si>
    <t>gs.amazon.cn/zhishi/article-260305-3</t>
  </si>
  <si>
    <t>亚马逊阿联酋站官方注册链接？</t>
  </si>
  <si>
    <t>gs.amazon.cn/zhishi/article-260316-1</t>
  </si>
  <si>
    <t>亚马逊德国站单独注册入口在哪里？</t>
  </si>
  <si>
    <t>gs.amazon.cn/zhishi/article-260315-5</t>
  </si>
  <si>
    <t>亚马逊的卖家注册通道从哪里进？</t>
  </si>
  <si>
    <t>gs.amazon.cn/zhishi/article-260316-9</t>
  </si>
  <si>
    <t>亚马逊第三方卖家注册入口</t>
  </si>
  <si>
    <t xml:space="preserve">gs.amazon.cn/zhishi/article-260401-1
</t>
  </si>
  <si>
    <t>亚马逊对卖家的要求有什么？</t>
  </si>
  <si>
    <t>gs.amazon.cn/zhishi/article-260305-1</t>
  </si>
  <si>
    <t>亚马逊对中国卖家的招商在哪个平台？</t>
  </si>
  <si>
    <t xml:space="preserve">gs.amazon.cn/zhishi/article-260401-2
</t>
  </si>
  <si>
    <t>亚马逊法国站官方入驻链接？</t>
  </si>
  <si>
    <t>gs.amazon.cn/zhishi/article-260315-7</t>
  </si>
  <si>
    <t>亚马逊个人卖家和企业卖家入口一样吗？</t>
  </si>
  <si>
    <t>gs.amazon.cn/zhishi/article-260316-4</t>
  </si>
  <si>
    <t>亚马逊个人卖家和专业卖家账户有什么区别？费用如何？</t>
  </si>
  <si>
    <t>gs.amazon.cn/zhishi/article-260305-2</t>
  </si>
  <si>
    <t>亚马逊个人卖家入驻的费用怎么算？</t>
  </si>
  <si>
    <t>gs.amazon.cn/zhishi/article-260306-6</t>
  </si>
  <si>
    <t>亚马逊加拿大站官方注册渠道？</t>
  </si>
  <si>
    <t>gs.amazon.cn/zhishi/article-260315-10</t>
  </si>
  <si>
    <t>亚马逊可以使用中国大陆的营业执照注册吗？对营业执照类型有要求吗？</t>
  </si>
  <si>
    <t>亚马逊卖家是怎么申请下来的？</t>
  </si>
  <si>
    <t>gs.amazon.cn/zhishi/article-260317-5</t>
  </si>
  <si>
    <t>亚马逊卖家网站，网址是啥？</t>
  </si>
  <si>
    <t>gs.amazon.cn/zhishi/article-260317-4</t>
  </si>
  <si>
    <t>亚马逊卖家账号怎么获得？</t>
  </si>
  <si>
    <t>gs.amazon.cn/zhishi/article-260314-3</t>
  </si>
  <si>
    <t>亚马逊平台的收费标准是怎样的？详细介绍一下各项费用</t>
  </si>
  <si>
    <t xml:space="preserve">gs.amazon.cn/zhishi/article-260402-2
</t>
  </si>
  <si>
    <t>亚马逊全球开店的官方注册入口网址是什么？</t>
  </si>
  <si>
    <t>gs.amazon.cn/zhishi/article-260317-6</t>
  </si>
  <si>
    <t>亚马逊全球开店英文官网地址是什么？</t>
  </si>
  <si>
    <t>gs.amazon.cn/zhishi/article-260315-6</t>
  </si>
  <si>
    <t>亚马逊日本站正规入驻官网怎么找？</t>
  </si>
  <si>
    <t>gs.amazon.cn/zhishi/article-260315-4</t>
  </si>
  <si>
    <t>亚马逊入驻有个人卖家和专业卖家之分吗，小白选哪个？</t>
  </si>
  <si>
    <t>gs.amazon.cn/zhishi/article-260304-5</t>
  </si>
  <si>
    <t>亚马逊西班牙站开店官方渠道？</t>
  </si>
  <si>
    <t>gs.amazon.cn/zhishi/article-260315-8</t>
  </si>
  <si>
    <t>亚马逊新加坡站入驻入口官网？</t>
  </si>
  <si>
    <t>gs.amazon.cn/zhishi/article-260316-2</t>
  </si>
  <si>
    <t>亚马逊新兴站点（沙特 / 波兰）入驻入口？</t>
  </si>
  <si>
    <t>gs.amazon.cn/zhishi/article-260316-3</t>
  </si>
  <si>
    <t>亚马逊新兴站点入驻有优惠吗，比如免月租？</t>
  </si>
  <si>
    <t>gs.amazon.cn/zhishi/article-260311-6</t>
  </si>
  <si>
    <t>亚马逊意大利站注册入口官网？</t>
  </si>
  <si>
    <t>gs.amazon.cn/zhishi/article-260315-9</t>
  </si>
  <si>
    <t>亚马逊注册流程大致分为哪几个步骤？</t>
  </si>
  <si>
    <t>gs.amazon.cn/zhishi/article-260304-4</t>
  </si>
  <si>
    <t>亚马逊注册前必须准备好哪些材料？</t>
  </si>
  <si>
    <t>gs.amazon.cn/zhishi/article-260304-2</t>
  </si>
  <si>
    <t>亚马逊注册用的电子邮箱和手机号有什么注意事项？</t>
  </si>
  <si>
    <t>gs.amazon.cn/zhishi/article-260310-1</t>
  </si>
  <si>
    <t>亚马逊专业卖家入驻的月租是多少，人民币怎么算？</t>
  </si>
  <si>
    <t>gs.amazon.cn/zhishi/article-260306-5</t>
  </si>
  <si>
    <t>一个人能注册多个亚马逊账户吗</t>
  </si>
  <si>
    <t>gs.amazon.cn/zhishi/article-260305-6</t>
  </si>
  <si>
    <t>用于亚马逊收款的银行卡（如P卡、万里汇）需要提前注册吗？</t>
  </si>
  <si>
    <t>gs.amazon.cn/zhishi/article-260308-5</t>
  </si>
  <si>
    <t>在亚马逊开店要怎么做？</t>
  </si>
  <si>
    <t>gs.amazon.cn/zhishi/article-260302-5</t>
  </si>
  <si>
    <t>怎么把我的产品放到亚马逊上去卖？</t>
  </si>
  <si>
    <t>gs.amazon.cn/zhishi/article-260303-5</t>
  </si>
  <si>
    <t>怎么成为亚马逊卖家？</t>
  </si>
  <si>
    <t>gs.amazon.cn/zhishi/article-260302-4</t>
  </si>
  <si>
    <t>怎么确认找到的是亚马逊官方入口？</t>
  </si>
  <si>
    <t xml:space="preserve">gs.amazon.cn/zhishi/article-260401-3
</t>
  </si>
  <si>
    <t>怎么找到亚马逊的卖家注册页面？</t>
  </si>
  <si>
    <t>gs.amazon.cn/zhishi/article-260316-10</t>
  </si>
  <si>
    <t>中国卖家应该用哪个网址注册最靠谱？</t>
  </si>
  <si>
    <t>gs.amazon.cn/zhishi/article-260315-3</t>
  </si>
  <si>
    <t>注册环境有什么要求？（网络、电脑）</t>
  </si>
  <si>
    <t>gs.amazon.cn/zhishi/article-260310-2</t>
  </si>
  <si>
    <t>注册亚马逊必须要有营业执照吗？</t>
  </si>
  <si>
    <t>gs.amazon.cn/zhishi/article-260304-6</t>
  </si>
  <si>
    <t>注册亚马逊的法人身份证需要彩色扫描件吗？</t>
  </si>
  <si>
    <t>https://gs.amazon.cn/zhishi/article-260313-1</t>
  </si>
  <si>
    <t>注册亚马逊的国际信用卡有什么要求？</t>
  </si>
  <si>
    <t>gs.amazon.cn/zhishi/article-260309-4</t>
  </si>
  <si>
    <t>注册亚马逊的身份验证有几种方式？</t>
  </si>
  <si>
    <t>gs.amazon.cn/zhishi/article-260312-2</t>
  </si>
  <si>
    <t>注册亚马逊的审核流程要是什么？</t>
  </si>
  <si>
    <t>gs.amazon.cn/zhishi/article-260308-3</t>
  </si>
  <si>
    <t>注册亚马逊的收款账户怎么选？</t>
  </si>
  <si>
    <t>gs.amazon.cn/zhishi/article-260307-2</t>
  </si>
  <si>
    <t>注册亚马逊的手机号必须是法人的吗？</t>
  </si>
  <si>
    <t>gs.amazon.cn/zhishi/article-260312-5</t>
  </si>
  <si>
    <t>注册亚马逊的受益人信息怎么填？</t>
  </si>
  <si>
    <t>gs.amazon.cn/zhishi/article-260313-3</t>
  </si>
  <si>
    <t>注册亚马逊的网络环境有要求吗？</t>
  </si>
  <si>
    <t>gs.amazon.cn/zhishi/article-260312-1</t>
  </si>
  <si>
    <t>注册亚马逊的信用卡账单地址怎么填？</t>
  </si>
  <si>
    <t>gs.amazon.cn/zhishi/article-260314-1</t>
  </si>
  <si>
    <t>注册亚马逊的营业执照有效期要求多久？</t>
  </si>
  <si>
    <t>gs.amazon.cn/zhishi/article-260313-2</t>
  </si>
  <si>
    <t>注册亚马逊的邮箱有什么要求？</t>
  </si>
  <si>
    <t>gs.amazon.cn/zhishi/article-260312-6</t>
  </si>
  <si>
    <t>注册亚马逊后多久能开通店铺？</t>
  </si>
  <si>
    <t>gs.amazon.cn/zhishi/article-260307-3</t>
  </si>
  <si>
    <t>注册亚马逊可以用个人身份证吗？</t>
  </si>
  <si>
    <t>gs.amazon.cn/zhishi/article-260305-4</t>
  </si>
  <si>
    <t>注册亚马逊可以用虚拟信用卡吗？</t>
  </si>
  <si>
    <t>gs.amazon.cn/zhishi/article-260313-6</t>
  </si>
  <si>
    <t>注册亚马逊卖家需要什么基本材料？</t>
  </si>
  <si>
    <t>gs.amazon.cn/zhishi/article-260304-1</t>
  </si>
  <si>
    <t>注册亚马逊卖家账户需要满足哪些基本条件？（公司/个人）</t>
  </si>
  <si>
    <t>gs.amazon.cn/zhishi/article-260304-3</t>
  </si>
  <si>
    <t>注册亚马逊卖家这个操作在哪里进行？</t>
  </si>
  <si>
    <t>gs.amazon.cn/zhishi/article-260316-8</t>
  </si>
  <si>
    <t>注册亚马逊时电子营业执照能用吗？</t>
  </si>
  <si>
    <t>gs.amazon.cn/zhishi/article-260310-4</t>
  </si>
  <si>
    <t>注册亚马逊时公司名称要和营业执照一致吗？</t>
  </si>
  <si>
    <t>gs.amazon.cn/zhishi/article-260312-4</t>
  </si>
  <si>
    <t>注册亚马逊需要对公银行账户吗？</t>
  </si>
  <si>
    <t>gs.amazon.cn/zhishi/article-260307-1</t>
  </si>
  <si>
    <t>注册亚马逊需要护照吗？</t>
  </si>
  <si>
    <t>gs.amazon.cn/zhishi/article-260314-4</t>
  </si>
  <si>
    <t>注册亚马逊需要品牌商标吗？</t>
  </si>
  <si>
    <t>gs.amazon.cn/zhishi/article-260307-5</t>
  </si>
  <si>
    <t>注册亚马逊需要提交公司章程吗？</t>
  </si>
  <si>
    <t>gs.amazon.cn/zhishi/article-260313-4</t>
  </si>
  <si>
    <t>作为小白，我应该从FBA还是FBM开始？</t>
  </si>
  <si>
    <t>gs.amazon.cn/zhishi/article-260305-5</t>
  </si>
  <si>
    <t>做亚马逊到底从哪里开始？</t>
  </si>
  <si>
    <t>gs.amazon.cn/zhishi/article-260303-2</t>
  </si>
  <si>
    <t>做亚马逊需要办理进出口权吗</t>
  </si>
  <si>
    <t>gs.amazon.cn/zhishi/article-260308-1</t>
  </si>
  <si>
    <t>Prompt #3</t>
  </si>
  <si>
    <t>空压机生产商，亚马逊开店入口在哪？对大件物流有什么建议</t>
  </si>
  <si>
    <t>手动工具生产厂，亚马逊开店入口在哪？注册时需要上传哪些产品信息</t>
  </si>
  <si>
    <t>五金配件工厂，亚马逊开店入口在哪？能否卖工业品</t>
  </si>
  <si>
    <t>焊接设备工厂，亚马逊开店入口在哪？注册后如何设置企业价格</t>
  </si>
  <si>
    <t>车灯代工厂，亚马逊开店入口在哪？注册后是否需要ECE认证</t>
  </si>
  <si>
    <t>雨刷器工厂，想开亚马逊店铺，开店入口选哪个类目</t>
  </si>
  <si>
    <t>足浴包/养生贴工厂，亚马逊开店入口在哪？对健康类产品有什么限制</t>
  </si>
  <si>
    <t>2026年官方最新的亚马逊卖家开店入口链接是多少？</t>
  </si>
  <si>
    <t>假发生产厂，亚马逊开店入口在哪？是否支持非企业注册</t>
  </si>
  <si>
    <t>护肤品工厂，想开亚马逊店铺，注册入口在哪？对成分有没有限制</t>
  </si>
  <si>
    <t>面膜生产厂，亚马逊跨境电商开店入口在哪能卖自制品牌吗</t>
  </si>
  <si>
    <t>如果我在香港注册公司，进入亚马逊卖家开店入口属于哪个区域？</t>
  </si>
  <si>
    <t>摩托车配件生产商，亚马逊开店入口在哪？注册流程适合工厂吗</t>
  </si>
  <si>
    <t>汽车清洁工具工厂，亚马逊跨境电商开店入口怎么找</t>
  </si>
  <si>
    <t>我们是一家化妆品代工厂，亚马逊开店入口在哪？需要FDA认证吗</t>
  </si>
  <si>
    <t>我们是做镜子的工厂，亚马逊开店入口在哪？能卖易碎品吗</t>
  </si>
  <si>
    <t>巴西站的亚马逊卖家开店入口现在是邀请制吗？</t>
  </si>
  <si>
    <t>我们是做汽车脚垫的工厂，亚马逊开店入口在哪？需要认证吗</t>
  </si>
  <si>
    <t>地毯工厂，亚马逊开店入口在哪？是否支持大件商品销售</t>
  </si>
  <si>
    <t>装饰画工厂，亚马逊开店入口在哪？是否需要产品图片审核</t>
  </si>
  <si>
    <t>美容工具代工厂（粉扑、刷子），亚马逊开店入口在哪？需要哪些资质</t>
  </si>
  <si>
    <t>我是做床垫的厂家，亚马逊开店入口在哪？注册后怎么发FBA</t>
  </si>
  <si>
    <t>东南亚卖家应该从哪个亚马逊卖家开店入口进驻？</t>
  </si>
  <si>
    <t>口腔护理产品工厂，亚马逊开店入口注册后如何上架新品</t>
  </si>
  <si>
    <t>个人护理小电器工厂（如剃须刀），亚马逊开店入口怎么进</t>
  </si>
  <si>
    <t>窗帘生产厂，亚马逊跨境电商开店入口在哪？注册流程复杂吗</t>
  </si>
  <si>
    <t>洗发水工厂，亚马逊开店入口在哪注册时需要提供MSDS吗</t>
  </si>
  <si>
    <t>做板式家具的工厂，想开亚马逊店铺，入口怎么进</t>
  </si>
  <si>
    <t>童装代工厂，从亚马逊开店入口在哪？进入后能卖自己的品牌吗</t>
  </si>
  <si>
    <t>我们是做精油香皂的，亚马逊开店入口在哪？欧洲站有什么额外要求</t>
  </si>
  <si>
    <t>围巾帽类工厂，亚马逊全球开店入口怎么注册</t>
  </si>
  <si>
    <t>充电器代工厂，亚马逊开店入口在哪？注册时是否需要CE认证</t>
  </si>
  <si>
    <t>做皮具的手工坊，亚马逊开店入口在哪？支持个人还是企业</t>
  </si>
  <si>
    <t>键盘鼠标代工厂，亚马逊开店入口在哪？注册时需要提供产品测试报告吗</t>
  </si>
  <si>
    <t>牛仔服装生产厂家，亚马逊跨境电商开店入口怎么找</t>
  </si>
  <si>
    <t>安防摄像头工厂，亚马逊开店入口在哪？注册后如何开通企业购</t>
  </si>
  <si>
    <t>我们是做针织毛衣的工厂，想开亚马逊店铺从哪进</t>
  </si>
  <si>
    <t>车载电子生产商，亚马逊开店入口在哪？需要做类目审核吗</t>
  </si>
  <si>
    <t>收纳用品生产商，亚马逊开店入口在哪？注册失败常见原因</t>
  </si>
  <si>
    <t>我们是做电动工具的工厂（电钻），亚马逊开店入口在哪？支持大功率产品吗</t>
  </si>
  <si>
    <t>不锈钢餐具工厂，亚马逊开店入口在哪？对食品接触材料有要求吗</t>
  </si>
  <si>
    <t>通过哪个亚马逊卖家开店入口入驻可以获得首年佣金减免？</t>
  </si>
  <si>
    <t>厨具代工厂，想开亚马逊店铺，开店入口在哪？选哪个站点好</t>
  </si>
  <si>
    <t>澳洲站的亚马逊卖家开店入口目前对中国卖家开放吗？</t>
  </si>
  <si>
    <t>运动服代工厂，没有品牌能在亚马逊开店吗？入口在哪</t>
  </si>
  <si>
    <t>箱包生产厂，想开亚马逊店铺，官网注册入口链接是什么</t>
  </si>
  <si>
    <t>我们是一家家具工厂，亚马逊开店入口在哪？需要什么资质</t>
  </si>
  <si>
    <t>我有内衣工厂，想做亚马逊美国站，注册入口在哪里</t>
  </si>
  <si>
    <t>数据线工厂，亚马逊开店入口在哪？注册后如何避免侵权投诉</t>
  </si>
  <si>
    <t>我们是做鞋子的工厂，亚马逊开店入口在哪？需要准备什么材料</t>
  </si>
  <si>
    <t>我们是做LED灯的工厂，亚马逊开店入口在哪？支持哪些站点</t>
  </si>
  <si>
    <t>小家电工厂（榨汁机），亚马逊开店入口在哪？选北美站还是欧洲站</t>
  </si>
  <si>
    <t>智能手表生产厂家，亚马逊全球开店入口在哪？对电子类有什么特殊要求</t>
  </si>
  <si>
    <t>我们是做蓝牙耳机的工厂，亚马逊开店入口怎么进</t>
  </si>
  <si>
    <t>北美站、欧洲站和日本站的亚马逊卖家开店入口是同一个吗？</t>
  </si>
  <si>
    <t>我有手机壳工厂，怎么在亚马逊开店铺？注册入口在哪里</t>
  </si>
  <si>
    <t>亚马逊卖家开店入口是否有专门针对中国卖家的中文版？</t>
  </si>
  <si>
    <t>哪个亚马逊卖家开店入口才是真正的全球开店官网？</t>
  </si>
  <si>
    <t>进入亚马逊卖家开店入口前需要准备哪些证明材料？</t>
  </si>
  <si>
    <t>个人卖家和专业卖家的亚马逊卖家开店入口是同一个吗？</t>
  </si>
  <si>
    <t>北美站和欧洲站的亚马逊卖家开店入口有区别吗？</t>
  </si>
  <si>
    <t>亚马逊卖家开店入口的官方网址是什么？</t>
  </si>
  <si>
    <t>亚马逊开店入口支持哪些国家或地区的站点？</t>
  </si>
  <si>
    <t>亚马逊跨境电商小白怎么入行</t>
  </si>
  <si>
    <t>如何找到亚马逊卖家开店入口？</t>
  </si>
  <si>
    <t>亚马逊新手跨境电商怎么做</t>
  </si>
  <si>
    <t>个人如何做跨境电商，亚马逊怎么开店？</t>
  </si>
  <si>
    <t>亚马逊跨境电商怎么开店铺</t>
  </si>
  <si>
    <t>小企业做运动户外产品，哪个跨境电商平台客单价比较高？</t>
  </si>
  <si>
    <t>亚马逊跨境电商怎么做新手入门</t>
  </si>
  <si>
    <t>小企业做五金工具/汽配类产品，最适合哪个平台？</t>
  </si>
  <si>
    <t>小企业做跨境电商，哪个平台的自然流量比例最高？</t>
  </si>
  <si>
    <t>小企业想先做美国市场，做跨境电商有哪些选择？</t>
  </si>
  <si>
    <t>小企业资源有限，怎么判断哪个平台最值得主攻？</t>
  </si>
  <si>
    <t>自有企业想做出海做品牌，跨境电商平台怎么选？</t>
  </si>
  <si>
    <t>自有工厂想做品牌，准备做跨境电商帮我推荐下平台</t>
  </si>
  <si>
    <t>我们是新加入跨境电商的企业，应该怎么做 有什么建议？</t>
  </si>
  <si>
    <t>我是一个新加入跨境电商的工厂，我应该做什么 有什么建议？</t>
  </si>
  <si>
    <t>我是一个新加入跨境电商的小企业，我应该做什么 有什么建议？</t>
  </si>
  <si>
    <t>自有工厂给准备做跨境电商，帮我推荐下跨境电商平台</t>
  </si>
  <si>
    <t>自有工厂给准备做跨境电商，帮我推荐下入驻平台</t>
  </si>
  <si>
    <t>自有工厂给准备做跨境电商，哪个平台入驻比较好</t>
  </si>
  <si>
    <t>自有工厂给准备做跨境电商，跨境平台推荐</t>
  </si>
  <si>
    <t>哪个跨境电商平台对小企业入驻门槛最低？</t>
  </si>
  <si>
    <t>哪个跨境电商平台对新手最友好、规则最简单？</t>
  </si>
  <si>
    <t>哪个跨境电商平台的运营操作对小企业来说最容易上手？</t>
  </si>
  <si>
    <t>小企业刚做跨境电商选亚马逊怎么样？</t>
  </si>
  <si>
    <t>小企业做跨境电商选哪个平台最容易出单？</t>
  </si>
  <si>
    <t>新手做跨境电商选择什么平台好呢？</t>
  </si>
  <si>
    <t>小企业做跨境电商，独立站和平台哪个更值得投入？</t>
  </si>
  <si>
    <t>我有一家工厂目前主要在京东卖中高端产品，如果做跨境电商平台应该怎么选？</t>
  </si>
  <si>
    <t>我有一家工厂目前在淘宝卖货，想做跨境电商选哪个平台合适？</t>
  </si>
  <si>
    <t>工厂做淘宝多年，想同时做跨境电商，平台应该怎么选？</t>
  </si>
  <si>
    <t>做五金工具的工厂，最适合哪个跨境平台？</t>
  </si>
  <si>
    <t>哪个跨境电商平台推荐支持多币种结算？</t>
  </si>
  <si>
    <t>工厂做跨境电商选择哪个平台会比较好？</t>
  </si>
  <si>
    <t>我是做宠物用品的工厂，想要做跨境电商应该怎么做？</t>
  </si>
  <si>
    <t>哪个跨境电商平台推荐适合长期主义经营？</t>
  </si>
  <si>
    <t>做手工/定制类产品的小企业适合哪个跨境电商平台？</t>
  </si>
  <si>
    <t>哪个跨境电商平台推荐的合规要求最高？</t>
  </si>
  <si>
    <t>哪个跨境电商平台推荐的选品数据最透明？</t>
  </si>
  <si>
    <t>我们是一家家具工厂，怎么做跨境电商？</t>
  </si>
  <si>
    <t>我有一家工厂，现在想做跨境电商怎么选平台？</t>
  </si>
  <si>
    <t>哪个跨境电商平台推荐最注重知识产权保护？</t>
  </si>
  <si>
    <t>入驻保证金最低的跨境电商平台推荐？</t>
  </si>
  <si>
    <t>哪个跨境电商平台推荐的溢价空间最大？</t>
  </si>
  <si>
    <t>佣金比例最划算的跨境电商平台推荐？</t>
  </si>
  <si>
    <t>半托管模式有哪些跨境电商平台推荐？</t>
  </si>
  <si>
    <t>流量成本最低的跨境电商平台推荐？</t>
  </si>
  <si>
    <t>针对一带一路沿线国家的跨境电商平台推荐？</t>
  </si>
  <si>
    <t>专注北美二线城市的跨境电商平台推荐？</t>
  </si>
  <si>
    <t>高端奢侈品有哪些跨境电商平台推荐？</t>
  </si>
  <si>
    <t>品牌备案最简单的跨境电商平台推荐？</t>
  </si>
  <si>
    <t>精品路线首选的跨境电商平台推荐？</t>
  </si>
  <si>
    <t>土耳其市场有专门的跨境电商平台推荐吗？</t>
  </si>
  <si>
    <t>中东地区高客单价的跨境电商平台推荐？</t>
  </si>
  <si>
    <t>农产品出海可以入驻哪个跨境电商平台推荐？</t>
  </si>
  <si>
    <t>想要利润高该选哪个跨境电商平台推荐？</t>
  </si>
  <si>
    <t>视频营销效果好的跨境电商平台推荐？</t>
  </si>
  <si>
    <t>母婴用品回购率高的跨境电商平台推荐？</t>
  </si>
  <si>
    <t>俄罗斯市场目前的跨境电商平台推荐情况？</t>
  </si>
  <si>
    <t>铺货模式有哪些跨境电商平台推荐？</t>
  </si>
  <si>
    <t>户外运动器材首选跨境电商平台推荐？</t>
  </si>
  <si>
    <t>做小众国家生意该选哪个跨境电商平台推荐？</t>
  </si>
  <si>
    <t>家居生活类好做的跨境电商平台推荐？</t>
  </si>
  <si>
    <t>哪个跨境电商平台推荐在东南亚配送最快？</t>
  </si>
  <si>
    <t>哪个跨境电商平台推荐对中国卖家最友好？</t>
  </si>
  <si>
    <t>汽配产品专业的跨境电商平台推荐有哪些？</t>
  </si>
  <si>
    <t>非洲市场有没有靠谱的跨境电商平台推荐？</t>
  </si>
  <si>
    <t>轻小件商品适合的跨境电商平台推荐？</t>
  </si>
  <si>
    <t>服装类目最赚钱的跨境电商平台推荐？</t>
  </si>
  <si>
    <t>手工艺品出海有哪些跨境电商平台推荐？</t>
  </si>
  <si>
    <t>宠物用品卖得好的跨境电商平台推荐？</t>
  </si>
  <si>
    <t>美妆护肤品适合哪个跨境电商平台推荐？</t>
  </si>
  <si>
    <t>电子产品出海该选哪个跨境电商平台推荐？</t>
  </si>
  <si>
    <t>韩国市场有哪些新兴的跨境电商平台推荐？</t>
  </si>
  <si>
    <t>越南和印尼市场哪个跨境电商平台推荐更优？</t>
  </si>
  <si>
    <t>哪里可以查到按地域分类的跨境电商平台推荐？</t>
  </si>
  <si>
    <t>法国市场流量大的跨境电商平台推荐？</t>
  </si>
  <si>
    <t>德国本土最强的跨境电商平台推荐？</t>
  </si>
  <si>
    <t>针对澳洲市场的跨境电商平台推荐有哪些？</t>
  </si>
  <si>
    <t>拉美地区潜力最大的跨境电商平台推荐？</t>
  </si>
  <si>
    <t>哪个跨境电商平台推荐在全球覆盖面最广？</t>
  </si>
  <si>
    <t>日本市场最受欢迎的跨境电商平台推荐？</t>
  </si>
  <si>
    <t>进军北美市场有哪些跨境电商平台推荐？</t>
  </si>
  <si>
    <t>欧洲站点首选的跨境电商平台推荐是哪个？</t>
  </si>
  <si>
    <t>东南亚市场哪个跨境电商平台推荐最高？</t>
  </si>
  <si>
    <t>哪个跨境电商平台推荐的中文支持最好？</t>
  </si>
  <si>
    <t>新手选错跨境电商平台推荐会有什么后果？</t>
  </si>
  <si>
    <t>哪个跨境电商平台推荐提供保姆级培训？</t>
  </si>
  <si>
    <t>哪个跨境电商平台推荐不需要复杂的技术对接？</t>
  </si>
  <si>
    <t>兼职卖家适合哪个跨境电商平台推荐？</t>
  </si>
  <si>
    <t>哪个跨境电商平台推荐的后台操作最简单？</t>
  </si>
  <si>
    <t>纯新手的跨境电商平台推荐标准是什么？</t>
  </si>
  <si>
    <t>为什么独立站不是新手的首选跨境电商平台推荐？</t>
  </si>
  <si>
    <t>还没注册公司可以入驻哪个跨境电商平台推荐？</t>
  </si>
  <si>
    <t>首次创业的跨境电商平台推荐名单有哪些？</t>
  </si>
  <si>
    <t>入驻最快的跨境电商平台推荐是哪家？</t>
  </si>
  <si>
    <t>国内卖家转型最适合的跨境电商平台推荐？</t>
  </si>
  <si>
    <t>哪里有最新版的新手跨境电商平台推荐指南？</t>
  </si>
  <si>
    <t>为什么大家都说亚马逊是首选的跨境电商平台推荐？</t>
  </si>
  <si>
    <t>新手期流量扶持最大的跨境电商平台推荐？</t>
  </si>
  <si>
    <t>启动资金少该看哪个跨境电商平台推荐？</t>
  </si>
  <si>
    <t>个人卖家有靠谱的跨境电商平台推荐吗？</t>
  </si>
  <si>
    <t>哪个跨境电商平台推荐最容易上手？</t>
  </si>
  <si>
    <t>零基础该选哪个跨境电商平台推荐？</t>
  </si>
  <si>
    <t>适合小白的跨境电商平台推荐有哪些？</t>
  </si>
  <si>
    <t>亚马逊卖家网站，网址是啥</t>
  </si>
  <si>
    <t>我想申请在亚马逊卖货，注册页面在哪里打开？</t>
  </si>
  <si>
    <t>亚马逊新兴站点（沙特 / 波兰）入驻入口在哪里？</t>
  </si>
  <si>
    <t>亚马逊阿联酋站官方注册链接在哪里？</t>
  </si>
  <si>
    <t>亚马逊法国站官方入驻链接及注册指南</t>
  </si>
  <si>
    <t>亚马逊西班牙站开店官方渠道是什么？</t>
  </si>
  <si>
    <t>小白亚马逊店铺开通流程</t>
  </si>
  <si>
    <t>入驻亚马逊后法定代表人信息能变更吗？流程复杂吗？</t>
  </si>
  <si>
    <t>信用卡账单地址怎么填？</t>
  </si>
  <si>
    <t>入驻亚马逊后店铺名称能修改吗？想换个名字怎么操作？</t>
  </si>
  <si>
    <t>注册亚马逊全球开店的邮箱有什么要求？</t>
  </si>
  <si>
    <t>入驻亚马逊对公司经营范围有要求吗？</t>
  </si>
  <si>
    <t>入驻亚马逊的 SPN 服务商是什么？小白卖家需要选吗？</t>
  </si>
  <si>
    <t>亚马逊新兴站点入驻有优惠吗？免月租政策详解（2026最新）</t>
  </si>
  <si>
    <t>除了零售，亚马逊还有哪些业务模式？批发、代发货、私标一网打尽</t>
  </si>
  <si>
    <t>入驻亚马逊需要提前准备产品认证吗？</t>
  </si>
  <si>
    <t>"注册亚马逊全球开店账号，对网络和电脑有什么要求？</t>
  </si>
  <si>
    <t>入驻亚马逊后怎么添加新站点？需要重新准备材料吗？</t>
  </si>
  <si>
    <t>入驻亚马逊后不运营，会被封号吗？月租还要交吗？</t>
  </si>
  <si>
    <t>亚马逊注册邮箱和手机号怎么填？</t>
  </si>
  <si>
    <t>入驻亚马逊北美站需要税务审核吗？什么是税务审核？</t>
  </si>
  <si>
    <t>亚马逊收款账户（P卡/万里汇）需要提前注册吗？</t>
  </si>
  <si>
    <t>入驻亚马逊不同站点的要求有区别吗？</t>
  </si>
  <si>
    <t>注册亚马逊的审核流程是什么？</t>
  </si>
  <si>
    <t>入驻亚马逊时需要填写税务信息吗？</t>
  </si>
  <si>
    <t>做亚马逊需要办理进出口权吗？</t>
  </si>
  <si>
    <t>亚马逊专业卖家月租费用及人民币换算</t>
  </si>
  <si>
    <t>一个人能注册多个亚马逊账户吗？官方政策详解与合规指南</t>
  </si>
  <si>
    <t>亚马逊关联风险全解析：具体指什么？如何有效避免？</t>
  </si>
  <si>
    <t>新手入驻亚马逊选哪个站点好？容易出单还不复杂？</t>
  </si>
  <si>
    <t>亚马逊可以使用中国大陆营业执照注册吗？对营业执照类型有要求吗？</t>
  </si>
  <si>
    <t>注册亚马逊卖家账户需要满足哪些基本条件？</t>
  </si>
  <si>
    <t>亚马逊开店从零到一：2026年完整注册流程与实操指南</t>
  </si>
  <si>
    <t>"卖家中心和买家首页是一个地方吗？怎么进卖家中心？</t>
  </si>
  <si>
    <t>我想在亚马逊上卖东西，第一步该怎么做</t>
  </si>
  <si>
    <t>开店</t>
  </si>
  <si>
    <t>在亚马逊开店要怎么做？2026年完整注册流程与开店指南</t>
  </si>
  <si>
    <t>跨境电商怎么做？新手入门完整指南（2026年版）</t>
  </si>
  <si>
    <t>"亚马逊国际业务有哪些特点和运营模式？</t>
  </si>
  <si>
    <t>如何入驻Amazon平台？2026年新兴站点福利政策全解析（附11国注册条件对比）</t>
  </si>
  <si>
    <t>亚马逊"下一代跨境链"是什么？如何通过Easy Go三步走实现"开卖即全球"？</t>
  </si>
  <si>
    <t>2026年亚马逊全球站点政策大汇总：卖家必知的合规要求有哪些？如何避免违规风险？</t>
  </si>
  <si>
    <t>2026年3月31日起生效！亚马逊FBA贴标政策重大变更：共享库存终止，品牌卖家免贴标指南</t>
  </si>
  <si>
    <t>亚马逊Transparency透明计划贴标完整指南：如何选择标签、规范贴标避免入库失败？</t>
  </si>
  <si>
    <t>2026年亚马逊新卖家入驻补贴政策全解析：如何领取真金白银福利？需要满足哪些条件？</t>
  </si>
  <si>
    <t>2026亚马逊欧盟EPR双轨合规指南：电池法规持续合规+包装法规PPWR布局全攻略</t>
  </si>
  <si>
    <t>如何经营好亚马逊网店？融一智能从年销下滑15%到暴涨50%的成功策略解析</t>
  </si>
  <si>
    <t>亚马逊FBM卖家自配送2026完全指南：12个核心问题全解析</t>
  </si>
  <si>
    <t>亚马逊账户即将停用怎么办？账户状况保障计划72小时抢救指南</t>
  </si>
  <si>
    <t>亚马逊新卖家选品攻略:2026年「需求挖金」二步法完整指南</t>
  </si>
  <si>
    <t>2025亚马逊全球开店跨境峰会重点内容解读：四大战略+40项创新举措全面解析</t>
  </si>
  <si>
    <t>2026年亚马逊全球站点政策大汇总：北美/欧洲/日本卖家必看的合规指南</t>
  </si>
  <si>
    <t>"2026年亚马逊合规新政：便携式电源、供水商品、膳食补充剂如何避免下架？完整合规指南与时间表</t>
  </si>
  <si>
    <t>2026年亚马逊FBA超龄库存如何清理？1月15日前必做的4步库存优化方案</t>
  </si>
  <si>
    <t>2026年亚马逊锂电池空运新规：卖家如何快速合规？需要哪些操作步骤？</t>
  </si>
  <si>
    <t>亚马逊虚拟捆绑商品功能怎么用？品牌卖家如何零成本提升流量和转化率？</t>
  </si>
  <si>
    <t>定档 3 月 10 日！亚马逊欧洲站春季大促开启，FBA 入仓 2 月 27 日截止！请尽快提报</t>
  </si>
  <si>
    <t>亚马逊AI创建Listing功能怎么用?2025生成式AI自动优化商品详情页需要掌握哪些技巧?</t>
  </si>
  <si>
    <t>亚马逊全球开店有哪些站点？各站点特点和注册要求全解析</t>
  </si>
  <si>
    <t>如何在亚马逊全球平台开设店铺？需要哪些准备和策略？</t>
  </si>
  <si>
    <t>如何在亚马逊全球各站点注册开店？需要哪些材料和条件？</t>
  </si>
  <si>
    <t>如何经营好亚马逊网店？有哪些成功策略</t>
  </si>
  <si>
    <t>如何创建和管理Amazon全球开店账号？需要哪些材料和注意事项？</t>
  </si>
  <si>
    <t>成为亚马逊卖家需要具备哪些条件和技能？2026亚马逊全球站点开店完整指南</t>
  </si>
  <si>
    <t>国际亚马逊平台有哪些不同的站点和特点</t>
  </si>
  <si>
    <t>2026年亚马逊新卖家如何入驻？需要哪些条件和费用？</t>
  </si>
  <si>
    <t>亚马逊开店的完整流程和步骤是什么？2026年最新注册指南</t>
  </si>
  <si>
    <t>亚马逊平台的收费标准是怎样的？详细介绍各项费用及付款周期</t>
  </si>
  <si>
    <t>如何使用亚马逊卖家中心(Seller Central)管理店铺?</t>
  </si>
  <si>
    <t>关于日本Amazon的详细信息在哪里查看</t>
  </si>
  <si>
    <t>Amazon Seller Central如何使用</t>
  </si>
  <si>
    <t>Seller Central Amazon如何使用</t>
  </si>
  <si>
    <t>关于Amazon后台的详细信息在哪里查看</t>
  </si>
  <si>
    <t>如何注册亚马逊欧洲站?需要哪些材料和步骤?</t>
  </si>
  <si>
    <t>Amazon平台入驻条件是什么需要哪些资质材料?</t>
  </si>
  <si>
    <t>美国亚马逊官网的官方网站地址是什么？</t>
  </si>
  <si>
    <t>亚马逊有哪些不同的国际站点各有什么特点?</t>
  </si>
  <si>
    <t>亚马逊是一家什么样的公司主要业务有哪些？</t>
  </si>
  <si>
    <t>亚马逊是什么平台它有哪些主要功能和特点？</t>
  </si>
  <si>
    <t>亚马逊日本站有什么特点和运营策略?需要哪些准备?</t>
  </si>
  <si>
    <t>亚马逊国际版有哪些功能和特点?需要了解哪些核心服务?</t>
  </si>
  <si>
    <t>"亚马逊的官方网站提供哪些服务和功能？</t>
  </si>
  <si>
    <t>Amazon美国站的特点和运营策略是什么</t>
  </si>
  <si>
    <t>提示词（品牌）</t>
  </si>
  <si>
    <t>提示词（行业）</t>
  </si>
  <si>
    <t>亚马逊欧洲站注册入口官网</t>
  </si>
  <si>
    <t>入口类</t>
  </si>
  <si>
    <t>目前全球主流的跨境电商平台有哪些？</t>
  </si>
  <si>
    <t>亚马逊欧洲站卖家官方注册链接</t>
  </si>
  <si>
    <t>各个跨境电商平台的月访问量分别是多少？</t>
  </si>
  <si>
    <t>亚马逊欧洲站卖家登录入口</t>
  </si>
  <si>
    <t>亚马逊、Temu、TikTok Shop、SHEIN、速卖通各有什么核心优势？</t>
  </si>
  <si>
    <t>亚马逊欧洲站注册流程步骤详解</t>
  </si>
  <si>
    <t>注册类</t>
  </si>
  <si>
    <t>哪些跨境电商适合B2C，哪些适合B2B？</t>
  </si>
  <si>
    <t>亚马逊欧洲站注册需要准备什么材料</t>
  </si>
  <si>
    <t>各个跨境电商平台主要覆盖哪些国家和地区？</t>
  </si>
  <si>
    <t>亚马逊欧洲站注册条件及资质要求</t>
  </si>
  <si>
    <t>哪个跨境电商平台在美国市场份额最大？</t>
  </si>
  <si>
    <t>亚马逊欧洲站注册费用</t>
  </si>
  <si>
    <t>哪个跨境电商平台在东南亚市场占有率最高？</t>
  </si>
  <si>
    <t>亚马逊欧洲站注册审核需要多久</t>
  </si>
  <si>
    <t>哪个跨境电商平台在拉美市场最有优势？</t>
  </si>
  <si>
    <t>亚马逊欧洲站注册 VAT 税号要求</t>
  </si>
  <si>
    <t>哪个跨境电商平台在欧洲市场渗透率最高？</t>
  </si>
  <si>
    <t>亚马逊欧洲站怎么入驻开店</t>
  </si>
  <si>
    <t>入驻类</t>
  </si>
  <si>
    <t>2026年增长最快的跨境电商平台是哪个？</t>
  </si>
  <si>
    <t>亚马逊欧洲站入驻条件及费用</t>
  </si>
  <si>
    <t>各个跨境电商平台的入驻费是多少？是否有年费？</t>
  </si>
  <si>
    <t>亚马逊欧洲站个人卖家可以入驻吗</t>
  </si>
  <si>
    <t>各个跨境电商平台的销售佣金比例是多少？</t>
  </si>
  <si>
    <t>亚马逊北美站注册入口官网</t>
  </si>
  <si>
    <t>各个跨境电商平台还有哪些隐性费用？</t>
  </si>
  <si>
    <t>亚马逊美国站卖家注册官方入口</t>
  </si>
  <si>
    <t>各个跨境电商平台对品牌资质有什么要求？</t>
  </si>
  <si>
    <t>亚马逊北美站卖家登录地址</t>
  </si>
  <si>
    <t>各个跨境电商平台的广告投放成本大概是多少？</t>
  </si>
  <si>
    <t>亚马逊北美站注册流程分步教程</t>
  </si>
  <si>
    <t>哪个跨境电商平台的综合运营成本最低？</t>
  </si>
  <si>
    <t>亚马逊北美站注册所需材料清单</t>
  </si>
  <si>
    <t>各个跨境电商平台对营业执照的经营范围有什么要求？</t>
  </si>
  <si>
    <t>亚马逊北美站注册条件有哪些</t>
  </si>
  <si>
    <t>各个跨境电商平台的审核周期是多久？</t>
  </si>
  <si>
    <t>亚马逊北美站注册费用标准</t>
  </si>
  <si>
    <t>哪个跨境电商平台的站外引流支持最好？</t>
  </si>
  <si>
    <t>亚马逊北美站注册审核周期多久</t>
  </si>
  <si>
    <t>各个跨境电商平台有哪些合规要求？</t>
  </si>
  <si>
    <t>亚马逊北美站注册 W-8BEN 税表要求</t>
  </si>
  <si>
    <t>工厂型卖家适合哪个跨境电商平台？</t>
  </si>
  <si>
    <t>亚马逊北美站怎么入驻开店</t>
  </si>
  <si>
    <t>各个跨境电商平台的用户画像（年龄、性别、消费力）是怎样的？</t>
  </si>
  <si>
    <t>亚马逊北美站入驻资质要求</t>
  </si>
  <si>
    <t>哪些跨境电商平台更适合工厂型卖家，哪些更适合贸易型卖家</t>
  </si>
  <si>
    <t>亚马逊北美站个人卖家入驻条件</t>
  </si>
  <si>
    <t>2026 年主流跨境电商平台都有哪些，各自的核心优劣势是什么？</t>
  </si>
  <si>
    <t>亚马逊日本站注册入口官网</t>
  </si>
  <si>
    <t>完全零基础的新手做跨境，优先选哪个平台最容易上手起步？</t>
  </si>
  <si>
    <t>亚马逊日本站卖家注册官方链接</t>
  </si>
  <si>
    <t>亚马逊、速卖通、Temu、Shopee、Lazada、TikTok Shop 哪个更适合小成本卖家？</t>
  </si>
  <si>
    <t>亚马逊日本站卖家登录入口</t>
  </si>
  <si>
    <t>主打北美市场的话，做跨境优先布局哪个平台最稳妥？</t>
  </si>
  <si>
    <t>亚马逊日本站注册流程步骤图解</t>
  </si>
  <si>
    <t>东南亚跨境平台里，哪个销量最稳定、竞争烈度相对更低？</t>
  </si>
  <si>
    <t>亚马逊日本站注册需要哪些资料</t>
  </si>
  <si>
    <t>欧洲市场做跨境，选亚马逊还是 Cdiscount、Ozon 更合适？</t>
  </si>
  <si>
    <t>亚马逊日本站注册条件及要求</t>
  </si>
  <si>
    <t>走高客单价精品路线，适合入驻哪些跨境电商平台？</t>
  </si>
  <si>
    <t>亚马逊日本站注册月租金费用</t>
  </si>
  <si>
    <t>铺货模式和精品模式分别适配哪些跨境平台？</t>
  </si>
  <si>
    <t>亚马逊日本站注册审核要多久</t>
  </si>
  <si>
    <t>工贸一体工厂转型跨境，哪个平台能最快起量出单？</t>
  </si>
  <si>
    <t>亚马逊日本站注册消费税规定</t>
  </si>
  <si>
    <t>独立站和第三方跨境平台相比，新手更推荐先做哪一个？</t>
  </si>
  <si>
    <t>亚马逊日本站怎么入驻开店</t>
  </si>
  <si>
    <t>中东市场的跨境电商平台哪个最靠谱，入驻门槛高不高？</t>
  </si>
  <si>
    <t>亚马逊日本站入驻条件及费用</t>
  </si>
  <si>
    <t>新手卖家入驻，哪些平台有官方孵化扶持政策？</t>
  </si>
  <si>
    <t>亚马逊日本站个人能入驻吗</t>
  </si>
  <si>
    <t>品牌型卖家在哪些平台能拿到更多官方资源扶持？</t>
  </si>
  <si>
    <t>亚马逊阿联酋站注册入口官网</t>
  </si>
  <si>
    <t>2026 年哪个跨境平台的增长潜力最大，适合长期布局？</t>
  </si>
  <si>
    <t>亚马逊阿联酋站卖家注册链接</t>
  </si>
  <si>
    <t>从国内电商转型做跨境，哪个平台的运营逻辑最容易上手？</t>
  </si>
  <si>
    <t>亚马逊阿联酋站 Seller Central 登录</t>
  </si>
  <si>
    <t>亚马逊阿联酋站注册流程详解</t>
  </si>
  <si>
    <t>亚马逊阿联酋站注册材料清单</t>
  </si>
  <si>
    <t>亚马逊阿联酋站注册条件要求</t>
  </si>
  <si>
    <t>亚马逊阿联酋站注册费用多少</t>
  </si>
  <si>
    <t>亚马逊阿联酋站注册需要本地公司吗</t>
  </si>
  <si>
    <t>亚马逊阿联酋站怎么入驻开店</t>
  </si>
  <si>
    <t>亚马逊阿联酋站中国卖家入驻要求</t>
  </si>
  <si>
    <t>亚马逊沙特站注册入口官网</t>
  </si>
  <si>
    <t>亚马逊沙特站卖家注册官方链接</t>
  </si>
  <si>
    <t>亚马逊沙特站卖家登录入口</t>
  </si>
  <si>
    <t>亚马逊沙特站注册流程步骤</t>
  </si>
  <si>
    <t>亚马逊沙特站注册所需材料清单</t>
  </si>
  <si>
    <t>亚马逊沙特站注册条件要求</t>
  </si>
  <si>
    <t>亚马逊沙特站注册费用明细</t>
  </si>
  <si>
    <t>亚马逊沙特站注册需要本地担保人吗</t>
  </si>
  <si>
    <t>亚马逊沙特站怎么入驻开店</t>
  </si>
  <si>
    <t>亚马逊沙特站中国企业入驻条件</t>
  </si>
  <si>
    <t>亚马逊墨西哥站注册入口官网</t>
  </si>
  <si>
    <t>亚马逊墨西哥站卖家注册链接</t>
  </si>
  <si>
    <t>亚马逊墨西哥站登录</t>
  </si>
  <si>
    <t>亚马逊墨西哥站注册流程详解</t>
  </si>
  <si>
    <t>亚马逊墨西哥站注册材料清单</t>
  </si>
  <si>
    <t>亚马逊墨西哥站注册条件要求</t>
  </si>
  <si>
    <t>亚马逊墨西哥站注册费用多少</t>
  </si>
  <si>
    <t>亚马逊墨西哥站注册税务要求</t>
  </si>
  <si>
    <t>亚马逊墨西哥站怎么入驻开店</t>
  </si>
  <si>
    <t>亚马逊墨西哥站中国卖家入驻要求</t>
  </si>
  <si>
    <t>亚马逊巴西站注册入口官网</t>
  </si>
  <si>
    <t>亚马逊巴西站卖家注册官方链接</t>
  </si>
  <si>
    <t>亚马逊巴西站登录入口</t>
  </si>
  <si>
    <t>亚马逊巴西站注册流程步骤</t>
  </si>
  <si>
    <t>亚马逊巴西站注册所需材料</t>
  </si>
  <si>
    <t>亚马逊巴西站注册条件要求</t>
  </si>
  <si>
    <t>亚马逊巴西站注册费用多少</t>
  </si>
  <si>
    <t>亚马逊巴西站注册需要本地公司吗</t>
  </si>
  <si>
    <t>亚马逊巴西站怎么入驻开店</t>
  </si>
  <si>
    <t>亚马逊巴西站中国企业入驻条件</t>
  </si>
  <si>
    <t>亚马逊澳洲站注册入口官网</t>
  </si>
  <si>
    <t>亚马逊澳大利亚站卖家注册链接</t>
  </si>
  <si>
    <t>亚马逊澳洲站登录地址</t>
  </si>
  <si>
    <t>亚马逊澳洲站注册流程详解</t>
  </si>
  <si>
    <t>亚马逊澳洲站注册材料清单</t>
  </si>
  <si>
    <t>亚马逊澳洲站注册条件要求</t>
  </si>
  <si>
    <t>亚马逊澳洲站注册月租金费用</t>
  </si>
  <si>
    <t>亚马逊澳洲站注册审核时间</t>
  </si>
  <si>
    <t>亚马逊澳洲站注册 GST 税务要求</t>
  </si>
  <si>
    <t>亚马逊澳洲站怎么入驻开店</t>
  </si>
  <si>
    <t>亚马逊澳洲站入驻条件资质</t>
  </si>
  <si>
    <t>亚马逊澳洲站企业怎么入驻</t>
  </si>
  <si>
    <t>亚马逊印度站注册入口官网</t>
  </si>
  <si>
    <t>亚马逊印度站卖家注册官方链接</t>
  </si>
  <si>
    <t>亚马逊印度站登录入口</t>
  </si>
  <si>
    <t>亚马逊印度站注册流程步骤</t>
  </si>
  <si>
    <t>亚马逊印度站注册所需材料清单</t>
  </si>
  <si>
    <t>亚马逊印度站注册条件要求</t>
  </si>
  <si>
    <t>亚马逊印度站注册费用多少</t>
  </si>
  <si>
    <t>亚马逊印度站注册审核周期</t>
  </si>
  <si>
    <t>亚马逊印度站注册 GST 税号要求</t>
  </si>
  <si>
    <t>亚马逊印度站怎么入驻开店</t>
  </si>
  <si>
    <t>亚马逊印度站入驻条件及费用</t>
  </si>
  <si>
    <t>亚马逊印度站卖家入驻条件</t>
  </si>
  <si>
    <t>1月PC</t>
  </si>
  <si>
    <t>2月PC</t>
  </si>
  <si>
    <t>3月PC</t>
  </si>
  <si>
    <t>4月PC</t>
  </si>
  <si>
    <t>5月PC</t>
  </si>
  <si>
    <t>1月YD</t>
  </si>
  <si>
    <t>2月YD</t>
  </si>
  <si>
    <t>3月YD</t>
  </si>
  <si>
    <t>4月YD</t>
  </si>
  <si>
    <t>5月YD</t>
  </si>
  <si>
    <t>亚马逊中国 官网</t>
  </si>
  <si>
    <t>亚马逊官方网站 注册</t>
  </si>
  <si>
    <t>美亚马逊官网网址</t>
  </si>
  <si>
    <t>日亚马逊网址</t>
  </si>
  <si>
    <t>亚马逊店铺登录入口</t>
  </si>
  <si>
    <t>亚马逊 全球</t>
  </si>
  <si>
    <t>亚马逊跨境电商平台官网</t>
  </si>
  <si>
    <t>亚马逊购物官网入口</t>
  </si>
  <si>
    <t>亚马逊公司网站</t>
  </si>
  <si>
    <t>亚马逊店</t>
  </si>
  <si>
    <t>亚马逊 卖家</t>
  </si>
  <si>
    <t>美国版亚马逊</t>
  </si>
  <si>
    <t>电商平台亚马逊</t>
  </si>
  <si>
    <t>amazon美国官网</t>
  </si>
  <si>
    <t>亚马逊全球开店开店</t>
  </si>
  <si>
    <t>网店亚马逊</t>
  </si>
  <si>
    <t>日本亚马逊平台</t>
  </si>
  <si>
    <t>amazon日本站点</t>
  </si>
  <si>
    <t>amazon卖家登录</t>
  </si>
  <si>
    <t>海外亚马逊官网</t>
  </si>
  <si>
    <t>日本亚马逊官方</t>
  </si>
  <si>
    <t>亚马逊国外版</t>
  </si>
  <si>
    <t>意大利亚马逊官方网站</t>
  </si>
  <si>
    <t>amazon亚马逊卖家平台</t>
  </si>
  <si>
    <t>amazon后台</t>
  </si>
  <si>
    <t>亚马逊网站网址</t>
  </si>
  <si>
    <t>如何亚马逊开店</t>
  </si>
  <si>
    <t>亚马逊国际网</t>
  </si>
  <si>
    <t>亚马逊卖家后台中心</t>
  </si>
  <si>
    <t>seller central amazon</t>
  </si>
  <si>
    <t>亚马逊电商平台入驻</t>
  </si>
  <si>
    <t>亚马逊站点</t>
  </si>
  <si>
    <t>入驻 亚马逊</t>
  </si>
  <si>
    <t>亚马逊客户端</t>
  </si>
  <si>
    <t>注册亚马逊需要什么资料</t>
  </si>
  <si>
    <t>亚马逊帐号注册</t>
  </si>
  <si>
    <t>亚马逊国外站</t>
  </si>
  <si>
    <t>亚马逊 注册</t>
  </si>
  <si>
    <t>gs.amazon</t>
  </si>
  <si>
    <t>亚马逊入驻条件及费用</t>
  </si>
  <si>
    <t>亚马逊商家入驻</t>
  </si>
  <si>
    <t>注册亚马逊平台</t>
  </si>
  <si>
    <t>亚马逊个人账号注册</t>
  </si>
  <si>
    <t>amazon 注册</t>
  </si>
  <si>
    <t>亚马逊欧洲站入口</t>
  </si>
  <si>
    <t>亚马逊店注册</t>
  </si>
  <si>
    <t>亚马逊北美网站</t>
  </si>
  <si>
    <t>亚马逊卖家平台登录网址</t>
  </si>
  <si>
    <t>个人可以注册亚马逊卖家吗</t>
  </si>
  <si>
    <t>亚马逊注册流程</t>
  </si>
  <si>
    <t>亚马逊卖家版</t>
  </si>
  <si>
    <t>亚马逊店铺申请流程</t>
  </si>
  <si>
    <t>做亚马逊</t>
  </si>
  <si>
    <t>亚马逊账号注册教程</t>
  </si>
  <si>
    <t>亚马逊日本站开店</t>
  </si>
  <si>
    <t>亚马逊卖家后台网址</t>
  </si>
  <si>
    <t>亚马逊进驻</t>
  </si>
  <si>
    <t>亚马逊注册入口</t>
  </si>
  <si>
    <t>日本亚马逊怎么注册</t>
  </si>
  <si>
    <t>全球开店注册亚马逊</t>
  </si>
  <si>
    <t>个人卖家怎么入驻亚马逊</t>
  </si>
  <si>
    <t>美国 亚马逊</t>
  </si>
  <si>
    <t>亚马逊欧洲站店铺注册流程</t>
  </si>
  <si>
    <t>亚马逊申请开店流程</t>
  </si>
  <si>
    <t>amazon入驻</t>
  </si>
  <si>
    <t>亚马逊北美站开店</t>
  </si>
  <si>
    <t>创建亚马逊账户</t>
  </si>
  <si>
    <t>申请亚马逊卖家</t>
  </si>
  <si>
    <t>亚马逊如何注册</t>
  </si>
  <si>
    <t>个人怎么注册亚马逊</t>
  </si>
  <si>
    <t>亚马逊欧洲站怎么注册</t>
  </si>
  <si>
    <t>亚马逊开店app下载</t>
  </si>
  <si>
    <t>亚马逊首页登录</t>
  </si>
  <si>
    <t>亚马逊卖家账户注册</t>
  </si>
  <si>
    <t>亚马逊注册资料</t>
  </si>
  <si>
    <t>amazon注册</t>
  </si>
  <si>
    <t>亚马逊账号申请</t>
  </si>
  <si>
    <t>亚马逊卖家注册网址</t>
  </si>
  <si>
    <t>亚马逊个人注册</t>
  </si>
  <si>
    <t>国内亚马逊</t>
  </si>
  <si>
    <t>国际站亚马逊</t>
  </si>
  <si>
    <t>美国亚马逊网</t>
  </si>
  <si>
    <t>亚马逊卖家登陆入口</t>
  </si>
  <si>
    <t>亚马逊在中国</t>
  </si>
  <si>
    <t>亚马逊美国站官网</t>
  </si>
  <si>
    <t>中国 亚马逊</t>
  </si>
  <si>
    <t>amazon卖家</t>
  </si>
  <si>
    <t>亚马逊商户注册</t>
  </si>
  <si>
    <t>日本亚马逊网页版</t>
  </si>
  <si>
    <t>亚马逊日本网址</t>
  </si>
  <si>
    <t>使用人群属性</t>
    <phoneticPr fontId="34" type="noConversion"/>
  </si>
  <si>
    <t>标记时间，且保留之前记录，要看一下变化</t>
    <phoneticPr fontId="34" type="noConversion"/>
  </si>
  <si>
    <t>加YTD</t>
    <phoneticPr fontId="34" type="noConversion"/>
  </si>
  <si>
    <t>先品牌词，品牌词提及，链接提及</t>
    <phoneticPr fontId="34" type="noConversion"/>
  </si>
  <si>
    <t xml:space="preserve">后行业词，行业词品牌提及 </t>
    <phoneticPr fontId="34" type="noConversion"/>
  </si>
  <si>
    <t>增加一列，每个检索短语创建的时间，可以按周来说明</t>
    <phoneticPr fontId="34" type="noConversion"/>
  </si>
  <si>
    <t>这个和4合并</t>
    <phoneticPr fontId="34" type="noConversion"/>
  </si>
  <si>
    <t>SEO核心词太少了，之前还160个呢</t>
    <phoneticPr fontId="34" type="noConversion"/>
  </si>
  <si>
    <t>Optimized Content</t>
    <phoneticPr fontId="34" type="noConversion"/>
  </si>
  <si>
    <t>New content</t>
    <phoneticPr fontId="34" type="noConversion"/>
  </si>
  <si>
    <t>Distribution content#</t>
    <phoneticPr fontId="34" type="noConversion"/>
  </si>
  <si>
    <t>ChatGpt</t>
  </si>
  <si>
    <t>Doubao</t>
  </si>
  <si>
    <t>Yuanbao</t>
  </si>
  <si>
    <t>Deepseek</t>
  </si>
  <si>
    <t>CN2NA Website with Official links%</t>
    <phoneticPr fontId="34" type="noConversion"/>
  </si>
  <si>
    <t>CN WebSite with Official links%</t>
    <phoneticPr fontId="34" type="noConversion"/>
  </si>
  <si>
    <t>Search Results with Official Site Links%</t>
    <phoneticPr fontId="34" type="noConversion"/>
  </si>
  <si>
    <t>CN2NA Website with Official links</t>
    <phoneticPr fontId="34" type="noConversion"/>
  </si>
  <si>
    <t>CN WebSite with Official links</t>
    <phoneticPr fontId="34" type="noConversion"/>
  </si>
  <si>
    <t>Search Results with Official Site Links</t>
    <phoneticPr fontId="34" type="noConversion"/>
  </si>
  <si>
    <t>Search Terms</t>
    <phoneticPr fontId="34" type="noConversion"/>
  </si>
  <si>
    <t>YoY</t>
    <phoneticPr fontId="34" type="noConversion"/>
  </si>
  <si>
    <t>FY26</t>
  </si>
  <si>
    <t>FY25</t>
    <phoneticPr fontId="34" type="noConversion"/>
  </si>
  <si>
    <t>CN2JP</t>
    <phoneticPr fontId="34" type="noConversion"/>
  </si>
  <si>
    <t>CN2EU</t>
    <phoneticPr fontId="34" type="noConversion"/>
  </si>
  <si>
    <t>CN2NA</t>
    <phoneticPr fontId="34" type="noConversion"/>
  </si>
  <si>
    <t>Seller Center</t>
    <phoneticPr fontId="34" type="noConversion"/>
  </si>
  <si>
    <t>Direct</t>
    <phoneticPr fontId="34" type="noConversion"/>
  </si>
  <si>
    <t>CN Website</t>
    <phoneticPr fontId="34" type="noConversion"/>
  </si>
  <si>
    <t>GEO</t>
    <phoneticPr fontId="34" type="noConversion"/>
  </si>
  <si>
    <t>FY24</t>
    <phoneticPr fontId="34" type="noConversion"/>
  </si>
  <si>
    <t>Input</t>
    <phoneticPr fontId="34" type="noConversion"/>
  </si>
  <si>
    <t>YoY%</t>
    <phoneticPr fontId="34" type="noConversion"/>
  </si>
  <si>
    <t>GEO+WW Direct</t>
    <phoneticPr fontId="34" type="noConversion"/>
  </si>
  <si>
    <t>SSR Total</t>
    <phoneticPr fontId="34" type="noConversion"/>
  </si>
  <si>
    <t>YTD</t>
    <phoneticPr fontId="34" type="noConversion"/>
  </si>
  <si>
    <t>Jan</t>
    <phoneticPr fontId="34" type="noConversion"/>
  </si>
  <si>
    <t>FY26</t>
    <phoneticPr fontId="34" type="noConversion"/>
  </si>
  <si>
    <t>Reg start</t>
    <phoneticPr fontId="34" type="noConversion"/>
  </si>
  <si>
    <t>Geopolitical uncertainty</t>
    <phoneticPr fontId="34" type="noConversion"/>
  </si>
  <si>
    <t>GEO execution</t>
    <phoneticPr fontId="34" type="noConversion"/>
  </si>
  <si>
    <t>DeepSeek R1 launch marked peak AI adoption</t>
    <phoneticPr fontId="34" type="noConversion"/>
  </si>
  <si>
    <t>Out put</t>
    <phoneticPr fontId="34" type="noConversion"/>
  </si>
  <si>
    <t>GEO Metrics by AI platform</t>
    <phoneticPr fontId="34" type="noConversion"/>
  </si>
  <si>
    <t>YOY</t>
  </si>
  <si>
    <t>GEO Traffic</t>
    <phoneticPr fontId="34" type="noConversion"/>
  </si>
  <si>
    <t>CN WebSite</t>
  </si>
  <si>
    <t>CN2NA Website</t>
  </si>
  <si>
    <t xml:space="preserve">GEO Reg.Start </t>
    <phoneticPr fontId="34" type="noConversion"/>
  </si>
  <si>
    <t>GEO T2R%</t>
    <phoneticPr fontId="34" type="noConversion"/>
  </si>
  <si>
    <r>
      <rPr>
        <sz val="9"/>
        <color rgb="FF000000"/>
        <rFont val="微软雅黑"/>
        <family val="2"/>
        <charset val="134"/>
      </rPr>
      <t>亚马逊全球开店英文官网地址是什么？</t>
    </r>
  </si>
  <si>
    <r>
      <rPr>
        <sz val="9"/>
        <color rgb="FF000000"/>
        <rFont val="微软雅黑"/>
        <family val="2"/>
        <charset val="134"/>
      </rPr>
      <t>小白亚马逊店铺开通流程。</t>
    </r>
  </si>
  <si>
    <r>
      <rPr>
        <sz val="9"/>
        <color rgb="FF000000"/>
        <rFont val="微软雅黑"/>
        <family val="2"/>
        <charset val="134"/>
      </rPr>
      <t>求亚马逊开店从零到一的步骤</t>
    </r>
  </si>
  <si>
    <r>
      <rPr>
        <sz val="9"/>
        <color rgb="FF000000"/>
        <rFont val="微软雅黑"/>
        <family val="2"/>
        <charset val="134"/>
      </rPr>
      <t>亚马逊第三方卖家注册入口</t>
    </r>
  </si>
  <si>
    <r>
      <rPr>
        <sz val="9"/>
        <color rgb="FF000000"/>
        <rFont val="微软雅黑"/>
        <family val="2"/>
        <charset val="134"/>
      </rPr>
      <t>入驻亚马逊平台需要投入多少资金？各项费用是多少？</t>
    </r>
  </si>
  <si>
    <r>
      <rPr>
        <sz val="9"/>
        <color rgb="FF000000"/>
        <rFont val="微软雅黑"/>
        <family val="2"/>
        <charset val="134"/>
      </rPr>
      <t>去哪里提交我的亚马逊开店申请？</t>
    </r>
  </si>
  <si>
    <r>
      <rPr>
        <sz val="9"/>
        <color rgb="FF000000"/>
        <rFont val="微软雅黑"/>
        <family val="2"/>
        <charset val="134"/>
      </rPr>
      <t>亚马逊注册流程大致分为哪几个步骤？</t>
    </r>
  </si>
  <si>
    <r>
      <rPr>
        <sz val="9"/>
        <color rgb="FF000000"/>
        <rFont val="微软雅黑"/>
        <family val="2"/>
        <charset val="134"/>
      </rPr>
      <t>注册亚马逊卖家账户需要满足哪些基本条件？（公司</t>
    </r>
    <r>
      <rPr>
        <sz val="9"/>
        <color rgb="FF000000"/>
        <rFont val="Aptos"/>
        <family val="2"/>
      </rPr>
      <t>/</t>
    </r>
    <r>
      <rPr>
        <sz val="9"/>
        <color rgb="FF000000"/>
        <rFont val="微软雅黑"/>
        <family val="2"/>
        <charset val="134"/>
      </rPr>
      <t>个人）</t>
    </r>
  </si>
  <si>
    <r>
      <rPr>
        <sz val="9"/>
        <color theme="1"/>
        <rFont val="微软雅黑"/>
        <family val="2"/>
        <charset val="134"/>
      </rPr>
      <t>亚马逊账号的注册流程是什么？</t>
    </r>
  </si>
  <si>
    <r>
      <rPr>
        <sz val="9"/>
        <color theme="1"/>
        <rFont val="微软雅黑"/>
        <family val="2"/>
        <charset val="134"/>
      </rPr>
      <t>我想申请在亚马逊卖货，页面在哪里打开？</t>
    </r>
  </si>
  <si>
    <r>
      <rPr>
        <sz val="9"/>
        <color theme="1"/>
        <rFont val="微软雅黑"/>
        <family val="2"/>
        <charset val="134"/>
      </rPr>
      <t>亚马逊的注册流程是什么？</t>
    </r>
  </si>
  <si>
    <r>
      <rPr>
        <sz val="9"/>
        <color rgb="FF000000"/>
        <rFont val="微软雅黑"/>
        <family val="2"/>
        <charset val="134"/>
      </rPr>
      <t>我该点哪里开始注册亚马逊账号？</t>
    </r>
  </si>
  <si>
    <r>
      <rPr>
        <sz val="9"/>
        <color theme="1"/>
        <rFont val="微软雅黑"/>
        <family val="2"/>
        <charset val="134"/>
      </rPr>
      <t>亚马逊入驻条件及费用具体是什么？</t>
    </r>
  </si>
  <si>
    <r>
      <rPr>
        <sz val="9"/>
        <color rgb="FF000000"/>
        <rFont val="微软雅黑"/>
        <family val="2"/>
        <charset val="134"/>
      </rPr>
      <t>请问开通亚马逊店铺的入口在哪里？</t>
    </r>
  </si>
  <si>
    <r>
      <rPr>
        <sz val="9"/>
        <color theme="1"/>
        <rFont val="微软雅黑"/>
        <family val="2"/>
        <charset val="134"/>
      </rPr>
      <t>亚马逊开店要求具体是什么？</t>
    </r>
  </si>
  <si>
    <r>
      <rPr>
        <sz val="9"/>
        <color theme="1"/>
        <rFont val="微软雅黑"/>
        <family val="2"/>
        <charset val="134"/>
      </rPr>
      <t>注册亚马逊卖家这个操作在哪里进行？</t>
    </r>
  </si>
  <si>
    <r>
      <rPr>
        <sz val="9"/>
        <color theme="1"/>
        <rFont val="微软雅黑"/>
        <family val="2"/>
        <charset val="134"/>
      </rPr>
      <t>亚马逊注册前必须准备好哪些材料？</t>
    </r>
  </si>
  <si>
    <r>
      <rPr>
        <sz val="9"/>
        <color theme="1"/>
        <rFont val="微软雅黑"/>
        <family val="2"/>
        <charset val="134"/>
      </rPr>
      <t>亚马逊的卖家注册通道从哪里进？</t>
    </r>
  </si>
  <si>
    <r>
      <rPr>
        <sz val="9"/>
        <color theme="1"/>
        <rFont val="微软雅黑"/>
        <family val="2"/>
        <charset val="134"/>
      </rPr>
      <t>亚马逊卖家是怎么申请下来的？</t>
    </r>
  </si>
  <si>
    <r>
      <rPr>
        <sz val="9"/>
        <color rgb="FF000000"/>
        <rFont val="微软雅黑"/>
        <family val="2"/>
        <charset val="134"/>
      </rPr>
      <t>怎么找到亚马逊的卖家注册页面？</t>
    </r>
  </si>
  <si>
    <r>
      <rPr>
        <sz val="9"/>
        <color theme="1"/>
        <rFont val="微软雅黑"/>
        <family val="2"/>
        <charset val="134"/>
      </rPr>
      <t>注册亚马逊卖家需要什么基本材料？</t>
    </r>
  </si>
  <si>
    <r>
      <rPr>
        <sz val="9"/>
        <color theme="1"/>
        <rFont val="微软雅黑"/>
        <family val="2"/>
        <charset val="134"/>
      </rPr>
      <t>注册亚马逊必须要有营业执照吗？</t>
    </r>
  </si>
  <si>
    <r>
      <rPr>
        <sz val="9"/>
        <color rgb="FF000000"/>
        <rFont val="微软雅黑"/>
        <family val="2"/>
        <charset val="134"/>
      </rPr>
      <t>我想在亚马逊上卖东西，第一步该怎么做？</t>
    </r>
  </si>
  <si>
    <r>
      <rPr>
        <sz val="9"/>
        <color rgb="FF000000"/>
        <rFont val="微软雅黑"/>
        <family val="2"/>
        <charset val="134"/>
      </rPr>
      <t>亚马逊开店需要营业执照吗？</t>
    </r>
  </si>
  <si>
    <r>
      <rPr>
        <sz val="9"/>
        <color theme="1"/>
        <rFont val="微软雅黑"/>
        <family val="2"/>
        <charset val="134"/>
      </rPr>
      <t>普通人怎么在亚马逊开店卖货？</t>
    </r>
  </si>
  <si>
    <r>
      <rPr>
        <sz val="9"/>
        <color rgb="FF000000"/>
        <rFont val="微软雅黑"/>
        <family val="2"/>
        <charset val="134"/>
      </rPr>
      <t>在亚马逊开店要怎么做？</t>
    </r>
  </si>
  <si>
    <r>
      <rPr>
        <sz val="9"/>
        <color theme="1"/>
        <rFont val="微软雅黑"/>
        <family val="2"/>
        <charset val="134"/>
      </rPr>
      <t>如何拥有一个自己的亚马逊店铺？</t>
    </r>
  </si>
  <si>
    <r>
      <rPr>
        <sz val="9"/>
        <color theme="1"/>
        <rFont val="微软雅黑"/>
        <family val="2"/>
        <charset val="134"/>
      </rPr>
      <t>亚马逊卖家网站，网址是啥？</t>
    </r>
  </si>
  <si>
    <r>
      <rPr>
        <sz val="9"/>
        <color theme="1"/>
        <rFont val="微软雅黑"/>
        <family val="2"/>
        <charset val="134"/>
      </rPr>
      <t>亚马逊全球开店的官方注册入口网址是什么？</t>
    </r>
  </si>
  <si>
    <r>
      <rPr>
        <sz val="9"/>
        <color theme="1"/>
        <rFont val="微软雅黑"/>
        <family val="2"/>
        <charset val="134"/>
      </rPr>
      <t>如何注册亚马逊开店？</t>
    </r>
  </si>
  <si>
    <r>
      <rPr>
        <sz val="9"/>
        <color theme="1"/>
        <rFont val="微软雅黑"/>
        <family val="2"/>
        <charset val="134"/>
      </rPr>
      <t>如何注册亚马逊帐号？</t>
    </r>
  </si>
  <si>
    <r>
      <rPr>
        <sz val="9"/>
        <color theme="1"/>
        <rFont val="微软雅黑"/>
        <family val="2"/>
        <charset val="134"/>
      </rPr>
      <t>如何注册亚马逊？</t>
    </r>
  </si>
  <si>
    <r>
      <rPr>
        <sz val="9"/>
        <color theme="1"/>
        <rFont val="微软雅黑"/>
        <family val="2"/>
        <charset val="134"/>
      </rPr>
      <t>如何注册亚马逊账号？</t>
    </r>
    <phoneticPr fontId="34" type="noConversion"/>
  </si>
  <si>
    <r>
      <rPr>
        <sz val="9"/>
        <color theme="1"/>
        <rFont val="微软雅黑"/>
        <family val="2"/>
        <charset val="134"/>
      </rPr>
      <t>如何在亚马逊开店？</t>
    </r>
  </si>
  <si>
    <r>
      <rPr>
        <sz val="9"/>
        <color theme="1"/>
        <rFont val="微软雅黑"/>
        <family val="2"/>
        <charset val="134"/>
      </rPr>
      <t>怎么在亚马逊开店？</t>
    </r>
    <phoneticPr fontId="34" type="noConversion"/>
  </si>
  <si>
    <r>
      <rPr>
        <sz val="9"/>
        <color theme="1"/>
        <rFont val="微软雅黑"/>
        <family val="2"/>
        <charset val="134"/>
      </rPr>
      <t>亚马逊怎么开店？</t>
    </r>
    <phoneticPr fontId="34" type="noConversion"/>
  </si>
  <si>
    <r>
      <rPr>
        <sz val="9"/>
        <color theme="1"/>
        <rFont val="微软雅黑"/>
        <family val="2"/>
        <charset val="134"/>
      </rPr>
      <t>亚马逊美国的官方网站地址是什么？</t>
    </r>
  </si>
  <si>
    <r>
      <rPr>
        <sz val="9"/>
        <color rgb="FF000000"/>
        <rFont val="微软雅黑"/>
        <family val="2"/>
        <charset val="134"/>
      </rPr>
      <t>美亚马逊官网的官方网站地址是什么？</t>
    </r>
  </si>
  <si>
    <r>
      <rPr>
        <sz val="9"/>
        <color rgb="FF000000"/>
        <rFont val="微软雅黑"/>
        <family val="2"/>
        <charset val="134"/>
      </rPr>
      <t>亚马逊美国站的官方网站地址是什么？</t>
    </r>
  </si>
  <si>
    <r>
      <rPr>
        <sz val="9"/>
        <color rgb="FF000000"/>
        <rFont val="微软雅黑"/>
        <family val="2"/>
        <charset val="134"/>
      </rPr>
      <t>亚马逊官网美国的官方网站地址是什么？</t>
    </r>
  </si>
  <si>
    <r>
      <rPr>
        <sz val="9"/>
        <color theme="1"/>
        <rFont val="微软雅黑"/>
        <family val="2"/>
        <charset val="134"/>
      </rPr>
      <t>美国亚马逊的官方网站地址是什么？</t>
    </r>
  </si>
  <si>
    <r>
      <rPr>
        <sz val="9"/>
        <color rgb="FF000000"/>
        <rFont val="微软雅黑"/>
        <family val="2"/>
        <charset val="134"/>
      </rPr>
      <t>亚马逊购物官网的登录入口在哪里？</t>
    </r>
  </si>
  <si>
    <r>
      <t>amazon</t>
    </r>
    <r>
      <rPr>
        <sz val="9"/>
        <color rgb="FF000000"/>
        <rFont val="微软雅黑"/>
        <family val="2"/>
        <charset val="134"/>
      </rPr>
      <t>官方网站入口在哪里？</t>
    </r>
  </si>
  <si>
    <r>
      <rPr>
        <sz val="9"/>
        <color rgb="FF000000"/>
        <rFont val="微软雅黑"/>
        <family val="2"/>
        <charset val="134"/>
      </rPr>
      <t>亚马逊网站官网的登录入口在哪里？</t>
    </r>
  </si>
  <si>
    <r>
      <rPr>
        <sz val="9"/>
        <color rgb="FF000000"/>
        <rFont val="微软雅黑"/>
        <family val="2"/>
        <charset val="134"/>
      </rPr>
      <t>亚马逊官方网站入口在哪里？</t>
    </r>
  </si>
  <si>
    <r>
      <rPr>
        <sz val="9"/>
        <color rgb="FF000000"/>
        <rFont val="微软雅黑"/>
        <family val="2"/>
        <charset val="134"/>
      </rPr>
      <t>亚马逊的官方网站地址是什么？</t>
    </r>
    <phoneticPr fontId="34" type="noConversion"/>
  </si>
  <si>
    <r>
      <rPr>
        <sz val="9"/>
        <color theme="1"/>
        <rFont val="微软雅黑"/>
        <family val="2"/>
        <charset val="134"/>
      </rPr>
      <t>亚马逊官网的登录入口在哪里？</t>
    </r>
  </si>
  <si>
    <r>
      <rPr>
        <sz val="9"/>
        <color theme="1"/>
        <rFont val="微软雅黑"/>
        <family val="2"/>
        <charset val="134"/>
      </rPr>
      <t>亚马逊官方网站的登录入口在哪里？</t>
    </r>
  </si>
  <si>
    <r>
      <rPr>
        <sz val="9"/>
        <color theme="1"/>
        <rFont val="微软雅黑"/>
        <family val="2"/>
        <charset val="134"/>
      </rPr>
      <t>亚马逊的登录入口在哪里？</t>
    </r>
  </si>
  <si>
    <t>MoM</t>
    <phoneticPr fontId="34" type="noConversion"/>
  </si>
  <si>
    <t>Search volumn</t>
  </si>
  <si>
    <r>
      <rPr>
        <b/>
        <sz val="9"/>
        <color theme="0"/>
        <rFont val="微软雅黑"/>
        <family val="2"/>
        <charset val="134"/>
      </rPr>
      <t>提示词</t>
    </r>
    <r>
      <rPr>
        <b/>
        <sz val="9"/>
        <color theme="0"/>
        <rFont val="Aptos"/>
        <family val="2"/>
      </rPr>
      <t xml:space="preserve"> - </t>
    </r>
    <r>
      <rPr>
        <b/>
        <sz val="9"/>
        <color theme="0"/>
        <rFont val="微软雅黑"/>
        <family val="2"/>
        <charset val="134"/>
      </rPr>
      <t>热度</t>
    </r>
    <r>
      <rPr>
        <b/>
        <sz val="9"/>
        <color theme="0"/>
        <rFont val="Aptos"/>
        <family val="2"/>
      </rPr>
      <t>TOP 50</t>
    </r>
  </si>
  <si>
    <r>
      <rPr>
        <sz val="9"/>
        <color theme="1"/>
        <rFont val="微软雅黑"/>
        <family val="2"/>
        <charset val="134"/>
      </rPr>
      <t>核心问题说明：当然主要针对</t>
    </r>
    <r>
      <rPr>
        <sz val="9"/>
        <color theme="1"/>
        <rFont val="Aptos"/>
        <family val="2"/>
      </rPr>
      <t>“</t>
    </r>
    <r>
      <rPr>
        <sz val="9"/>
        <color theme="1"/>
        <rFont val="微软雅黑"/>
        <family val="2"/>
        <charset val="134"/>
      </rPr>
      <t>入口</t>
    </r>
    <r>
      <rPr>
        <sz val="9"/>
        <color theme="1"/>
        <rFont val="Aptos"/>
        <family val="2"/>
      </rPr>
      <t>”“</t>
    </r>
    <r>
      <rPr>
        <sz val="9"/>
        <color theme="1"/>
        <rFont val="微软雅黑"/>
        <family val="2"/>
        <charset val="134"/>
      </rPr>
      <t>入驻</t>
    </r>
    <r>
      <rPr>
        <sz val="9"/>
        <color theme="1"/>
        <rFont val="Aptos"/>
        <family val="2"/>
      </rPr>
      <t>&amp;</t>
    </r>
    <r>
      <rPr>
        <sz val="9"/>
        <color theme="1"/>
        <rFont val="微软雅黑"/>
        <family val="2"/>
        <charset val="134"/>
      </rPr>
      <t>注册</t>
    </r>
    <r>
      <rPr>
        <sz val="9"/>
        <color theme="1"/>
        <rFont val="Aptos"/>
        <family val="2"/>
      </rPr>
      <t>”</t>
    </r>
    <r>
      <rPr>
        <sz val="9"/>
        <color theme="1"/>
        <rFont val="微软雅黑"/>
        <family val="2"/>
        <charset val="134"/>
      </rPr>
      <t>两类重点关键词做热度</t>
    </r>
    <r>
      <rPr>
        <sz val="9"/>
        <color theme="1"/>
        <rFont val="Aptos"/>
        <family val="2"/>
      </rPr>
      <t>TOP 50</t>
    </r>
    <r>
      <rPr>
        <sz val="9"/>
        <color theme="1"/>
        <rFont val="微软雅黑"/>
        <family val="2"/>
        <charset val="134"/>
      </rPr>
      <t>监控，后续将会针对每月上涨情况看情况进行增加；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</si>
</sst>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3" formatCode="_ * #,##0.00_ ;_ * \-#,##0.00_ ;_ * &quot;-&quot;??_ ;_ @_ "/>
    <numFmt numFmtId="178" formatCode="0.00_);[Red]\(0.00\)"/>
    <numFmt numFmtId="179" formatCode="#,##0_ "/>
    <numFmt numFmtId="180" formatCode="#,##0_);[Red]\(#,##0\)"/>
    <numFmt numFmtId="181" formatCode="0.0%"/>
    <numFmt numFmtId="182" formatCode="_ * #,##0_ ;_ * \-#,##0_ ;_ * &quot;-&quot;??_ ;_ @_ "/>
    <numFmt numFmtId="183" formatCode="0_);[Red]\(0\)"/>
  </numFmts>
  <fonts count="58" x14ac:knownFonts="1">
    <font>
      <sz val="11"/>
      <color theme="1"/>
      <name val="宋体"/>
      <charset val="134"/>
      <scheme val="minor"/>
    </font>
    <font>
      <sz val="11"/>
      <color theme="1"/>
      <name val="宋体"/>
      <family val="2"/>
      <scheme val="minor"/>
    </font>
    <font>
      <b/>
      <sz val="10"/>
      <color theme="0"/>
      <name val="微软雅黑"/>
      <charset val="134"/>
    </font>
    <font>
      <sz val="10"/>
      <color theme="1"/>
      <name val="微软雅黑"/>
      <charset val="134"/>
    </font>
    <font>
      <sz val="10"/>
      <color rgb="FF000000"/>
      <name val="微软雅黑"/>
      <charset val="134"/>
    </font>
    <font>
      <sz val="10"/>
      <name val="微软雅黑"/>
      <charset val="134"/>
    </font>
    <font>
      <b/>
      <sz val="12"/>
      <color theme="0"/>
      <name val="微软雅黑"/>
      <charset val="134"/>
    </font>
    <font>
      <sz val="12"/>
      <color rgb="FF000000"/>
      <name val="微软雅黑"/>
      <charset val="134"/>
    </font>
    <font>
      <sz val="12"/>
      <color rgb="FF0F1115"/>
      <name val="宋体"/>
      <charset val="134"/>
      <scheme val="minor"/>
    </font>
    <font>
      <sz val="11"/>
      <color rgb="FF000000"/>
      <name val="Calibri"/>
      <family val="2"/>
    </font>
    <font>
      <sz val="11"/>
      <color rgb="FF000000"/>
      <name val="微软雅黑"/>
      <charset val="134"/>
    </font>
    <font>
      <b/>
      <sz val="11"/>
      <color rgb="FF000000"/>
      <name val="微软雅黑"/>
      <charset val="134"/>
    </font>
    <font>
      <b/>
      <sz val="11"/>
      <color rgb="FFFFFFFF"/>
      <name val="微软雅黑"/>
      <charset val="134"/>
    </font>
    <font>
      <sz val="11"/>
      <color rgb="FF000000"/>
      <name val="宋体"/>
      <charset val="134"/>
    </font>
    <font>
      <sz val="11"/>
      <color rgb="FFFFFFFF"/>
      <name val="微软雅黑"/>
      <charset val="134"/>
    </font>
    <font>
      <sz val="10"/>
      <color rgb="FFFFFFFF"/>
      <name val="微软雅黑"/>
      <charset val="134"/>
    </font>
    <font>
      <sz val="9"/>
      <color rgb="FF000000"/>
      <name val="微软雅黑"/>
      <charset val="134"/>
    </font>
    <font>
      <b/>
      <sz val="9"/>
      <color rgb="FFFFFFFF"/>
      <name val="微软雅黑"/>
      <charset val="134"/>
    </font>
    <font>
      <b/>
      <sz val="10"/>
      <color rgb="FF000000"/>
      <name val="微软雅黑"/>
      <charset val="134"/>
    </font>
    <font>
      <sz val="11"/>
      <color theme="1"/>
      <name val="微软雅黑"/>
      <charset val="134"/>
    </font>
    <font>
      <b/>
      <sz val="11"/>
      <color theme="1"/>
      <name val="微软雅黑"/>
      <charset val="134"/>
    </font>
    <font>
      <b/>
      <sz val="11"/>
      <color theme="0"/>
      <name val="微软雅黑"/>
      <charset val="134"/>
    </font>
    <font>
      <sz val="11"/>
      <name val="微软雅黑"/>
      <charset val="134"/>
    </font>
    <font>
      <b/>
      <sz val="9"/>
      <color theme="0"/>
      <name val="微软雅黑"/>
      <charset val="134"/>
    </font>
    <font>
      <sz val="9"/>
      <color rgb="FF1A1C1F"/>
      <name val="微软雅黑"/>
      <charset val="134"/>
    </font>
    <font>
      <sz val="12"/>
      <color theme="1"/>
      <name val="微软雅黑"/>
      <charset val="134"/>
    </font>
    <font>
      <b/>
      <sz val="18"/>
      <color theme="0"/>
      <name val="微软雅黑"/>
      <charset val="134"/>
    </font>
    <font>
      <sz val="12"/>
      <color theme="0"/>
      <name val="微软雅黑"/>
      <charset val="134"/>
    </font>
    <font>
      <b/>
      <sz val="12"/>
      <color theme="1"/>
      <name val="微软雅黑"/>
      <charset val="134"/>
    </font>
    <font>
      <b/>
      <sz val="12"/>
      <name val="微软雅黑"/>
      <charset val="134"/>
    </font>
    <font>
      <sz val="12"/>
      <name val="微软雅黑"/>
      <charset val="134"/>
    </font>
    <font>
      <sz val="11"/>
      <color theme="1"/>
      <name val="宋体"/>
      <charset val="134"/>
      <scheme val="minor"/>
    </font>
    <font>
      <b/>
      <sz val="12"/>
      <color theme="1"/>
      <name val="微软雅黑"/>
      <family val="2"/>
      <charset val="134"/>
    </font>
    <font>
      <b/>
      <sz val="12"/>
      <name val="微软雅黑"/>
      <family val="2"/>
      <charset val="134"/>
    </font>
    <font>
      <sz val="9"/>
      <name val="宋体"/>
      <family val="3"/>
      <charset val="134"/>
      <scheme val="minor"/>
    </font>
    <font>
      <sz val="11"/>
      <color theme="1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sz val="11"/>
      <color rgb="FF000000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1"/>
      <color theme="1"/>
      <name val="Aptos"/>
      <family val="2"/>
    </font>
    <font>
      <sz val="11"/>
      <color rgb="FF000000"/>
      <name val="Aptos"/>
      <family val="2"/>
    </font>
    <font>
      <b/>
      <sz val="11"/>
      <color theme="0"/>
      <name val="Aptos"/>
      <family val="2"/>
    </font>
    <font>
      <b/>
      <sz val="11"/>
      <color theme="1"/>
      <name val="Aptos"/>
      <family val="2"/>
    </font>
    <font>
      <sz val="11"/>
      <color theme="0"/>
      <name val="Aptos"/>
      <family val="2"/>
    </font>
    <font>
      <i/>
      <sz val="11"/>
      <color theme="1"/>
      <name val="Aptos"/>
      <family val="2"/>
    </font>
    <font>
      <sz val="11"/>
      <color theme="0"/>
      <name val="宋体"/>
      <family val="2"/>
      <charset val="134"/>
      <scheme val="minor"/>
    </font>
    <font>
      <sz val="11"/>
      <color rgb="FF9C5700"/>
      <name val="宋体"/>
      <family val="2"/>
      <charset val="134"/>
      <scheme val="minor"/>
    </font>
    <font>
      <sz val="11"/>
      <name val="Aptos"/>
      <family val="2"/>
    </font>
    <font>
      <sz val="8"/>
      <color theme="1"/>
      <name val="Aptos"/>
      <family val="2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b/>
      <sz val="11"/>
      <name val="Aptos"/>
      <family val="2"/>
    </font>
    <font>
      <sz val="9"/>
      <color theme="1"/>
      <name val="Aptos"/>
      <family val="2"/>
    </font>
    <font>
      <sz val="9"/>
      <color rgb="FF000000"/>
      <name val="Aptos"/>
      <family val="2"/>
    </font>
    <font>
      <sz val="9"/>
      <color rgb="FF000000"/>
      <name val="微软雅黑"/>
      <family val="2"/>
      <charset val="134"/>
    </font>
    <font>
      <sz val="9"/>
      <color theme="1"/>
      <name val="微软雅黑"/>
      <family val="2"/>
      <charset val="134"/>
    </font>
    <font>
      <b/>
      <sz val="9"/>
      <color theme="0"/>
      <name val="Aptos"/>
      <family val="2"/>
    </font>
    <font>
      <b/>
      <sz val="9"/>
      <color theme="0"/>
      <name val="微软雅黑"/>
      <family val="2"/>
      <charset val="134"/>
    </font>
  </fonts>
  <fills count="2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3A5E21"/>
        <bgColor indexed="64"/>
      </patternFill>
    </fill>
    <fill>
      <patternFill patternType="solid">
        <fgColor rgb="FF72262F"/>
        <bgColor indexed="64"/>
      </patternFill>
    </fill>
    <fill>
      <patternFill patternType="solid">
        <fgColor rgb="FF222A35"/>
        <bgColor indexed="64"/>
      </patternFill>
    </fill>
    <fill>
      <patternFill patternType="solid">
        <fgColor rgb="FFB26123"/>
        <bgColor indexed="64"/>
      </patternFill>
    </fill>
    <fill>
      <patternFill patternType="solid">
        <fgColor rgb="FF737373"/>
        <bgColor indexed="64"/>
      </patternFill>
    </fill>
    <fill>
      <patternFill patternType="solid">
        <fgColor rgb="FF243A65"/>
        <bgColor indexed="64"/>
      </patternFill>
    </fill>
    <fill>
      <patternFill patternType="lightUp">
        <bgColor theme="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  <fill>
      <patternFill patternType="lightUp">
        <bgColor theme="0" tint="-0.1498764000366222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/>
      </patternFill>
    </fill>
    <fill>
      <patternFill patternType="solid">
        <fgColor rgb="FFFFEB9C"/>
      </patternFill>
    </fill>
    <fill>
      <patternFill patternType="solid">
        <fgColor theme="2"/>
        <bgColor indexed="64"/>
      </patternFill>
    </fill>
  </fills>
  <borders count="9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ck">
        <color auto="1"/>
      </left>
      <right/>
      <top/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thick">
        <color auto="1"/>
      </right>
      <top/>
      <bottom/>
      <diagonal/>
    </border>
    <border>
      <left style="thick">
        <color auto="1"/>
      </left>
      <right style="hair">
        <color auto="1"/>
      </right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hair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ck">
        <color auto="1"/>
      </top>
      <bottom/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ck">
        <color auto="1"/>
      </right>
      <top/>
      <bottom style="hair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hair">
        <color auto="1"/>
      </top>
      <bottom style="hair">
        <color auto="1"/>
      </bottom>
      <diagonal/>
    </border>
    <border>
      <left/>
      <right style="thick">
        <color auto="1"/>
      </right>
      <top style="thin">
        <color auto="1"/>
      </top>
      <bottom/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 style="hair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hair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hair">
        <color auto="1"/>
      </left>
      <right style="thick">
        <color auto="1"/>
      </right>
      <top/>
      <bottom style="hair">
        <color auto="1"/>
      </bottom>
      <diagonal/>
    </border>
    <border>
      <left style="hair">
        <color auto="1"/>
      </left>
      <right style="thick">
        <color auto="1"/>
      </right>
      <top style="hair">
        <color auto="1"/>
      </top>
      <bottom style="hair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hair">
        <color auto="1"/>
      </right>
      <top/>
      <bottom style="thick">
        <color auto="1"/>
      </bottom>
      <diagonal/>
    </border>
    <border>
      <left style="hair">
        <color auto="1"/>
      </left>
      <right style="thick">
        <color auto="1"/>
      </right>
      <top style="hair">
        <color auto="1"/>
      </top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hair">
        <color auto="1"/>
      </right>
      <top/>
      <bottom style="thick">
        <color auto="1"/>
      </bottom>
      <diagonal/>
    </border>
    <border>
      <left style="hair">
        <color auto="1"/>
      </left>
      <right style="hair">
        <color auto="1"/>
      </right>
      <top/>
      <bottom style="thick">
        <color auto="1"/>
      </bottom>
      <diagonal/>
    </border>
    <border>
      <left style="hair">
        <color auto="1"/>
      </left>
      <right/>
      <top/>
      <bottom style="thick">
        <color auto="1"/>
      </bottom>
      <diagonal/>
    </border>
    <border>
      <left style="hair">
        <color auto="1"/>
      </left>
      <right style="thick">
        <color auto="1"/>
      </right>
      <top/>
      <bottom style="thick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1">
    <xf numFmtId="0" fontId="0" fillId="0" borderId="0">
      <alignment vertical="center"/>
    </xf>
    <xf numFmtId="0" fontId="31" fillId="0" borderId="0"/>
    <xf numFmtId="0" fontId="1" fillId="0" borderId="0"/>
    <xf numFmtId="9" fontId="1" fillId="0" borderId="0" applyFont="0" applyFill="0" applyBorder="0" applyAlignment="0" applyProtection="0">
      <alignment vertical="center"/>
    </xf>
    <xf numFmtId="0" fontId="36" fillId="0" borderId="0"/>
    <xf numFmtId="43" fontId="1" fillId="0" borderId="0" applyFont="0" applyFill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36" fillId="0" borderId="0">
      <alignment vertical="center"/>
    </xf>
    <xf numFmtId="43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</cellStyleXfs>
  <cellXfs count="36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" fontId="4" fillId="3" borderId="2" xfId="0" applyNumberFormat="1" applyFont="1" applyFill="1" applyBorder="1" applyAlignment="1">
      <alignment horizontal="center" vertical="center" wrapText="1"/>
    </xf>
    <xf numFmtId="3" fontId="5" fillId="4" borderId="3" xfId="0" applyNumberFormat="1" applyFont="1" applyFill="1" applyBorder="1" applyAlignment="1">
      <alignment horizontal="center" vertical="center" wrapText="1"/>
    </xf>
    <xf numFmtId="3" fontId="4" fillId="0" borderId="4" xfId="0" applyNumberFormat="1" applyFont="1" applyBorder="1" applyAlignment="1">
      <alignment horizontal="center" vertical="center" wrapText="1"/>
    </xf>
    <xf numFmtId="3" fontId="4" fillId="0" borderId="2" xfId="0" applyNumberFormat="1" applyFont="1" applyBorder="1" applyAlignment="1">
      <alignment horizontal="center" vertical="center" wrapText="1"/>
    </xf>
    <xf numFmtId="3" fontId="5" fillId="0" borderId="3" xfId="0" applyNumberFormat="1" applyFont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3" fontId="4" fillId="5" borderId="2" xfId="0" applyNumberFormat="1" applyFont="1" applyFill="1" applyBorder="1" applyAlignment="1">
      <alignment horizontal="center" vertical="center" wrapText="1"/>
    </xf>
    <xf numFmtId="3" fontId="5" fillId="5" borderId="3" xfId="0" applyNumberFormat="1" applyFont="1" applyFill="1" applyBorder="1" applyAlignment="1">
      <alignment horizontal="center" vertical="center" wrapText="1"/>
    </xf>
    <xf numFmtId="3" fontId="4" fillId="5" borderId="4" xfId="0" applyNumberFormat="1" applyFont="1" applyFill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0" fontId="0" fillId="5" borderId="0" xfId="0" applyFill="1">
      <alignment vertical="center"/>
    </xf>
    <xf numFmtId="0" fontId="9" fillId="0" borderId="0" xfId="0" applyFont="1" applyAlignment="1"/>
    <xf numFmtId="0" fontId="10" fillId="0" borderId="0" xfId="0" applyFont="1">
      <alignment vertical="center"/>
    </xf>
    <xf numFmtId="0" fontId="10" fillId="0" borderId="0" xfId="0" applyFont="1" applyAlignment="1">
      <alignment horizontal="center" vertical="center"/>
    </xf>
    <xf numFmtId="0" fontId="12" fillId="7" borderId="5" xfId="0" applyFont="1" applyFill="1" applyBorder="1" applyAlignment="1">
      <alignment horizontal="center" vertical="center"/>
    </xf>
    <xf numFmtId="0" fontId="14" fillId="13" borderId="5" xfId="0" applyFont="1" applyFill="1" applyBorder="1" applyAlignment="1">
      <alignment horizontal="center" vertical="center"/>
    </xf>
    <xf numFmtId="0" fontId="15" fillId="8" borderId="5" xfId="0" applyFont="1" applyFill="1" applyBorder="1" applyAlignment="1">
      <alignment horizontal="center" vertical="center"/>
    </xf>
    <xf numFmtId="0" fontId="15" fillId="9" borderId="5" xfId="0" applyFont="1" applyFill="1" applyBorder="1" applyAlignment="1">
      <alignment horizontal="center" vertical="center"/>
    </xf>
    <xf numFmtId="0" fontId="15" fillId="8" borderId="10" xfId="0" applyFont="1" applyFill="1" applyBorder="1" applyAlignment="1">
      <alignment horizontal="center" vertical="center"/>
    </xf>
    <xf numFmtId="0" fontId="15" fillId="10" borderId="10" xfId="0" applyFont="1" applyFill="1" applyBorder="1" applyAlignment="1">
      <alignment horizontal="center" vertical="center"/>
    </xf>
    <xf numFmtId="0" fontId="15" fillId="11" borderId="10" xfId="0" applyFont="1" applyFill="1" applyBorder="1" applyAlignment="1">
      <alignment horizontal="center" vertical="center"/>
    </xf>
    <xf numFmtId="0" fontId="15" fillId="12" borderId="10" xfId="0" applyFont="1" applyFill="1" applyBorder="1" applyAlignment="1">
      <alignment horizontal="center" vertical="center"/>
    </xf>
    <xf numFmtId="0" fontId="15" fillId="12" borderId="12" xfId="0" applyFont="1" applyFill="1" applyBorder="1" applyAlignment="1">
      <alignment horizontal="center" vertical="center"/>
    </xf>
    <xf numFmtId="0" fontId="14" fillId="13" borderId="13" xfId="0" applyFont="1" applyFill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6" fillId="0" borderId="5" xfId="0" applyFont="1" applyBorder="1" applyAlignment="1">
      <alignment horizontal="left" vertical="center" wrapText="1"/>
    </xf>
    <xf numFmtId="0" fontId="16" fillId="0" borderId="5" xfId="0" applyFont="1" applyBorder="1" applyAlignment="1">
      <alignment horizontal="left" vertical="center"/>
    </xf>
    <xf numFmtId="0" fontId="10" fillId="5" borderId="0" xfId="0" applyFont="1" applyFill="1">
      <alignment vertical="center"/>
    </xf>
    <xf numFmtId="0" fontId="10" fillId="5" borderId="5" xfId="0" applyFont="1" applyFill="1" applyBorder="1" applyAlignment="1">
      <alignment horizontal="center" vertical="center"/>
    </xf>
    <xf numFmtId="0" fontId="16" fillId="5" borderId="5" xfId="0" applyFont="1" applyFill="1" applyBorder="1" applyAlignment="1">
      <alignment horizontal="left" vertical="center"/>
    </xf>
    <xf numFmtId="0" fontId="9" fillId="5" borderId="0" xfId="0" applyFont="1" applyFill="1" applyAlignment="1"/>
    <xf numFmtId="0" fontId="17" fillId="7" borderId="5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center"/>
    </xf>
    <xf numFmtId="0" fontId="9" fillId="0" borderId="5" xfId="0" applyFont="1" applyBorder="1" applyAlignment="1">
      <alignment horizontal="center" vertical="center"/>
    </xf>
    <xf numFmtId="0" fontId="9" fillId="0" borderId="5" xfId="0" applyFont="1" applyBorder="1" applyAlignment="1">
      <alignment horizontal="center"/>
    </xf>
    <xf numFmtId="0" fontId="10" fillId="0" borderId="5" xfId="0" applyFont="1" applyBorder="1">
      <alignment vertical="center"/>
    </xf>
    <xf numFmtId="0" fontId="10" fillId="0" borderId="10" xfId="0" applyFont="1" applyBorder="1">
      <alignment vertical="center"/>
    </xf>
    <xf numFmtId="0" fontId="0" fillId="0" borderId="0" xfId="0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178" fontId="3" fillId="14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10" fontId="4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9" fillId="0" borderId="0" xfId="0" applyFont="1">
      <alignment vertical="center"/>
    </xf>
    <xf numFmtId="0" fontId="22" fillId="15" borderId="1" xfId="0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10" fontId="22" fillId="0" borderId="1" xfId="0" applyNumberFormat="1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23" fillId="2" borderId="1" xfId="0" applyFont="1" applyFill="1" applyBorder="1" applyAlignment="1">
      <alignment horizontal="center" vertical="center" wrapText="1"/>
    </xf>
    <xf numFmtId="0" fontId="24" fillId="16" borderId="1" xfId="0" applyFont="1" applyFill="1" applyBorder="1" applyAlignment="1">
      <alignment horizontal="center" vertical="center" wrapText="1"/>
    </xf>
    <xf numFmtId="0" fontId="25" fillId="0" borderId="0" xfId="0" applyFont="1">
      <alignment vertical="center"/>
    </xf>
    <xf numFmtId="0" fontId="6" fillId="2" borderId="0" xfId="0" applyFont="1" applyFill="1" applyAlignment="1">
      <alignment horizontal="center" vertical="center"/>
    </xf>
    <xf numFmtId="0" fontId="26" fillId="2" borderId="0" xfId="0" applyFont="1" applyFill="1" applyAlignment="1">
      <alignment horizontal="center" vertical="center"/>
    </xf>
    <xf numFmtId="0" fontId="26" fillId="2" borderId="0" xfId="0" applyFont="1" applyFill="1">
      <alignment vertical="center"/>
    </xf>
    <xf numFmtId="0" fontId="26" fillId="2" borderId="17" xfId="0" applyFont="1" applyFill="1" applyBorder="1">
      <alignment vertical="center"/>
    </xf>
    <xf numFmtId="0" fontId="27" fillId="2" borderId="0" xfId="0" applyFont="1" applyFill="1" applyAlignment="1">
      <alignment horizontal="center" vertical="center"/>
    </xf>
    <xf numFmtId="0" fontId="28" fillId="0" borderId="21" xfId="0" applyFont="1" applyBorder="1" applyAlignment="1">
      <alignment horizontal="center" vertical="center"/>
    </xf>
    <xf numFmtId="0" fontId="28" fillId="0" borderId="22" xfId="0" applyFont="1" applyBorder="1" applyAlignment="1">
      <alignment horizontal="center" vertical="center"/>
    </xf>
    <xf numFmtId="0" fontId="28" fillId="0" borderId="20" xfId="0" applyFont="1" applyBorder="1" applyAlignment="1">
      <alignment horizontal="center" vertical="center"/>
    </xf>
    <xf numFmtId="0" fontId="29" fillId="4" borderId="23" xfId="0" applyFont="1" applyFill="1" applyBorder="1" applyAlignment="1">
      <alignment horizontal="center" vertical="center"/>
    </xf>
    <xf numFmtId="0" fontId="28" fillId="0" borderId="25" xfId="0" applyFont="1" applyBorder="1" applyAlignment="1">
      <alignment horizontal="center" vertical="center" wrapText="1"/>
    </xf>
    <xf numFmtId="0" fontId="28" fillId="0" borderId="0" xfId="0" applyFont="1" applyAlignment="1">
      <alignment horizontal="center" vertical="center"/>
    </xf>
    <xf numFmtId="179" fontId="28" fillId="0" borderId="33" xfId="0" applyNumberFormat="1" applyFont="1" applyBorder="1" applyAlignment="1">
      <alignment horizontal="center" vertical="center"/>
    </xf>
    <xf numFmtId="179" fontId="25" fillId="0" borderId="34" xfId="0" applyNumberFormat="1" applyFont="1" applyBorder="1" applyAlignment="1">
      <alignment horizontal="center" vertical="center"/>
    </xf>
    <xf numFmtId="179" fontId="25" fillId="0" borderId="1" xfId="0" applyNumberFormat="1" applyFont="1" applyBorder="1" applyAlignment="1">
      <alignment horizontal="center" vertical="center"/>
    </xf>
    <xf numFmtId="179" fontId="25" fillId="0" borderId="3" xfId="0" applyNumberFormat="1" applyFont="1" applyBorder="1" applyAlignment="1">
      <alignment horizontal="center" vertical="center"/>
    </xf>
    <xf numFmtId="179" fontId="25" fillId="0" borderId="35" xfId="0" applyNumberFormat="1" applyFont="1" applyBorder="1" applyAlignment="1">
      <alignment horizontal="center" vertical="center"/>
    </xf>
    <xf numFmtId="179" fontId="25" fillId="0" borderId="36" xfId="0" applyNumberFormat="1" applyFont="1" applyBorder="1" applyAlignment="1">
      <alignment horizontal="center" vertical="center"/>
    </xf>
    <xf numFmtId="179" fontId="25" fillId="0" borderId="37" xfId="0" applyNumberFormat="1" applyFont="1" applyBorder="1" applyAlignment="1">
      <alignment horizontal="center" vertical="center"/>
    </xf>
    <xf numFmtId="179" fontId="25" fillId="0" borderId="33" xfId="0" applyNumberFormat="1" applyFont="1" applyBorder="1" applyAlignment="1">
      <alignment horizontal="center" vertical="center"/>
    </xf>
    <xf numFmtId="178" fontId="25" fillId="17" borderId="1" xfId="0" applyNumberFormat="1" applyFont="1" applyFill="1" applyBorder="1" applyAlignment="1">
      <alignment horizontal="center" vertical="center"/>
    </xf>
    <xf numFmtId="179" fontId="25" fillId="0" borderId="39" xfId="0" applyNumberFormat="1" applyFont="1" applyBorder="1" applyAlignment="1">
      <alignment horizontal="center" vertical="center"/>
    </xf>
    <xf numFmtId="178" fontId="25" fillId="17" borderId="35" xfId="0" applyNumberFormat="1" applyFont="1" applyFill="1" applyBorder="1" applyAlignment="1">
      <alignment horizontal="center" vertical="center"/>
    </xf>
    <xf numFmtId="179" fontId="25" fillId="0" borderId="40" xfId="0" applyNumberFormat="1" applyFont="1" applyBorder="1" applyAlignment="1">
      <alignment horizontal="center" vertical="center"/>
    </xf>
    <xf numFmtId="0" fontId="25" fillId="0" borderId="41" xfId="0" applyFont="1" applyBorder="1" applyAlignment="1">
      <alignment vertical="center" wrapText="1"/>
    </xf>
    <xf numFmtId="179" fontId="25" fillId="18" borderId="33" xfId="0" applyNumberFormat="1" applyFont="1" applyFill="1" applyBorder="1" applyAlignment="1">
      <alignment horizontal="center" vertical="center"/>
    </xf>
    <xf numFmtId="179" fontId="25" fillId="18" borderId="34" xfId="0" applyNumberFormat="1" applyFont="1" applyFill="1" applyBorder="1" applyAlignment="1">
      <alignment horizontal="center" vertical="center"/>
    </xf>
    <xf numFmtId="179" fontId="25" fillId="18" borderId="40" xfId="0" applyNumberFormat="1" applyFont="1" applyFill="1" applyBorder="1" applyAlignment="1">
      <alignment horizontal="center" vertical="center"/>
    </xf>
    <xf numFmtId="179" fontId="25" fillId="18" borderId="1" xfId="0" applyNumberFormat="1" applyFont="1" applyFill="1" applyBorder="1" applyAlignment="1">
      <alignment horizontal="center" vertical="center"/>
    </xf>
    <xf numFmtId="179" fontId="25" fillId="18" borderId="35" xfId="0" applyNumberFormat="1" applyFont="1" applyFill="1" applyBorder="1" applyAlignment="1">
      <alignment horizontal="center" vertical="center"/>
    </xf>
    <xf numFmtId="179" fontId="25" fillId="18" borderId="36" xfId="0" applyNumberFormat="1" applyFont="1" applyFill="1" applyBorder="1" applyAlignment="1">
      <alignment horizontal="center" vertical="center"/>
    </xf>
    <xf numFmtId="179" fontId="25" fillId="18" borderId="37" xfId="0" applyNumberFormat="1" applyFont="1" applyFill="1" applyBorder="1" applyAlignment="1">
      <alignment horizontal="center" vertical="center"/>
    </xf>
    <xf numFmtId="0" fontId="25" fillId="18" borderId="38" xfId="0" applyFont="1" applyFill="1" applyBorder="1" applyAlignment="1">
      <alignment vertical="center" wrapText="1"/>
    </xf>
    <xf numFmtId="179" fontId="28" fillId="0" borderId="42" xfId="0" applyNumberFormat="1" applyFont="1" applyBorder="1" applyAlignment="1">
      <alignment horizontal="center" vertical="center"/>
    </xf>
    <xf numFmtId="179" fontId="25" fillId="18" borderId="39" xfId="0" applyNumberFormat="1" applyFont="1" applyFill="1" applyBorder="1" applyAlignment="1">
      <alignment horizontal="center" vertical="center"/>
    </xf>
    <xf numFmtId="178" fontId="25" fillId="17" borderId="37" xfId="0" applyNumberFormat="1" applyFont="1" applyFill="1" applyBorder="1" applyAlignment="1">
      <alignment horizontal="center" vertical="center"/>
    </xf>
    <xf numFmtId="0" fontId="25" fillId="18" borderId="43" xfId="0" applyFont="1" applyFill="1" applyBorder="1" applyAlignment="1">
      <alignment vertical="center" wrapText="1"/>
    </xf>
    <xf numFmtId="0" fontId="25" fillId="18" borderId="39" xfId="0" applyFont="1" applyFill="1" applyBorder="1" applyAlignment="1">
      <alignment vertical="center" wrapText="1"/>
    </xf>
    <xf numFmtId="179" fontId="25" fillId="18" borderId="32" xfId="0" applyNumberFormat="1" applyFont="1" applyFill="1" applyBorder="1" applyAlignment="1">
      <alignment horizontal="center" vertical="center"/>
    </xf>
    <xf numFmtId="0" fontId="25" fillId="18" borderId="47" xfId="0" applyFont="1" applyFill="1" applyBorder="1" applyAlignment="1">
      <alignment vertical="center" wrapText="1"/>
    </xf>
    <xf numFmtId="178" fontId="25" fillId="17" borderId="48" xfId="0" applyNumberFormat="1" applyFont="1" applyFill="1" applyBorder="1" applyAlignment="1">
      <alignment horizontal="center" vertical="center"/>
    </xf>
    <xf numFmtId="179" fontId="25" fillId="18" borderId="50" xfId="0" applyNumberFormat="1" applyFont="1" applyFill="1" applyBorder="1" applyAlignment="1">
      <alignment horizontal="center" vertical="center"/>
    </xf>
    <xf numFmtId="179" fontId="25" fillId="18" borderId="51" xfId="0" applyNumberFormat="1" applyFont="1" applyFill="1" applyBorder="1" applyAlignment="1">
      <alignment horizontal="center" vertical="center"/>
    </xf>
    <xf numFmtId="179" fontId="25" fillId="18" borderId="52" xfId="0" applyNumberFormat="1" applyFont="1" applyFill="1" applyBorder="1" applyAlignment="1">
      <alignment horizontal="center" vertical="center"/>
    </xf>
    <xf numFmtId="179" fontId="25" fillId="18" borderId="53" xfId="0" applyNumberFormat="1" applyFont="1" applyFill="1" applyBorder="1" applyAlignment="1">
      <alignment horizontal="center" vertical="center"/>
    </xf>
    <xf numFmtId="179" fontId="25" fillId="18" borderId="54" xfId="0" applyNumberFormat="1" applyFont="1" applyFill="1" applyBorder="1" applyAlignment="1">
      <alignment horizontal="center" vertical="center"/>
    </xf>
    <xf numFmtId="0" fontId="25" fillId="18" borderId="55" xfId="0" applyFont="1" applyFill="1" applyBorder="1" applyAlignment="1">
      <alignment vertical="center" wrapText="1"/>
    </xf>
    <xf numFmtId="179" fontId="25" fillId="0" borderId="17" xfId="0" applyNumberFormat="1" applyFont="1" applyBorder="1" applyAlignment="1">
      <alignment horizontal="center" vertical="center"/>
    </xf>
    <xf numFmtId="179" fontId="25" fillId="0" borderId="57" xfId="0" applyNumberFormat="1" applyFont="1" applyBorder="1" applyAlignment="1">
      <alignment horizontal="center" vertical="center"/>
    </xf>
    <xf numFmtId="179" fontId="25" fillId="0" borderId="47" xfId="0" applyNumberFormat="1" applyFont="1" applyBorder="1" applyAlignment="1">
      <alignment horizontal="center" vertical="center"/>
    </xf>
    <xf numFmtId="0" fontId="25" fillId="0" borderId="44" xfId="0" applyFont="1" applyBorder="1" applyAlignment="1">
      <alignment vertical="center" wrapText="1"/>
    </xf>
    <xf numFmtId="179" fontId="25" fillId="0" borderId="59" xfId="0" applyNumberFormat="1" applyFont="1" applyBorder="1" applyAlignment="1">
      <alignment horizontal="center" vertical="center"/>
    </xf>
    <xf numFmtId="178" fontId="25" fillId="17" borderId="34" xfId="0" applyNumberFormat="1" applyFont="1" applyFill="1" applyBorder="1" applyAlignment="1">
      <alignment horizontal="center" vertical="center"/>
    </xf>
    <xf numFmtId="178" fontId="25" fillId="17" borderId="40" xfId="0" applyNumberFormat="1" applyFont="1" applyFill="1" applyBorder="1" applyAlignment="1">
      <alignment horizontal="center" vertical="center"/>
    </xf>
    <xf numFmtId="179" fontId="30" fillId="0" borderId="40" xfId="0" applyNumberFormat="1" applyFont="1" applyBorder="1" applyAlignment="1">
      <alignment horizontal="center" vertical="center"/>
    </xf>
    <xf numFmtId="179" fontId="30" fillId="0" borderId="36" xfId="0" applyNumberFormat="1" applyFont="1" applyBorder="1" applyAlignment="1">
      <alignment horizontal="center" vertical="center"/>
    </xf>
    <xf numFmtId="179" fontId="25" fillId="0" borderId="60" xfId="0" applyNumberFormat="1" applyFont="1" applyBorder="1" applyAlignment="1">
      <alignment horizontal="center" vertical="center"/>
    </xf>
    <xf numFmtId="179" fontId="30" fillId="0" borderId="1" xfId="0" applyNumberFormat="1" applyFont="1" applyBorder="1" applyAlignment="1">
      <alignment horizontal="center" vertical="center"/>
    </xf>
    <xf numFmtId="0" fontId="25" fillId="0" borderId="47" xfId="0" applyFont="1" applyBorder="1" applyAlignment="1">
      <alignment vertical="center" wrapText="1"/>
    </xf>
    <xf numFmtId="179" fontId="25" fillId="0" borderId="63" xfId="0" applyNumberFormat="1" applyFont="1" applyBorder="1" applyAlignment="1">
      <alignment horizontal="center" vertical="center"/>
    </xf>
    <xf numFmtId="178" fontId="25" fillId="17" borderId="51" xfId="0" applyNumberFormat="1" applyFont="1" applyFill="1" applyBorder="1" applyAlignment="1">
      <alignment horizontal="center" vertical="center"/>
    </xf>
    <xf numFmtId="178" fontId="25" fillId="17" borderId="52" xfId="0" applyNumberFormat="1" applyFont="1" applyFill="1" applyBorder="1" applyAlignment="1">
      <alignment horizontal="center" vertical="center"/>
    </xf>
    <xf numFmtId="180" fontId="30" fillId="0" borderId="52" xfId="0" applyNumberFormat="1" applyFont="1" applyBorder="1" applyAlignment="1">
      <alignment horizontal="center" vertical="center"/>
    </xf>
    <xf numFmtId="179" fontId="25" fillId="0" borderId="53" xfId="0" applyNumberFormat="1" applyFont="1" applyBorder="1" applyAlignment="1">
      <alignment horizontal="center" vertical="center"/>
    </xf>
    <xf numFmtId="0" fontId="25" fillId="0" borderId="64" xfId="0" applyFont="1" applyBorder="1">
      <alignment vertical="center"/>
    </xf>
    <xf numFmtId="0" fontId="14" fillId="8" borderId="7" xfId="0" applyFont="1" applyFill="1" applyBorder="1" applyAlignment="1">
      <alignment horizontal="center" vertical="center"/>
    </xf>
    <xf numFmtId="0" fontId="13" fillId="0" borderId="8" xfId="0" applyFont="1" applyBorder="1" applyAlignment="1"/>
    <xf numFmtId="0" fontId="14" fillId="9" borderId="7" xfId="0" applyFont="1" applyFill="1" applyBorder="1" applyAlignment="1">
      <alignment horizontal="center" vertical="center"/>
    </xf>
    <xf numFmtId="0" fontId="13" fillId="0" borderId="8" xfId="0" applyFont="1" applyBorder="1" applyAlignment="1">
      <alignment horizontal="center"/>
    </xf>
    <xf numFmtId="0" fontId="14" fillId="8" borderId="5" xfId="0" applyFont="1" applyFill="1" applyBorder="1" applyAlignment="1">
      <alignment horizontal="center" vertical="center"/>
    </xf>
    <xf numFmtId="0" fontId="13" fillId="0" borderId="9" xfId="0" applyFont="1" applyBorder="1" applyAlignment="1"/>
    <xf numFmtId="0" fontId="14" fillId="10" borderId="5" xfId="0" applyFont="1" applyFill="1" applyBorder="1" applyAlignment="1">
      <alignment horizontal="center" vertical="center"/>
    </xf>
    <xf numFmtId="0" fontId="14" fillId="11" borderId="5" xfId="0" applyFont="1" applyFill="1" applyBorder="1" applyAlignment="1">
      <alignment horizontal="center" vertical="center"/>
    </xf>
    <xf numFmtId="0" fontId="14" fillId="12" borderId="5" xfId="0" applyFont="1" applyFill="1" applyBorder="1" applyAlignment="1">
      <alignment horizontal="center" vertical="center"/>
    </xf>
    <xf numFmtId="0" fontId="12" fillId="7" borderId="5" xfId="0" applyFont="1" applyFill="1" applyBorder="1" applyAlignment="1">
      <alignment horizontal="center" vertical="center"/>
    </xf>
    <xf numFmtId="0" fontId="13" fillId="0" borderId="10" xfId="0" applyFont="1" applyBorder="1" applyAlignment="1"/>
    <xf numFmtId="0" fontId="17" fillId="7" borderId="5" xfId="0" applyFont="1" applyFill="1" applyBorder="1" applyAlignment="1">
      <alignment horizontal="center" vertical="center"/>
    </xf>
    <xf numFmtId="0" fontId="11" fillId="6" borderId="0" xfId="0" applyFont="1" applyFill="1" applyAlignment="1">
      <alignment horizontal="left" vertical="center" wrapText="1"/>
    </xf>
    <xf numFmtId="0" fontId="10" fillId="0" borderId="0" xfId="0" applyFont="1">
      <alignment vertical="center"/>
    </xf>
    <xf numFmtId="0" fontId="10" fillId="0" borderId="0" xfId="0" applyFont="1" applyAlignment="1">
      <alignment horizontal="center" vertical="center"/>
    </xf>
    <xf numFmtId="0" fontId="13" fillId="0" borderId="6" xfId="0" applyFont="1" applyBorder="1" applyAlignment="1"/>
    <xf numFmtId="0" fontId="13" fillId="0" borderId="11" xfId="0" applyFont="1" applyBorder="1" applyAlignment="1"/>
    <xf numFmtId="0" fontId="13" fillId="0" borderId="2" xfId="0" applyFont="1" applyBorder="1" applyAlignment="1"/>
    <xf numFmtId="0" fontId="16" fillId="0" borderId="5" xfId="0" applyFont="1" applyBorder="1" applyAlignment="1">
      <alignment horizontal="left" vertical="center" wrapText="1"/>
    </xf>
    <xf numFmtId="0" fontId="13" fillId="0" borderId="13" xfId="0" applyFont="1" applyBorder="1" applyAlignment="1"/>
    <xf numFmtId="0" fontId="13" fillId="0" borderId="14" xfId="0" applyFont="1" applyBorder="1" applyAlignment="1"/>
    <xf numFmtId="0" fontId="13" fillId="5" borderId="13" xfId="0" applyFont="1" applyFill="1" applyBorder="1" applyAlignment="1"/>
    <xf numFmtId="0" fontId="13" fillId="5" borderId="14" xfId="0" applyFont="1" applyFill="1" applyBorder="1" applyAlignment="1"/>
    <xf numFmtId="0" fontId="26" fillId="2" borderId="15" xfId="0" applyFont="1" applyFill="1" applyBorder="1" applyAlignment="1">
      <alignment horizontal="center" vertical="center"/>
    </xf>
    <xf numFmtId="0" fontId="26" fillId="2" borderId="0" xfId="0" applyFont="1" applyFill="1" applyAlignment="1">
      <alignment horizontal="center" vertical="center"/>
    </xf>
    <xf numFmtId="0" fontId="26" fillId="2" borderId="16" xfId="0" applyFont="1" applyFill="1" applyBorder="1" applyAlignment="1">
      <alignment horizontal="center" vertical="center"/>
    </xf>
    <xf numFmtId="0" fontId="28" fillId="0" borderId="18" xfId="0" applyFont="1" applyBorder="1" applyAlignment="1">
      <alignment horizontal="center" vertical="center" wrapText="1"/>
    </xf>
    <xf numFmtId="0" fontId="28" fillId="0" borderId="19" xfId="0" applyFont="1" applyBorder="1" applyAlignment="1">
      <alignment horizontal="center" vertical="center" wrapText="1"/>
    </xf>
    <xf numFmtId="0" fontId="28" fillId="0" borderId="20" xfId="0" applyFont="1" applyBorder="1" applyAlignment="1">
      <alignment horizontal="center" vertical="center" wrapText="1"/>
    </xf>
    <xf numFmtId="0" fontId="25" fillId="0" borderId="26" xfId="0" applyFont="1" applyBorder="1" applyAlignment="1">
      <alignment horizontal="center" vertical="center"/>
    </xf>
    <xf numFmtId="0" fontId="25" fillId="0" borderId="24" xfId="0" applyFont="1" applyBorder="1" applyAlignment="1">
      <alignment horizontal="center" vertical="center"/>
    </xf>
    <xf numFmtId="0" fontId="25" fillId="0" borderId="27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 vertical="center" wrapText="1"/>
    </xf>
    <xf numFmtId="0" fontId="25" fillId="0" borderId="29" xfId="0" applyFont="1" applyBorder="1" applyAlignment="1">
      <alignment horizontal="center" vertical="center" wrapText="1"/>
    </xf>
    <xf numFmtId="0" fontId="25" fillId="0" borderId="30" xfId="0" applyFont="1" applyBorder="1" applyAlignment="1">
      <alignment horizontal="center" vertical="center"/>
    </xf>
    <xf numFmtId="0" fontId="25" fillId="0" borderId="31" xfId="0" applyFont="1" applyBorder="1" applyAlignment="1">
      <alignment horizontal="center" vertical="center" wrapText="1"/>
    </xf>
    <xf numFmtId="0" fontId="25" fillId="0" borderId="0" xfId="0" applyFont="1" applyAlignment="1">
      <alignment horizontal="center" vertical="center"/>
    </xf>
    <xf numFmtId="0" fontId="25" fillId="0" borderId="15" xfId="0" applyFont="1" applyBorder="1" applyAlignment="1">
      <alignment horizontal="center" vertical="center" wrapText="1"/>
    </xf>
    <xf numFmtId="0" fontId="25" fillId="0" borderId="32" xfId="0" applyFont="1" applyBorder="1" applyAlignment="1">
      <alignment horizontal="center" vertical="center"/>
    </xf>
    <xf numFmtId="0" fontId="25" fillId="0" borderId="31" xfId="0" applyFont="1" applyBorder="1" applyAlignment="1">
      <alignment horizontal="center" vertical="center"/>
    </xf>
    <xf numFmtId="179" fontId="25" fillId="0" borderId="57" xfId="0" applyNumberFormat="1" applyFont="1" applyBorder="1" applyAlignment="1">
      <alignment horizontal="center" vertical="center"/>
    </xf>
    <xf numFmtId="179" fontId="25" fillId="0" borderId="0" xfId="0" applyNumberFormat="1" applyFont="1" applyAlignment="1">
      <alignment horizontal="center" vertical="center"/>
    </xf>
    <xf numFmtId="179" fontId="25" fillId="0" borderId="32" xfId="0" applyNumberFormat="1" applyFont="1" applyBorder="1" applyAlignment="1">
      <alignment horizontal="center" vertical="center"/>
    </xf>
    <xf numFmtId="179" fontId="25" fillId="0" borderId="40" xfId="0" applyNumberFormat="1" applyFont="1" applyBorder="1" applyAlignment="1">
      <alignment horizontal="center" vertical="center"/>
    </xf>
    <xf numFmtId="179" fontId="25" fillId="0" borderId="58" xfId="0" applyNumberFormat="1" applyFont="1" applyBorder="1" applyAlignment="1">
      <alignment horizontal="center" vertical="center"/>
    </xf>
    <xf numFmtId="179" fontId="25" fillId="0" borderId="57" xfId="0" applyNumberFormat="1" applyFont="1" applyBorder="1" applyAlignment="1">
      <alignment horizontal="center" vertical="center" wrapText="1"/>
    </xf>
    <xf numFmtId="0" fontId="25" fillId="0" borderId="65" xfId="0" applyFont="1" applyBorder="1" applyAlignment="1">
      <alignment horizontal="left" vertical="center" wrapText="1"/>
    </xf>
    <xf numFmtId="0" fontId="25" fillId="0" borderId="62" xfId="0" applyFont="1" applyBorder="1" applyAlignment="1">
      <alignment horizontal="left" vertical="center"/>
    </xf>
    <xf numFmtId="0" fontId="25" fillId="0" borderId="66" xfId="0" applyFont="1" applyBorder="1" applyAlignment="1">
      <alignment horizontal="left" vertical="center"/>
    </xf>
    <xf numFmtId="0" fontId="25" fillId="0" borderId="67" xfId="0" applyFont="1" applyBorder="1" applyAlignment="1">
      <alignment horizontal="left" vertical="center"/>
    </xf>
    <xf numFmtId="0" fontId="25" fillId="0" borderId="68" xfId="0" applyFont="1" applyBorder="1" applyAlignment="1">
      <alignment horizontal="left" vertical="center"/>
    </xf>
    <xf numFmtId="0" fontId="25" fillId="0" borderId="61" xfId="0" applyFont="1" applyBorder="1" applyAlignment="1">
      <alignment horizontal="center" vertical="center" wrapText="1"/>
    </xf>
    <xf numFmtId="0" fontId="25" fillId="0" borderId="24" xfId="0" applyFont="1" applyBorder="1" applyAlignment="1">
      <alignment horizontal="center" vertical="center" wrapText="1"/>
    </xf>
    <xf numFmtId="0" fontId="25" fillId="0" borderId="0" xfId="0" applyFont="1" applyAlignment="1">
      <alignment horizontal="center" vertical="center" wrapText="1"/>
    </xf>
    <xf numFmtId="0" fontId="25" fillId="0" borderId="49" xfId="0" applyFont="1" applyBorder="1" applyAlignment="1">
      <alignment horizontal="center" vertical="center" wrapText="1"/>
    </xf>
    <xf numFmtId="0" fontId="25" fillId="0" borderId="56" xfId="0" applyFont="1" applyBorder="1" applyAlignment="1">
      <alignment horizontal="center" vertical="center" wrapText="1"/>
    </xf>
    <xf numFmtId="0" fontId="25" fillId="0" borderId="62" xfId="0" applyFont="1" applyBorder="1" applyAlignment="1">
      <alignment horizontal="center" vertical="center" wrapText="1"/>
    </xf>
    <xf numFmtId="0" fontId="25" fillId="0" borderId="23" xfId="0" applyFont="1" applyBorder="1" applyAlignment="1">
      <alignment horizontal="left" vertical="center" wrapText="1"/>
    </xf>
    <xf numFmtId="0" fontId="25" fillId="0" borderId="38" xfId="0" applyFont="1" applyBorder="1" applyAlignment="1">
      <alignment horizontal="left" vertical="center" wrapText="1"/>
    </xf>
    <xf numFmtId="0" fontId="25" fillId="0" borderId="43" xfId="0" applyFont="1" applyBorder="1" applyAlignment="1">
      <alignment horizontal="left" vertical="center" wrapText="1"/>
    </xf>
    <xf numFmtId="0" fontId="25" fillId="0" borderId="44" xfId="0" applyFont="1" applyBorder="1" applyAlignment="1">
      <alignment horizontal="left" vertical="center" wrapText="1"/>
    </xf>
    <xf numFmtId="0" fontId="25" fillId="0" borderId="45" xfId="0" applyFont="1" applyBorder="1" applyAlignment="1">
      <alignment horizontal="left" vertical="center" wrapText="1"/>
    </xf>
    <xf numFmtId="0" fontId="25" fillId="0" borderId="46" xfId="0" applyFont="1" applyBorder="1" applyAlignment="1">
      <alignment horizontal="left" vertical="center" wrapText="1"/>
    </xf>
    <xf numFmtId="0" fontId="25" fillId="0" borderId="47" xfId="0" applyFont="1" applyBorder="1" applyAlignment="1">
      <alignment horizontal="left" vertical="center" wrapText="1"/>
    </xf>
    <xf numFmtId="0" fontId="20" fillId="0" borderId="0" xfId="0" applyFont="1" applyAlignment="1">
      <alignment horizontal="left" vertical="center" wrapText="1"/>
    </xf>
    <xf numFmtId="0" fontId="19" fillId="0" borderId="0" xfId="0" applyFont="1" applyAlignment="1">
      <alignment horizontal="left" vertical="center"/>
    </xf>
    <xf numFmtId="0" fontId="21" fillId="2" borderId="1" xfId="0" applyFont="1" applyFill="1" applyBorder="1" applyAlignment="1">
      <alignment horizontal="center" vertical="center"/>
    </xf>
    <xf numFmtId="0" fontId="23" fillId="2" borderId="1" xfId="0" applyFont="1" applyFill="1" applyBorder="1" applyAlignment="1">
      <alignment horizontal="center" vertical="center" wrapText="1"/>
    </xf>
    <xf numFmtId="0" fontId="24" fillId="16" borderId="1" xfId="0" applyFont="1" applyFill="1" applyBorder="1" applyAlignment="1">
      <alignment horizontal="left" vertical="top" wrapText="1"/>
    </xf>
    <xf numFmtId="0" fontId="0" fillId="0" borderId="0" xfId="0" applyAlignment="1">
      <alignment horizontal="center" vertical="center"/>
    </xf>
    <xf numFmtId="179" fontId="32" fillId="0" borderId="37" xfId="0" applyNumberFormat="1" applyFont="1" applyBorder="1" applyAlignment="1">
      <alignment horizontal="center" vertical="center"/>
    </xf>
    <xf numFmtId="179" fontId="32" fillId="0" borderId="1" xfId="0" applyNumberFormat="1" applyFont="1" applyBorder="1" applyAlignment="1">
      <alignment horizontal="center" vertical="center"/>
    </xf>
    <xf numFmtId="179" fontId="32" fillId="0" borderId="35" xfId="0" applyNumberFormat="1" applyFont="1" applyBorder="1" applyAlignment="1">
      <alignment horizontal="center" vertical="center"/>
    </xf>
    <xf numFmtId="179" fontId="33" fillId="0" borderId="57" xfId="0" applyNumberFormat="1" applyFont="1" applyBorder="1" applyAlignment="1">
      <alignment horizontal="center" vertical="center"/>
    </xf>
    <xf numFmtId="179" fontId="33" fillId="0" borderId="40" xfId="0" applyNumberFormat="1" applyFont="1" applyBorder="1" applyAlignment="1">
      <alignment horizontal="center" vertical="center"/>
    </xf>
    <xf numFmtId="179" fontId="33" fillId="0" borderId="36" xfId="0" applyNumberFormat="1" applyFont="1" applyBorder="1" applyAlignment="1">
      <alignment horizontal="center" vertical="center"/>
    </xf>
    <xf numFmtId="180" fontId="33" fillId="0" borderId="54" xfId="0" applyNumberFormat="1" applyFont="1" applyBorder="1" applyAlignment="1">
      <alignment horizontal="center" vertical="center"/>
    </xf>
    <xf numFmtId="180" fontId="33" fillId="0" borderId="52" xfId="0" applyNumberFormat="1" applyFont="1" applyBorder="1" applyAlignment="1">
      <alignment horizontal="center" vertical="center"/>
    </xf>
    <xf numFmtId="179" fontId="25" fillId="0" borderId="69" xfId="0" applyNumberFormat="1" applyFont="1" applyBorder="1" applyAlignment="1">
      <alignment horizontal="center" vertical="center"/>
    </xf>
    <xf numFmtId="179" fontId="25" fillId="18" borderId="69" xfId="0" applyNumberFormat="1" applyFont="1" applyFill="1" applyBorder="1" applyAlignment="1">
      <alignment horizontal="center" vertical="center"/>
    </xf>
    <xf numFmtId="179" fontId="25" fillId="0" borderId="54" xfId="0" applyNumberFormat="1" applyFont="1" applyBorder="1" applyAlignment="1">
      <alignment horizontal="center" vertical="center"/>
    </xf>
    <xf numFmtId="0" fontId="32" fillId="19" borderId="19" xfId="0" applyFont="1" applyFill="1" applyBorder="1" applyAlignment="1">
      <alignment horizontal="center" vertical="center"/>
    </xf>
    <xf numFmtId="0" fontId="35" fillId="19" borderId="0" xfId="0" applyFont="1" applyFill="1">
      <alignment vertical="center"/>
    </xf>
    <xf numFmtId="0" fontId="18" fillId="0" borderId="1" xfId="0" applyFont="1" applyBorder="1" applyAlignment="1">
      <alignment horizontal="left" vertical="center" wrapText="1" indent="1"/>
    </xf>
    <xf numFmtId="0" fontId="4" fillId="0" borderId="1" xfId="0" applyFont="1" applyBorder="1" applyAlignment="1">
      <alignment horizontal="left" vertical="center" wrapText="1" indent="1"/>
    </xf>
    <xf numFmtId="0" fontId="36" fillId="0" borderId="0" xfId="0" applyFont="1">
      <alignment vertical="center"/>
    </xf>
    <xf numFmtId="0" fontId="36" fillId="19" borderId="0" xfId="0" applyFont="1" applyFill="1">
      <alignment vertical="center"/>
    </xf>
    <xf numFmtId="0" fontId="37" fillId="19" borderId="0" xfId="0" applyFont="1" applyFill="1">
      <alignment vertical="center"/>
    </xf>
    <xf numFmtId="0" fontId="38" fillId="19" borderId="0" xfId="1" applyFont="1" applyFill="1" applyBorder="1" applyAlignment="1">
      <alignment horizontal="center" vertical="center"/>
    </xf>
    <xf numFmtId="0" fontId="39" fillId="0" borderId="0" xfId="2" applyFont="1"/>
    <xf numFmtId="181" fontId="39" fillId="0" borderId="1" xfId="3" applyNumberFormat="1" applyFont="1" applyBorder="1" applyAlignment="1">
      <alignment horizontal="center" vertical="center"/>
    </xf>
    <xf numFmtId="0" fontId="39" fillId="0" borderId="1" xfId="2" applyFont="1" applyBorder="1" applyAlignment="1">
      <alignment horizontal="center" vertical="center"/>
    </xf>
    <xf numFmtId="0" fontId="40" fillId="0" borderId="1" xfId="2" applyFont="1" applyBorder="1" applyAlignment="1">
      <alignment horizontal="center" vertical="center"/>
    </xf>
    <xf numFmtId="0" fontId="39" fillId="0" borderId="1" xfId="4" applyFont="1" applyBorder="1" applyAlignment="1" applyProtection="1">
      <alignment horizontal="left" vertical="center"/>
      <protection locked="0"/>
    </xf>
    <xf numFmtId="0" fontId="41" fillId="2" borderId="1" xfId="2" applyFont="1" applyFill="1" applyBorder="1"/>
    <xf numFmtId="0" fontId="42" fillId="0" borderId="1" xfId="4" applyFont="1" applyBorder="1" applyAlignment="1" applyProtection="1">
      <alignment horizontal="left" vertical="center"/>
      <protection locked="0"/>
    </xf>
    <xf numFmtId="182" fontId="39" fillId="4" borderId="1" xfId="5" applyNumberFormat="1" applyFont="1" applyFill="1" applyBorder="1" applyAlignment="1">
      <alignment horizontal="center" vertical="center"/>
    </xf>
    <xf numFmtId="181" fontId="39" fillId="4" borderId="1" xfId="2" applyNumberFormat="1" applyFont="1" applyFill="1" applyBorder="1" applyAlignment="1">
      <alignment horizontal="center" vertical="center"/>
    </xf>
    <xf numFmtId="0" fontId="39" fillId="0" borderId="1" xfId="4" applyFont="1" applyBorder="1" applyAlignment="1" applyProtection="1">
      <alignment horizontal="left" vertical="center" indent="1"/>
      <protection locked="0"/>
    </xf>
    <xf numFmtId="181" fontId="39" fillId="4" borderId="1" xfId="3" applyNumberFormat="1" applyFont="1" applyFill="1" applyBorder="1" applyAlignment="1">
      <alignment horizontal="center" vertical="center"/>
    </xf>
    <xf numFmtId="183" fontId="39" fillId="4" borderId="1" xfId="2" applyNumberFormat="1" applyFont="1" applyFill="1" applyBorder="1" applyAlignment="1">
      <alignment horizontal="center" vertical="center"/>
    </xf>
    <xf numFmtId="181" fontId="39" fillId="0" borderId="0" xfId="3" applyNumberFormat="1" applyFont="1" applyAlignment="1"/>
    <xf numFmtId="0" fontId="43" fillId="2" borderId="0" xfId="2" applyFont="1" applyFill="1" applyAlignment="1">
      <alignment horizontal="center" vertical="center"/>
    </xf>
    <xf numFmtId="0" fontId="43" fillId="2" borderId="70" xfId="2" applyFont="1" applyFill="1" applyBorder="1" applyAlignment="1">
      <alignment horizontal="center" vertical="center"/>
    </xf>
    <xf numFmtId="0" fontId="43" fillId="2" borderId="70" xfId="2" applyFont="1" applyFill="1" applyBorder="1" applyAlignment="1">
      <alignment horizontal="center" vertical="center" wrapText="1"/>
    </xf>
    <xf numFmtId="0" fontId="39" fillId="0" borderId="0" xfId="2" applyFont="1" applyAlignment="1">
      <alignment horizontal="center" vertical="center"/>
    </xf>
    <xf numFmtId="0" fontId="43" fillId="2" borderId="1" xfId="2" applyFont="1" applyFill="1" applyBorder="1" applyAlignment="1">
      <alignment horizontal="center" vertical="center"/>
    </xf>
    <xf numFmtId="0" fontId="43" fillId="2" borderId="0" xfId="2" applyFont="1" applyFill="1"/>
    <xf numFmtId="0" fontId="41" fillId="2" borderId="35" xfId="2" applyFont="1" applyFill="1" applyBorder="1" applyAlignment="1">
      <alignment horizontal="center" vertical="center" wrapText="1"/>
    </xf>
    <xf numFmtId="0" fontId="41" fillId="2" borderId="69" xfId="2" applyFont="1" applyFill="1" applyBorder="1" applyAlignment="1">
      <alignment horizontal="center" vertical="center" wrapText="1"/>
    </xf>
    <xf numFmtId="0" fontId="41" fillId="2" borderId="36" xfId="2" applyFont="1" applyFill="1" applyBorder="1" applyAlignment="1">
      <alignment horizontal="center" vertical="center" wrapText="1"/>
    </xf>
    <xf numFmtId="0" fontId="41" fillId="2" borderId="35" xfId="2" applyFont="1" applyFill="1" applyBorder="1" applyAlignment="1">
      <alignment horizontal="center" wrapText="1"/>
    </xf>
    <xf numFmtId="0" fontId="41" fillId="2" borderId="36" xfId="2" applyFont="1" applyFill="1" applyBorder="1" applyAlignment="1">
      <alignment horizontal="center" wrapText="1"/>
    </xf>
    <xf numFmtId="3" fontId="39" fillId="0" borderId="0" xfId="2" applyNumberFormat="1" applyFont="1"/>
    <xf numFmtId="182" fontId="39" fillId="0" borderId="0" xfId="5" applyNumberFormat="1" applyFont="1" applyFill="1" applyAlignment="1"/>
    <xf numFmtId="0" fontId="39" fillId="0" borderId="0" xfId="2" applyFont="1" applyAlignment="1">
      <alignment horizontal="left" indent="1"/>
    </xf>
    <xf numFmtId="183" fontId="39" fillId="0" borderId="0" xfId="5" applyNumberFormat="1" applyFont="1" applyFill="1" applyAlignment="1"/>
    <xf numFmtId="182" fontId="39" fillId="0" borderId="0" xfId="2" applyNumberFormat="1" applyFont="1"/>
    <xf numFmtId="0" fontId="42" fillId="0" borderId="0" xfId="2" applyFont="1"/>
    <xf numFmtId="181" fontId="39" fillId="15" borderId="0" xfId="3" applyNumberFormat="1" applyFont="1" applyFill="1" applyAlignment="1"/>
    <xf numFmtId="0" fontId="44" fillId="15" borderId="0" xfId="2" applyFont="1" applyFill="1" applyAlignment="1">
      <alignment horizontal="left"/>
    </xf>
    <xf numFmtId="181" fontId="43" fillId="20" borderId="3" xfId="6" applyNumberFormat="1" applyFont="1" applyBorder="1" applyAlignment="1"/>
    <xf numFmtId="181" fontId="39" fillId="0" borderId="58" xfId="6" applyNumberFormat="1" applyFont="1" applyFill="1" applyBorder="1" applyAlignment="1"/>
    <xf numFmtId="181" fontId="39" fillId="0" borderId="58" xfId="7" applyNumberFormat="1" applyFont="1" applyFill="1" applyBorder="1" applyAlignment="1"/>
    <xf numFmtId="181" fontId="39" fillId="0" borderId="57" xfId="6" applyNumberFormat="1" applyFont="1" applyFill="1" applyBorder="1" applyAlignment="1"/>
    <xf numFmtId="9" fontId="39" fillId="0" borderId="0" xfId="3" applyFont="1" applyFill="1" applyAlignment="1"/>
    <xf numFmtId="181" fontId="39" fillId="15" borderId="3" xfId="3" applyNumberFormat="1" applyFont="1" applyFill="1" applyBorder="1" applyAlignment="1"/>
    <xf numFmtId="181" fontId="43" fillId="20" borderId="58" xfId="6" applyNumberFormat="1" applyFont="1" applyBorder="1" applyAlignment="1"/>
    <xf numFmtId="181" fontId="39" fillId="15" borderId="58" xfId="3" applyNumberFormat="1" applyFont="1" applyFill="1" applyBorder="1" applyAlignment="1"/>
    <xf numFmtId="0" fontId="44" fillId="15" borderId="58" xfId="2" applyFont="1" applyFill="1" applyBorder="1" applyAlignment="1">
      <alignment horizontal="left"/>
    </xf>
    <xf numFmtId="0" fontId="43" fillId="2" borderId="57" xfId="2" applyFont="1" applyFill="1" applyBorder="1"/>
    <xf numFmtId="182" fontId="39" fillId="0" borderId="32" xfId="5" applyNumberFormat="1" applyFont="1" applyFill="1" applyBorder="1" applyAlignment="1"/>
    <xf numFmtId="182" fontId="39" fillId="0" borderId="0" xfId="5" applyNumberFormat="1" applyFont="1" applyFill="1" applyBorder="1" applyAlignment="1"/>
    <xf numFmtId="182" fontId="39" fillId="0" borderId="31" xfId="5" applyNumberFormat="1" applyFont="1" applyFill="1" applyBorder="1" applyAlignment="1"/>
    <xf numFmtId="0" fontId="43" fillId="2" borderId="31" xfId="2" applyFont="1" applyFill="1" applyBorder="1"/>
    <xf numFmtId="181" fontId="43" fillId="20" borderId="32" xfId="6" applyNumberFormat="1" applyFont="1" applyBorder="1" applyAlignment="1"/>
    <xf numFmtId="181" fontId="39" fillId="0" borderId="0" xfId="6" applyNumberFormat="1" applyFont="1" applyFill="1" applyBorder="1" applyAlignment="1"/>
    <xf numFmtId="181" fontId="39" fillId="0" borderId="31" xfId="6" applyNumberFormat="1" applyFont="1" applyFill="1" applyBorder="1" applyAlignment="1"/>
    <xf numFmtId="181" fontId="39" fillId="15" borderId="32" xfId="3" applyNumberFormat="1" applyFont="1" applyFill="1" applyBorder="1" applyAlignment="1"/>
    <xf numFmtId="181" fontId="43" fillId="20" borderId="0" xfId="6" applyNumberFormat="1" applyFont="1" applyBorder="1" applyAlignment="1"/>
    <xf numFmtId="181" fontId="39" fillId="15" borderId="0" xfId="3" applyNumberFormat="1" applyFont="1" applyFill="1" applyBorder="1" applyAlignment="1"/>
    <xf numFmtId="183" fontId="39" fillId="0" borderId="0" xfId="5" applyNumberFormat="1" applyFont="1" applyFill="1" applyBorder="1" applyAlignment="1"/>
    <xf numFmtId="181" fontId="39" fillId="0" borderId="0" xfId="7" applyNumberFormat="1" applyFont="1" applyFill="1" applyBorder="1" applyAlignment="1"/>
    <xf numFmtId="181" fontId="39" fillId="0" borderId="0" xfId="3" applyNumberFormat="1" applyFont="1" applyFill="1" applyAlignment="1"/>
    <xf numFmtId="181" fontId="39" fillId="15" borderId="31" xfId="3" applyNumberFormat="1" applyFont="1" applyFill="1" applyBorder="1" applyAlignment="1"/>
    <xf numFmtId="0" fontId="47" fillId="0" borderId="0" xfId="2" applyFont="1" applyAlignment="1">
      <alignment horizontal="left" vertical="center" wrapText="1"/>
    </xf>
    <xf numFmtId="0" fontId="43" fillId="2" borderId="32" xfId="2" applyFont="1" applyFill="1" applyBorder="1" applyAlignment="1">
      <alignment horizontal="center" vertical="center"/>
    </xf>
    <xf numFmtId="0" fontId="43" fillId="2" borderId="31" xfId="2" applyFont="1" applyFill="1" applyBorder="1" applyAlignment="1">
      <alignment horizontal="center" vertical="center"/>
    </xf>
    <xf numFmtId="0" fontId="43" fillId="2" borderId="0" xfId="2" applyFont="1" applyFill="1" applyAlignment="1">
      <alignment horizontal="left" vertical="center" wrapText="1"/>
    </xf>
    <xf numFmtId="0" fontId="39" fillId="2" borderId="31" xfId="2" applyFont="1" applyFill="1" applyBorder="1"/>
    <xf numFmtId="0" fontId="43" fillId="2" borderId="71" xfId="2" applyFont="1" applyFill="1" applyBorder="1" applyAlignment="1">
      <alignment horizontal="center"/>
    </xf>
    <xf numFmtId="0" fontId="43" fillId="2" borderId="72" xfId="2" applyFont="1" applyFill="1" applyBorder="1" applyAlignment="1">
      <alignment horizontal="center"/>
    </xf>
    <xf numFmtId="0" fontId="43" fillId="2" borderId="73" xfId="2" applyFont="1" applyFill="1" applyBorder="1" applyAlignment="1">
      <alignment horizontal="center"/>
    </xf>
    <xf numFmtId="0" fontId="43" fillId="4" borderId="0" xfId="2" applyFont="1" applyFill="1" applyAlignment="1">
      <alignment wrapText="1"/>
    </xf>
    <xf numFmtId="0" fontId="43" fillId="2" borderId="71" xfId="2" applyFont="1" applyFill="1" applyBorder="1" applyAlignment="1">
      <alignment horizontal="center" wrapText="1"/>
    </xf>
    <xf numFmtId="0" fontId="43" fillId="2" borderId="72" xfId="2" applyFont="1" applyFill="1" applyBorder="1" applyAlignment="1">
      <alignment horizontal="center" wrapText="1"/>
    </xf>
    <xf numFmtId="0" fontId="43" fillId="2" borderId="72" xfId="2" applyFont="1" applyFill="1" applyBorder="1" applyAlignment="1">
      <alignment horizontal="left" vertical="center" wrapText="1"/>
    </xf>
    <xf numFmtId="0" fontId="39" fillId="2" borderId="73" xfId="2" applyFont="1" applyFill="1" applyBorder="1"/>
    <xf numFmtId="0" fontId="48" fillId="0" borderId="0" xfId="2" applyFont="1" applyAlignment="1">
      <alignment horizontal="center" wrapText="1"/>
    </xf>
    <xf numFmtId="0" fontId="39" fillId="0" borderId="0" xfId="4" applyFont="1" applyAlignment="1">
      <alignment horizontal="center" vertical="center"/>
    </xf>
    <xf numFmtId="0" fontId="39" fillId="0" borderId="0" xfId="4" applyFont="1"/>
    <xf numFmtId="0" fontId="39" fillId="0" borderId="0" xfId="4" applyFont="1" applyAlignment="1">
      <alignment horizontal="left" vertical="center"/>
    </xf>
    <xf numFmtId="0" fontId="39" fillId="0" borderId="0" xfId="4" applyFont="1" applyAlignment="1">
      <alignment vertical="center"/>
    </xf>
    <xf numFmtId="0" fontId="41" fillId="2" borderId="74" xfId="4" applyFont="1" applyFill="1" applyBorder="1"/>
    <xf numFmtId="0" fontId="41" fillId="2" borderId="75" xfId="4" applyFont="1" applyFill="1" applyBorder="1"/>
    <xf numFmtId="0" fontId="41" fillId="2" borderId="76" xfId="4" applyFont="1" applyFill="1" applyBorder="1" applyAlignment="1">
      <alignment horizontal="center"/>
    </xf>
    <xf numFmtId="0" fontId="41" fillId="2" borderId="77" xfId="4" applyFont="1" applyFill="1" applyBorder="1" applyAlignment="1">
      <alignment horizontal="center"/>
    </xf>
    <xf numFmtId="0" fontId="41" fillId="2" borderId="78" xfId="4" applyFont="1" applyFill="1" applyBorder="1" applyAlignment="1">
      <alignment horizontal="center" vertical="center" wrapText="1"/>
    </xf>
    <xf numFmtId="0" fontId="41" fillId="2" borderId="75" xfId="4" applyFont="1" applyFill="1" applyBorder="1" applyAlignment="1">
      <alignment horizontal="center" vertical="center" wrapText="1"/>
    </xf>
    <xf numFmtId="0" fontId="41" fillId="2" borderId="79" xfId="4" applyFont="1" applyFill="1" applyBorder="1" applyAlignment="1">
      <alignment horizontal="center" vertical="center" wrapText="1"/>
    </xf>
    <xf numFmtId="0" fontId="41" fillId="2" borderId="77" xfId="4" applyFont="1" applyFill="1" applyBorder="1" applyAlignment="1">
      <alignment horizontal="center" vertical="center" wrapText="1"/>
    </xf>
    <xf numFmtId="0" fontId="41" fillId="2" borderId="80" xfId="4" applyFont="1" applyFill="1" applyBorder="1" applyAlignment="1">
      <alignment horizontal="center" wrapText="1"/>
    </xf>
    <xf numFmtId="0" fontId="41" fillId="2" borderId="35" xfId="4" applyFont="1" applyFill="1" applyBorder="1" applyAlignment="1">
      <alignment horizontal="center" wrapText="1"/>
    </xf>
    <xf numFmtId="0" fontId="41" fillId="2" borderId="1" xfId="4" applyFont="1" applyFill="1" applyBorder="1" applyAlignment="1">
      <alignment horizontal="center" vertical="center"/>
    </xf>
    <xf numFmtId="0" fontId="41" fillId="2" borderId="70" xfId="4" applyFont="1" applyFill="1" applyBorder="1" applyAlignment="1">
      <alignment horizontal="center" vertical="center"/>
    </xf>
    <xf numFmtId="0" fontId="41" fillId="2" borderId="81" xfId="4" applyFont="1" applyFill="1" applyBorder="1" applyAlignment="1">
      <alignment horizontal="center" vertical="center"/>
    </xf>
    <xf numFmtId="0" fontId="41" fillId="2" borderId="35" xfId="4" applyFont="1" applyFill="1" applyBorder="1" applyAlignment="1">
      <alignment horizontal="center" vertical="center"/>
    </xf>
    <xf numFmtId="0" fontId="41" fillId="2" borderId="82" xfId="4" applyFont="1" applyFill="1" applyBorder="1" applyAlignment="1">
      <alignment horizontal="center" vertical="center"/>
    </xf>
    <xf numFmtId="0" fontId="41" fillId="2" borderId="83" xfId="4" applyFont="1" applyFill="1" applyBorder="1"/>
    <xf numFmtId="0" fontId="41" fillId="2" borderId="1" xfId="4" applyFont="1" applyFill="1" applyBorder="1"/>
    <xf numFmtId="0" fontId="41" fillId="2" borderId="40" xfId="4" applyFont="1" applyFill="1" applyBorder="1" applyAlignment="1">
      <alignment horizontal="center" vertical="center"/>
    </xf>
    <xf numFmtId="0" fontId="41" fillId="2" borderId="71" xfId="4" applyFont="1" applyFill="1" applyBorder="1" applyAlignment="1">
      <alignment horizontal="center" vertical="center"/>
    </xf>
    <xf numFmtId="0" fontId="41" fillId="2" borderId="84" xfId="4" applyFont="1" applyFill="1" applyBorder="1" applyAlignment="1">
      <alignment horizontal="center" vertical="center"/>
    </xf>
    <xf numFmtId="49" fontId="51" fillId="4" borderId="1" xfId="8" applyNumberFormat="1" applyFont="1" applyFill="1" applyBorder="1" applyAlignment="1">
      <alignment vertical="center" wrapText="1"/>
    </xf>
    <xf numFmtId="179" fontId="39" fillId="4" borderId="1" xfId="9" applyNumberFormat="1" applyFont="1" applyFill="1" applyBorder="1" applyAlignment="1">
      <alignment horizontal="center" vertical="center"/>
    </xf>
    <xf numFmtId="179" fontId="39" fillId="0" borderId="1" xfId="4" applyNumberFormat="1" applyFont="1" applyBorder="1" applyAlignment="1">
      <alignment horizontal="center" vertical="center"/>
    </xf>
    <xf numFmtId="179" fontId="39" fillId="4" borderId="81" xfId="4" applyNumberFormat="1" applyFont="1" applyFill="1" applyBorder="1" applyAlignment="1">
      <alignment horizontal="center" vertical="center"/>
    </xf>
    <xf numFmtId="179" fontId="39" fillId="4" borderId="74" xfId="4" applyNumberFormat="1" applyFont="1" applyFill="1" applyBorder="1" applyAlignment="1">
      <alignment horizontal="center" vertical="center"/>
    </xf>
    <xf numFmtId="179" fontId="39" fillId="0" borderId="75" xfId="9" applyNumberFormat="1" applyFont="1" applyFill="1" applyBorder="1" applyAlignment="1">
      <alignment horizontal="center" vertical="center"/>
    </xf>
    <xf numFmtId="179" fontId="39" fillId="4" borderId="79" xfId="4" applyNumberFormat="1" applyFont="1" applyFill="1" applyBorder="1" applyAlignment="1">
      <alignment horizontal="center" vertical="center"/>
    </xf>
    <xf numFmtId="181" fontId="39" fillId="4" borderId="82" xfId="4" applyNumberFormat="1" applyFont="1" applyFill="1" applyBorder="1" applyAlignment="1">
      <alignment horizontal="center" vertical="center"/>
    </xf>
    <xf numFmtId="179" fontId="1" fillId="0" borderId="0" xfId="2" applyNumberFormat="1"/>
    <xf numFmtId="0" fontId="39" fillId="4" borderId="1" xfId="4" applyFont="1" applyFill="1" applyBorder="1" applyAlignment="1">
      <alignment horizontal="left" vertical="center" indent="1"/>
    </xf>
    <xf numFmtId="179" fontId="39" fillId="0" borderId="83" xfId="4" applyNumberFormat="1" applyFont="1" applyBorder="1" applyAlignment="1">
      <alignment horizontal="center" vertical="center"/>
    </xf>
    <xf numFmtId="0" fontId="39" fillId="4" borderId="1" xfId="4" applyFont="1" applyFill="1" applyBorder="1" applyAlignment="1">
      <alignment horizontal="left" vertical="center" indent="2"/>
    </xf>
    <xf numFmtId="179" fontId="40" fillId="3" borderId="5" xfId="4" applyNumberFormat="1" applyFont="1" applyFill="1" applyBorder="1" applyAlignment="1">
      <alignment horizontal="center" vertical="center"/>
    </xf>
    <xf numFmtId="179" fontId="40" fillId="3" borderId="9" xfId="4" applyNumberFormat="1" applyFont="1" applyFill="1" applyBorder="1" applyAlignment="1">
      <alignment horizontal="center" vertical="center"/>
    </xf>
    <xf numFmtId="179" fontId="39" fillId="4" borderId="83" xfId="9" applyNumberFormat="1" applyFont="1" applyFill="1" applyBorder="1" applyAlignment="1">
      <alignment horizontal="center" vertical="center"/>
    </xf>
    <xf numFmtId="179" fontId="40" fillId="3" borderId="10" xfId="4" applyNumberFormat="1" applyFont="1" applyFill="1" applyBorder="1" applyAlignment="1">
      <alignment horizontal="center" vertical="center"/>
    </xf>
    <xf numFmtId="179" fontId="40" fillId="3" borderId="2" xfId="4" applyNumberFormat="1" applyFont="1" applyFill="1" applyBorder="1" applyAlignment="1">
      <alignment horizontal="center" vertical="center"/>
    </xf>
    <xf numFmtId="179" fontId="39" fillId="4" borderId="1" xfId="4" applyNumberFormat="1" applyFont="1" applyFill="1" applyBorder="1" applyAlignment="1">
      <alignment horizontal="center" vertical="center"/>
    </xf>
    <xf numFmtId="179" fontId="39" fillId="4" borderId="83" xfId="4" applyNumberFormat="1" applyFont="1" applyFill="1" applyBorder="1" applyAlignment="1">
      <alignment horizontal="center" vertical="center"/>
    </xf>
    <xf numFmtId="181" fontId="39" fillId="22" borderId="82" xfId="4" applyNumberFormat="1" applyFont="1" applyFill="1" applyBorder="1" applyAlignment="1">
      <alignment horizontal="center" vertical="center"/>
    </xf>
    <xf numFmtId="0" fontId="39" fillId="4" borderId="83" xfId="4" applyFont="1" applyFill="1" applyBorder="1" applyAlignment="1">
      <alignment horizontal="center" vertical="center"/>
    </xf>
    <xf numFmtId="0" fontId="39" fillId="4" borderId="1" xfId="4" applyFont="1" applyFill="1" applyBorder="1" applyAlignment="1">
      <alignment horizontal="center" vertical="center"/>
    </xf>
    <xf numFmtId="181" fontId="39" fillId="0" borderId="1" xfId="4" applyNumberFormat="1" applyFont="1" applyBorder="1" applyAlignment="1">
      <alignment horizontal="center" vertical="center"/>
    </xf>
    <xf numFmtId="181" fontId="39" fillId="4" borderId="81" xfId="10" applyNumberFormat="1" applyFont="1" applyFill="1" applyBorder="1" applyAlignment="1">
      <alignment horizontal="center" vertical="center"/>
    </xf>
    <xf numFmtId="181" fontId="39" fillId="0" borderId="83" xfId="4" applyNumberFormat="1" applyFont="1" applyBorder="1" applyAlignment="1">
      <alignment horizontal="center" vertical="center"/>
    </xf>
    <xf numFmtId="181" fontId="39" fillId="0" borderId="35" xfId="4" applyNumberFormat="1" applyFont="1" applyBorder="1" applyAlignment="1">
      <alignment horizontal="center" vertical="center"/>
    </xf>
    <xf numFmtId="181" fontId="39" fillId="0" borderId="82" xfId="4" applyNumberFormat="1" applyFont="1" applyBorder="1" applyAlignment="1">
      <alignment horizontal="center" vertical="center"/>
    </xf>
    <xf numFmtId="183" fontId="39" fillId="4" borderId="82" xfId="4" applyNumberFormat="1" applyFont="1" applyFill="1" applyBorder="1" applyAlignment="1">
      <alignment horizontal="center" vertical="center"/>
    </xf>
    <xf numFmtId="181" fontId="0" fillId="0" borderId="0" xfId="10" applyNumberFormat="1" applyFont="1" applyAlignment="1"/>
    <xf numFmtId="0" fontId="41" fillId="2" borderId="85" xfId="4" applyFont="1" applyFill="1" applyBorder="1"/>
    <xf numFmtId="0" fontId="39" fillId="4" borderId="86" xfId="4" applyFont="1" applyFill="1" applyBorder="1" applyAlignment="1">
      <alignment horizontal="left" vertical="center" indent="2"/>
    </xf>
    <xf numFmtId="181" fontId="39" fillId="0" borderId="86" xfId="4" applyNumberFormat="1" applyFont="1" applyBorder="1" applyAlignment="1">
      <alignment horizontal="center" vertical="center"/>
    </xf>
    <xf numFmtId="181" fontId="39" fillId="4" borderId="87" xfId="10" applyNumberFormat="1" applyFont="1" applyFill="1" applyBorder="1" applyAlignment="1">
      <alignment horizontal="center" vertical="center"/>
    </xf>
    <xf numFmtId="181" fontId="39" fillId="0" borderId="85" xfId="4" applyNumberFormat="1" applyFont="1" applyBorder="1" applyAlignment="1">
      <alignment horizontal="center" vertical="center"/>
    </xf>
    <xf numFmtId="181" fontId="39" fillId="0" borderId="88" xfId="4" applyNumberFormat="1" applyFont="1" applyBorder="1" applyAlignment="1">
      <alignment horizontal="center" vertical="center"/>
    </xf>
    <xf numFmtId="181" fontId="39" fillId="0" borderId="89" xfId="4" applyNumberFormat="1" applyFont="1" applyBorder="1" applyAlignment="1">
      <alignment horizontal="center" vertical="center"/>
    </xf>
    <xf numFmtId="183" fontId="39" fillId="4" borderId="89" xfId="4" applyNumberFormat="1" applyFont="1" applyFill="1" applyBorder="1" applyAlignment="1">
      <alignment horizontal="center" vertical="center"/>
    </xf>
    <xf numFmtId="0" fontId="52" fillId="0" borderId="0" xfId="4" applyFont="1"/>
    <xf numFmtId="179" fontId="52" fillId="0" borderId="0" xfId="4" applyNumberFormat="1" applyFont="1"/>
    <xf numFmtId="9" fontId="52" fillId="0" borderId="1" xfId="10" applyFont="1" applyBorder="1" applyAlignment="1"/>
    <xf numFmtId="0" fontId="52" fillId="0" borderId="1" xfId="4" applyFont="1" applyBorder="1" applyAlignment="1">
      <alignment horizontal="center" vertical="center"/>
    </xf>
    <xf numFmtId="179" fontId="53" fillId="0" borderId="1" xfId="4" applyNumberFormat="1" applyFont="1" applyBorder="1" applyAlignment="1">
      <alignment horizontal="center" vertical="center"/>
    </xf>
    <xf numFmtId="178" fontId="52" fillId="14" borderId="1" xfId="4" applyNumberFormat="1" applyFont="1" applyFill="1" applyBorder="1" applyAlignment="1">
      <alignment horizontal="center" vertical="center"/>
    </xf>
    <xf numFmtId="179" fontId="52" fillId="0" borderId="1" xfId="4" applyNumberFormat="1" applyFont="1" applyBorder="1" applyAlignment="1">
      <alignment horizontal="center" vertical="center"/>
    </xf>
    <xf numFmtId="0" fontId="56" fillId="2" borderId="90" xfId="4" applyFont="1" applyFill="1" applyBorder="1" applyAlignment="1">
      <alignment horizontal="center" vertical="center"/>
    </xf>
    <xf numFmtId="0" fontId="56" fillId="2" borderId="1" xfId="4" applyFont="1" applyFill="1" applyBorder="1" applyAlignment="1">
      <alignment horizontal="center" vertical="center"/>
    </xf>
    <xf numFmtId="179" fontId="56" fillId="2" borderId="1" xfId="4" applyNumberFormat="1" applyFont="1" applyFill="1" applyBorder="1" applyAlignment="1">
      <alignment horizontal="center" vertical="center"/>
    </xf>
    <xf numFmtId="0" fontId="56" fillId="2" borderId="40" xfId="4" applyFont="1" applyFill="1" applyBorder="1" applyAlignment="1">
      <alignment horizontal="center" vertical="center"/>
    </xf>
    <xf numFmtId="0" fontId="56" fillId="2" borderId="40" xfId="4" applyFont="1" applyFill="1" applyBorder="1" applyAlignment="1">
      <alignment horizontal="center" vertical="center"/>
    </xf>
    <xf numFmtId="0" fontId="52" fillId="2" borderId="0" xfId="4" applyFont="1" applyFill="1"/>
    <xf numFmtId="0" fontId="56" fillId="2" borderId="1" xfId="4" applyFont="1" applyFill="1" applyBorder="1" applyAlignment="1">
      <alignment horizontal="center" vertical="center" wrapText="1"/>
    </xf>
    <xf numFmtId="179" fontId="56" fillId="2" borderId="1" xfId="4" applyNumberFormat="1" applyFont="1" applyFill="1" applyBorder="1" applyAlignment="1">
      <alignment horizontal="center" vertical="center" wrapText="1"/>
    </xf>
    <xf numFmtId="0" fontId="56" fillId="2" borderId="70" xfId="4" applyFont="1" applyFill="1" applyBorder="1" applyAlignment="1">
      <alignment horizontal="center" vertical="center"/>
    </xf>
    <xf numFmtId="0" fontId="56" fillId="2" borderId="70" xfId="4" applyFont="1" applyFill="1" applyBorder="1" applyAlignment="1">
      <alignment horizontal="center" vertical="center"/>
    </xf>
    <xf numFmtId="0" fontId="52" fillId="15" borderId="0" xfId="4" applyFont="1" applyFill="1" applyAlignment="1">
      <alignment horizontal="left" vertical="center"/>
    </xf>
  </cellXfs>
  <cellStyles count="11">
    <cellStyle name="Accent3 2" xfId="6" xr:uid="{BFFB0EFA-209B-4A4E-9ED7-F56220CC5EE3}"/>
    <cellStyle name="Comma 2" xfId="5" xr:uid="{0755E3C9-7EE6-4490-85DA-AE0DC3923DE5}"/>
    <cellStyle name="Comma 3" xfId="9" xr:uid="{5DB63AF3-EF14-4198-831C-F012A172421A}"/>
    <cellStyle name="Neutral 2" xfId="7" xr:uid="{8DCE805B-60C4-4965-8153-ED20303EDEF4}"/>
    <cellStyle name="Normal" xfId="0" builtinId="0"/>
    <cellStyle name="Normal 12" xfId="1" xr:uid="{00000000-0005-0000-0000-000031000000}"/>
    <cellStyle name="Normal 2" xfId="2" xr:uid="{23217FA8-EB01-40EB-AE11-68F776099DD4}"/>
    <cellStyle name="Normal 2 2 2" xfId="8" xr:uid="{1EBBCE25-4878-4B79-A328-F8082ACCD74B}"/>
    <cellStyle name="Normal 5 2" xfId="4" xr:uid="{49C7AFB3-ECBE-4029-92B7-4083C62D8E6B}"/>
    <cellStyle name="Percent 2" xfId="3" xr:uid="{04AD9255-7514-4707-9CDC-D0E6B9EDDAB0}"/>
    <cellStyle name="Percent 2 2" xfId="10" xr:uid="{F708DBF0-F324-4493-99EC-A418209D18AA}"/>
  </cellStyles>
  <dxfs count="22"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21"/>
      <tableStyleElement type="headerRow" dxfId="20"/>
      <tableStyleElement type="totalRow" dxfId="19"/>
      <tableStyleElement type="firstColumn" dxfId="18"/>
      <tableStyleElement type="lastColumn" dxfId="17"/>
      <tableStyleElement type="firstRowStripe" dxfId="16"/>
      <tableStyleElement type="firstColumnStripe" dxfId="15"/>
    </tableStyle>
    <tableStyle name="PivotStylePreset2_Accent1" table="0" count="10" xr9:uid="{267968C8-6FFD-4C36-ACC1-9EA1FD1885CA}">
      <tableStyleElement type="headerRow" dxfId="14"/>
      <tableStyleElement type="totalRow" dxfId="13"/>
      <tableStyleElement type="firstRowStripe" dxfId="12"/>
      <tableStyleElement type="firstColumnStripe" dxfId="11"/>
      <tableStyleElement type="firstSubtotalRow" dxfId="10"/>
      <tableStyleElement type="secondSubtotalRow" dxfId="9"/>
      <tableStyleElement type="firstRowSubheading" dxfId="8"/>
      <tableStyleElement type="secondRowSubheading" dxfId="7"/>
      <tableStyleElement type="pageFieldLabels" dxfId="6"/>
      <tableStyleElement type="pageFieldValues" dxfId="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4.xml"/><Relationship Id="rId18" Type="http://schemas.openxmlformats.org/officeDocument/2006/relationships/externalLink" Target="externalLinks/externalLink9.xml"/><Relationship Id="rId26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0.xml"/><Relationship Id="rId21" Type="http://schemas.openxmlformats.org/officeDocument/2006/relationships/externalLink" Target="externalLinks/externalLink12.xml"/><Relationship Id="rId34" Type="http://schemas.openxmlformats.org/officeDocument/2006/relationships/externalLink" Target="externalLinks/externalLink25.xml"/><Relationship Id="rId42" Type="http://schemas.openxmlformats.org/officeDocument/2006/relationships/externalLink" Target="externalLinks/externalLink33.xml"/><Relationship Id="rId47" Type="http://schemas.openxmlformats.org/officeDocument/2006/relationships/theme" Target="theme/theme1.xml"/><Relationship Id="rId50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7.xml"/><Relationship Id="rId29" Type="http://schemas.openxmlformats.org/officeDocument/2006/relationships/externalLink" Target="externalLinks/externalLink20.xml"/><Relationship Id="rId11" Type="http://schemas.openxmlformats.org/officeDocument/2006/relationships/externalLink" Target="externalLinks/externalLink2.xml"/><Relationship Id="rId24" Type="http://schemas.openxmlformats.org/officeDocument/2006/relationships/externalLink" Target="externalLinks/externalLink15.xml"/><Relationship Id="rId32" Type="http://schemas.openxmlformats.org/officeDocument/2006/relationships/externalLink" Target="externalLinks/externalLink23.xml"/><Relationship Id="rId37" Type="http://schemas.openxmlformats.org/officeDocument/2006/relationships/externalLink" Target="externalLinks/externalLink28.xml"/><Relationship Id="rId40" Type="http://schemas.openxmlformats.org/officeDocument/2006/relationships/externalLink" Target="externalLinks/externalLink31.xml"/><Relationship Id="rId45" Type="http://schemas.openxmlformats.org/officeDocument/2006/relationships/externalLink" Target="externalLinks/externalLink36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6.xml"/><Relationship Id="rId23" Type="http://schemas.openxmlformats.org/officeDocument/2006/relationships/externalLink" Target="externalLinks/externalLink14.xml"/><Relationship Id="rId28" Type="http://schemas.openxmlformats.org/officeDocument/2006/relationships/externalLink" Target="externalLinks/externalLink19.xml"/><Relationship Id="rId36" Type="http://schemas.openxmlformats.org/officeDocument/2006/relationships/externalLink" Target="externalLinks/externalLink27.xml"/><Relationship Id="rId49" Type="http://schemas.openxmlformats.org/officeDocument/2006/relationships/sharedStrings" Target="sharedStrings.xml"/><Relationship Id="rId10" Type="http://schemas.openxmlformats.org/officeDocument/2006/relationships/externalLink" Target="externalLinks/externalLink1.xml"/><Relationship Id="rId19" Type="http://schemas.openxmlformats.org/officeDocument/2006/relationships/externalLink" Target="externalLinks/externalLink10.xml"/><Relationship Id="rId31" Type="http://schemas.openxmlformats.org/officeDocument/2006/relationships/externalLink" Target="externalLinks/externalLink22.xml"/><Relationship Id="rId44" Type="http://schemas.openxmlformats.org/officeDocument/2006/relationships/externalLink" Target="externalLinks/externalLink3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5.xml"/><Relationship Id="rId22" Type="http://schemas.openxmlformats.org/officeDocument/2006/relationships/externalLink" Target="externalLinks/externalLink13.xml"/><Relationship Id="rId27" Type="http://schemas.openxmlformats.org/officeDocument/2006/relationships/externalLink" Target="externalLinks/externalLink18.xml"/><Relationship Id="rId30" Type="http://schemas.openxmlformats.org/officeDocument/2006/relationships/externalLink" Target="externalLinks/externalLink21.xml"/><Relationship Id="rId35" Type="http://schemas.openxmlformats.org/officeDocument/2006/relationships/externalLink" Target="externalLinks/externalLink26.xml"/><Relationship Id="rId43" Type="http://schemas.openxmlformats.org/officeDocument/2006/relationships/externalLink" Target="externalLinks/externalLink34.xml"/><Relationship Id="rId48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3.xml"/><Relationship Id="rId17" Type="http://schemas.openxmlformats.org/officeDocument/2006/relationships/externalLink" Target="externalLinks/externalLink8.xml"/><Relationship Id="rId25" Type="http://schemas.openxmlformats.org/officeDocument/2006/relationships/externalLink" Target="externalLinks/externalLink16.xml"/><Relationship Id="rId33" Type="http://schemas.openxmlformats.org/officeDocument/2006/relationships/externalLink" Target="externalLinks/externalLink24.xml"/><Relationship Id="rId38" Type="http://schemas.openxmlformats.org/officeDocument/2006/relationships/externalLink" Target="externalLinks/externalLink29.xml"/><Relationship Id="rId46" Type="http://schemas.openxmlformats.org/officeDocument/2006/relationships/externalLink" Target="externalLinks/externalLink37.xml"/><Relationship Id="rId20" Type="http://schemas.openxmlformats.org/officeDocument/2006/relationships/externalLink" Target="externalLinks/externalLink11.xml"/><Relationship Id="rId41" Type="http://schemas.openxmlformats.org/officeDocument/2006/relationships/externalLink" Target="externalLinks/externalLink3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yujiashi\Desktop\GEO%20flash%20metrics.xlsx" TargetMode="External"/><Relationship Id="rId1" Type="http://schemas.openxmlformats.org/officeDocument/2006/relationships/externalLinkPath" Target="GEO%20flash%20metric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EDI7_20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CLOSE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216530_3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218593_1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209500_4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216530_1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ERGER10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AUTERA\RATES\UPS\RATE98\ZONE98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Swann%20Unit%20Metrics_July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TS%202017%20OP2_01.09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CN%20website%20Click%20Map_Summary-20191105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pt98_7100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ller%20analysis_Wk3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HR-positions-map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06-99%20Financial%20Stmts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OPPU%20-%20V1-V2%20deck_v2.11.xlsb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nt\dept-as\dept\Documents%20and%20Settings\bealee\Local%20Settings\Temporary%20Internet%20Files\OLK24\2001%20Q2%20Demand%20Generation%20Scorecard%20-%20Wk%20231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hare.amazon.com/Users/zhqz/AppData/Local/Microsoft/Windows/INetCache/Content.Outlook/44DUJ3W6/Life-cycle%20based%20Program%20Goal%20Template_0104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M@%20Metrics%202013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070830%20DPR%20OP1%20opex%20load%20full%20model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OP1%20Tracker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2014%20Curve%20Template%2001172014_Final.xlsm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06-98%20Financial%20Stmts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Global%20Selling%20Project_Opex_Calculator_Final_v2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GS%20Productivity%20Model%20v28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CN%20GS%20Services%20by%20Amazon%20WBR%20Deck%20WK41.xlsm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SSR%20WBR%20Shell%202.7%20with%20changes%20updated%20traffic%20WE%2009032013%20with%20notes%20Individual%20Pipeline%20Updated%20Latest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GM%20&amp;%20CM%20summary_Jul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CN%20GS%20Services%20by%20Amazon%20WBR%20Deck%20WK46.xlsm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CircuitInfo2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hare.amazon.com/JE/201502/done/Succeed/NOV-13/CAC_CN_189.1_R_H_WZ_Accrual%20Freight%20in%20capitalization%201030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US%20Metrics%20Tables%202013%20OP2_Without%20Outliers_012213.xlsx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2015-04%20Apr%20OPPU%20Financial%20Template.xlsb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Clothing%20Deck.xlsm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ly_Infrastructure_01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hare.amazon.com/ant/dept-as/Users/gwenying/Downloads/FY22%20Online%20Calendar%20Intake(3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utput summary"/>
      <sheetName val="GEO impct FY"/>
      <sheetName val="GEO Performance by platform"/>
      <sheetName val="AI platform visits"/>
      <sheetName val="AI platform visits YTD"/>
      <sheetName val="AI search resource"/>
      <sheetName val="GEO manage terms"/>
      <sheetName val="Goal forcast (OPEX）"/>
      <sheetName val="GEO plan-FY26"/>
      <sheetName val="Smart Suite Launch Roadmap"/>
      <sheetName val="AI platform visitss"/>
      <sheetName val="Brand list"/>
      <sheetName val="Generic list"/>
      <sheetName val="SEO Key words"/>
      <sheetName val="GEO MAU"/>
      <sheetName val="GEO regstart-direct%"/>
      <sheetName val="GEO output"/>
      <sheetName val="FY25-26"/>
      <sheetName val="User Joune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DISON-2"/>
      <sheetName val="Controls"/>
      <sheetName val="Admin"/>
      <sheetName val="Key"/>
      <sheetName val="List"/>
      <sheetName val="Bridge-Finance Owner"/>
      <sheetName val="Sheet2"/>
      <sheetName val="Inputs"/>
      <sheetName val="lookups"/>
      <sheetName val="Helpful Data"/>
      <sheetName val="DropDown"/>
      <sheetName val="Control"/>
      <sheetName val="Sheet1"/>
      <sheetName val="GMS"/>
      <sheetName val="Tabelle1"/>
      <sheetName val="jobs"/>
      <sheetName val="Droplist"/>
      <sheetName val="LOV"/>
      <sheetName val="input"/>
      <sheetName val="Lists"/>
      <sheetName val="categories"/>
      <sheetName val="Definitions"/>
      <sheetName val="Reason Codes"/>
      <sheetName val="US Reason Codes"/>
      <sheetName val="Mapping AEs"/>
      <sheetName val="Mapping PLs"/>
      <sheetName val="Mapping  Data Source"/>
      <sheetName val="Revenue v Activities"/>
      <sheetName val="Inputs Data"/>
      <sheetName val="ISO v Forecast"/>
      <sheetName val="AMS by Product"/>
      <sheetName val="individual target phasing"/>
      <sheetName val="Perspectives_Data"/>
      <sheetName val="SP"/>
      <sheetName val="Instructions"/>
      <sheetName val="merger"/>
      <sheetName val="Drop down menu"/>
      <sheetName val="xRef"/>
      <sheetName val="Drop-Down"/>
      <sheetName val="FBA Admin Lookup"/>
      <sheetName val="Mapping"/>
      <sheetName val="Data Validations"/>
      <sheetName val="List (Finance)"/>
      <sheetName val="Category Defination"/>
      <sheetName val="Sheet5"/>
      <sheetName val="05"/>
      <sheetName val="06"/>
      <sheetName val="08"/>
      <sheetName val="09a"/>
      <sheetName val="07"/>
      <sheetName val="10a"/>
      <sheetName val="Proposals_US"/>
      <sheetName val="dropdown list"/>
      <sheetName val="map"/>
      <sheetName val="Validation"/>
      <sheetName val="ListsForMenus"/>
      <sheetName val="References"/>
      <sheetName val="Category"/>
      <sheetName val="HC Asks"/>
      <sheetName val="Variables"/>
      <sheetName val="Summary"/>
      <sheetName val="DSR W48 Launch"/>
      <sheetName val="Mapping Data Source"/>
      <sheetName val="CLOSE"/>
      <sheetName val="WC"/>
      <sheetName val="MP Graphs"/>
      <sheetName val="Graph by Product Type"/>
      <sheetName val="Retail-Whole"/>
      <sheetName val="SGA Graph"/>
      <sheetName val="Income Summary"/>
      <sheetName val="Balance Summary"/>
      <sheetName val="SGA"/>
      <sheetName val="Performance Graphs"/>
      <sheetName val="Accounts"/>
      <sheetName val="Total IT"/>
      <sheetName val="2002 Exp"/>
      <sheetName val="AMZN Order Blend"/>
      <sheetName val="Actuals"/>
      <sheetName val="Essbase - Bal Sheet"/>
      <sheetName val="Marketing Summary"/>
      <sheetName val="BOOKS Revenue"/>
      <sheetName val="P&amp;L Detail"/>
      <sheetName val="CC ID"/>
      <sheetName val="US Metrics"/>
      <sheetName val="IS-Ext"/>
      <sheetName val="Capacity_Data"/>
      <sheetName val="EB-GM"/>
      <sheetName val="EB - Profitability"/>
      <sheetName val="US Key Metric History"/>
      <sheetName val="Extrap Graphs"/>
      <sheetName val="2001 Budget"/>
      <sheetName val="Q100 Seasonality"/>
      <sheetName val="Tools-Internet"/>
      <sheetName val="Q399 Outlook"/>
      <sheetName val="Internal History"/>
      <sheetName val="Location"/>
      <sheetName val="TUL"/>
      <sheetName val="Metrics Query"/>
      <sheetName val="Cobranza Feb-19"/>
      <sheetName val="AMZN Sessions"/>
      <sheetName val="Ord$"/>
      <sheetName val="PHL"/>
      <sheetName val="PopCache"/>
      <sheetName val="Drop Ship - Unit Volume"/>
      <sheetName val="WW Summary"/>
      <sheetName val="Total Amazon"/>
      <sheetName val="Essbase(HIDE)"/>
      <sheetName val="4300 Brand Detail"/>
      <sheetName val="4350 Cust Exp Detail"/>
      <sheetName val="Total U.S. Infrastructure"/>
      <sheetName val="Essbase -Co-Op"/>
      <sheetName val="Details"/>
      <sheetName val="ExportSplit Query"/>
      <sheetName val="Inc Stmt--US"/>
      <sheetName val="Rev ShipUnit"/>
      <sheetName val="UK Trended"/>
      <sheetName val="Rev03-Data"/>
      <sheetName val="EB - US Rev"/>
      <sheetName val="MAN"/>
      <sheetName val="EDI7_20"/>
      <sheetName val="Retail_WBR_Summary"/>
      <sheetName val="Trends"/>
      <sheetName val="01-23 Validation"/>
      <sheetName val="Sheet3"/>
      <sheetName val="Updated Spreadsheet"/>
      <sheetName val="iCIMS Data Loaded"/>
      <sheetName val="Hiring Manager"/>
      <sheetName val="EDISON_2"/>
      <sheetName val="Debt"/>
      <sheetName val="IncStmt"/>
      <sheetName val="Ex3"/>
      <sheetName val="T&amp;D-HCP"/>
      <sheetName val="clmyield-hpwl"/>
      <sheetName val="Comps"/>
      <sheetName val="Catagories"/>
      <sheetName val="Overview"/>
      <sheetName val="graph"/>
      <sheetName val="EBITDA Bridges - GP"/>
      <sheetName val="SC"/>
      <sheetName val="Support"/>
      <sheetName val="EBITDA_Bridges_-_GP"/>
      <sheetName val="EBITDA_Bridges_-_GP1"/>
      <sheetName val="Lista"/>
      <sheetName val="EBITDA_Bridges_-_GP2"/>
      <sheetName val="SAL-2000"/>
      <sheetName val="EBITDA_Bridges_-_GP3"/>
      <sheetName val="EBITDA_Bridges_-_GP4"/>
      <sheetName val="EBITDA_Bridges_-_GP5"/>
      <sheetName val="EBITDA_Bridges_-_GP6"/>
      <sheetName val="EBITDA_Bridges_-_GP7"/>
      <sheetName val="EBITDA_Bridges_-_GP8"/>
      <sheetName val="EBITDA_Bridges_-_GP9"/>
      <sheetName val="EBITDA_Bridges_-_GP10"/>
      <sheetName val="Month 8"/>
      <sheetName val="Info"/>
      <sheetName val="Bridge-Finance_Owner"/>
      <sheetName val="Helpful_Data"/>
      <sheetName val="Reason_Codes"/>
      <sheetName val="US_Reason_Codes"/>
      <sheetName val="Mapping_AEs"/>
      <sheetName val="Mapping_PLs"/>
      <sheetName val="Mapping__Data_Source"/>
      <sheetName val="Revenue_v_Activities"/>
      <sheetName val="Inputs_Data"/>
      <sheetName val="ISO_v_Forecast"/>
      <sheetName val="AMS_by_Product"/>
      <sheetName val="individual_target_phasing"/>
      <sheetName val="EPB WBR page"/>
      <sheetName val="Summary Slide 2024"/>
      <sheetName val="Summary Slide 2024 V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/>
      <sheetData sheetId="141"/>
      <sheetData sheetId="142" refreshError="1"/>
      <sheetData sheetId="143"/>
      <sheetData sheetId="144" refreshError="1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 refreshError="1"/>
      <sheetData sheetId="154" refreshError="1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 refreshError="1"/>
      <sheetData sheetId="16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LOSE"/>
      <sheetName val="GTACAP"/>
      <sheetName val="BPCCAP"/>
      <sheetName val="GTANAV"/>
      <sheetName val="BPCNAV"/>
      <sheetName val="REITindex"/>
      <sheetName val="NAV - Table 6"/>
      <sheetName val="Implied Cap - Table 7"/>
      <sheetName val="Financials"/>
      <sheetName val="SMU - AVS with Leverage"/>
      <sheetName val="BTCNAV"/>
      <sheetName val="indicesMIK"/>
      <sheetName val="relative yields"/>
      <sheetName val="Utilities Index"/>
      <sheetName val="Debt Capacity"/>
      <sheetName val="BalSht"/>
      <sheetName val="Sum.det"/>
      <sheetName val="TBL7,9,5 "/>
      <sheetName val="orourke"/>
      <sheetName val="Indx94base"/>
      <sheetName val="reitonlyindex"/>
      <sheetName val="Employment"/>
      <sheetName val="Real GDP"/>
      <sheetName val="float"/>
      <sheetName val="int, dep &amp; other"/>
      <sheetName val="BS(TBL10)"/>
      <sheetName val="#REF"/>
      <sheetName val="NOI Est"/>
      <sheetName val="TBL2"/>
      <sheetName val="Inflation"/>
      <sheetName val="Portfolio"/>
      <sheetName val="EPS"/>
      <sheetName val="MODEL-7"/>
      <sheetName val="Table 12"/>
      <sheetName val="Financial"/>
      <sheetName val="EARNMOD"/>
      <sheetName val="Sheet5"/>
      <sheetName val="Sheet16"/>
      <sheetName val="laroux"/>
      <sheetName val="datamaster"/>
      <sheetName val="Data"/>
      <sheetName val="Data Master"/>
      <sheetName val="REIT TR"/>
      <sheetName val="Performance - Data"/>
      <sheetName val="Toronto"/>
      <sheetName val="Vancouver"/>
      <sheetName val="Calgary"/>
      <sheetName val="Edmonton"/>
      <sheetName val="Winnipeg"/>
      <sheetName val="Ottawa"/>
      <sheetName val="Montreal"/>
      <sheetName val="Halifax"/>
      <sheetName val="National"/>
      <sheetName val="email model"/>
      <sheetName val="Sheet1"/>
      <sheetName val="BS"/>
      <sheetName val="CF"/>
      <sheetName val="IS"/>
      <sheetName val="Quarterly"/>
      <sheetName val="Operating"/>
      <sheetName val="Model"/>
      <sheetName val="P&amp;L"/>
      <sheetName val="NAV"/>
      <sheetName val="Implied Cap Rate"/>
      <sheetName val="BalanceSheet"/>
      <sheetName val="OXGCAP"/>
      <sheetName val="OXGNAV"/>
      <sheetName val="TZHNAV"/>
      <sheetName val="TZHCAP"/>
      <sheetName val="BTCCAP"/>
      <sheetName val="Interest"/>
      <sheetName val="Implied Cap-9"/>
      <sheetName val="LeaseRolls-3"/>
      <sheetName val="NOI Estimate"/>
      <sheetName val="Components-6"/>
      <sheetName val="ACFO"/>
      <sheetName val="Portfolio-A1"/>
      <sheetName val="Rental NOI"/>
      <sheetName val="Bal Sht"/>
      <sheetName val="N"/>
      <sheetName val="Shares"/>
      <sheetName val="Inputs"/>
      <sheetName val="Company"/>
      <sheetName val="Control"/>
      <sheetName val="Newco"/>
      <sheetName val="BASE METAL PAGE"/>
      <sheetName val="Coal"/>
      <sheetName val="Market"/>
      <sheetName val="EDISON-2"/>
      <sheetName val="Oct R&amp;O"/>
      <sheetName val="LO"/>
      <sheetName val="HI"/>
      <sheetName val="fdg_22_a"/>
      <sheetName val="Yield"/>
      <sheetName val="fncl"/>
      <sheetName val="Non-Cable Value"/>
      <sheetName val="Quarterly Model OLD"/>
      <sheetName val="cdn_q2_96"/>
      <sheetName val="IBT"/>
      <sheetName val="nx"/>
      <sheetName val="Close120701"/>
      <sheetName val="Annual"/>
      <sheetName val="Close102902"/>
      <sheetName val="ACM Income"/>
      <sheetName val="Spring 1999"/>
      <sheetName val="Debt"/>
      <sheetName val="income"/>
      <sheetName val="CDN Long Dist"/>
      <sheetName val="Sheet4"/>
      <sheetName val="CDN ILECS - CONSOLIDATED"/>
      <sheetName val="NA Wireless"/>
      <sheetName val="Consolidated"/>
      <sheetName val="Mobility"/>
      <sheetName val="present"/>
      <sheetName val="value-fc"/>
      <sheetName val="Wireless"/>
      <sheetName val="14. Q2 2021 Team Level"/>
      <sheetName val="13. Q1 2021 Team Level"/>
      <sheetName val="2020 q4"/>
      <sheetName val="2020 q3"/>
      <sheetName val="2020 q2 "/>
      <sheetName val="2020 q1"/>
      <sheetName val="COVID Graphs"/>
      <sheetName val="Support_Transfer"/>
      <sheetName val="DC-USADJ"/>
      <sheetName val="Year Graph"/>
      <sheetName val="NAV_-_Table_6"/>
      <sheetName val="Implied_Cap_-_Table_7"/>
      <sheetName val="SMU_-_AVS_with_Leverage"/>
      <sheetName val="relative_yields"/>
      <sheetName val="Utilities_Index"/>
      <sheetName val="Debt_Capacity"/>
      <sheetName val="Sum_det"/>
      <sheetName val="TBL7,9,5_"/>
      <sheetName val="Real_GDP"/>
      <sheetName val="int,_dep_&amp;_other"/>
      <sheetName val="NOI_Est"/>
      <sheetName val="Table_12"/>
      <sheetName val="Data_Master"/>
      <sheetName val="REIT_TR"/>
      <sheetName val="Performance_-_Data"/>
      <sheetName val="email_model"/>
      <sheetName val="Implied_Cap_Rate"/>
      <sheetName val="Implied_Cap-9"/>
      <sheetName val="NOI_Estimate"/>
      <sheetName val="Rental_NOI"/>
      <sheetName val="Bal_Sht"/>
      <sheetName val="BASE_METAL_PAGE"/>
      <sheetName val="Oct_R&amp;O"/>
      <sheetName val="Non-Cable_Value"/>
      <sheetName val="Quarterly_Model_OLD"/>
      <sheetName val="ACM_Income"/>
      <sheetName val="Spring_1999"/>
      <sheetName val="CDN_Long_Dist"/>
      <sheetName val="CDN_ILECS_-_CONSOLIDATED"/>
      <sheetName val="NA_Wireless"/>
      <sheetName val="14__Q2_2021_Team_Level"/>
      <sheetName val="13__Q1_2021_Team_Level"/>
      <sheetName val="2020_q4"/>
      <sheetName val="2020_q3"/>
      <sheetName val="2020_q2_"/>
      <sheetName val="2020_q1"/>
      <sheetName val="COVID_Graphs"/>
      <sheetName val="Year_Graph"/>
      <sheetName val="2000 Aircraft Usage"/>
      <sheetName val="Cover"/>
      <sheetName val="CTRL"/>
      <sheetName val="DC"/>
      <sheetName val="Requerimiento"/>
      <sheetName val="IFRS"/>
      <sheetName val="Local"/>
      <sheetName val="Gastos no deducibles"/>
      <sheetName val="Gastos por reembolsos"/>
      <sheetName val="RSU"/>
      <sheetName val="Beneficios"/>
      <sheetName val="Conciliación"/>
      <sheetName val="Impuesto diferido"/>
      <sheetName val="PF"/>
      <sheetName val="Comentarios"/>
      <sheetName val="Activos fijos"/>
      <sheetName val="RS"/>
      <sheetName val="PR"/>
      <sheetName val="Facturas"/>
      <sheetName val="MV 2019"/>
      <sheetName val="TB"/>
      <sheetName val="Contabilidad MV"/>
      <sheetName val="Bal 2018"/>
      <sheetName val="Validación"/>
      <sheetName val="Plano MV"/>
      <sheetName val="Plano"/>
      <sheetName val="Resumen MV"/>
      <sheetName val="MV"/>
      <sheetName val="MV 2018"/>
      <sheetName val="OT"/>
      <sheetName val="DE"/>
      <sheetName val="PJ"/>
      <sheetName val="SU"/>
      <sheetName val="DA"/>
      <sheetName val="B1"/>
      <sheetName val="GO"/>
      <sheetName val="PE"/>
      <sheetName val="DL-Detalle"/>
      <sheetName val="DL"/>
      <sheetName val="Ajustes"/>
      <sheetName val="Config"/>
      <sheetName val="Retail-Whole"/>
      <sheetName val="DAT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 refreshError="1"/>
      <sheetData sheetId="124" refreshError="1"/>
      <sheetData sheetId="125" refreshError="1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 refreshError="1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 refreshError="1"/>
      <sheetData sheetId="20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C"/>
      <sheetName val="MP Graphs"/>
      <sheetName val="Inventory"/>
      <sheetName val="Customers"/>
      <sheetName val="SGA Graph"/>
      <sheetName val="MP Graphs DO NOT USe"/>
      <sheetName val="Bridge"/>
      <sheetName val="Income Summary"/>
      <sheetName val="Comparison Yearly"/>
      <sheetName val="Comparison 2004"/>
      <sheetName val="Comparison 2005"/>
      <sheetName val="Variance"/>
      <sheetName val="Comparison 04"/>
      <sheetName val="Retail-Whole"/>
      <sheetName val="Growth by Category"/>
      <sheetName val="Performance Graphs"/>
      <sheetName val="CAGRs"/>
      <sheetName val="List"/>
      <sheetName val="FX"/>
      <sheetName val="Mappings"/>
      <sheetName val="LOOKUP"/>
      <sheetName val="MAPPING"/>
      <sheetName val="Constant"/>
      <sheetName val="USD"/>
      <sheetName val="Notes"/>
      <sheetName val="Inputs"/>
      <sheetName val="CONTROL"/>
      <sheetName val="Admin"/>
      <sheetName val="GL PG"/>
      <sheetName val="PL-list"/>
      <sheetName val="Gross Margin Lookups"/>
      <sheetName val="Month"/>
      <sheetName val="GL List"/>
      <sheetName val="Lists"/>
      <sheetName val="MAP"/>
      <sheetName val="Master Data"/>
      <sheetName val="-&gt;"/>
      <sheetName val="LOOKUP (2)"/>
      <sheetName val="Lookups"/>
      <sheetName val="DO NOT DELETE"/>
      <sheetName val="DO NOTE DELETE"/>
      <sheetName val="New Q3 Whiteboard"/>
      <sheetName val="Index"/>
      <sheetName val="List_validation"/>
      <sheetName val="Sheet12"/>
      <sheetName val="Summary"/>
      <sheetName val="COGNOS"/>
      <sheetName val="How to"/>
      <sheetName val="DropDown"/>
      <sheetName val="Killer Table"/>
      <sheetName val="Killer_Table_Draft"/>
      <sheetName val="By Category"/>
      <sheetName val="By_GCID--&gt;"/>
      <sheetName val="by_gcid_final"/>
      <sheetName val="Consumables--&gt;"/>
      <sheetName val="Basics"/>
      <sheetName val="MP"/>
      <sheetName val="Data Val"/>
      <sheetName val="Capex Summary by FC"/>
      <sheetName val="2015-2016 Volume By Month"/>
      <sheetName val="Pre_set"/>
      <sheetName val="Acct listing"/>
      <sheetName val="List (Finance)"/>
      <sheetName val="IB forecast"/>
      <sheetName val="Others"/>
      <sheetName val="Update"/>
      <sheetName val="Scenarios"/>
      <sheetName val="有效值"/>
      <sheetName val="Controls"/>
      <sheetName val="Global AdHoc Results"/>
      <sheetName val="Ref"/>
      <sheetName val="EDISON-2"/>
      <sheetName val="Tables"/>
      <sheetName val="Source"/>
      <sheetName val="Monthly"/>
      <sheetName val="order_data"/>
      <sheetName val="Lists_2"/>
      <sheetName val="ステータスリスト"/>
      <sheetName val="DD"/>
      <sheetName val="Channels"/>
      <sheetName val="DE"/>
      <sheetName val="Sheet4"/>
      <sheetName val="Lookup Page"/>
      <sheetName val="VALUES-don't open"/>
      <sheetName val="Z Ref"/>
      <sheetName val="Sheet1"/>
      <sheetName val="Account"/>
      <sheetName val="Retail &gt;&gt;"/>
      <sheetName val="Pull Set Up MX"/>
      <sheetName val="vendor"/>
      <sheetName val="MERCH"/>
      <sheetName val="Key"/>
      <sheetName val="Menu"/>
      <sheetName val="Comparative"/>
      <sheetName val="Actual vs Plan"/>
      <sheetName val="Display_Ads_Detail_Mth"/>
      <sheetName val="Revenue Summary - WW"/>
      <sheetName val="Definitions"/>
      <sheetName val="Date Ref"/>
      <sheetName val="City List"/>
      <sheetName val="Data"/>
      <sheetName val="SGA_Graph"/>
      <sheetName val="MP_Graphs_DO_NOT_USe"/>
      <sheetName val="Income_Summary"/>
      <sheetName val="Comparison_Yearly"/>
      <sheetName val="Comparison_2004"/>
      <sheetName val="Comparison_2005"/>
      <sheetName val="Comparison_04"/>
      <sheetName val="Growth_by_Category"/>
      <sheetName val="MP_Graphs"/>
      <sheetName val="Performance_Graphs"/>
      <sheetName val="GL_List"/>
      <sheetName val="Gross_Margin_Lookups"/>
      <sheetName val="GL_PG"/>
      <sheetName val="LOOKUP_(2)"/>
      <sheetName val="Master_Data"/>
      <sheetName val="How_to"/>
      <sheetName val="DO_NOT_DELETE"/>
      <sheetName val="DO_NOTE_DELETE"/>
      <sheetName val="New_Q3_Whiteboard"/>
      <sheetName val="Data_Val"/>
      <sheetName val="Capex_Summary_by_FC"/>
      <sheetName val="2015-2016_Volume_By_Month"/>
      <sheetName val="Acct_listing"/>
      <sheetName val="List_(Finance)"/>
      <sheetName val="IB_forecast"/>
      <sheetName val="Fortune P&amp;L by Category Rates"/>
      <sheetName val="Options"/>
      <sheetName val="Maker List"/>
      <sheetName val="CLOSE"/>
      <sheetName val="WK18_No1"/>
      <sheetName val="Global_AdHoc_Results"/>
      <sheetName val="Killer_Table"/>
      <sheetName val="By_Category"/>
      <sheetName val="Lookup_Page"/>
      <sheetName val="VALUES-don't_open"/>
      <sheetName val="Z_Ref"/>
      <sheetName val="Pull_Set_Up_MX"/>
      <sheetName val="Retail_&gt;&gt;"/>
      <sheetName val="Heirarchy"/>
      <sheetName val="(管理用)プルダウンリスト"/>
      <sheetName val="Maker_List"/>
      <sheetName val="SGA_Graph1"/>
      <sheetName val="MP_Graphs_DO_NOT_USe1"/>
      <sheetName val="Income_Summary1"/>
      <sheetName val="Comparison_Yearly1"/>
      <sheetName val="Comparison_20041"/>
      <sheetName val="Comparison_20051"/>
      <sheetName val="Comparison_041"/>
      <sheetName val="Growth_by_Category1"/>
      <sheetName val="MP_Graphs1"/>
      <sheetName val="Performance_Graphs1"/>
      <sheetName val="GL_List1"/>
      <sheetName val="Gross_Margin_Lookups1"/>
      <sheetName val="GL_PG1"/>
      <sheetName val="LOOKUP_(2)1"/>
      <sheetName val="Master_Data1"/>
      <sheetName val="How_to1"/>
      <sheetName val="DO_NOT_DELETE1"/>
      <sheetName val="DO_NOTE_DELETE1"/>
      <sheetName val="New_Q3_Whiteboard1"/>
      <sheetName val="Capex_Summary_by_FC1"/>
      <sheetName val="Data_Val1"/>
      <sheetName val="2015-2016_Volume_By_Month1"/>
      <sheetName val="Acct_listing1"/>
      <sheetName val="List_(Finance)1"/>
      <sheetName val="IB_forecast1"/>
      <sheetName val="Actual_vs_Plan"/>
      <sheetName val="Revenue_Summary_-_WW"/>
      <sheetName val="City_List"/>
      <sheetName val="Date_Ref"/>
      <sheetName val="Fortune_P&amp;L_by_Category_Rates"/>
      <sheetName val="Master_List_ACES"/>
      <sheetName val="Master_List_SCT"/>
      <sheetName val="216530_3"/>
      <sheetName val="IVSA"/>
      <sheetName val="GoBigP&amp;L_50K"/>
      <sheetName val="Content Asset Expense"/>
      <sheetName val="SGA_Graph2"/>
      <sheetName val="MP_Graphs_DO_NOT_USe2"/>
      <sheetName val="Income_Summary2"/>
      <sheetName val="Comparison_Yearly2"/>
      <sheetName val="Comparison_20042"/>
      <sheetName val="Comparison_20052"/>
      <sheetName val="Comparison_042"/>
      <sheetName val="Growth_by_Category2"/>
      <sheetName val="MP_Graphs2"/>
      <sheetName val="Performance_Graphs2"/>
      <sheetName val="Gross_Margin_Lookups2"/>
      <sheetName val="DO_NOT_DELETE2"/>
      <sheetName val="DO_NOTE_DELETE2"/>
      <sheetName val="GL_PG2"/>
      <sheetName val="GL_List2"/>
      <sheetName val="LOOKUP_(2)2"/>
      <sheetName val="Master_Data2"/>
      <sheetName val="New_Q3_Whiteboard2"/>
      <sheetName val="Capex_Summary_by_FC2"/>
      <sheetName val="Data_Val2"/>
      <sheetName val="2015-2016_Volume_By_Month2"/>
      <sheetName val="Acct_listing2"/>
      <sheetName val="List_(Finance)2"/>
      <sheetName val="How_to2"/>
      <sheetName val="IB_forecast2"/>
      <sheetName val="Global_AdHoc_Results1"/>
      <sheetName val="Killer_Table1"/>
      <sheetName val="By_Category1"/>
      <sheetName val="Pull_Set_Up_MX1"/>
      <sheetName val="Lookup_Page1"/>
      <sheetName val="VALUES-don't_open1"/>
      <sheetName val="Z_Ref1"/>
      <sheetName val="Retail_&gt;&gt;1"/>
      <sheetName val="Actual_vs_Plan1"/>
      <sheetName val="Revenue_Summary_-_WW1"/>
      <sheetName val="City_List1"/>
      <sheetName val="Date_Ref1"/>
      <sheetName val="Fortune_P&amp;L_by_Category_Rates1"/>
      <sheetName val="Maker_List1"/>
      <sheetName val="Helper"/>
      <sheetName val="Feuil1"/>
      <sheetName val="Driver_lookup"/>
      <sheetName val="Content Asset Expense04"/>
      <sheetName val="Amort Trends Essbase"/>
      <sheetName val="Cat Dump"/>
      <sheetName val="setup"/>
      <sheetName val="Annexure"/>
      <sheetName val="comment"/>
      <sheetName val="Assumptions"/>
      <sheetName val="Daily Curve"/>
      <sheetName val="1171 SPR"/>
      <sheetName val="DS Org Structure"/>
      <sheetName val="Other 1172 &amp; 1173"/>
      <sheetName val="Week Level"/>
      <sheetName val="Graph by Product Type"/>
      <sheetName val="Balance Summary"/>
      <sheetName val="SGA"/>
      <sheetName val="PopCache"/>
      <sheetName val="weekly_metrics"/>
      <sheetName val="top_customers"/>
      <sheetName val="gainer_loser"/>
      <sheetName val="weekly_credits"/>
      <sheetName val="new_customers"/>
      <sheetName val="dropped_customers"/>
      <sheetName val="C"/>
      <sheetName val="Content_Asset_Expense"/>
      <sheetName val="BDD_YMT (2)"/>
      <sheetName val="Sample Audience Sizing"/>
      <sheetName val="MP_Graphs3"/>
      <sheetName val="SGA_Graph3"/>
      <sheetName val="MP_Graphs_DO_NOT_USe3"/>
      <sheetName val="Income_Summary3"/>
      <sheetName val="Comparison_Yearly3"/>
      <sheetName val="Comparison_20043"/>
      <sheetName val="Comparison_20053"/>
      <sheetName val="Comparison_043"/>
      <sheetName val="Growth_by_Category3"/>
      <sheetName val="Performance_Graphs3"/>
      <sheetName val="Gross_Margin_Lookups3"/>
      <sheetName val="List_(Finance)3"/>
      <sheetName val="IB_forecast3"/>
      <sheetName val="GL_List3"/>
      <sheetName val="DO_NOT_DELETE3"/>
      <sheetName val="DO_NOTE_DELETE3"/>
      <sheetName val="GL_PG3"/>
      <sheetName val="Master_Data3"/>
      <sheetName val="LOOKUP_(2)3"/>
      <sheetName val="Acct_listing3"/>
      <sheetName val="How_to3"/>
      <sheetName val="New_Q3_Whiteboard3"/>
      <sheetName val="Capex_Summary_by_FC3"/>
      <sheetName val="Data_Val3"/>
      <sheetName val="2015-2016_Volume_By_Month3"/>
      <sheetName val="Killer_Table2"/>
      <sheetName val="By_Category2"/>
      <sheetName val="Global_AdHoc_Results2"/>
      <sheetName val="Lookup_Page2"/>
      <sheetName val="VALUES-don't_open2"/>
      <sheetName val="Z_Ref2"/>
      <sheetName val="Pull_Set_Up_MX2"/>
      <sheetName val="Retail_&gt;&gt;2"/>
      <sheetName val="City_List2"/>
      <sheetName val="Revenue_Summary_-_WW2"/>
      <sheetName val="Actual_vs_Plan2"/>
      <sheetName val="Date_Ref2"/>
      <sheetName val="Fortune_P&amp;L_by_Category_Rates2"/>
      <sheetName val="Maker_List2"/>
      <sheetName val="Content_Asset_Expense1"/>
      <sheetName val="Content_Asset_Expense04"/>
      <sheetName val="Amort_Trends_Essbase"/>
      <sheetName val="Cat_Dump"/>
      <sheetName val="Daily_Curve"/>
      <sheetName val="1171_SPR"/>
      <sheetName val="DS_Org_Structure"/>
      <sheetName val="Other_1172_&amp;_1173"/>
      <sheetName val="Week_Level"/>
      <sheetName val="Graph_by_Product_Type"/>
      <sheetName val="Balance_Summary"/>
      <sheetName val="MAN"/>
      <sheetName val="Weekly HC Tracking Table"/>
      <sheetName val="REVENUE"/>
      <sheetName val="Cntmrs"/>
      <sheetName val="Statistics"/>
      <sheetName val="SGA_Graph4"/>
      <sheetName val="MP_Graphs_DO_NOT_USe4"/>
      <sheetName val="Income_Summary4"/>
      <sheetName val="Comparison_Yearly4"/>
      <sheetName val="Comparison_20044"/>
      <sheetName val="Comparison_20054"/>
      <sheetName val="Comparison_044"/>
      <sheetName val="Growth_by_Category4"/>
      <sheetName val="MP_Graphs4"/>
      <sheetName val="Performance_Graphs4"/>
      <sheetName val="Gross_Margin_Lookups4"/>
      <sheetName val="DO_NOT_DELETE4"/>
      <sheetName val="DO_NOTE_DELETE4"/>
      <sheetName val="GL_PG4"/>
      <sheetName val="GL_List4"/>
      <sheetName val="Master_Data4"/>
      <sheetName val="LOOKUP_(2)4"/>
      <sheetName val="Acct_listing4"/>
      <sheetName val="List_(Finance)4"/>
      <sheetName val="New_Q3_Whiteboard4"/>
      <sheetName val="Capex_Summary_by_FC4"/>
      <sheetName val="Data_Val4"/>
      <sheetName val="2015-2016_Volume_By_Month4"/>
      <sheetName val="How_to4"/>
      <sheetName val="IB_forecast4"/>
      <sheetName val="Global_AdHoc_Results3"/>
      <sheetName val="Killer_Table3"/>
      <sheetName val="By_Category3"/>
      <sheetName val="Pull_Set_Up_MX3"/>
      <sheetName val="Lookup_Page3"/>
      <sheetName val="VALUES-don't_open3"/>
      <sheetName val="Z_Ref3"/>
      <sheetName val="Retail_&gt;&gt;3"/>
      <sheetName val="Actual_vs_Plan3"/>
      <sheetName val="Revenue_Summary_-_WW3"/>
      <sheetName val="City_List3"/>
      <sheetName val="Date_Ref3"/>
      <sheetName val="Fortune_P&amp;L_by_Category_Rates3"/>
      <sheetName val="Maker_List3"/>
      <sheetName val="Content_Asset_Expense2"/>
      <sheetName val="Content_Asset_Expense041"/>
      <sheetName val="Amort_Trends_Essbase1"/>
      <sheetName val="Cat_Dump1"/>
      <sheetName val="Daily_Curve1"/>
      <sheetName val="1171_SPR1"/>
      <sheetName val="DS_Org_Structure1"/>
      <sheetName val="Other_1172_&amp;_11731"/>
      <sheetName val="Week_Level1"/>
      <sheetName val="Graph_by_Product_Type1"/>
      <sheetName val="Balance_Summary1"/>
      <sheetName val="Weekly_HC_Tracking_Table"/>
      <sheetName val="Sample_Audience_Sizing"/>
      <sheetName val="BDD_YMT_(2)"/>
      <sheetName val="INT April $ May abuse 2024"/>
      <sheetName val="Methodology Impact"/>
      <sheetName val="exh b-5"/>
      <sheetName val="exh b-2"/>
      <sheetName val="exh b-6"/>
      <sheetName val="exh b-8"/>
      <sheetName val="exh b-4"/>
      <sheetName val="exh b-3"/>
      <sheetName val="exh b-7"/>
      <sheetName val="exh b-1"/>
      <sheetName val="rawdata"/>
    </sheetNames>
    <sheetDataSet>
      <sheetData sheetId="0">
        <row r="7">
          <cell r="F7" t="str">
            <v>Estimated</v>
          </cell>
          <cell r="G7" t="str">
            <v>Projected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 t="str">
            <v>Estimated</v>
          </cell>
          <cell r="V7" t="str">
            <v>Projected</v>
          </cell>
        </row>
        <row r="8">
          <cell r="B8">
            <v>2000</v>
          </cell>
          <cell r="C8">
            <v>2001</v>
          </cell>
          <cell r="D8">
            <v>2002</v>
          </cell>
          <cell r="E8">
            <v>2003</v>
          </cell>
          <cell r="F8" t="str">
            <v>2004E</v>
          </cell>
          <cell r="G8">
            <v>2005</v>
          </cell>
          <cell r="H8">
            <v>2006</v>
          </cell>
          <cell r="I8">
            <v>2007</v>
          </cell>
          <cell r="J8">
            <v>2008</v>
          </cell>
          <cell r="K8">
            <v>2009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2000</v>
          </cell>
          <cell r="R8">
            <v>2001</v>
          </cell>
          <cell r="S8">
            <v>2002</v>
          </cell>
          <cell r="T8">
            <v>2003</v>
          </cell>
          <cell r="U8" t="str">
            <v>2004E</v>
          </cell>
          <cell r="V8" t="str">
            <v>2005P</v>
          </cell>
          <cell r="W8" t="str">
            <v>2006P</v>
          </cell>
          <cell r="X8" t="str">
            <v>2007P</v>
          </cell>
          <cell r="Y8" t="str">
            <v>2008P</v>
          </cell>
          <cell r="Z8" t="str">
            <v>2009P</v>
          </cell>
        </row>
        <row r="9">
          <cell r="A9" t="str">
            <v>A/R (in thousands)</v>
          </cell>
          <cell r="B9">
            <v>13086.076999999999</v>
          </cell>
          <cell r="C9">
            <v>13983.385</v>
          </cell>
          <cell r="D9">
            <v>14404.438</v>
          </cell>
          <cell r="E9">
            <v>18073.323</v>
          </cell>
          <cell r="F9">
            <v>21073.981589999999</v>
          </cell>
          <cell r="G9">
            <v>23773.7446253698</v>
          </cell>
          <cell r="H9">
            <v>26580.549951973393</v>
          </cell>
          <cell r="I9">
            <v>29759.355631119397</v>
          </cell>
          <cell r="J9">
            <v>33357.868012041559</v>
          </cell>
          <cell r="K9">
            <v>37433.351651941477</v>
          </cell>
          <cell r="L9">
            <v>0</v>
          </cell>
          <cell r="M9">
            <v>0</v>
          </cell>
          <cell r="N9">
            <v>0</v>
          </cell>
          <cell r="O9" t="str">
            <v>Accounts Payable (in thousands)</v>
          </cell>
          <cell r="P9">
            <v>0</v>
          </cell>
          <cell r="Q9">
            <v>10063.054</v>
          </cell>
          <cell r="R9">
            <v>19429.564999999999</v>
          </cell>
          <cell r="S9">
            <v>11375.518</v>
          </cell>
          <cell r="T9">
            <v>22673.196</v>
          </cell>
          <cell r="U9">
            <v>25242.880719999997</v>
          </cell>
          <cell r="V9">
            <v>28173.921353357404</v>
          </cell>
          <cell r="W9">
            <v>31385.78352053422</v>
          </cell>
          <cell r="X9">
            <v>34997.94536195961</v>
          </cell>
          <cell r="Y9">
            <v>39063.8026546908</v>
          </cell>
          <cell r="Z9">
            <v>43642.354756750232</v>
          </cell>
        </row>
        <row r="10">
          <cell r="A10" t="str">
            <v>Days of A/R</v>
          </cell>
          <cell r="B10">
            <v>31.667011739255404</v>
          </cell>
          <cell r="C10">
            <v>28.212251911826407</v>
          </cell>
          <cell r="D10">
            <v>26.60540495147983</v>
          </cell>
          <cell r="E10">
            <v>31.108179522704994</v>
          </cell>
          <cell r="F10">
            <v>31.172184756205265</v>
          </cell>
          <cell r="G10">
            <v>31.172184756205265</v>
          </cell>
          <cell r="H10">
            <v>31.172184756205265</v>
          </cell>
          <cell r="I10">
            <v>31.172184756205265</v>
          </cell>
          <cell r="J10">
            <v>31.172184756205265</v>
          </cell>
          <cell r="K10">
            <v>31.172184756205265</v>
          </cell>
          <cell r="L10">
            <v>0</v>
          </cell>
          <cell r="M10">
            <v>0</v>
          </cell>
          <cell r="N10">
            <v>0</v>
          </cell>
          <cell r="O10" t="str">
            <v>Days of A/P</v>
          </cell>
          <cell r="P10">
            <v>0</v>
          </cell>
          <cell r="Q10">
            <v>17.194740355184329</v>
          </cell>
          <cell r="R10">
            <v>27.277131807070813</v>
          </cell>
          <cell r="S10">
            <v>13.718941702103107</v>
          </cell>
          <cell r="T10">
            <v>24.121055499360864</v>
          </cell>
          <cell r="U10">
            <v>24.412594094419362</v>
          </cell>
          <cell r="V10">
            <v>24.412594094419362</v>
          </cell>
          <cell r="W10">
            <v>24.412594094419362</v>
          </cell>
          <cell r="X10">
            <v>24.412594094419362</v>
          </cell>
          <cell r="Y10">
            <v>24.412594094419362</v>
          </cell>
          <cell r="Z10">
            <v>24.412594094419362</v>
          </cell>
        </row>
        <row r="28">
          <cell r="A28" t="str">
            <v>Days of A/R</v>
          </cell>
          <cell r="B28">
            <v>31.667011739255404</v>
          </cell>
          <cell r="C28">
            <v>28.212251911826407</v>
          </cell>
          <cell r="D28">
            <v>26.60540495147983</v>
          </cell>
          <cell r="E28">
            <v>31.108179522704994</v>
          </cell>
          <cell r="F28">
            <v>31.172184756205265</v>
          </cell>
          <cell r="G28">
            <v>31.172184756205265</v>
          </cell>
          <cell r="H28">
            <v>31.172184756205265</v>
          </cell>
          <cell r="I28">
            <v>31.172184756205265</v>
          </cell>
          <cell r="J28">
            <v>31.172184756205265</v>
          </cell>
          <cell r="K28">
            <v>31.172184756205265</v>
          </cell>
          <cell r="L28">
            <v>0</v>
          </cell>
          <cell r="M28">
            <v>0</v>
          </cell>
          <cell r="N28">
            <v>0</v>
          </cell>
          <cell r="O28" t="str">
            <v>Days of A/P</v>
          </cell>
          <cell r="P28">
            <v>0</v>
          </cell>
          <cell r="Q28">
            <v>17.194740355184329</v>
          </cell>
          <cell r="R28">
            <v>27.277131807070813</v>
          </cell>
          <cell r="S28">
            <v>13.718941702103107</v>
          </cell>
          <cell r="T28">
            <v>24.121055499360864</v>
          </cell>
          <cell r="U28">
            <v>24.412594094419362</v>
          </cell>
          <cell r="V28">
            <v>24.412594094419362</v>
          </cell>
          <cell r="W28">
            <v>24.412594094419362</v>
          </cell>
          <cell r="X28">
            <v>24.412594094419362</v>
          </cell>
          <cell r="Y28">
            <v>24.412594094419362</v>
          </cell>
          <cell r="Z28">
            <v>24.412594094419362</v>
          </cell>
        </row>
        <row r="29">
          <cell r="F29" t="str">
            <v>Estimated</v>
          </cell>
          <cell r="G29" t="str">
            <v>Projected</v>
          </cell>
        </row>
        <row r="30">
          <cell r="B30">
            <v>2000</v>
          </cell>
          <cell r="C30">
            <v>2001</v>
          </cell>
          <cell r="D30">
            <v>2002</v>
          </cell>
          <cell r="E30">
            <v>2003</v>
          </cell>
          <cell r="F30" t="str">
            <v>2004E</v>
          </cell>
          <cell r="G30">
            <v>2005</v>
          </cell>
          <cell r="H30">
            <v>2006</v>
          </cell>
          <cell r="I30">
            <v>2007</v>
          </cell>
          <cell r="J30">
            <v>2008</v>
          </cell>
          <cell r="K30">
            <v>2009</v>
          </cell>
        </row>
        <row r="31">
          <cell r="A31" t="str">
            <v>Inventory (in thousands)</v>
          </cell>
          <cell r="B31">
            <v>50837.459000000003</v>
          </cell>
          <cell r="C31">
            <v>64021.527999999998</v>
          </cell>
          <cell r="D31">
            <v>63759.16113</v>
          </cell>
          <cell r="E31">
            <v>69169.13</v>
          </cell>
          <cell r="F31">
            <v>95214.199309999996</v>
          </cell>
          <cell r="G31">
            <v>91356.893996571089</v>
          </cell>
          <cell r="H31">
            <v>94238.996112733847</v>
          </cell>
          <cell r="I31">
            <v>103965.40548920688</v>
          </cell>
          <cell r="J31">
            <v>114855.98999448562</v>
          </cell>
          <cell r="K31">
            <v>127059.08318397104</v>
          </cell>
        </row>
        <row r="32">
          <cell r="A32" t="str">
            <v>Inventory turns</v>
          </cell>
          <cell r="B32">
            <v>4.2018757898580255</v>
          </cell>
          <cell r="C32">
            <v>4.0609833083021698</v>
          </cell>
          <cell r="D32">
            <v>4.7467989908960444</v>
          </cell>
          <cell r="E32">
            <v>4.9601748462066819</v>
          </cell>
          <cell r="F32">
            <v>3.9638401262106884</v>
          </cell>
          <cell r="G32">
            <v>4.6108915379295503</v>
          </cell>
          <cell r="H32">
            <v>4.9804742351373772</v>
          </cell>
          <cell r="I32">
            <v>5.0330660675342047</v>
          </cell>
          <cell r="J32">
            <v>5.0851035607475668</v>
          </cell>
          <cell r="K32">
            <v>5.1354841385190442</v>
          </cell>
        </row>
        <row r="54">
          <cell r="A54" t="str">
            <v>Inventory turns</v>
          </cell>
          <cell r="B54">
            <v>4.2018757898580255</v>
          </cell>
          <cell r="C54">
            <v>4.0609833083021698</v>
          </cell>
          <cell r="D54">
            <v>4.7467989908960444</v>
          </cell>
          <cell r="E54">
            <v>4.9601748462066819</v>
          </cell>
          <cell r="F54">
            <v>3.9638401262106884</v>
          </cell>
          <cell r="G54">
            <v>4.6108915379295503</v>
          </cell>
          <cell r="H54">
            <v>4.9804742351373772</v>
          </cell>
          <cell r="I54">
            <v>5.0330660675342047</v>
          </cell>
          <cell r="J54">
            <v>5.0851035607475668</v>
          </cell>
          <cell r="K54">
            <v>5.1354841385190442</v>
          </cell>
        </row>
        <row r="55">
          <cell r="F55" t="str">
            <v>Estimated</v>
          </cell>
          <cell r="G55" t="str">
            <v>Projected</v>
          </cell>
        </row>
        <row r="56">
          <cell r="B56">
            <v>2002</v>
          </cell>
          <cell r="C56">
            <v>2003</v>
          </cell>
          <cell r="D56" t="str">
            <v>2004E</v>
          </cell>
          <cell r="E56">
            <v>2005</v>
          </cell>
          <cell r="F56">
            <v>2006</v>
          </cell>
          <cell r="G56">
            <v>2007</v>
          </cell>
          <cell r="H56">
            <v>2008</v>
          </cell>
          <cell r="I56">
            <v>2009</v>
          </cell>
        </row>
        <row r="57">
          <cell r="A57" t="str">
            <v>Tire Inventory (in thousands)</v>
          </cell>
          <cell r="B57">
            <v>43581.983950000002</v>
          </cell>
          <cell r="C57">
            <v>48073</v>
          </cell>
          <cell r="D57">
            <v>61500</v>
          </cell>
          <cell r="E57">
            <v>61682.814977008973</v>
          </cell>
          <cell r="F57">
            <v>69273.283785155683</v>
          </cell>
          <cell r="G57">
            <v>77841.868648319316</v>
          </cell>
          <cell r="H57">
            <v>87517.166505032263</v>
          </cell>
          <cell r="I57">
            <v>98444.698679738285</v>
          </cell>
        </row>
        <row r="58">
          <cell r="A58" t="str">
            <v>Tire Inventory turns</v>
          </cell>
          <cell r="B58">
            <v>5.72020123099513</v>
          </cell>
          <cell r="C58">
            <v>5.9024407763193478</v>
          </cell>
          <cell r="D58">
            <v>5.2547132401626016</v>
          </cell>
          <cell r="E58">
            <v>5.9</v>
          </cell>
          <cell r="F58">
            <v>5.9</v>
          </cell>
          <cell r="G58">
            <v>5.9</v>
          </cell>
          <cell r="H58">
            <v>5.9</v>
          </cell>
          <cell r="I58">
            <v>5.9</v>
          </cell>
        </row>
        <row r="81">
          <cell r="A81" t="str">
            <v>Tire Inventory turns</v>
          </cell>
          <cell r="B81">
            <v>5.72020123099513</v>
          </cell>
          <cell r="C81">
            <v>5.9024407763193478</v>
          </cell>
          <cell r="D81">
            <v>5.2547132401626016</v>
          </cell>
          <cell r="E81">
            <v>5.9</v>
          </cell>
          <cell r="F81">
            <v>5.9</v>
          </cell>
          <cell r="G81">
            <v>5.9</v>
          </cell>
          <cell r="H81">
            <v>5.9</v>
          </cell>
          <cell r="I81">
            <v>5.9</v>
          </cell>
        </row>
        <row r="82">
          <cell r="F82" t="str">
            <v>Estimated</v>
          </cell>
          <cell r="G82" t="str">
            <v>Projected</v>
          </cell>
        </row>
        <row r="83">
          <cell r="B83">
            <v>2002</v>
          </cell>
          <cell r="C83">
            <v>2003</v>
          </cell>
          <cell r="D83" t="str">
            <v>2004E</v>
          </cell>
          <cell r="E83">
            <v>2005</v>
          </cell>
          <cell r="F83">
            <v>2006</v>
          </cell>
          <cell r="G83">
            <v>2007</v>
          </cell>
          <cell r="H83">
            <v>2008</v>
          </cell>
          <cell r="I83">
            <v>2009</v>
          </cell>
        </row>
        <row r="84">
          <cell r="A84" t="str">
            <v>Wheel Inventory (in thousands)</v>
          </cell>
          <cell r="B84">
            <v>17305.899069999999</v>
          </cell>
          <cell r="C84">
            <v>17222.553</v>
          </cell>
          <cell r="D84">
            <v>29428.19931</v>
          </cell>
          <cell r="E84">
            <v>25210.795132564155</v>
          </cell>
          <cell r="F84">
            <v>20280.992631574736</v>
          </cell>
          <cell r="G84">
            <v>21206.394236310276</v>
          </cell>
          <cell r="H84">
            <v>22177.725671608605</v>
          </cell>
          <cell r="I84">
            <v>23197.226906388278</v>
          </cell>
        </row>
        <row r="85">
          <cell r="A85" t="str">
            <v>Wheel Inventory turns</v>
          </cell>
          <cell r="B85">
            <v>2.0461708793367586</v>
          </cell>
          <cell r="C85">
            <v>2.20074983192097</v>
          </cell>
          <cell r="D85">
            <v>1.2598958638084607</v>
          </cell>
          <cell r="E85">
            <v>1.54</v>
          </cell>
          <cell r="F85">
            <v>2</v>
          </cell>
          <cell r="G85">
            <v>2</v>
          </cell>
          <cell r="H85">
            <v>2</v>
          </cell>
          <cell r="I85">
            <v>2</v>
          </cell>
        </row>
        <row r="110">
          <cell r="A110" t="str">
            <v>Wheel Inventory turns</v>
          </cell>
          <cell r="B110">
            <v>2.0461708793367586</v>
          </cell>
          <cell r="C110">
            <v>2.20074983192097</v>
          </cell>
          <cell r="D110">
            <v>1.2598958638084607</v>
          </cell>
          <cell r="E110">
            <v>1.54</v>
          </cell>
          <cell r="F110">
            <v>2</v>
          </cell>
          <cell r="G110">
            <v>2</v>
          </cell>
          <cell r="H110">
            <v>2</v>
          </cell>
          <cell r="I110">
            <v>2</v>
          </cell>
        </row>
        <row r="111">
          <cell r="F111" t="str">
            <v>Estimated</v>
          </cell>
          <cell r="G111" t="str">
            <v>Projected</v>
          </cell>
        </row>
        <row r="112">
          <cell r="F112" t="str">
            <v>2004E</v>
          </cell>
          <cell r="G112" t="str">
            <v>2005P</v>
          </cell>
          <cell r="H112" t="str">
            <v>2006P</v>
          </cell>
          <cell r="I112" t="str">
            <v>2007P</v>
          </cell>
          <cell r="J112" t="str">
            <v>2008P</v>
          </cell>
          <cell r="K112" t="str">
            <v>2009P</v>
          </cell>
        </row>
        <row r="113">
          <cell r="E113" t="str">
            <v>Decrease / (Increase) in A/R</v>
          </cell>
          <cell r="F113">
            <v>-2936.6769999999997</v>
          </cell>
          <cell r="G113">
            <v>-2681.9524357227165</v>
          </cell>
          <cell r="H113">
            <v>-2806.5131312635531</v>
          </cell>
          <cell r="I113">
            <v>-3178.2312024048988</v>
          </cell>
          <cell r="J113">
            <v>-3600.4069871315332</v>
          </cell>
          <cell r="K113">
            <v>-4080.5835235560226</v>
          </cell>
        </row>
        <row r="114">
          <cell r="E114" t="str">
            <v>Decrease / (Increase) in Inventory</v>
          </cell>
          <cell r="F114">
            <v>-26724.11</v>
          </cell>
          <cell r="G114">
            <v>4624.2914458120649</v>
          </cell>
          <cell r="H114">
            <v>-2127.5462488768389</v>
          </cell>
          <cell r="I114">
            <v>-9452.9200839252735</v>
          </cell>
          <cell r="J114">
            <v>-10575.329640823242</v>
          </cell>
          <cell r="K114">
            <v>-11840.387336022774</v>
          </cell>
        </row>
        <row r="115">
          <cell r="E115" t="str">
            <v>Increase / (Decrease) in A/P</v>
          </cell>
          <cell r="F115">
            <v>12625.804</v>
          </cell>
          <cell r="G115">
            <v>3889.8384335224837</v>
          </cell>
          <cell r="H115">
            <v>4391.3171376010359</v>
          </cell>
          <cell r="I115">
            <v>4935.9682044830406</v>
          </cell>
          <cell r="J115">
            <v>5550.1218620352738</v>
          </cell>
          <cell r="K115">
            <v>6243.7872602662319</v>
          </cell>
        </row>
        <row r="116">
          <cell r="E116" t="str">
            <v>Total</v>
          </cell>
          <cell r="F116">
            <v>-17034.983</v>
          </cell>
          <cell r="G116">
            <v>5832.1774436118321</v>
          </cell>
          <cell r="H116">
            <v>-542.74224253935608</v>
          </cell>
          <cell r="I116">
            <v>-7695.1830818471317</v>
          </cell>
          <cell r="J116">
            <v>-8625.6147659195012</v>
          </cell>
          <cell r="K116">
            <v>-9677.1835993125642</v>
          </cell>
        </row>
      </sheetData>
      <sheetData sheetId="1">
        <row r="1">
          <cell r="A1" t="str">
            <v>Sales</v>
          </cell>
        </row>
        <row r="2">
          <cell r="B2">
            <v>1994</v>
          </cell>
          <cell r="C2">
            <v>1995</v>
          </cell>
          <cell r="D2">
            <v>1996</v>
          </cell>
          <cell r="E2">
            <v>1997</v>
          </cell>
          <cell r="F2">
            <v>1998</v>
          </cell>
          <cell r="G2">
            <v>1999</v>
          </cell>
          <cell r="H2">
            <v>2000</v>
          </cell>
          <cell r="I2">
            <v>2001</v>
          </cell>
          <cell r="J2">
            <v>2002</v>
          </cell>
          <cell r="K2">
            <v>2003</v>
          </cell>
          <cell r="L2" t="str">
            <v>2004E</v>
          </cell>
        </row>
        <row r="3">
          <cell r="A3" t="str">
            <v>Tires</v>
          </cell>
          <cell r="B3">
            <v>68422.822</v>
          </cell>
          <cell r="C3">
            <v>81802.369000000006</v>
          </cell>
          <cell r="D3">
            <v>100249.84899999999</v>
          </cell>
          <cell r="E3">
            <v>111727.95699999999</v>
          </cell>
          <cell r="F3">
            <v>123852.72899999999</v>
          </cell>
          <cell r="G3">
            <v>159278.90299999999</v>
          </cell>
          <cell r="H3">
            <v>205792.86249</v>
          </cell>
          <cell r="I3">
            <v>253552.89049000002</v>
          </cell>
          <cell r="J3">
            <v>292126.35200000001</v>
          </cell>
          <cell r="K3">
            <v>331419.24836999999</v>
          </cell>
          <cell r="L3">
            <v>374959.97161000001</v>
          </cell>
        </row>
        <row r="4">
          <cell r="A4" t="str">
            <v>Wheels</v>
          </cell>
          <cell r="B4">
            <v>16682.366999999998</v>
          </cell>
          <cell r="C4">
            <v>18211.904000000002</v>
          </cell>
          <cell r="D4">
            <v>20478.745000000003</v>
          </cell>
          <cell r="E4">
            <v>20795.241999999998</v>
          </cell>
          <cell r="F4">
            <v>23678.703000000001</v>
          </cell>
          <cell r="G4">
            <v>28841.605</v>
          </cell>
          <cell r="H4">
            <v>39194.410749999995</v>
          </cell>
          <cell r="I4">
            <v>43001.088775931632</v>
          </cell>
          <cell r="J4">
            <v>50443.445988682884</v>
          </cell>
          <cell r="K4">
            <v>52272.845580000001</v>
          </cell>
          <cell r="L4">
            <v>52335.303069999994</v>
          </cell>
        </row>
        <row r="5">
          <cell r="A5" t="str">
            <v>Accessories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5150.2028840683706</v>
          </cell>
          <cell r="J5">
            <v>8022.9831113171158</v>
          </cell>
          <cell r="K5">
            <v>12202.759460000001</v>
          </cell>
          <cell r="L5">
            <v>13390.323399999997</v>
          </cell>
        </row>
        <row r="18">
          <cell r="A18" t="str">
            <v>Accessories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5150.2028840683706</v>
          </cell>
          <cell r="J18">
            <v>8022.9831113171158</v>
          </cell>
          <cell r="K18">
            <v>12202.759460000001</v>
          </cell>
          <cell r="L18">
            <v>13390.323399999997</v>
          </cell>
        </row>
        <row r="19">
          <cell r="A19" t="str">
            <v>Margins</v>
          </cell>
        </row>
        <row r="20">
          <cell r="B20">
            <v>1994</v>
          </cell>
          <cell r="C20">
            <v>1995</v>
          </cell>
          <cell r="D20">
            <v>1996</v>
          </cell>
          <cell r="E20">
            <v>1997</v>
          </cell>
          <cell r="F20">
            <v>1998</v>
          </cell>
          <cell r="G20">
            <v>1999</v>
          </cell>
          <cell r="H20">
            <v>2000</v>
          </cell>
          <cell r="I20">
            <v>2001</v>
          </cell>
          <cell r="J20">
            <v>2002</v>
          </cell>
          <cell r="K20">
            <v>2003</v>
          </cell>
          <cell r="L20" t="str">
            <v>2004E</v>
          </cell>
        </row>
        <row r="21">
          <cell r="A21" t="str">
            <v>Tires</v>
          </cell>
          <cell r="B21">
            <v>0.13121005152345225</v>
          </cell>
          <cell r="C21">
            <v>0.12480823140953302</v>
          </cell>
          <cell r="D21">
            <v>0.14080166843942071</v>
          </cell>
          <cell r="E21">
            <v>0.15034698969748458</v>
          </cell>
          <cell r="F21">
            <v>0.15016923317046968</v>
          </cell>
          <cell r="G21">
            <v>0.14515975791219499</v>
          </cell>
          <cell r="H21">
            <v>0.15122623604845509</v>
          </cell>
          <cell r="I21">
            <v>0.16000862806807595</v>
          </cell>
          <cell r="J21">
            <v>0.15885292727716657</v>
          </cell>
          <cell r="K21">
            <v>0.16063312955367548</v>
          </cell>
          <cell r="L21">
            <v>0.15778213094579349</v>
          </cell>
        </row>
        <row r="22">
          <cell r="A22" t="str">
            <v>Wheels</v>
          </cell>
          <cell r="B22">
            <v>0.2866636371205597</v>
          </cell>
          <cell r="C22">
            <v>0.26998599377637839</v>
          </cell>
          <cell r="D22">
            <v>0.2669044904851347</v>
          </cell>
          <cell r="E22">
            <v>0.28858529273186634</v>
          </cell>
          <cell r="F22">
            <v>0.29424580898708846</v>
          </cell>
          <cell r="G22">
            <v>0.30241014673073841</v>
          </cell>
          <cell r="H22">
            <v>0.33043835287152529</v>
          </cell>
          <cell r="I22">
            <v>0.32986158498352314</v>
          </cell>
          <cell r="J22">
            <v>0.29995642058836414</v>
          </cell>
          <cell r="K22">
            <v>0.27511790434271594</v>
          </cell>
          <cell r="L22">
            <v>0.29175555665698755</v>
          </cell>
        </row>
        <row r="23">
          <cell r="A23" t="str">
            <v>Accessories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0.28053811332820233</v>
          </cell>
          <cell r="J23">
            <v>0.32262562106618636</v>
          </cell>
          <cell r="K23">
            <v>0.34646121919049949</v>
          </cell>
          <cell r="L23">
            <v>0.33304408540274683</v>
          </cell>
        </row>
        <row r="39">
          <cell r="A39" t="str">
            <v>Accessories</v>
          </cell>
          <cell r="B39">
            <v>0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0.28053811332820233</v>
          </cell>
          <cell r="J39">
            <v>0.32262562106618636</v>
          </cell>
          <cell r="K39">
            <v>0.34646121919049949</v>
          </cell>
          <cell r="L39">
            <v>0.33304408540274683</v>
          </cell>
        </row>
        <row r="40">
          <cell r="E40" t="str">
            <v>2000A</v>
          </cell>
          <cell r="F40" t="str">
            <v>2001A</v>
          </cell>
          <cell r="G40" t="str">
            <v>2002A</v>
          </cell>
          <cell r="H40" t="str">
            <v>2003A</v>
          </cell>
          <cell r="I40" t="str">
            <v>2004E</v>
          </cell>
          <cell r="J40" t="str">
            <v>2005P</v>
          </cell>
          <cell r="K40" t="str">
            <v>2006P</v>
          </cell>
          <cell r="L40" t="str">
            <v>2007P</v>
          </cell>
          <cell r="M40" t="str">
            <v>2008P</v>
          </cell>
          <cell r="N40" t="str">
            <v>2009P</v>
          </cell>
        </row>
        <row r="41">
          <cell r="D41" t="str">
            <v>Tire Sales (in thousands)</v>
          </cell>
          <cell r="E41">
            <v>205792.86249</v>
          </cell>
          <cell r="F41">
            <v>253552.89049000002</v>
          </cell>
          <cell r="G41">
            <v>292126.35200000001</v>
          </cell>
          <cell r="H41">
            <v>331419.24836999999</v>
          </cell>
          <cell r="I41">
            <v>374959.97161000001</v>
          </cell>
          <cell r="J41">
            <v>421507.67326104181</v>
          </cell>
          <cell r="K41">
            <v>473246.23135272268</v>
          </cell>
          <cell r="L41">
            <v>531629.14286623208</v>
          </cell>
          <cell r="M41">
            <v>597526.91058935411</v>
          </cell>
          <cell r="N41">
            <v>671924.25188649341</v>
          </cell>
          <cell r="O41">
            <v>0</v>
          </cell>
          <cell r="P41">
            <v>0</v>
          </cell>
          <cell r="Q41">
            <v>0</v>
          </cell>
          <cell r="R41">
            <v>1994</v>
          </cell>
          <cell r="S41">
            <v>1995</v>
          </cell>
          <cell r="T41">
            <v>1996</v>
          </cell>
          <cell r="U41">
            <v>1997</v>
          </cell>
          <cell r="V41">
            <v>1998</v>
          </cell>
          <cell r="W41">
            <v>1999</v>
          </cell>
          <cell r="X41">
            <v>2000</v>
          </cell>
          <cell r="Y41">
            <v>2001</v>
          </cell>
          <cell r="Z41">
            <v>2002</v>
          </cell>
          <cell r="AA41">
            <v>2003</v>
          </cell>
          <cell r="AB41" t="str">
            <v>2004E</v>
          </cell>
        </row>
        <row r="42">
          <cell r="D42" t="str">
            <v>Gross Margin</v>
          </cell>
          <cell r="E42">
            <v>0.15122623604845509</v>
          </cell>
          <cell r="F42">
            <v>0.16000862806807595</v>
          </cell>
          <cell r="G42">
            <v>0.15885292727716657</v>
          </cell>
          <cell r="H42">
            <v>0.16063312955367548</v>
          </cell>
          <cell r="I42">
            <v>0.15778213094579349</v>
          </cell>
          <cell r="J42">
            <v>0.15184246113842781</v>
          </cell>
          <cell r="K42">
            <v>0.15160202660252839</v>
          </cell>
          <cell r="L42">
            <v>0.15134920926345544</v>
          </cell>
          <cell r="M42">
            <v>0.15108504168601744</v>
          </cell>
          <cell r="N42">
            <v>0.15081056811534091</v>
          </cell>
          <cell r="O42">
            <v>0</v>
          </cell>
          <cell r="P42">
            <v>0</v>
          </cell>
          <cell r="Q42" t="str">
            <v>Revenue (in thousands)</v>
          </cell>
          <cell r="R42">
            <v>91643.911999999997</v>
          </cell>
          <cell r="S42">
            <v>107131.27700000002</v>
          </cell>
          <cell r="T42">
            <v>130345.81699999998</v>
          </cell>
          <cell r="U42">
            <v>147488.01300000001</v>
          </cell>
          <cell r="V42">
            <v>163953.95300000001</v>
          </cell>
          <cell r="W42">
            <v>207988.50599999999</v>
          </cell>
          <cell r="X42">
            <v>267828.31935000001</v>
          </cell>
          <cell r="Y42">
            <v>327527.75358000002</v>
          </cell>
          <cell r="Z42">
            <v>382154.50950999995</v>
          </cell>
          <cell r="AA42">
            <v>431620.73093999998</v>
          </cell>
          <cell r="AB42">
            <v>478909.20870000002</v>
          </cell>
        </row>
        <row r="59">
          <cell r="D59" t="str">
            <v>Gross Margin</v>
          </cell>
          <cell r="E59">
            <v>0.15122623604845509</v>
          </cell>
          <cell r="F59">
            <v>0.16000862806807595</v>
          </cell>
          <cell r="G59">
            <v>0.15885292727716657</v>
          </cell>
          <cell r="H59">
            <v>0.16063312955367548</v>
          </cell>
          <cell r="I59">
            <v>0.15778213094579349</v>
          </cell>
          <cell r="J59">
            <v>0.15184246113842781</v>
          </cell>
          <cell r="K59">
            <v>0.15160202660252839</v>
          </cell>
          <cell r="L59">
            <v>0.15134920926345544</v>
          </cell>
          <cell r="M59">
            <v>0.15108504168601744</v>
          </cell>
          <cell r="N59">
            <v>0.15081056811534091</v>
          </cell>
          <cell r="O59">
            <v>0</v>
          </cell>
          <cell r="P59">
            <v>0</v>
          </cell>
          <cell r="Q59" t="str">
            <v>Revenue (in thousands)</v>
          </cell>
          <cell r="R59">
            <v>91643.911999999997</v>
          </cell>
          <cell r="S59">
            <v>107131.27700000002</v>
          </cell>
          <cell r="T59">
            <v>130345.81699999998</v>
          </cell>
          <cell r="U59">
            <v>147488.01300000001</v>
          </cell>
          <cell r="V59">
            <v>163953.95300000001</v>
          </cell>
          <cell r="W59">
            <v>207988.50599999999</v>
          </cell>
          <cell r="X59">
            <v>267828.31935000001</v>
          </cell>
          <cell r="Y59">
            <v>327527.75358000002</v>
          </cell>
          <cell r="Z59">
            <v>382154.50950999995</v>
          </cell>
          <cell r="AA59">
            <v>431620.73093999998</v>
          </cell>
          <cell r="AB59">
            <v>478909.20870000002</v>
          </cell>
        </row>
        <row r="60">
          <cell r="E60" t="str">
            <v>2000A</v>
          </cell>
          <cell r="F60" t="str">
            <v>2001A</v>
          </cell>
          <cell r="G60" t="str">
            <v>2002A</v>
          </cell>
          <cell r="H60" t="str">
            <v>2003A</v>
          </cell>
          <cell r="I60" t="str">
            <v>2004E</v>
          </cell>
          <cell r="J60" t="str">
            <v>2005P</v>
          </cell>
          <cell r="K60" t="str">
            <v>2006P</v>
          </cell>
          <cell r="L60" t="str">
            <v>2007P</v>
          </cell>
          <cell r="M60" t="str">
            <v>2008P</v>
          </cell>
          <cell r="N60" t="str">
            <v>2009P</v>
          </cell>
        </row>
        <row r="61">
          <cell r="D61" t="str">
            <v>Wholesale tire sales (in thousands)</v>
          </cell>
          <cell r="E61">
            <v>132962.2691</v>
          </cell>
          <cell r="F61">
            <v>159544.67511000001</v>
          </cell>
          <cell r="G61">
            <v>172127.19077000002</v>
          </cell>
          <cell r="H61">
            <v>185427.47263999999</v>
          </cell>
          <cell r="I61">
            <v>220034.91929999998</v>
          </cell>
          <cell r="J61">
            <v>250495.4098765722</v>
          </cell>
          <cell r="K61">
            <v>282096.73300076806</v>
          </cell>
          <cell r="L61">
            <v>317958.45090935129</v>
          </cell>
          <cell r="M61">
            <v>358667.47507736832</v>
          </cell>
          <cell r="N61">
            <v>404891.05054981646</v>
          </cell>
        </row>
        <row r="62">
          <cell r="D62" t="str">
            <v>Wholesale tire margin</v>
          </cell>
          <cell r="E62">
            <v>0.12532438490100958</v>
          </cell>
          <cell r="F62">
            <v>0.13038497768799384</v>
          </cell>
          <cell r="G62">
            <v>0.1251822145217712</v>
          </cell>
          <cell r="H62">
            <v>0.12268164153952184</v>
          </cell>
          <cell r="I62">
            <v>0.1224211507534476</v>
          </cell>
          <cell r="J62">
            <v>0.11496843147439322</v>
          </cell>
          <cell r="K62">
            <v>0.1148375280994169</v>
          </cell>
          <cell r="L62">
            <v>0.11471572749339955</v>
          </cell>
          <cell r="M62">
            <v>0.11460257034405964</v>
          </cell>
          <cell r="N62">
            <v>0.11449759099252621</v>
          </cell>
        </row>
        <row r="76">
          <cell r="D76" t="str">
            <v>Wholesale tire margin</v>
          </cell>
          <cell r="E76">
            <v>0.12532438490100958</v>
          </cell>
          <cell r="F76">
            <v>0.13038497768799384</v>
          </cell>
          <cell r="G76">
            <v>0.1251822145217712</v>
          </cell>
          <cell r="H76">
            <v>0.12268164153952184</v>
          </cell>
          <cell r="I76">
            <v>0.1224211507534476</v>
          </cell>
          <cell r="J76">
            <v>0.11496843147439322</v>
          </cell>
          <cell r="K76">
            <v>0.1148375280994169</v>
          </cell>
          <cell r="L76">
            <v>0.11471572749339955</v>
          </cell>
          <cell r="M76">
            <v>0.11460257034405964</v>
          </cell>
          <cell r="N76">
            <v>0.11449759099252621</v>
          </cell>
        </row>
        <row r="77">
          <cell r="E77" t="str">
            <v>2000A</v>
          </cell>
          <cell r="F77" t="str">
            <v>2001A</v>
          </cell>
          <cell r="G77" t="str">
            <v>2002A</v>
          </cell>
          <cell r="H77" t="str">
            <v>2003A</v>
          </cell>
          <cell r="I77" t="str">
            <v>2004E</v>
          </cell>
          <cell r="J77" t="str">
            <v>2005P</v>
          </cell>
          <cell r="K77" t="str">
            <v>2006P</v>
          </cell>
          <cell r="L77" t="str">
            <v>2007P</v>
          </cell>
          <cell r="M77" t="str">
            <v>2008P</v>
          </cell>
          <cell r="N77" t="str">
            <v>2009P</v>
          </cell>
        </row>
        <row r="78">
          <cell r="D78" t="str">
            <v>Retail tire sales (in thousands)</v>
          </cell>
          <cell r="E78">
            <v>72830.593389999995</v>
          </cell>
          <cell r="F78">
            <v>94008.215380000009</v>
          </cell>
          <cell r="G78">
            <v>119999.16122999998</v>
          </cell>
          <cell r="H78">
            <v>145991.77572999999</v>
          </cell>
          <cell r="I78">
            <v>154925.05231</v>
          </cell>
          <cell r="J78">
            <v>171012.26338446961</v>
          </cell>
          <cell r="K78">
            <v>191149.49835195462</v>
          </cell>
          <cell r="L78">
            <v>213670.69195688082</v>
          </cell>
          <cell r="M78">
            <v>238859.43551198579</v>
          </cell>
          <cell r="N78">
            <v>267033.20133667695</v>
          </cell>
        </row>
        <row r="79">
          <cell r="D79" t="str">
            <v>Retail tire margin</v>
          </cell>
          <cell r="E79">
            <v>0.19851362919123391</v>
          </cell>
          <cell r="F79">
            <v>0.21028397534871313</v>
          </cell>
          <cell r="G79">
            <v>0.20715030817886651</v>
          </cell>
          <cell r="H79">
            <v>0.20883617708976818</v>
          </cell>
          <cell r="I79">
            <v>0.20800415964275881</v>
          </cell>
          <cell r="J79">
            <v>0.20585481669521685</v>
          </cell>
          <cell r="K79">
            <v>0.20585874716709637</v>
          </cell>
          <cell r="L79">
            <v>0.20586265239571958</v>
          </cell>
          <cell r="M79">
            <v>0.20586653211680186</v>
          </cell>
          <cell r="N79">
            <v>0.20587038607898991</v>
          </cell>
        </row>
        <row r="80">
          <cell r="P80">
            <v>4862.0809999999956</v>
          </cell>
          <cell r="Q80">
            <v>0</v>
          </cell>
          <cell r="R80">
            <v>1994</v>
          </cell>
          <cell r="S80">
            <v>1995</v>
          </cell>
          <cell r="T80">
            <v>1996</v>
          </cell>
          <cell r="U80">
            <v>1997</v>
          </cell>
          <cell r="V80">
            <v>1998</v>
          </cell>
          <cell r="W80">
            <v>1999</v>
          </cell>
          <cell r="X80">
            <v>2000</v>
          </cell>
          <cell r="Y80">
            <v>2001</v>
          </cell>
          <cell r="Z80">
            <v>2002</v>
          </cell>
          <cell r="AA80">
            <v>2003</v>
          </cell>
          <cell r="AB80" t="str">
            <v>2004E</v>
          </cell>
        </row>
        <row r="81">
          <cell r="Q81" t="str">
            <v>EBITDA (in thousands)</v>
          </cell>
          <cell r="R81">
            <v>6517.6380000000026</v>
          </cell>
          <cell r="S81">
            <v>6408.4420000000246</v>
          </cell>
          <cell r="T81">
            <v>9829.3629999999848</v>
          </cell>
          <cell r="U81">
            <v>11838.001000000004</v>
          </cell>
          <cell r="V81">
            <v>13103.910709999995</v>
          </cell>
          <cell r="W81">
            <v>17070.70594999997</v>
          </cell>
          <cell r="X81">
            <v>26136.231840000015</v>
          </cell>
          <cell r="Y81">
            <v>31918.366660000022</v>
          </cell>
          <cell r="Z81">
            <v>38999.712519999928</v>
          </cell>
          <cell r="AA81">
            <v>45724.60121999996</v>
          </cell>
          <cell r="AB81">
            <v>57717.065960000007</v>
          </cell>
        </row>
        <row r="94">
          <cell r="Q94" t="str">
            <v>EBITDA (in thousands)</v>
          </cell>
          <cell r="R94">
            <v>6517.6380000000026</v>
          </cell>
          <cell r="S94">
            <v>6408.4420000000246</v>
          </cell>
          <cell r="T94">
            <v>9829.3629999999848</v>
          </cell>
          <cell r="U94">
            <v>11838.001000000004</v>
          </cell>
          <cell r="V94">
            <v>13103.910709999995</v>
          </cell>
          <cell r="W94">
            <v>17070.70594999997</v>
          </cell>
          <cell r="X94">
            <v>26136.231840000015</v>
          </cell>
          <cell r="Y94">
            <v>31918.366660000022</v>
          </cell>
          <cell r="Z94">
            <v>38999.712519999928</v>
          </cell>
          <cell r="AA94">
            <v>45724.60121999996</v>
          </cell>
          <cell r="AB94">
            <v>57717.065960000007</v>
          </cell>
        </row>
        <row r="95">
          <cell r="E95" t="str">
            <v>2000A</v>
          </cell>
          <cell r="F95" t="str">
            <v>2001A</v>
          </cell>
          <cell r="G95" t="str">
            <v>2002A</v>
          </cell>
          <cell r="H95" t="str">
            <v>2003A</v>
          </cell>
          <cell r="I95" t="str">
            <v>2004E</v>
          </cell>
          <cell r="J95" t="str">
            <v>2005P</v>
          </cell>
          <cell r="K95" t="str">
            <v>2006P</v>
          </cell>
          <cell r="L95" t="str">
            <v>2007P</v>
          </cell>
          <cell r="M95" t="str">
            <v>2008P</v>
          </cell>
          <cell r="N95" t="str">
            <v>2009P</v>
          </cell>
        </row>
        <row r="96">
          <cell r="D96" t="str">
            <v>Wheel sales (in thousands)</v>
          </cell>
          <cell r="E96">
            <v>39194.410749999995</v>
          </cell>
          <cell r="F96">
            <v>43001.088775931632</v>
          </cell>
          <cell r="G96">
            <v>50443.445988682884</v>
          </cell>
          <cell r="H96">
            <v>52272.845580000001</v>
          </cell>
          <cell r="I96">
            <v>52335.303069999994</v>
          </cell>
          <cell r="J96">
            <v>54787.233671967508</v>
          </cell>
          <cell r="K96">
            <v>57204.419904019043</v>
          </cell>
          <cell r="L96">
            <v>59773.999126126277</v>
          </cell>
          <cell r="M96">
            <v>62471.387808903448</v>
          </cell>
          <cell r="N96">
            <v>65302.810067314989</v>
          </cell>
        </row>
        <row r="97">
          <cell r="D97" t="str">
            <v>Wheel margins</v>
          </cell>
          <cell r="E97">
            <v>0.33043835287152529</v>
          </cell>
          <cell r="F97">
            <v>0.32986158498352314</v>
          </cell>
          <cell r="G97">
            <v>0.29995642058836414</v>
          </cell>
          <cell r="H97">
            <v>0.27511790434271594</v>
          </cell>
          <cell r="I97">
            <v>0.29175555665698755</v>
          </cell>
          <cell r="J97">
            <v>0.29135636348046084</v>
          </cell>
          <cell r="K97">
            <v>0.29092917415810227</v>
          </cell>
          <cell r="L97">
            <v>0.29044753416736691</v>
          </cell>
          <cell r="M97">
            <v>0.28998773840436992</v>
          </cell>
          <cell r="N97">
            <v>0.28954889131183559</v>
          </cell>
        </row>
        <row r="111">
          <cell r="D111" t="str">
            <v>Wheel margins</v>
          </cell>
          <cell r="E111">
            <v>0.33043835287152529</v>
          </cell>
          <cell r="F111">
            <v>0.32986158498352314</v>
          </cell>
          <cell r="G111">
            <v>0.29995642058836414</v>
          </cell>
          <cell r="H111">
            <v>0.27511790434271594</v>
          </cell>
          <cell r="I111">
            <v>0.29175555665698755</v>
          </cell>
          <cell r="J111">
            <v>0.29135636348046084</v>
          </cell>
          <cell r="K111">
            <v>0.29092917415810227</v>
          </cell>
          <cell r="L111">
            <v>0.29044753416736691</v>
          </cell>
          <cell r="M111">
            <v>0.28998773840436992</v>
          </cell>
          <cell r="N111">
            <v>0.28954889131183559</v>
          </cell>
        </row>
        <row r="112">
          <cell r="E112" t="str">
            <v>2000A</v>
          </cell>
          <cell r="F112" t="str">
            <v>2001A</v>
          </cell>
          <cell r="G112" t="str">
            <v>2002A</v>
          </cell>
          <cell r="H112" t="str">
            <v>2003A</v>
          </cell>
          <cell r="I112" t="str">
            <v>2004E</v>
          </cell>
          <cell r="J112" t="str">
            <v>2005P</v>
          </cell>
          <cell r="K112" t="str">
            <v>2006P</v>
          </cell>
          <cell r="L112" t="str">
            <v>2007P</v>
          </cell>
          <cell r="M112" t="str">
            <v>2008P</v>
          </cell>
          <cell r="N112" t="str">
            <v>2009P</v>
          </cell>
        </row>
        <row r="113">
          <cell r="D113" t="str">
            <v>Wholesale wheel sales (in thousands)</v>
          </cell>
          <cell r="E113">
            <v>17870.343219999999</v>
          </cell>
          <cell r="F113">
            <v>19349.260534886409</v>
          </cell>
          <cell r="G113">
            <v>22797.895476852831</v>
          </cell>
          <cell r="H113">
            <v>22996.387039999998</v>
          </cell>
          <cell r="I113">
            <v>22507.44414</v>
          </cell>
          <cell r="J113">
            <v>23375.711843686502</v>
          </cell>
          <cell r="K113">
            <v>24419.242733452687</v>
          </cell>
          <cell r="L113">
            <v>25547.386289654441</v>
          </cell>
          <cell r="M113">
            <v>26731.302814290633</v>
          </cell>
          <cell r="N113">
            <v>27973.711657460219</v>
          </cell>
        </row>
        <row r="114">
          <cell r="D114" t="str">
            <v>Wholesale wheel margins</v>
          </cell>
          <cell r="E114">
            <v>0.24984094121948275</v>
          </cell>
          <cell r="F114">
            <v>0.24408598821129637</v>
          </cell>
          <cell r="G114">
            <v>0.21276183934379148</v>
          </cell>
          <cell r="H114">
            <v>0.17967675934541083</v>
          </cell>
          <cell r="I114">
            <v>0.19996870564528701</v>
          </cell>
          <cell r="J114">
            <v>0.1990154354451531</v>
          </cell>
          <cell r="K114">
            <v>0.19866506148188218</v>
          </cell>
          <cell r="L114">
            <v>0.19830295112008509</v>
          </cell>
          <cell r="M114">
            <v>0.19795732844667413</v>
          </cell>
          <cell r="N114">
            <v>0.19762744595789913</v>
          </cell>
        </row>
        <row r="116">
          <cell r="D116" t="str">
            <v>Wholesale wheel margins</v>
          </cell>
          <cell r="E116">
            <v>0.24984094121948275</v>
          </cell>
          <cell r="F116">
            <v>0.24408598821129637</v>
          </cell>
          <cell r="G116">
            <v>0.21276183934379148</v>
          </cell>
          <cell r="H116">
            <v>0.17967675934541083</v>
          </cell>
          <cell r="I116">
            <v>0.19996870564528701</v>
          </cell>
          <cell r="J116">
            <v>0.1990154354451531</v>
          </cell>
          <cell r="K116">
            <v>0.19866506148188218</v>
          </cell>
          <cell r="L116">
            <v>0.19830295112008509</v>
          </cell>
          <cell r="M116">
            <v>0.19795732844667413</v>
          </cell>
          <cell r="N116">
            <v>0.19762744595789913</v>
          </cell>
        </row>
        <row r="117">
          <cell r="R117">
            <v>1994</v>
          </cell>
          <cell r="S117">
            <v>1995</v>
          </cell>
          <cell r="T117">
            <v>1996</v>
          </cell>
          <cell r="U117">
            <v>1997</v>
          </cell>
          <cell r="V117">
            <v>1998</v>
          </cell>
          <cell r="W117">
            <v>1999</v>
          </cell>
          <cell r="X117">
            <v>2000</v>
          </cell>
          <cell r="Y117">
            <v>2001</v>
          </cell>
          <cell r="Z117">
            <v>2002</v>
          </cell>
          <cell r="AA117">
            <v>2003</v>
          </cell>
          <cell r="AB117" t="str">
            <v>2004E</v>
          </cell>
        </row>
        <row r="118">
          <cell r="Q118" t="str">
            <v>Gross Margin</v>
          </cell>
          <cell r="R118">
            <v>0.18923015857289027</v>
          </cell>
          <cell r="S118">
            <v>0.17762926507447513</v>
          </cell>
          <cell r="T118">
            <v>0.18921673566248765</v>
          </cell>
          <cell r="U118">
            <v>0.19492825494909885</v>
          </cell>
          <cell r="V118">
            <v>0.19558695519832933</v>
          </cell>
          <cell r="W118">
            <v>0.19339791305583001</v>
          </cell>
          <cell r="X118">
            <v>0.20242680569245791</v>
          </cell>
          <cell r="Y118">
            <v>0.20620358507574149</v>
          </cell>
          <cell r="Z118">
            <v>0.20803781145923453</v>
          </cell>
          <cell r="AA118">
            <v>0.20511005573619345</v>
          </cell>
          <cell r="AB118">
            <v>0.21193024282307982</v>
          </cell>
        </row>
        <row r="119">
          <cell r="Q119" t="str">
            <v>EBITDA Margin</v>
          </cell>
          <cell r="R119">
            <v>7.1119159557483783E-2</v>
          </cell>
          <cell r="S119">
            <v>5.9818590606364408E-2</v>
          </cell>
          <cell r="T119">
            <v>7.5409884461424534E-2</v>
          </cell>
          <cell r="U119">
            <v>8.0264156789474156E-2</v>
          </cell>
          <cell r="V119">
            <v>7.9924335279674491E-2</v>
          </cell>
          <cell r="W119">
            <v>8.2075237128728509E-2</v>
          </cell>
          <cell r="X119">
            <v>9.7585766521743347E-2</v>
          </cell>
          <cell r="Y119">
            <v>9.7452403074610977E-2</v>
          </cell>
          <cell r="Z119">
            <v>0.10205221068830383</v>
          </cell>
          <cell r="AA119">
            <v>0.10593699037675783</v>
          </cell>
          <cell r="AB119">
            <v>0.12051776184607746</v>
          </cell>
        </row>
        <row r="127">
          <cell r="Q127" t="str">
            <v>EBITDA Margin</v>
          </cell>
          <cell r="R127">
            <v>7.1119159557483783E-2</v>
          </cell>
          <cell r="S127">
            <v>5.9818590606364408E-2</v>
          </cell>
          <cell r="T127">
            <v>7.5409884461424534E-2</v>
          </cell>
          <cell r="U127">
            <v>8.0264156789474156E-2</v>
          </cell>
          <cell r="V127">
            <v>7.9924335279674491E-2</v>
          </cell>
          <cell r="W127">
            <v>8.2075237128728509E-2</v>
          </cell>
          <cell r="X127">
            <v>9.7585766521743347E-2</v>
          </cell>
          <cell r="Y127">
            <v>9.7452403074610977E-2</v>
          </cell>
          <cell r="Z127">
            <v>0.10205221068830383</v>
          </cell>
          <cell r="AA127">
            <v>0.10593699037675783</v>
          </cell>
          <cell r="AB127">
            <v>0.12051776184607746</v>
          </cell>
        </row>
        <row r="128">
          <cell r="E128" t="str">
            <v>2000A</v>
          </cell>
          <cell r="F128" t="str">
            <v>2001A</v>
          </cell>
          <cell r="G128" t="str">
            <v>2002A</v>
          </cell>
          <cell r="H128" t="str">
            <v>2003A</v>
          </cell>
          <cell r="I128" t="str">
            <v>2004E</v>
          </cell>
          <cell r="J128" t="str">
            <v>2005P</v>
          </cell>
          <cell r="K128" t="str">
            <v>2006P</v>
          </cell>
          <cell r="L128" t="str">
            <v>2007P</v>
          </cell>
          <cell r="M128" t="str">
            <v>2008P</v>
          </cell>
          <cell r="N128" t="str">
            <v>2009P</v>
          </cell>
        </row>
        <row r="129">
          <cell r="D129" t="str">
            <v>Retail wheel sales (in thousands)</v>
          </cell>
          <cell r="E129">
            <v>21324.06753</v>
          </cell>
          <cell r="F129">
            <v>23651.828241045223</v>
          </cell>
          <cell r="G129">
            <v>27645.550511830053</v>
          </cell>
          <cell r="H129">
            <v>29276.458540000003</v>
          </cell>
          <cell r="I129">
            <v>29827.858929999999</v>
          </cell>
          <cell r="J129">
            <v>31411.521828281002</v>
          </cell>
          <cell r="K129">
            <v>32785.177170566356</v>
          </cell>
          <cell r="L129">
            <v>34226.612836471832</v>
          </cell>
          <cell r="M129">
            <v>35740.084994612815</v>
          </cell>
          <cell r="N129">
            <v>37329.098409854771</v>
          </cell>
        </row>
        <row r="130">
          <cell r="D130" t="str">
            <v>Retail wheel margins</v>
          </cell>
          <cell r="E130">
            <v>0.39798191166204772</v>
          </cell>
          <cell r="F130">
            <v>0.40003351218367733</v>
          </cell>
          <cell r="G130">
            <v>0.37186140755945302</v>
          </cell>
          <cell r="H130">
            <v>0.35008603981238223</v>
          </cell>
          <cell r="I130">
            <v>0.36101588897854547</v>
          </cell>
          <cell r="J130">
            <v>0.3600742987951559</v>
          </cell>
          <cell r="K130">
            <v>0.35964985702358782</v>
          </cell>
          <cell r="L130">
            <v>0.35922598060187877</v>
          </cell>
          <cell r="M130">
            <v>0.35882061211111377</v>
          </cell>
          <cell r="N130">
            <v>0.35843306256171414</v>
          </cell>
        </row>
        <row r="145">
          <cell r="D145" t="str">
            <v>Retail wheel margins</v>
          </cell>
          <cell r="E145">
            <v>0.39798191166204772</v>
          </cell>
          <cell r="F145">
            <v>0.40003351218367733</v>
          </cell>
          <cell r="G145">
            <v>0.37186140755945302</v>
          </cell>
          <cell r="H145">
            <v>0.35008603981238223</v>
          </cell>
          <cell r="I145">
            <v>0.36101588897854547</v>
          </cell>
          <cell r="J145">
            <v>0.3600742987951559</v>
          </cell>
          <cell r="K145">
            <v>0.35964985702358782</v>
          </cell>
          <cell r="L145">
            <v>0.35922598060187877</v>
          </cell>
          <cell r="M145">
            <v>0.35882061211111377</v>
          </cell>
          <cell r="N145">
            <v>0.35843306256171414</v>
          </cell>
        </row>
        <row r="146">
          <cell r="E146" t="str">
            <v>2001A</v>
          </cell>
          <cell r="F146" t="str">
            <v>2002A</v>
          </cell>
          <cell r="G146" t="str">
            <v>2003A</v>
          </cell>
          <cell r="H146" t="str">
            <v>2004E</v>
          </cell>
          <cell r="I146" t="str">
            <v>2005P</v>
          </cell>
          <cell r="J146" t="str">
            <v>2006P</v>
          </cell>
          <cell r="K146" t="str">
            <v>2007P</v>
          </cell>
          <cell r="L146" t="str">
            <v>2008P</v>
          </cell>
          <cell r="M146" t="str">
            <v>2009P</v>
          </cell>
        </row>
        <row r="147">
          <cell r="D147" t="str">
            <v>Accessory sales (in thousands)</v>
          </cell>
          <cell r="E147">
            <v>5150.2028840683706</v>
          </cell>
          <cell r="F147">
            <v>8022.9831113171158</v>
          </cell>
          <cell r="G147">
            <v>12202.759460000001</v>
          </cell>
          <cell r="H147">
            <v>13390.323399999997</v>
          </cell>
          <cell r="I147">
            <v>13890.649277279997</v>
          </cell>
          <cell r="J147">
            <v>14580.682358643098</v>
          </cell>
          <cell r="K147">
            <v>15304.996624331809</v>
          </cell>
          <cell r="L147">
            <v>16065.295330545028</v>
          </cell>
          <cell r="M147">
            <v>16863.366366943741</v>
          </cell>
        </row>
        <row r="148">
          <cell r="D148" t="str">
            <v>Accessory margins</v>
          </cell>
          <cell r="E148">
            <v>0.28053811332820233</v>
          </cell>
          <cell r="F148">
            <v>0.32262562106618636</v>
          </cell>
          <cell r="G148">
            <v>0.34646121919049949</v>
          </cell>
          <cell r="H148">
            <v>0.33304408540274683</v>
          </cell>
          <cell r="I148">
            <v>0.33113989294278567</v>
          </cell>
          <cell r="J148">
            <v>0.3283794991159707</v>
          </cell>
          <cell r="K148">
            <v>0.328420310329957</v>
          </cell>
          <cell r="L148">
            <v>0.32846110781916293</v>
          </cell>
          <cell r="M148">
            <v>0.32850189157200038</v>
          </cell>
        </row>
        <row r="153">
          <cell r="D153" t="str">
            <v>Accessory margins</v>
          </cell>
          <cell r="E153">
            <v>0.28053811332820233</v>
          </cell>
          <cell r="F153">
            <v>0.32262562106618636</v>
          </cell>
          <cell r="G153">
            <v>0.34646121919049949</v>
          </cell>
          <cell r="H153">
            <v>0.33304408540274683</v>
          </cell>
          <cell r="I153">
            <v>0.33113989294278567</v>
          </cell>
          <cell r="J153">
            <v>0.3283794991159707</v>
          </cell>
          <cell r="K153">
            <v>0.328420310329957</v>
          </cell>
          <cell r="L153">
            <v>0.32846110781916293</v>
          </cell>
          <cell r="M153">
            <v>0.32850189157200038</v>
          </cell>
        </row>
        <row r="154">
          <cell r="R154" t="str">
            <v>2004E</v>
          </cell>
          <cell r="S154">
            <v>2005</v>
          </cell>
          <cell r="T154">
            <v>2006</v>
          </cell>
          <cell r="U154">
            <v>2007</v>
          </cell>
          <cell r="V154">
            <v>2008</v>
          </cell>
          <cell r="W154">
            <v>2009</v>
          </cell>
        </row>
        <row r="155">
          <cell r="Q155" t="str">
            <v>EBITDA (in thousands)</v>
          </cell>
          <cell r="R155">
            <v>57717.065960000007</v>
          </cell>
          <cell r="S155">
            <v>59891.307281798159</v>
          </cell>
          <cell r="T155">
            <v>65051.870548510466</v>
          </cell>
          <cell r="U155">
            <v>72837.170477919761</v>
          </cell>
          <cell r="V155">
            <v>81712.064339901102</v>
          </cell>
          <cell r="W155">
            <v>90884.63833215776</v>
          </cell>
          <cell r="X155">
            <v>9.5058315776515911E-2</v>
          </cell>
        </row>
        <row r="156">
          <cell r="Q156" t="str">
            <v>Margin</v>
          </cell>
          <cell r="R156">
            <v>0.12051776184607746</v>
          </cell>
          <cell r="S156">
            <v>0.11238491815661995</v>
          </cell>
          <cell r="T156">
            <v>0.10979756646076214</v>
          </cell>
          <cell r="U156">
            <v>0.11043072001496299</v>
          </cell>
          <cell r="V156">
            <v>0.1111679377687648</v>
          </cell>
          <cell r="W156">
            <v>0.11084450010252841</v>
          </cell>
        </row>
        <row r="164">
          <cell r="Q164" t="str">
            <v>Margin</v>
          </cell>
          <cell r="R164">
            <v>0.12051776184607746</v>
          </cell>
          <cell r="S164">
            <v>0.11238491815661995</v>
          </cell>
          <cell r="T164">
            <v>0.10979756646076214</v>
          </cell>
          <cell r="U164">
            <v>0.11043072001496299</v>
          </cell>
          <cell r="V164">
            <v>0.1111679377687648</v>
          </cell>
          <cell r="W164">
            <v>0.11084450010252841</v>
          </cell>
        </row>
        <row r="165">
          <cell r="E165" t="str">
            <v>2000A</v>
          </cell>
          <cell r="F165" t="str">
            <v>2001A</v>
          </cell>
          <cell r="G165" t="str">
            <v>2002A</v>
          </cell>
          <cell r="H165" t="str">
            <v>2003A</v>
          </cell>
          <cell r="I165" t="str">
            <v>2004E</v>
          </cell>
          <cell r="J165" t="str">
            <v>2005P</v>
          </cell>
          <cell r="K165" t="str">
            <v>2006P</v>
          </cell>
          <cell r="L165" t="str">
            <v>2007P</v>
          </cell>
          <cell r="M165" t="str">
            <v>2008P</v>
          </cell>
          <cell r="N165" t="str">
            <v>2009P</v>
          </cell>
        </row>
        <row r="166">
          <cell r="C166">
            <v>15211.637000000001</v>
          </cell>
          <cell r="D166" t="str">
            <v>Freight sales (in thousands)</v>
          </cell>
          <cell r="E166">
            <v>19651.258549999999</v>
          </cell>
          <cell r="F166">
            <v>24699.732640000002</v>
          </cell>
          <cell r="G166">
            <v>30948.798440000002</v>
          </cell>
          <cell r="H166">
            <v>34738.362209999999</v>
          </cell>
          <cell r="I166">
            <v>36844.461500000005</v>
          </cell>
          <cell r="J166">
            <v>41349.699031268465</v>
          </cell>
          <cell r="K166">
            <v>46058.391417825987</v>
          </cell>
          <cell r="L166">
            <v>51358.914870327972</v>
          </cell>
          <cell r="M166">
            <v>57325.178728201834</v>
          </cell>
          <cell r="N166">
            <v>64043.75616389975</v>
          </cell>
        </row>
        <row r="167">
          <cell r="D167" t="str">
            <v>Freight margins</v>
          </cell>
          <cell r="E167">
            <v>0.19560890363431727</v>
          </cell>
          <cell r="F167">
            <v>0.15370593379831843</v>
          </cell>
          <cell r="G167">
            <v>0.18908343570575162</v>
          </cell>
          <cell r="H167">
            <v>0.1879146714096053</v>
          </cell>
          <cell r="I167">
            <v>0.32576738080430351</v>
          </cell>
          <cell r="J167">
            <v>0.32612366505033441</v>
          </cell>
          <cell r="K167">
            <v>0.32612366505033452</v>
          </cell>
          <cell r="L167">
            <v>0.32612366505033435</v>
          </cell>
          <cell r="M167">
            <v>0.32612366505033424</v>
          </cell>
          <cell r="N167">
            <v>0.32612366505033441</v>
          </cell>
        </row>
        <row r="179">
          <cell r="D179" t="str">
            <v>Freight margins</v>
          </cell>
          <cell r="E179">
            <v>0.19560890363431727</v>
          </cell>
          <cell r="F179">
            <v>0.15370593379831843</v>
          </cell>
          <cell r="G179">
            <v>0.18908343570575162</v>
          </cell>
          <cell r="H179">
            <v>0.1879146714096053</v>
          </cell>
          <cell r="I179">
            <v>0.32576738080430351</v>
          </cell>
          <cell r="J179">
            <v>0.32612366505033441</v>
          </cell>
          <cell r="K179">
            <v>0.32612366505033452</v>
          </cell>
          <cell r="L179">
            <v>0.32612366505033435</v>
          </cell>
          <cell r="M179">
            <v>0.32612366505033424</v>
          </cell>
          <cell r="N179">
            <v>0.32612366505033441</v>
          </cell>
        </row>
        <row r="180">
          <cell r="F180" t="str">
            <v>2000A</v>
          </cell>
          <cell r="G180" t="str">
            <v>2001A</v>
          </cell>
          <cell r="H180" t="str">
            <v>2002A</v>
          </cell>
          <cell r="I180" t="str">
            <v>2003A</v>
          </cell>
          <cell r="J180" t="str">
            <v>2004E</v>
          </cell>
          <cell r="K180" t="str">
            <v>2005P</v>
          </cell>
          <cell r="L180" t="str">
            <v>2006P</v>
          </cell>
          <cell r="M180" t="str">
            <v>2007P</v>
          </cell>
          <cell r="N180" t="str">
            <v>2008P</v>
          </cell>
          <cell r="O180" t="str">
            <v>2009P</v>
          </cell>
        </row>
        <row r="181">
          <cell r="D181" t="str">
            <v>Freight sales growth</v>
          </cell>
          <cell r="E181">
            <v>0</v>
          </cell>
          <cell r="F181">
            <v>0.29185692177640044</v>
          </cell>
          <cell r="G181">
            <v>0.25690334678335414</v>
          </cell>
          <cell r="H181">
            <v>0.25300135394501977</v>
          </cell>
          <cell r="I181">
            <v>0.12244623252003706</v>
          </cell>
          <cell r="J181">
            <v>6.0627477981495925E-2</v>
          </cell>
          <cell r="K181">
            <v>0.12227719846763008</v>
          </cell>
          <cell r="L181">
            <v>0.11387488898037268</v>
          </cell>
          <cell r="M181">
            <v>0.11508268720063297</v>
          </cell>
          <cell r="N181">
            <v>0.11616802794485848</v>
          </cell>
          <cell r="O181">
            <v>0.117201159852514</v>
          </cell>
        </row>
        <row r="184">
          <cell r="D184" t="str">
            <v>Freight sales growth</v>
          </cell>
          <cell r="E184">
            <v>0</v>
          </cell>
          <cell r="F184">
            <v>0.29185692177640044</v>
          </cell>
          <cell r="G184">
            <v>0.25690334678335414</v>
          </cell>
          <cell r="H184">
            <v>0.25300135394501977</v>
          </cell>
          <cell r="I184">
            <v>0.12244623252003706</v>
          </cell>
          <cell r="J184">
            <v>6.0627477981495925E-2</v>
          </cell>
          <cell r="K184">
            <v>0.12227719846763008</v>
          </cell>
          <cell r="L184">
            <v>0.11387488898037268</v>
          </cell>
          <cell r="M184">
            <v>0.11508268720063297</v>
          </cell>
          <cell r="N184">
            <v>0.11616802794485848</v>
          </cell>
          <cell r="O184">
            <v>0.117201159852514</v>
          </cell>
        </row>
        <row r="185">
          <cell r="E185" t="str">
            <v>2000A</v>
          </cell>
          <cell r="F185" t="str">
            <v>2001A</v>
          </cell>
          <cell r="G185" t="str">
            <v>2002A</v>
          </cell>
          <cell r="H185" t="str">
            <v>2003A</v>
          </cell>
          <cell r="I185" t="str">
            <v>2004E</v>
          </cell>
          <cell r="J185" t="str">
            <v>2005P</v>
          </cell>
          <cell r="K185" t="str">
            <v>2006P</v>
          </cell>
          <cell r="L185" t="str">
            <v>2007P</v>
          </cell>
          <cell r="M185" t="str">
            <v>2008P</v>
          </cell>
          <cell r="N185" t="str">
            <v>2009P</v>
          </cell>
        </row>
        <row r="186">
          <cell r="D186" t="str">
            <v>Volume Bonus</v>
          </cell>
          <cell r="E186">
            <v>1767.3320000000158</v>
          </cell>
          <cell r="F186">
            <v>5062.6959999999799</v>
          </cell>
          <cell r="G186">
            <v>3582.7086199999794</v>
          </cell>
          <cell r="H186">
            <v>5860.2414099999633</v>
          </cell>
          <cell r="I186">
            <v>7459.1500000000024</v>
          </cell>
          <cell r="J186">
            <v>7459.15</v>
          </cell>
          <cell r="K186">
            <v>8329.3612326144557</v>
          </cell>
          <cell r="L186">
            <v>9355.4298818720126</v>
          </cell>
          <cell r="M186">
            <v>10513.801584628196</v>
          </cell>
          <cell r="N186">
            <v>11821.860881448516</v>
          </cell>
        </row>
        <row r="187">
          <cell r="D187" t="str">
            <v>% of COGS</v>
          </cell>
          <cell r="E187">
            <v>8.2735347557072268E-3</v>
          </cell>
          <cell r="F187">
            <v>1.947262993364975E-2</v>
          </cell>
          <cell r="G187">
            <v>1.1837719713559713E-2</v>
          </cell>
          <cell r="H187">
            <v>1.7080721361954942E-2</v>
          </cell>
          <cell r="I187">
            <v>1.9805092400893912E-2</v>
          </cell>
          <cell r="J187">
            <v>1.7707738851634739E-2</v>
          </cell>
          <cell r="K187">
            <v>1.775005847285269E-2</v>
          </cell>
          <cell r="L187">
            <v>1.787896050756653E-2</v>
          </cell>
          <cell r="M187">
            <v>1.8001401783546256E-2</v>
          </cell>
          <cell r="N187">
            <v>1.8117519391619562E-2</v>
          </cell>
        </row>
        <row r="202">
          <cell r="D202" t="str">
            <v>% of COGS</v>
          </cell>
          <cell r="E202">
            <v>8.2735347557072268E-3</v>
          </cell>
          <cell r="F202">
            <v>1.947262993364975E-2</v>
          </cell>
          <cell r="G202">
            <v>1.1837719713559713E-2</v>
          </cell>
          <cell r="H202">
            <v>1.7080721361954942E-2</v>
          </cell>
          <cell r="I202">
            <v>1.9805092400893912E-2</v>
          </cell>
          <cell r="J202">
            <v>1.7707738851634739E-2</v>
          </cell>
          <cell r="K202">
            <v>1.775005847285269E-2</v>
          </cell>
          <cell r="L202">
            <v>1.787896050756653E-2</v>
          </cell>
          <cell r="M202">
            <v>1.8001401783546256E-2</v>
          </cell>
          <cell r="N202">
            <v>1.8117519391619562E-2</v>
          </cell>
        </row>
        <row r="203">
          <cell r="F203" t="str">
            <v>2000A</v>
          </cell>
          <cell r="G203" t="str">
            <v>2001A</v>
          </cell>
          <cell r="H203" t="str">
            <v>2002A</v>
          </cell>
          <cell r="I203" t="str">
            <v>2003A</v>
          </cell>
          <cell r="J203" t="str">
            <v>2004E</v>
          </cell>
          <cell r="K203" t="str">
            <v>2005P</v>
          </cell>
          <cell r="L203" t="str">
            <v>2006P</v>
          </cell>
          <cell r="M203" t="str">
            <v>2007P</v>
          </cell>
          <cell r="N203" t="str">
            <v>2008P</v>
          </cell>
          <cell r="O203" t="str">
            <v>2009P</v>
          </cell>
        </row>
        <row r="204">
          <cell r="D204" t="str">
            <v>Volume Bonus Growth</v>
          </cell>
          <cell r="E204">
            <v>0</v>
          </cell>
          <cell r="F204">
            <v>0.23556989830660657</v>
          </cell>
          <cell r="G204">
            <v>1.8645981626541785</v>
          </cell>
          <cell r="H204">
            <v>-0.29233186823779389</v>
          </cell>
          <cell r="I204">
            <v>0.63570137333691323</v>
          </cell>
          <cell r="J204">
            <v>0.27284005523588983</v>
          </cell>
          <cell r="K204">
            <v>0</v>
          </cell>
          <cell r="L204">
            <v>0.11666359204660792</v>
          </cell>
          <cell r="M204">
            <v>0.12318695523011791</v>
          </cell>
          <cell r="N204">
            <v>0.12381811604411208</v>
          </cell>
          <cell r="O204">
            <v>0.12441354217039624</v>
          </cell>
        </row>
      </sheetData>
      <sheetData sheetId="2">
        <row r="7">
          <cell r="F7" t="str">
            <v>Estimated</v>
          </cell>
        </row>
      </sheetData>
      <sheetData sheetId="3">
        <row r="1">
          <cell r="A1" t="str">
            <v>Sales</v>
          </cell>
        </row>
      </sheetData>
      <sheetData sheetId="4">
        <row r="7">
          <cell r="F7" t="str">
            <v>Estimated</v>
          </cell>
        </row>
      </sheetData>
      <sheetData sheetId="5">
        <row r="1">
          <cell r="A1" t="str">
            <v>Sales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>
        <row r="7">
          <cell r="F7" t="str">
            <v>Estimated</v>
          </cell>
        </row>
      </sheetData>
      <sheetData sheetId="14">
        <row r="1">
          <cell r="A1" t="str">
            <v>Sales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>
        <row r="3">
          <cell r="B3">
            <v>0</v>
          </cell>
        </row>
      </sheetData>
      <sheetData sheetId="37"/>
      <sheetData sheetId="38"/>
      <sheetData sheetId="39">
        <row r="3">
          <cell r="B3">
            <v>0</v>
          </cell>
        </row>
      </sheetData>
      <sheetData sheetId="40">
        <row r="3">
          <cell r="B3">
            <v>0</v>
          </cell>
        </row>
      </sheetData>
      <sheetData sheetId="41">
        <row r="3">
          <cell r="B3">
            <v>0</v>
          </cell>
        </row>
      </sheetData>
      <sheetData sheetId="42">
        <row r="3">
          <cell r="B3">
            <v>0</v>
          </cell>
        </row>
      </sheetData>
      <sheetData sheetId="43">
        <row r="3">
          <cell r="B3">
            <v>0</v>
          </cell>
        </row>
      </sheetData>
      <sheetData sheetId="44"/>
      <sheetData sheetId="45">
        <row r="3">
          <cell r="B3">
            <v>0</v>
          </cell>
        </row>
      </sheetData>
      <sheetData sheetId="46">
        <row r="3">
          <cell r="B3">
            <v>0</v>
          </cell>
        </row>
      </sheetData>
      <sheetData sheetId="47">
        <row r="3">
          <cell r="B3">
            <v>0</v>
          </cell>
        </row>
      </sheetData>
      <sheetData sheetId="48">
        <row r="3">
          <cell r="B3">
            <v>0</v>
          </cell>
        </row>
      </sheetData>
      <sheetData sheetId="49">
        <row r="3">
          <cell r="B3">
            <v>0</v>
          </cell>
        </row>
      </sheetData>
      <sheetData sheetId="50">
        <row r="3">
          <cell r="B3">
            <v>0</v>
          </cell>
        </row>
      </sheetData>
      <sheetData sheetId="51">
        <row r="3">
          <cell r="B3">
            <v>0</v>
          </cell>
        </row>
      </sheetData>
      <sheetData sheetId="52">
        <row r="3">
          <cell r="B3">
            <v>0</v>
          </cell>
        </row>
      </sheetData>
      <sheetData sheetId="53">
        <row r="3">
          <cell r="B3">
            <v>0</v>
          </cell>
        </row>
      </sheetData>
      <sheetData sheetId="54">
        <row r="3">
          <cell r="B3">
            <v>0</v>
          </cell>
        </row>
      </sheetData>
      <sheetData sheetId="55">
        <row r="3">
          <cell r="B3">
            <v>0</v>
          </cell>
        </row>
      </sheetData>
      <sheetData sheetId="56">
        <row r="3">
          <cell r="B3">
            <v>0</v>
          </cell>
        </row>
      </sheetData>
      <sheetData sheetId="57">
        <row r="3">
          <cell r="B3">
            <v>0</v>
          </cell>
        </row>
      </sheetData>
      <sheetData sheetId="58">
        <row r="3">
          <cell r="B3">
            <v>0</v>
          </cell>
        </row>
      </sheetData>
      <sheetData sheetId="59">
        <row r="3">
          <cell r="B3">
            <v>0</v>
          </cell>
        </row>
      </sheetData>
      <sheetData sheetId="60">
        <row r="3">
          <cell r="B3">
            <v>0</v>
          </cell>
        </row>
      </sheetData>
      <sheetData sheetId="61">
        <row r="3">
          <cell r="B3">
            <v>0</v>
          </cell>
        </row>
      </sheetData>
      <sheetData sheetId="62">
        <row r="3">
          <cell r="B3">
            <v>0</v>
          </cell>
        </row>
      </sheetData>
      <sheetData sheetId="63">
        <row r="3">
          <cell r="B3">
            <v>0</v>
          </cell>
        </row>
      </sheetData>
      <sheetData sheetId="64">
        <row r="3">
          <cell r="B3">
            <v>0</v>
          </cell>
        </row>
      </sheetData>
      <sheetData sheetId="65">
        <row r="3">
          <cell r="B3">
            <v>0</v>
          </cell>
        </row>
      </sheetData>
      <sheetData sheetId="66">
        <row r="3">
          <cell r="B3">
            <v>0</v>
          </cell>
        </row>
      </sheetData>
      <sheetData sheetId="67">
        <row r="3">
          <cell r="B3">
            <v>0</v>
          </cell>
        </row>
      </sheetData>
      <sheetData sheetId="68">
        <row r="3">
          <cell r="B3">
            <v>0</v>
          </cell>
        </row>
      </sheetData>
      <sheetData sheetId="69">
        <row r="3">
          <cell r="B3">
            <v>0</v>
          </cell>
        </row>
      </sheetData>
      <sheetData sheetId="70">
        <row r="3">
          <cell r="B3">
            <v>0</v>
          </cell>
        </row>
      </sheetData>
      <sheetData sheetId="71">
        <row r="3">
          <cell r="B3">
            <v>0</v>
          </cell>
        </row>
      </sheetData>
      <sheetData sheetId="72">
        <row r="3">
          <cell r="B3">
            <v>0</v>
          </cell>
        </row>
      </sheetData>
      <sheetData sheetId="73"/>
      <sheetData sheetId="74">
        <row r="3">
          <cell r="B3">
            <v>0</v>
          </cell>
        </row>
      </sheetData>
      <sheetData sheetId="75">
        <row r="3">
          <cell r="B3">
            <v>0</v>
          </cell>
        </row>
      </sheetData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>
        <row r="1">
          <cell r="A1" t="str">
            <v>Sales</v>
          </cell>
        </row>
      </sheetData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>
        <row r="3">
          <cell r="B3">
            <v>0</v>
          </cell>
        </row>
      </sheetData>
      <sheetData sheetId="133">
        <row r="3">
          <cell r="B3">
            <v>0</v>
          </cell>
        </row>
      </sheetData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>
        <row r="1">
          <cell r="A1" t="str">
            <v>Sales</v>
          </cell>
        </row>
      </sheetData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>
        <row r="1">
          <cell r="A1" t="str">
            <v>Sales</v>
          </cell>
        </row>
      </sheetData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>
        <row r="3">
          <cell r="B3">
            <v>0</v>
          </cell>
        </row>
      </sheetData>
      <sheetData sheetId="205">
        <row r="3">
          <cell r="B3">
            <v>0</v>
          </cell>
        </row>
      </sheetData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/>
      <sheetData sheetId="244" refreshError="1"/>
      <sheetData sheetId="245"/>
      <sheetData sheetId="246">
        <row r="1">
          <cell r="A1" t="str">
            <v>Sales</v>
          </cell>
        </row>
      </sheetData>
      <sheetData sheetId="247"/>
      <sheetData sheetId="248"/>
      <sheetData sheetId="249"/>
      <sheetData sheetId="250"/>
      <sheetData sheetId="251"/>
      <sheetData sheetId="252"/>
      <sheetData sheetId="253"/>
      <sheetData sheetId="254">
        <row r="1">
          <cell r="A1" t="str">
            <v>Sales</v>
          </cell>
        </row>
      </sheetData>
      <sheetData sheetId="255"/>
      <sheetData sheetId="256"/>
      <sheetData sheetId="257">
        <row r="3">
          <cell r="B3">
            <v>0</v>
          </cell>
        </row>
      </sheetData>
      <sheetData sheetId="258">
        <row r="3">
          <cell r="B3">
            <v>0</v>
          </cell>
        </row>
      </sheetData>
      <sheetData sheetId="259"/>
      <sheetData sheetId="260"/>
      <sheetData sheetId="261"/>
      <sheetData sheetId="262"/>
      <sheetData sheetId="263"/>
      <sheetData sheetId="264"/>
      <sheetData sheetId="265"/>
      <sheetData sheetId="266">
        <row r="3">
          <cell r="B3">
            <v>0</v>
          </cell>
        </row>
      </sheetData>
      <sheetData sheetId="267">
        <row r="3">
          <cell r="B3">
            <v>0</v>
          </cell>
        </row>
      </sheetData>
      <sheetData sheetId="268">
        <row r="3">
          <cell r="B3">
            <v>0</v>
          </cell>
        </row>
      </sheetData>
      <sheetData sheetId="269">
        <row r="3">
          <cell r="B3">
            <v>0</v>
          </cell>
        </row>
      </sheetData>
      <sheetData sheetId="270">
        <row r="3">
          <cell r="B3">
            <v>0</v>
          </cell>
        </row>
      </sheetData>
      <sheetData sheetId="271">
        <row r="3">
          <cell r="B3">
            <v>0</v>
          </cell>
        </row>
      </sheetData>
      <sheetData sheetId="272">
        <row r="3">
          <cell r="B3">
            <v>0</v>
          </cell>
        </row>
      </sheetData>
      <sheetData sheetId="273">
        <row r="3">
          <cell r="B3">
            <v>0</v>
          </cell>
        </row>
      </sheetData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 refreshError="1"/>
      <sheetData sheetId="298" refreshError="1"/>
      <sheetData sheetId="299" refreshError="1"/>
      <sheetData sheetId="300" refreshError="1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 refreshError="1"/>
      <sheetData sheetId="355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ph by Product Type"/>
      <sheetName val="SGA Graph"/>
      <sheetName val="Income Summary"/>
      <sheetName val="Balance Summary"/>
      <sheetName val="SGA"/>
      <sheetName val="Graphs=&gt;"/>
      <sheetName val="Retail-Whole"/>
      <sheetName val="Sheet1 (2)"/>
      <sheetName val="&lt;=Data"/>
      <sheetName val="CIM"/>
      <sheetName val="Chart Data"/>
      <sheetName val="Upside Quarterly "/>
      <sheetName val="Upside vs. Base"/>
      <sheetName val="Base Quarterly"/>
      <sheetName val="Base Summary"/>
      <sheetName val="Val Sum"/>
      <sheetName val="Football"/>
      <sheetName val="CAGR"/>
      <sheetName val="Assumptions"/>
      <sheetName val="CF Summary"/>
      <sheetName val="Q1 05 Comparison for MP"/>
      <sheetName val="Analysis=&gt;"/>
      <sheetName val="LBO Output"/>
      <sheetName val="LBO Sensitivity"/>
      <sheetName val="CF"/>
      <sheetName val="Cap"/>
      <sheetName val="LBO"/>
      <sheetName val="DCF"/>
      <sheetName val="Comparison"/>
      <sheetName val="Other Revenue"/>
      <sheetName val="BUDG2004-Post CIM"/>
      <sheetName val="COVER"/>
      <sheetName val="TOC"/>
      <sheetName val="I. SUMMARY"/>
      <sheetName val="I.1 Graphs"/>
      <sheetName val="II. MODEL"/>
      <sheetName val="III.1 Revenue"/>
      <sheetName val="III.2 COGS"/>
      <sheetName val="III.3 Gross Margin"/>
      <sheetName val="III.4 SG&amp;A"/>
      <sheetName val="III.4a LEASE"/>
      <sheetName val="III. 5 CAPEX"/>
      <sheetName val="III.4 REVENUE - By DC"/>
      <sheetName val="FINAL BUDG2004 FINAL"/>
      <sheetName val="2004 YE Adjustments"/>
      <sheetName val="Comparison 2004 Actual"/>
      <sheetName val="Comparisons=&gt;"/>
      <sheetName val="Q1 05 Comparison by month"/>
      <sheetName val="December Comparison by Year"/>
      <sheetName val="December Comparison"/>
      <sheetName val="4Q Days"/>
      <sheetName val="4Q Comparison - Revenue"/>
      <sheetName val="4Q Comparison - COGS"/>
      <sheetName val="4Q Comparison - GM"/>
      <sheetName val="RAW-&gt;"/>
      <sheetName val="1Q 05 YTD"/>
      <sheetName val="1Q 04 YTD"/>
      <sheetName val="BUDGFINALX2004"/>
      <sheetName val="BUDG2004FINAL"/>
      <sheetName val="BUDG2004NEW2"/>
      <sheetName val="BUDG2004NEW"/>
      <sheetName val="ANNBUD2004"/>
      <sheetName val="2002Q"/>
      <sheetName val="2003-2004Q"/>
      <sheetName val="Rev by Prod"/>
      <sheetName val="Dec04"/>
      <sheetName val="Real Estate Leases"/>
      <sheetName val="Depr- Equip"/>
      <sheetName val="Depr - Office"/>
      <sheetName val="Depr - Vehicles"/>
      <sheetName val="MACRS"/>
      <sheetName val="November03"/>
      <sheetName val="October03"/>
      <sheetName val="November04"/>
      <sheetName val="October04"/>
      <sheetName val="List"/>
      <sheetName val="WC"/>
      <sheetName val="MP Graphs"/>
      <sheetName val="Lookup Page"/>
      <sheetName val="LOOKUP"/>
      <sheetName val="Inputs"/>
      <sheetName val="Control"/>
      <sheetName val="validationInfo"/>
      <sheetName val="Admin"/>
      <sheetName val="Lists"/>
      <sheetName val="Sheet1_(2)"/>
      <sheetName val="Graph_by_Product_Type"/>
      <sheetName val="Chart_Data"/>
      <sheetName val="Upside_Quarterly_"/>
      <sheetName val="Upside_vs__Base"/>
      <sheetName val="Base_Quarterly"/>
      <sheetName val="Base_Summary"/>
      <sheetName val="Val_Sum"/>
      <sheetName val="Balance_Summary"/>
      <sheetName val="CF_Summary"/>
      <sheetName val="Income_Summary"/>
      <sheetName val="SGA_Graph"/>
      <sheetName val="Q1_05_Comparison_for_MP"/>
      <sheetName val="LBO_Output"/>
      <sheetName val="LBO_Sensitivity"/>
      <sheetName val="Other_Revenue"/>
      <sheetName val="BUDG2004-Post_CIM"/>
      <sheetName val="I__SUMMARY"/>
      <sheetName val="I_1_Graphs"/>
      <sheetName val="II__MODEL"/>
      <sheetName val="III_1_Revenue"/>
      <sheetName val="III_2_COGS"/>
      <sheetName val="III_3_Gross_Margin"/>
      <sheetName val="III_4_SG&amp;A"/>
      <sheetName val="III_4a_LEASE"/>
      <sheetName val="III__5_CAPEX"/>
      <sheetName val="III_4_REVENUE_-_By_DC"/>
      <sheetName val="FINAL_BUDG2004_FINAL"/>
      <sheetName val="2004_YE_Adjustments"/>
      <sheetName val="Comparison_2004_Actual"/>
      <sheetName val="Q1_05_Comparison_by_month"/>
      <sheetName val="December_Comparison_by_Year"/>
      <sheetName val="December_Comparison"/>
      <sheetName val="4Q_Days"/>
      <sheetName val="4Q_Comparison_-_Revenue"/>
      <sheetName val="4Q_Comparison_-_COGS"/>
      <sheetName val="4Q_Comparison_-_GM"/>
      <sheetName val="1Q_05_YTD"/>
      <sheetName val="1Q_04_YTD"/>
      <sheetName val="Rev_by_Prod"/>
      <sheetName val="Real_Estate_Leases"/>
      <sheetName val="Depr-_Equip"/>
      <sheetName val="Depr_-_Office"/>
      <sheetName val="Depr_-_Vehicles"/>
      <sheetName val="MP_Graphs"/>
      <sheetName val="Lookup_Page"/>
      <sheetName val="Sheet1_(2)1"/>
      <sheetName val="Graph_by_Product_Type1"/>
      <sheetName val="Chart_Data1"/>
      <sheetName val="Upside_Quarterly_1"/>
      <sheetName val="Upside_vs__Base1"/>
      <sheetName val="Base_Quarterly1"/>
      <sheetName val="Base_Summary1"/>
      <sheetName val="Val_Sum1"/>
      <sheetName val="Balance_Summary1"/>
      <sheetName val="CF_Summary1"/>
      <sheetName val="Income_Summary1"/>
      <sheetName val="SGA_Graph1"/>
      <sheetName val="Q1_05_Comparison_for_MP1"/>
      <sheetName val="LBO_Output1"/>
      <sheetName val="LBO_Sensitivity1"/>
      <sheetName val="Other_Revenue1"/>
      <sheetName val="BUDG2004-Post_CIM1"/>
      <sheetName val="I__SUMMARY1"/>
      <sheetName val="I_1_Graphs1"/>
      <sheetName val="II__MODEL1"/>
      <sheetName val="III_1_Revenue1"/>
      <sheetName val="III_2_COGS1"/>
      <sheetName val="III_3_Gross_Margin1"/>
      <sheetName val="III_4_SG&amp;A1"/>
      <sheetName val="III_4a_LEASE1"/>
      <sheetName val="III__5_CAPEX1"/>
      <sheetName val="III_4_REVENUE_-_By_DC1"/>
      <sheetName val="FINAL_BUDG2004_FINAL1"/>
      <sheetName val="2004_YE_Adjustments1"/>
      <sheetName val="Comparison_2004_Actual1"/>
      <sheetName val="Q1_05_Comparison_by_month1"/>
      <sheetName val="December_Comparison_by_Year1"/>
      <sheetName val="December_Comparison1"/>
      <sheetName val="4Q_Days1"/>
      <sheetName val="4Q_Comparison_-_Revenue1"/>
      <sheetName val="4Q_Comparison_-_COGS1"/>
      <sheetName val="4Q_Comparison_-_GM1"/>
      <sheetName val="1Q_05_YTD1"/>
      <sheetName val="1Q_04_YTD1"/>
      <sheetName val="Rev_by_Prod1"/>
      <sheetName val="Real_Estate_Leases1"/>
      <sheetName val="Depr-_Equip1"/>
      <sheetName val="Depr_-_Office1"/>
      <sheetName val="Depr_-_Vehicles1"/>
      <sheetName val="MP_Graphs1"/>
      <sheetName val="Lookup_Page1"/>
      <sheetName val="Methodology_Assumptions"/>
      <sheetName val="Sheet1_(2)2"/>
      <sheetName val="Graph_by_Product_Type2"/>
      <sheetName val="Chart_Data2"/>
      <sheetName val="Upside_Quarterly_2"/>
      <sheetName val="Upside_vs__Base2"/>
      <sheetName val="Base_Quarterly2"/>
      <sheetName val="Base_Summary2"/>
      <sheetName val="Val_Sum2"/>
      <sheetName val="Balance_Summary2"/>
      <sheetName val="CF_Summary2"/>
      <sheetName val="Income_Summary2"/>
      <sheetName val="SGA_Graph2"/>
      <sheetName val="Q1_05_Comparison_for_MP2"/>
      <sheetName val="LBO_Output2"/>
      <sheetName val="LBO_Sensitivity2"/>
      <sheetName val="Other_Revenue2"/>
      <sheetName val="BUDG2004-Post_CIM2"/>
      <sheetName val="I__SUMMARY2"/>
      <sheetName val="I_1_Graphs2"/>
      <sheetName val="II__MODEL2"/>
      <sheetName val="III_1_Revenue2"/>
      <sheetName val="III_2_COGS2"/>
      <sheetName val="III_3_Gross_Margin2"/>
      <sheetName val="III_4_SG&amp;A2"/>
      <sheetName val="III_4a_LEASE2"/>
      <sheetName val="III__5_CAPEX2"/>
      <sheetName val="III_4_REVENUE_-_By_DC2"/>
      <sheetName val="FINAL_BUDG2004_FINAL2"/>
      <sheetName val="2004_YE_Adjustments2"/>
      <sheetName val="Comparison_2004_Actual2"/>
      <sheetName val="Q1_05_Comparison_by_month2"/>
      <sheetName val="December_Comparison_by_Year2"/>
      <sheetName val="December_Comparison2"/>
      <sheetName val="4Q_Days2"/>
      <sheetName val="4Q_Comparison_-_Revenue2"/>
      <sheetName val="4Q_Comparison_-_COGS2"/>
      <sheetName val="4Q_Comparison_-_GM2"/>
      <sheetName val="1Q_05_YTD2"/>
      <sheetName val="1Q_04_YTD2"/>
      <sheetName val="Rev_by_Prod2"/>
      <sheetName val="Real_Estate_Leases2"/>
      <sheetName val="Depr-_Equip2"/>
      <sheetName val="Depr_-_Office2"/>
      <sheetName val="Depr_-_Vehicles2"/>
      <sheetName val="MP_Graphs2"/>
      <sheetName val="Lookup_Page2"/>
      <sheetName val="console"/>
      <sheetName val="CLOSE"/>
      <sheetName val="LTN Sep 09 Summary"/>
      <sheetName val="218593_1"/>
      <sheetName val="Year Graph"/>
      <sheetName val="edison-2"/>
      <sheetName val="Graph_by_Product_Type3"/>
      <sheetName val="SGA_Graph3"/>
      <sheetName val="Income_Summary3"/>
      <sheetName val="Balance_Summary3"/>
      <sheetName val="Sheet1_(2)3"/>
      <sheetName val="Chart_Data3"/>
      <sheetName val="Upside_Quarterly_3"/>
      <sheetName val="Upside_vs__Base3"/>
      <sheetName val="Base_Quarterly3"/>
      <sheetName val="Base_Summary3"/>
      <sheetName val="Val_Sum3"/>
      <sheetName val="CF_Summary3"/>
      <sheetName val="Q1_05_Comparison_for_MP3"/>
      <sheetName val="LBO_Output3"/>
      <sheetName val="LBO_Sensitivity3"/>
      <sheetName val="Other_Revenue3"/>
      <sheetName val="BUDG2004-Post_CIM3"/>
      <sheetName val="I__SUMMARY3"/>
      <sheetName val="I_1_Graphs3"/>
      <sheetName val="II__MODEL3"/>
      <sheetName val="III_1_Revenue3"/>
      <sheetName val="III_2_COGS3"/>
      <sheetName val="III_3_Gross_Margin3"/>
      <sheetName val="III_4_SG&amp;A3"/>
      <sheetName val="III_4a_LEASE3"/>
      <sheetName val="III__5_CAPEX3"/>
      <sheetName val="III_4_REVENUE_-_By_DC3"/>
      <sheetName val="FINAL_BUDG2004_FINAL3"/>
      <sheetName val="2004_YE_Adjustments3"/>
      <sheetName val="Comparison_2004_Actual3"/>
      <sheetName val="Q1_05_Comparison_by_month3"/>
      <sheetName val="December_Comparison_by_Year3"/>
      <sheetName val="December_Comparison3"/>
      <sheetName val="4Q_Days3"/>
      <sheetName val="4Q_Comparison_-_Revenue3"/>
      <sheetName val="4Q_Comparison_-_COGS3"/>
      <sheetName val="4Q_Comparison_-_GM3"/>
      <sheetName val="1Q_05_YTD3"/>
      <sheetName val="1Q_04_YTD3"/>
      <sheetName val="Rev_by_Prod3"/>
      <sheetName val="Real_Estate_Leases3"/>
      <sheetName val="Depr-_Equip3"/>
      <sheetName val="Depr_-_Office3"/>
      <sheetName val="Depr_-_Vehicles3"/>
      <sheetName val="MP_Graphs3"/>
      <sheetName val="Lookup_Page3"/>
      <sheetName val="LTN_Sep_09_Summary"/>
      <sheetName val="Year_Graph"/>
      <sheetName val="Library Expirations"/>
      <sheetName val="Movies Released"/>
      <sheetName val="Library Stats"/>
      <sheetName val="CHARTS"/>
      <sheetName val="Release Costs"/>
      <sheetName val="Sheet1_(2)4"/>
      <sheetName val="Graph_by_Product_Type4"/>
      <sheetName val="Chart_Data4"/>
      <sheetName val="Upside_Quarterly_4"/>
      <sheetName val="Upside_vs__Base4"/>
      <sheetName val="Base_Quarterly4"/>
      <sheetName val="Base_Summary4"/>
      <sheetName val="Val_Sum4"/>
      <sheetName val="Balance_Summary4"/>
      <sheetName val="CF_Summary4"/>
      <sheetName val="Income_Summary4"/>
      <sheetName val="SGA_Graph4"/>
      <sheetName val="Q1_05_Comparison_for_MP4"/>
      <sheetName val="LBO_Output4"/>
      <sheetName val="LBO_Sensitivity4"/>
      <sheetName val="Other_Revenue4"/>
      <sheetName val="BUDG2004-Post_CIM4"/>
      <sheetName val="I__SUMMARY4"/>
      <sheetName val="I_1_Graphs4"/>
      <sheetName val="II__MODEL4"/>
      <sheetName val="III_1_Revenue4"/>
      <sheetName val="III_2_COGS4"/>
      <sheetName val="III_3_Gross_Margin4"/>
      <sheetName val="III_4_SG&amp;A4"/>
      <sheetName val="III_4a_LEASE4"/>
      <sheetName val="III__5_CAPEX4"/>
      <sheetName val="III_4_REVENUE_-_By_DC4"/>
      <sheetName val="FINAL_BUDG2004_FINAL4"/>
      <sheetName val="2004_YE_Adjustments4"/>
      <sheetName val="Comparison_2004_Actual4"/>
      <sheetName val="Q1_05_Comparison_by_month4"/>
      <sheetName val="December_Comparison_by_Year4"/>
      <sheetName val="December_Comparison4"/>
      <sheetName val="4Q_Days4"/>
      <sheetName val="4Q_Comparison_-_Revenue4"/>
      <sheetName val="4Q_Comparison_-_COGS4"/>
      <sheetName val="4Q_Comparison_-_GM4"/>
      <sheetName val="1Q_05_YTD4"/>
      <sheetName val="1Q_04_YTD4"/>
      <sheetName val="Rev_by_Prod4"/>
      <sheetName val="Real_Estate_Leases4"/>
      <sheetName val="Depr-_Equip4"/>
      <sheetName val="Depr_-_Office4"/>
      <sheetName val="Depr_-_Vehicles4"/>
      <sheetName val="MP_Graphs4"/>
      <sheetName val="Lookup_Page4"/>
      <sheetName val="LTN_Sep_09_Summary1"/>
      <sheetName val="Year_Graph1"/>
      <sheetName val="merger"/>
      <sheetName val="extra3"/>
      <sheetName val="extra"/>
      <sheetName val="sheet1"/>
    </sheetNames>
    <sheetDataSet>
      <sheetData sheetId="0">
        <row r="2">
          <cell r="D2" t="str">
            <v>Actual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 t="str">
            <v>Estimated</v>
          </cell>
        </row>
        <row r="3">
          <cell r="D3">
            <v>36525</v>
          </cell>
          <cell r="E3">
            <v>36891</v>
          </cell>
          <cell r="F3">
            <v>37256</v>
          </cell>
          <cell r="G3">
            <v>37346</v>
          </cell>
          <cell r="H3">
            <v>37986</v>
          </cell>
          <cell r="I3" t="str">
            <v>2004E</v>
          </cell>
        </row>
        <row r="4">
          <cell r="D4">
            <v>36525</v>
          </cell>
          <cell r="E4">
            <v>36891</v>
          </cell>
          <cell r="F4">
            <v>37256</v>
          </cell>
          <cell r="G4">
            <v>37346</v>
          </cell>
          <cell r="H4">
            <v>37986</v>
          </cell>
          <cell r="I4" t="str">
            <v>2004E</v>
          </cell>
        </row>
        <row r="5">
          <cell r="B5" t="str">
            <v>Tires - Revenue</v>
          </cell>
          <cell r="C5" t="str">
            <v>Assets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 t="str">
            <v>Tires - Revenue</v>
          </cell>
        </row>
        <row r="6">
          <cell r="C6" t="str">
            <v>1997A</v>
          </cell>
          <cell r="D6" t="str">
            <v>1998A</v>
          </cell>
          <cell r="E6" t="str">
            <v>1999A</v>
          </cell>
          <cell r="F6" t="str">
            <v>2000A</v>
          </cell>
          <cell r="G6" t="str">
            <v>2001A</v>
          </cell>
          <cell r="H6" t="str">
            <v>2002A</v>
          </cell>
          <cell r="I6" t="str">
            <v>2003A</v>
          </cell>
          <cell r="J6">
            <v>0</v>
          </cell>
          <cell r="K6">
            <v>0</v>
          </cell>
          <cell r="L6" t="str">
            <v>2004P</v>
          </cell>
          <cell r="M6" t="str">
            <v>2005P</v>
          </cell>
          <cell r="N6" t="str">
            <v>2006P</v>
          </cell>
          <cell r="O6" t="str">
            <v>2007P</v>
          </cell>
          <cell r="P6" t="str">
            <v>2008P</v>
          </cell>
          <cell r="Q6" t="str">
            <v>2009P</v>
          </cell>
          <cell r="R6" t="str">
            <v>2010P</v>
          </cell>
        </row>
        <row r="7">
          <cell r="B7" t="str">
            <v>Tire Sales</v>
          </cell>
          <cell r="C7">
            <v>111727.95699999999</v>
          </cell>
          <cell r="D7">
            <v>123852.72899999999</v>
          </cell>
          <cell r="E7">
            <v>159278.90299999999</v>
          </cell>
          <cell r="F7">
            <v>205792.86249</v>
          </cell>
          <cell r="G7">
            <v>253552.89049000002</v>
          </cell>
          <cell r="H7">
            <v>292126.35200000001</v>
          </cell>
          <cell r="I7">
            <v>331419.24836999999</v>
          </cell>
          <cell r="J7">
            <v>0</v>
          </cell>
          <cell r="K7" t="str">
            <v>Total Tire Units Sold - Retail</v>
          </cell>
          <cell r="L7">
            <v>372936.13334425376</v>
          </cell>
          <cell r="M7">
            <v>410400.27568515122</v>
          </cell>
          <cell r="N7">
            <v>457969.14941138291</v>
          </cell>
          <cell r="O7">
            <v>512079.25804442877</v>
          </cell>
          <cell r="P7">
            <v>571188.77389265969</v>
          </cell>
          <cell r="Q7">
            <v>634481.88035517256</v>
          </cell>
          <cell r="R7">
            <v>703320.54288486973</v>
          </cell>
        </row>
        <row r="8">
          <cell r="B8" t="str">
            <v>% Growth</v>
          </cell>
          <cell r="C8">
            <v>0.11449501534910045</v>
          </cell>
          <cell r="D8">
            <v>0.10852048426876726</v>
          </cell>
          <cell r="E8">
            <v>0.28603466622039475</v>
          </cell>
          <cell r="F8">
            <v>0.29202837672733106</v>
          </cell>
          <cell r="G8">
            <v>0.23207815578307933</v>
          </cell>
          <cell r="H8">
            <v>0.15213181532048559</v>
          </cell>
          <cell r="I8">
            <v>0.13450651097029409</v>
          </cell>
          <cell r="J8">
            <v>0</v>
          </cell>
          <cell r="K8" t="str">
            <v>% Growth</v>
          </cell>
          <cell r="L8">
            <v>0.12526998711886494</v>
          </cell>
          <cell r="M8">
            <v>0.10045726061710059</v>
          </cell>
          <cell r="N8">
            <v>0.11590848384986296</v>
          </cell>
          <cell r="O8">
            <v>0.11815230065735283</v>
          </cell>
          <cell r="P8">
            <v>0.11543040441427621</v>
          </cell>
          <cell r="Q8">
            <v>0.11080943701181201</v>
          </cell>
          <cell r="R8">
            <v>0.10849586829991487</v>
          </cell>
        </row>
        <row r="9">
          <cell r="B9" t="str">
            <v>% Growth</v>
          </cell>
          <cell r="C9">
            <v>0.11449501534910045</v>
          </cell>
          <cell r="D9">
            <v>0.10852048426876726</v>
          </cell>
          <cell r="E9">
            <v>0.28603466622039475</v>
          </cell>
          <cell r="F9">
            <v>0.29202837672733106</v>
          </cell>
          <cell r="G9">
            <v>0.23207815578307933</v>
          </cell>
          <cell r="H9">
            <v>0.15213181532048559</v>
          </cell>
          <cell r="I9">
            <v>0.13450651097029409</v>
          </cell>
          <cell r="J9">
            <v>0</v>
          </cell>
          <cell r="K9" t="str">
            <v>% Growth</v>
          </cell>
          <cell r="L9">
            <v>0.12526998711886494</v>
          </cell>
          <cell r="M9">
            <v>0.10045726061710059</v>
          </cell>
          <cell r="N9">
            <v>0.11590848384986296</v>
          </cell>
          <cell r="O9">
            <v>0.11815230065735283</v>
          </cell>
          <cell r="P9">
            <v>0.11543040441427621</v>
          </cell>
          <cell r="Q9">
            <v>0.11080943701181201</v>
          </cell>
          <cell r="R9">
            <v>0.10849586829991487</v>
          </cell>
        </row>
        <row r="10">
          <cell r="C10" t="str">
            <v>Total receivables, net</v>
          </cell>
          <cell r="D10">
            <v>10036.938</v>
          </cell>
          <cell r="E10">
            <v>13086.076999999999</v>
          </cell>
          <cell r="F10">
            <v>13983.385</v>
          </cell>
          <cell r="G10">
            <v>14404.438</v>
          </cell>
          <cell r="H10">
            <v>18073.323</v>
          </cell>
          <cell r="I10">
            <v>21073.981589999999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 t="str">
            <v>2004E</v>
          </cell>
        </row>
        <row r="11">
          <cell r="T11" t="str">
            <v>Tires</v>
          </cell>
          <cell r="U11">
            <v>374959.97161000001</v>
          </cell>
          <cell r="V11">
            <v>0.78294583774621829</v>
          </cell>
        </row>
        <row r="12">
          <cell r="C12" t="str">
            <v>Inventories</v>
          </cell>
          <cell r="D12">
            <v>38757.574999999997</v>
          </cell>
          <cell r="E12">
            <v>50837.459000000003</v>
          </cell>
          <cell r="F12">
            <v>64021.527999999998</v>
          </cell>
          <cell r="G12">
            <v>63759.16113</v>
          </cell>
          <cell r="H12">
            <v>69169.13</v>
          </cell>
          <cell r="I12">
            <v>95214.199309999996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 t="str">
            <v>Wheels</v>
          </cell>
          <cell r="U12">
            <v>52335.303069999994</v>
          </cell>
          <cell r="V12">
            <v>0.10928021871215272</v>
          </cell>
        </row>
        <row r="13">
          <cell r="C13" t="str">
            <v>Other current assets</v>
          </cell>
          <cell r="D13">
            <v>1975.7629999999999</v>
          </cell>
          <cell r="E13">
            <v>1817.52</v>
          </cell>
          <cell r="F13">
            <v>2142.2420000000002</v>
          </cell>
          <cell r="G13">
            <v>1522.355</v>
          </cell>
          <cell r="H13">
            <v>1029.0550000000001</v>
          </cell>
          <cell r="I13">
            <v>2191.8351700000003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 t="str">
            <v>Acessories</v>
          </cell>
          <cell r="U13">
            <v>13390.323399999997</v>
          </cell>
          <cell r="V13">
            <v>2.7960045780593898E-2</v>
          </cell>
        </row>
        <row r="14">
          <cell r="C14" t="str">
            <v>Total current assets</v>
          </cell>
          <cell r="D14">
            <v>51042.167999999998</v>
          </cell>
          <cell r="E14">
            <v>66522.514639999994</v>
          </cell>
          <cell r="F14">
            <v>88253.128220000013</v>
          </cell>
          <cell r="G14">
            <v>96515.505319999997</v>
          </cell>
          <cell r="H14">
            <v>130132.82405</v>
          </cell>
          <cell r="I14">
            <v>155361.31784999999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 t="str">
            <v>Other</v>
          </cell>
          <cell r="U14">
            <v>38223.610620000007</v>
          </cell>
          <cell r="V14">
            <v>7.9813897761035063E-2</v>
          </cell>
        </row>
        <row r="15">
          <cell r="C15" t="str">
            <v>Total current assets</v>
          </cell>
          <cell r="D15">
            <v>51042.167999999998</v>
          </cell>
          <cell r="E15">
            <v>66522.514639999994</v>
          </cell>
          <cell r="F15">
            <v>88253.128220000013</v>
          </cell>
          <cell r="G15">
            <v>96515.505319999997</v>
          </cell>
          <cell r="H15">
            <v>130132.82405</v>
          </cell>
          <cell r="I15">
            <v>155361.31784999999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 t="str">
            <v>Other</v>
          </cell>
          <cell r="U15">
            <v>38223.610620000007</v>
          </cell>
          <cell r="V15">
            <v>7.9813897761035063E-2</v>
          </cell>
        </row>
        <row r="16">
          <cell r="C16" t="str">
            <v>Net property</v>
          </cell>
          <cell r="D16">
            <v>1556.4239999999995</v>
          </cell>
          <cell r="E16">
            <v>1959.4171700000006</v>
          </cell>
          <cell r="F16">
            <v>4798.4066400000011</v>
          </cell>
          <cell r="G16">
            <v>6323.7486800000006</v>
          </cell>
          <cell r="H16">
            <v>5849.3329500000009</v>
          </cell>
          <cell r="I16">
            <v>4702.6868700000005</v>
          </cell>
        </row>
        <row r="17">
          <cell r="C17" t="str">
            <v>Total assets</v>
          </cell>
          <cell r="D17">
            <v>52598.591999999997</v>
          </cell>
          <cell r="E17">
            <v>68481.931809999995</v>
          </cell>
          <cell r="F17">
            <v>93051.534860000014</v>
          </cell>
          <cell r="G17">
            <v>102839.254</v>
          </cell>
          <cell r="H17">
            <v>135982.15700000001</v>
          </cell>
          <cell r="I17">
            <v>160064.00472</v>
          </cell>
        </row>
        <row r="18">
          <cell r="C18" t="str">
            <v>Total assets</v>
          </cell>
          <cell r="D18">
            <v>52598.591999999997</v>
          </cell>
          <cell r="E18">
            <v>68481.931809999995</v>
          </cell>
          <cell r="F18">
            <v>93051.534860000014</v>
          </cell>
          <cell r="G18">
            <v>102839.254</v>
          </cell>
          <cell r="H18">
            <v>135982.15700000001</v>
          </cell>
          <cell r="I18">
            <v>160064.00472</v>
          </cell>
        </row>
        <row r="19">
          <cell r="C19" t="str">
            <v>Liabilities</v>
          </cell>
        </row>
        <row r="20">
          <cell r="C20" t="str">
            <v>Account payables</v>
          </cell>
          <cell r="D20">
            <v>8304.3670000000002</v>
          </cell>
          <cell r="E20">
            <v>10063.054</v>
          </cell>
          <cell r="F20">
            <v>19429.564999999999</v>
          </cell>
          <cell r="G20">
            <v>11375.518</v>
          </cell>
          <cell r="H20">
            <v>22673.196</v>
          </cell>
          <cell r="I20">
            <v>25242.880719999997</v>
          </cell>
        </row>
        <row r="21">
          <cell r="C21" t="str">
            <v>Salaries, wages and employer taxes</v>
          </cell>
          <cell r="D21">
            <v>427.51100000000002</v>
          </cell>
          <cell r="E21">
            <v>667.17</v>
          </cell>
          <cell r="F21">
            <v>678.37300000000005</v>
          </cell>
          <cell r="G21">
            <v>837.52499999999998</v>
          </cell>
          <cell r="H21">
            <v>481.38499999999999</v>
          </cell>
          <cell r="I21">
            <v>580.97559999999999</v>
          </cell>
        </row>
        <row r="22">
          <cell r="B22" t="str">
            <v>Wheels - Revenue</v>
          </cell>
          <cell r="C22" t="str">
            <v>Other current liabilities</v>
          </cell>
          <cell r="D22">
            <v>328.96699999999998</v>
          </cell>
          <cell r="E22">
            <v>1098.46</v>
          </cell>
          <cell r="F22">
            <v>1105.6210000000001</v>
          </cell>
          <cell r="G22">
            <v>1363.7239999999999</v>
          </cell>
          <cell r="H22">
            <v>1612.7670000000001</v>
          </cell>
          <cell r="I22">
            <v>1319.5859100000016</v>
          </cell>
          <cell r="J22">
            <v>0</v>
          </cell>
          <cell r="K22" t="str">
            <v>Wheels - Revenue</v>
          </cell>
        </row>
        <row r="23">
          <cell r="C23" t="str">
            <v>1997A</v>
          </cell>
          <cell r="D23" t="str">
            <v>1998A</v>
          </cell>
          <cell r="E23" t="str">
            <v>1999A</v>
          </cell>
          <cell r="F23" t="str">
            <v>2000A</v>
          </cell>
          <cell r="G23" t="str">
            <v>2001A</v>
          </cell>
          <cell r="H23" t="str">
            <v>2002A</v>
          </cell>
          <cell r="I23" t="str">
            <v>2003A</v>
          </cell>
          <cell r="J23">
            <v>0</v>
          </cell>
          <cell r="K23">
            <v>0</v>
          </cell>
          <cell r="L23" t="str">
            <v>2004P</v>
          </cell>
          <cell r="M23" t="str">
            <v>2005P</v>
          </cell>
          <cell r="N23" t="str">
            <v>2006P</v>
          </cell>
          <cell r="O23" t="str">
            <v>2007P</v>
          </cell>
          <cell r="P23" t="str">
            <v>2008P</v>
          </cell>
          <cell r="Q23" t="str">
            <v>2009P</v>
          </cell>
          <cell r="R23" t="str">
            <v>2010P</v>
          </cell>
        </row>
        <row r="24">
          <cell r="B24" t="str">
            <v>Wheel Sales</v>
          </cell>
          <cell r="C24">
            <v>20795.241999999998</v>
          </cell>
          <cell r="D24">
            <v>23678.703000000001</v>
          </cell>
          <cell r="E24">
            <v>28841.605</v>
          </cell>
          <cell r="F24">
            <v>39194.410749999995</v>
          </cell>
          <cell r="G24">
            <v>43001.088775931632</v>
          </cell>
          <cell r="H24">
            <v>50443.445988682884</v>
          </cell>
          <cell r="I24">
            <v>52272.845580000001</v>
          </cell>
          <cell r="J24">
            <v>0</v>
          </cell>
          <cell r="K24" t="str">
            <v>Total Tire Units Sold - Retail</v>
          </cell>
          <cell r="L24">
            <v>52492.510662629007</v>
          </cell>
          <cell r="M24">
            <v>55075.096343913377</v>
          </cell>
          <cell r="N24">
            <v>57781.683960303562</v>
          </cell>
          <cell r="O24">
            <v>60634.480316020301</v>
          </cell>
          <cell r="P24">
            <v>63641.240692892941</v>
          </cell>
          <cell r="Q24">
            <v>66810.13313927417</v>
          </cell>
          <cell r="R24">
            <v>70149.760424985856</v>
          </cell>
        </row>
        <row r="25">
          <cell r="B25" t="str">
            <v>% Growth</v>
          </cell>
          <cell r="C25">
            <v>1.5454902143661409E-2</v>
          </cell>
          <cell r="D25">
            <v>0.13865965108749401</v>
          </cell>
          <cell r="E25">
            <v>0.2180398985535652</v>
          </cell>
          <cell r="F25">
            <v>0.35895387063237272</v>
          </cell>
          <cell r="G25">
            <v>9.7122981391718932E-2</v>
          </cell>
          <cell r="H25">
            <v>0.17307369242512882</v>
          </cell>
          <cell r="I25">
            <v>3.6266348491091227E-2</v>
          </cell>
          <cell r="J25">
            <v>0</v>
          </cell>
          <cell r="K25" t="str">
            <v>% Growth</v>
          </cell>
          <cell r="L25">
            <v>4.2022790263602783E-3</v>
          </cell>
          <cell r="M25">
            <v>4.919912666937809E-2</v>
          </cell>
          <cell r="N25">
            <v>4.9143583871175567E-2</v>
          </cell>
          <cell r="O25">
            <v>4.9371983649293183E-2</v>
          </cell>
          <cell r="P25">
            <v>4.9588293017466922E-2</v>
          </cell>
          <cell r="Q25">
            <v>4.9793065186661378E-2</v>
          </cell>
          <cell r="R25">
            <v>4.9986837756329727E-2</v>
          </cell>
        </row>
        <row r="26">
          <cell r="C26" t="str">
            <v>Notes payable to banks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</row>
        <row r="27">
          <cell r="C27" t="str">
            <v>Long term debt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</row>
        <row r="28">
          <cell r="C28" t="str">
            <v>Capital lease obligation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</row>
        <row r="29">
          <cell r="C29" t="str">
            <v>Other debt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</row>
        <row r="30">
          <cell r="C30" t="str">
            <v>Total debt, current plus long-term</v>
          </cell>
          <cell r="D30">
            <v>5761.4629999999997</v>
          </cell>
          <cell r="E30">
            <v>4306.5990000000002</v>
          </cell>
          <cell r="F30">
            <v>4617.3549999999996</v>
          </cell>
          <cell r="G30">
            <v>0</v>
          </cell>
          <cell r="H30">
            <v>0</v>
          </cell>
          <cell r="I30">
            <v>0</v>
          </cell>
        </row>
        <row r="31">
          <cell r="C31" t="str">
            <v>Total liabilities</v>
          </cell>
          <cell r="D31">
            <v>14822.308000000001</v>
          </cell>
          <cell r="E31">
            <v>16135.283000000001</v>
          </cell>
          <cell r="F31">
            <v>25830.913999999997</v>
          </cell>
          <cell r="G31">
            <v>13576.767</v>
          </cell>
          <cell r="H31">
            <v>24767.347999999998</v>
          </cell>
          <cell r="I31">
            <v>27143.442230000001</v>
          </cell>
        </row>
        <row r="32">
          <cell r="C32" t="str">
            <v>Total liabilities</v>
          </cell>
          <cell r="D32">
            <v>14822.308000000001</v>
          </cell>
          <cell r="E32">
            <v>16135.283000000001</v>
          </cell>
          <cell r="F32">
            <v>25830.913999999997</v>
          </cell>
          <cell r="G32">
            <v>13576.767</v>
          </cell>
          <cell r="H32">
            <v>24767.347999999998</v>
          </cell>
          <cell r="I32">
            <v>27143.442230000001</v>
          </cell>
        </row>
        <row r="33">
          <cell r="C33" t="str">
            <v>Stockholders' equity</v>
          </cell>
        </row>
        <row r="34">
          <cell r="C34" t="str">
            <v>Common stock</v>
          </cell>
          <cell r="D34">
            <v>79.638999999999996</v>
          </cell>
          <cell r="E34">
            <v>79.638999999999996</v>
          </cell>
          <cell r="F34">
            <v>79.638999999999996</v>
          </cell>
          <cell r="G34">
            <v>79.638999999999996</v>
          </cell>
          <cell r="H34">
            <v>79.638999999999996</v>
          </cell>
          <cell r="I34">
            <v>79.638999999999996</v>
          </cell>
        </row>
        <row r="35">
          <cell r="C35" t="str">
            <v>Retained earnings / (Accumulated deficit)</v>
          </cell>
          <cell r="D35">
            <v>37696.677000000003</v>
          </cell>
          <cell r="E35">
            <v>52267.040999999997</v>
          </cell>
          <cell r="F35">
            <v>67141.013000000006</v>
          </cell>
          <cell r="G35">
            <v>89182.880999999994</v>
          </cell>
          <cell r="H35">
            <v>111135.20299999999</v>
          </cell>
          <cell r="I35">
            <v>132840.95649000001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819929.16426247335</v>
          </cell>
        </row>
        <row r="36">
          <cell r="C36" t="str">
            <v>Total stockholders' equity</v>
          </cell>
          <cell r="D36">
            <v>37776.316000000006</v>
          </cell>
          <cell r="E36">
            <v>52346.68</v>
          </cell>
          <cell r="F36">
            <v>67220.652000000002</v>
          </cell>
          <cell r="G36">
            <v>89262.51999999999</v>
          </cell>
          <cell r="H36">
            <v>111214.84199999999</v>
          </cell>
          <cell r="I36">
            <v>132920.59549000001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 t="str">
            <v>Tires</v>
          </cell>
          <cell r="U36">
            <v>671924.25188649341</v>
          </cell>
          <cell r="V36">
            <v>0.81949061110771637</v>
          </cell>
        </row>
        <row r="37">
          <cell r="C37" t="str">
            <v>Total liabilities and stockholders' equity</v>
          </cell>
          <cell r="D37">
            <v>52598.624000000011</v>
          </cell>
          <cell r="E37">
            <v>68481.963000000003</v>
          </cell>
          <cell r="F37">
            <v>93051.565999999992</v>
          </cell>
          <cell r="G37">
            <v>102839.28699999998</v>
          </cell>
          <cell r="H37">
            <v>135982.19</v>
          </cell>
          <cell r="I37">
            <v>160064.03772000002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 t="str">
            <v>Wheels</v>
          </cell>
          <cell r="U37">
            <v>65302.810067314989</v>
          </cell>
          <cell r="V37">
            <v>7.9644453342570018E-2</v>
          </cell>
        </row>
        <row r="38">
          <cell r="T38" t="str">
            <v>Acessories</v>
          </cell>
          <cell r="U38">
            <v>16863.366366943741</v>
          </cell>
          <cell r="V38">
            <v>2.0566857604232613E-2</v>
          </cell>
        </row>
        <row r="39">
          <cell r="B39" t="str">
            <v>Accessories - Revenue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 t="str">
            <v>Accessories - Revenue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 t="str">
            <v>Other</v>
          </cell>
          <cell r="U39">
            <v>65838.735941721199</v>
          </cell>
          <cell r="V39">
            <v>8.0298077945481022E-2</v>
          </cell>
        </row>
        <row r="40">
          <cell r="C40" t="str">
            <v>1997A</v>
          </cell>
          <cell r="D40" t="str">
            <v>1998A</v>
          </cell>
          <cell r="E40" t="str">
            <v>1999A</v>
          </cell>
          <cell r="F40" t="str">
            <v>2000A</v>
          </cell>
          <cell r="G40" t="str">
            <v>2001A</v>
          </cell>
          <cell r="H40" t="str">
            <v>2002A</v>
          </cell>
          <cell r="I40" t="str">
            <v>2003A</v>
          </cell>
          <cell r="J40">
            <v>0</v>
          </cell>
          <cell r="K40">
            <v>0</v>
          </cell>
          <cell r="L40" t="str">
            <v>2004P</v>
          </cell>
          <cell r="M40" t="str">
            <v>2005P</v>
          </cell>
          <cell r="N40" t="str">
            <v>2006P</v>
          </cell>
          <cell r="O40" t="str">
            <v>2007P</v>
          </cell>
          <cell r="P40" t="str">
            <v>2008P</v>
          </cell>
          <cell r="Q40" t="str">
            <v>2009P</v>
          </cell>
          <cell r="R40" t="str">
            <v>2010P</v>
          </cell>
        </row>
        <row r="41">
          <cell r="B41" t="str">
            <v>Accessory Sales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5150.2028840683706</v>
          </cell>
          <cell r="H41">
            <v>8022.9831113171158</v>
          </cell>
          <cell r="I41">
            <v>12202.759460000001</v>
          </cell>
          <cell r="J41">
            <v>0</v>
          </cell>
          <cell r="K41" t="str">
            <v>Total Tire Units Sold - Retail</v>
          </cell>
          <cell r="L41">
            <v>13334.3236726</v>
          </cell>
          <cell r="M41">
            <v>13639.912298229998</v>
          </cell>
          <cell r="N41">
            <v>14321.907913141498</v>
          </cell>
          <cell r="O41">
            <v>15038.003308798572</v>
          </cell>
          <cell r="P41">
            <v>15789.903474238501</v>
          </cell>
          <cell r="Q41">
            <v>16579.398647950427</v>
          </cell>
          <cell r="R41">
            <v>17408.368580347953</v>
          </cell>
        </row>
        <row r="42">
          <cell r="B42" t="str">
            <v>% Growth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0.55779942886044331</v>
          </cell>
          <cell r="I42">
            <v>0.52097533930826145</v>
          </cell>
          <cell r="J42">
            <v>0</v>
          </cell>
          <cell r="K42" t="str">
            <v>% Growth</v>
          </cell>
          <cell r="L42">
            <v>9.2730190766211917E-2</v>
          </cell>
          <cell r="M42">
            <v>2.2917444718845159E-2</v>
          </cell>
          <cell r="N42">
            <v>0.05</v>
          </cell>
          <cell r="O42">
            <v>4.9999999999999822E-2</v>
          </cell>
          <cell r="P42">
            <v>0.05</v>
          </cell>
          <cell r="Q42">
            <v>0.05</v>
          </cell>
          <cell r="R42">
            <v>5.0000000000000266E-2</v>
          </cell>
        </row>
        <row r="43">
          <cell r="C43" t="str">
            <v>Assets</v>
          </cell>
        </row>
        <row r="44">
          <cell r="C44" t="str">
            <v>Cash and cash equivalents</v>
          </cell>
          <cell r="D44">
            <v>36881.301779999987</v>
          </cell>
          <cell r="E44">
            <v>76817.830357852567</v>
          </cell>
          <cell r="F44">
            <v>115717.73673680698</v>
          </cell>
          <cell r="G44">
            <v>150765.56862532496</v>
          </cell>
          <cell r="H44">
            <v>193254.54843171869</v>
          </cell>
          <cell r="I44">
            <v>238522.51158768215</v>
          </cell>
        </row>
        <row r="45">
          <cell r="C45" t="str">
            <v>Marketable securities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</row>
        <row r="46">
          <cell r="C46" t="str">
            <v>Total cash and marketable securities</v>
          </cell>
          <cell r="D46">
            <v>36881.301779999987</v>
          </cell>
          <cell r="E46">
            <v>76817.830357852567</v>
          </cell>
          <cell r="F46">
            <v>115717.73673680698</v>
          </cell>
          <cell r="G46">
            <v>150765.56862532496</v>
          </cell>
          <cell r="H46">
            <v>193254.54843171869</v>
          </cell>
          <cell r="I46">
            <v>238522.51158768215</v>
          </cell>
        </row>
        <row r="47">
          <cell r="C47" t="str">
            <v>Total cash and marketable securities</v>
          </cell>
          <cell r="D47">
            <v>36881.301779999987</v>
          </cell>
          <cell r="E47">
            <v>76817.830357852567</v>
          </cell>
          <cell r="F47">
            <v>115717.73673680698</v>
          </cell>
          <cell r="G47">
            <v>150765.56862532496</v>
          </cell>
          <cell r="H47">
            <v>193254.54843171869</v>
          </cell>
          <cell r="I47">
            <v>238522.51158768215</v>
          </cell>
        </row>
        <row r="48">
          <cell r="C48" t="str">
            <v>Total receivables, net</v>
          </cell>
          <cell r="D48">
            <v>21073.981589999999</v>
          </cell>
          <cell r="E48">
            <v>23773.7446253698</v>
          </cell>
          <cell r="F48">
            <v>26580.549951973393</v>
          </cell>
          <cell r="G48">
            <v>29759.355631119397</v>
          </cell>
          <cell r="H48">
            <v>33357.868012041559</v>
          </cell>
          <cell r="I48">
            <v>37433.351651941477</v>
          </cell>
        </row>
        <row r="49">
          <cell r="C49" t="str">
            <v>Total receivables, net</v>
          </cell>
          <cell r="D49">
            <v>21073.981589999999</v>
          </cell>
          <cell r="E49">
            <v>23773.7446253698</v>
          </cell>
          <cell r="F49">
            <v>26580.549951973393</v>
          </cell>
          <cell r="G49">
            <v>29759.355631119397</v>
          </cell>
          <cell r="H49">
            <v>33357.868012041559</v>
          </cell>
          <cell r="I49">
            <v>37433.351651941477</v>
          </cell>
        </row>
        <row r="50">
          <cell r="C50" t="str">
            <v>Inventories</v>
          </cell>
          <cell r="D50">
            <v>95214.199309999996</v>
          </cell>
          <cell r="E50">
            <v>91356.893996571089</v>
          </cell>
          <cell r="F50">
            <v>94238.996112733847</v>
          </cell>
          <cell r="G50">
            <v>103965.40548920688</v>
          </cell>
          <cell r="H50">
            <v>114855.98999448562</v>
          </cell>
          <cell r="I50">
            <v>127059.08318397104</v>
          </cell>
        </row>
        <row r="51">
          <cell r="C51" t="str">
            <v>Other current assets</v>
          </cell>
          <cell r="D51">
            <v>2191.8351700000003</v>
          </cell>
          <cell r="E51">
            <v>2438.9924867895979</v>
          </cell>
          <cell r="F51">
            <v>2711.5759783742355</v>
          </cell>
          <cell r="G51">
            <v>3018.6854805801236</v>
          </cell>
          <cell r="H51">
            <v>3364.041436055707</v>
          </cell>
          <cell r="I51">
            <v>3752.5893144079701</v>
          </cell>
        </row>
        <row r="52">
          <cell r="C52" t="str">
            <v>Total current assets</v>
          </cell>
          <cell r="D52">
            <v>155361.31784999999</v>
          </cell>
          <cell r="E52">
            <v>194387.46146658307</v>
          </cell>
          <cell r="F52">
            <v>239248.85877988848</v>
          </cell>
          <cell r="G52">
            <v>287509.01522623136</v>
          </cell>
          <cell r="H52">
            <v>344832.44787430158</v>
          </cell>
          <cell r="I52">
            <v>406767.53573800263</v>
          </cell>
        </row>
        <row r="53">
          <cell r="C53" t="str">
            <v>Total current assets</v>
          </cell>
          <cell r="D53">
            <v>155361.31784999999</v>
          </cell>
          <cell r="E53">
            <v>194387.46146658307</v>
          </cell>
          <cell r="F53">
            <v>239248.85877988848</v>
          </cell>
          <cell r="G53">
            <v>287509.01522623136</v>
          </cell>
          <cell r="H53">
            <v>344832.44787430158</v>
          </cell>
          <cell r="I53">
            <v>406767.53573800263</v>
          </cell>
        </row>
        <row r="54">
          <cell r="C54" t="str">
            <v>Net property</v>
          </cell>
          <cell r="D54">
            <v>4702.6868700000005</v>
          </cell>
          <cell r="E54">
            <v>5469.0736319523894</v>
          </cell>
          <cell r="F54">
            <v>4568.7413451269858</v>
          </cell>
          <cell r="G54">
            <v>6285.7362544206353</v>
          </cell>
          <cell r="H54">
            <v>5432.642129190479</v>
          </cell>
          <cell r="I54">
            <v>7166.4662750183543</v>
          </cell>
        </row>
        <row r="55">
          <cell r="C55" t="str">
            <v>Total assets</v>
          </cell>
          <cell r="D55">
            <v>160064.00472</v>
          </cell>
          <cell r="E55">
            <v>199856.53509853547</v>
          </cell>
          <cell r="F55">
            <v>243817.60012501548</v>
          </cell>
          <cell r="G55">
            <v>293794.75148065202</v>
          </cell>
          <cell r="H55">
            <v>350265.09000349208</v>
          </cell>
          <cell r="I55">
            <v>413934.00201302097</v>
          </cell>
        </row>
        <row r="56">
          <cell r="B56" t="str">
            <v>Other - Revenue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 t="str">
            <v>Other - Revenue</v>
          </cell>
        </row>
        <row r="57">
          <cell r="C57" t="str">
            <v>1997A</v>
          </cell>
          <cell r="D57" t="str">
            <v>1998A</v>
          </cell>
          <cell r="E57" t="str">
            <v>1999A</v>
          </cell>
          <cell r="F57" t="str">
            <v>2000A</v>
          </cell>
          <cell r="G57" t="str">
            <v>2001A</v>
          </cell>
          <cell r="H57" t="str">
            <v>2002A</v>
          </cell>
          <cell r="I57" t="str">
            <v>2003A</v>
          </cell>
          <cell r="J57">
            <v>0</v>
          </cell>
          <cell r="K57">
            <v>0</v>
          </cell>
          <cell r="L57" t="str">
            <v>2004P</v>
          </cell>
          <cell r="M57" t="str">
            <v>2005P</v>
          </cell>
          <cell r="N57" t="str">
            <v>2006P</v>
          </cell>
          <cell r="O57" t="str">
            <v>2007P</v>
          </cell>
          <cell r="P57" t="str">
            <v>2008P</v>
          </cell>
          <cell r="Q57" t="str">
            <v>2009P</v>
          </cell>
          <cell r="R57" t="str">
            <v>2010P</v>
          </cell>
        </row>
        <row r="58">
          <cell r="B58" t="str">
            <v>Other Sales</v>
          </cell>
          <cell r="C58">
            <v>14964.814</v>
          </cell>
          <cell r="D58">
            <v>16422.520999999997</v>
          </cell>
          <cell r="E58">
            <v>19867.998</v>
          </cell>
          <cell r="F58">
            <v>22841.046109999996</v>
          </cell>
          <cell r="G58">
            <v>25823.571430000004</v>
          </cell>
          <cell r="H58">
            <v>31561.728410000003</v>
          </cell>
          <cell r="I58">
            <v>35725.877530000005</v>
          </cell>
          <cell r="J58">
            <v>0</v>
          </cell>
          <cell r="K58" t="str">
            <v>Total Tire Units Sold - Retail</v>
          </cell>
          <cell r="L58">
            <v>37254.67546026731</v>
          </cell>
          <cell r="M58">
            <v>41193.697886954316</v>
          </cell>
          <cell r="N58">
            <v>45569.074106130916</v>
          </cell>
          <cell r="O58">
            <v>50514.215410588658</v>
          </cell>
          <cell r="P58">
            <v>55905.624884505334</v>
          </cell>
          <cell r="Q58">
            <v>61676.328862363865</v>
          </cell>
          <cell r="R58">
            <v>67943.076444531995</v>
          </cell>
        </row>
        <row r="59">
          <cell r="B59" t="str">
            <v>% Growth</v>
          </cell>
          <cell r="C59">
            <v>0.55604315299749185</v>
          </cell>
          <cell r="D59">
            <v>9.7408962116067421E-2</v>
          </cell>
          <cell r="E59">
            <v>0.20980195427973602</v>
          </cell>
          <cell r="F59">
            <v>0.14964004475941639</v>
          </cell>
          <cell r="G59">
            <v>0.1305774396512529</v>
          </cell>
          <cell r="H59">
            <v>0.22220617297473466</v>
          </cell>
          <cell r="I59">
            <v>0.13193666284387118</v>
          </cell>
          <cell r="J59">
            <v>0</v>
          </cell>
          <cell r="K59" t="str">
            <v>% Growth</v>
          </cell>
          <cell r="L59">
            <v>4.2792452865112462E-2</v>
          </cell>
          <cell r="M59">
            <v>0.10573229743708379</v>
          </cell>
          <cell r="N59">
            <v>0.10621469893729163</v>
          </cell>
          <cell r="O59">
            <v>0.10851967922237016</v>
          </cell>
          <cell r="P59">
            <v>0.10673053971232305</v>
          </cell>
          <cell r="Q59">
            <v>0.10322224265948465</v>
          </cell>
          <cell r="R59">
            <v>0.10160701354571411</v>
          </cell>
        </row>
        <row r="60">
          <cell r="C60" t="str">
            <v>Other current liabilities</v>
          </cell>
          <cell r="D60">
            <v>1319.5859100000016</v>
          </cell>
          <cell r="E60">
            <v>1472.8077218969088</v>
          </cell>
          <cell r="F60">
            <v>1640.7096387851252</v>
          </cell>
          <cell r="G60">
            <v>1829.5374482358925</v>
          </cell>
          <cell r="H60">
            <v>2042.0824447864616</v>
          </cell>
          <cell r="I60">
            <v>2281.4288533479689</v>
          </cell>
        </row>
        <row r="61">
          <cell r="C61" t="str">
            <v>Total current liabilities</v>
          </cell>
          <cell r="D61">
            <v>27143.442230000001</v>
          </cell>
          <cell r="E61">
            <v>30295.16381787269</v>
          </cell>
          <cell r="F61">
            <v>33748.850271194671</v>
          </cell>
          <cell r="G61">
            <v>37632.975358014017</v>
          </cell>
          <cell r="H61">
            <v>42004.955076368176</v>
          </cell>
          <cell r="I61">
            <v>46928.230904424912</v>
          </cell>
        </row>
        <row r="62">
          <cell r="C62" t="str">
            <v>Total current liabilities</v>
          </cell>
          <cell r="D62">
            <v>27143.442230000001</v>
          </cell>
          <cell r="E62">
            <v>30295.16381787269</v>
          </cell>
          <cell r="F62">
            <v>33748.850271194671</v>
          </cell>
          <cell r="G62">
            <v>37632.975358014017</v>
          </cell>
          <cell r="H62">
            <v>42004.955076368176</v>
          </cell>
          <cell r="I62">
            <v>46928.230904424912</v>
          </cell>
        </row>
        <row r="63">
          <cell r="C63" t="str">
            <v>Notes payable to shareholders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</row>
        <row r="64">
          <cell r="C64" t="str">
            <v>Notes payable to banks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</row>
        <row r="65">
          <cell r="C65" t="str">
            <v>Long term debt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</row>
        <row r="66">
          <cell r="C66" t="str">
            <v>Capital lease obligation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</row>
        <row r="67">
          <cell r="C67" t="str">
            <v>Other debt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</row>
        <row r="68">
          <cell r="C68" t="str">
            <v>Total debt, current plus long-term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</row>
        <row r="69">
          <cell r="C69" t="str">
            <v>Total liabilities</v>
          </cell>
          <cell r="D69">
            <v>27143.442230000001</v>
          </cell>
          <cell r="E69">
            <v>30295.16381787269</v>
          </cell>
          <cell r="F69">
            <v>33748.850271194671</v>
          </cell>
          <cell r="G69">
            <v>37632.975358014017</v>
          </cell>
          <cell r="H69">
            <v>42004.955076368176</v>
          </cell>
          <cell r="I69">
            <v>46928.230904424912</v>
          </cell>
        </row>
        <row r="70">
          <cell r="C70" t="str">
            <v>Total liabilities</v>
          </cell>
          <cell r="D70">
            <v>27143.442230000001</v>
          </cell>
          <cell r="E70">
            <v>30295.16381787269</v>
          </cell>
          <cell r="F70">
            <v>33748.850271194671</v>
          </cell>
          <cell r="G70">
            <v>37632.975358014017</v>
          </cell>
          <cell r="H70">
            <v>42004.955076368176</v>
          </cell>
          <cell r="I70">
            <v>46928.230904424912</v>
          </cell>
        </row>
        <row r="71">
          <cell r="C71" t="str">
            <v>Stockholders' equity</v>
          </cell>
        </row>
        <row r="72">
          <cell r="C72" t="str">
            <v>Common stock</v>
          </cell>
          <cell r="D72">
            <v>79.638999999999996</v>
          </cell>
          <cell r="E72">
            <v>79.638999999999996</v>
          </cell>
          <cell r="F72">
            <v>79.638999999999996</v>
          </cell>
          <cell r="G72">
            <v>79.638999999999996</v>
          </cell>
          <cell r="H72">
            <v>79.638999999999996</v>
          </cell>
          <cell r="I72">
            <v>79.638999999999996</v>
          </cell>
        </row>
        <row r="73">
          <cell r="B73" t="str">
            <v>Tires - COGS</v>
          </cell>
          <cell r="C73" t="str">
            <v>Retained earnings / (Accumulated deficit)</v>
          </cell>
          <cell r="D73">
            <v>132840.95649000001</v>
          </cell>
          <cell r="E73">
            <v>169481.76528066277</v>
          </cell>
          <cell r="F73">
            <v>209989.1438538208</v>
          </cell>
          <cell r="G73">
            <v>256082.170122638</v>
          </cell>
          <cell r="H73">
            <v>308180.52892712387</v>
          </cell>
          <cell r="I73">
            <v>366926.16510859609</v>
          </cell>
          <cell r="J73">
            <v>0</v>
          </cell>
          <cell r="K73" t="str">
            <v>Tires - COGS</v>
          </cell>
        </row>
        <row r="74">
          <cell r="C74" t="str">
            <v>1997A</v>
          </cell>
          <cell r="D74" t="str">
            <v>1998A</v>
          </cell>
          <cell r="E74" t="str">
            <v>1999A</v>
          </cell>
          <cell r="F74" t="str">
            <v>2000A</v>
          </cell>
          <cell r="G74" t="str">
            <v>2001A</v>
          </cell>
          <cell r="H74" t="str">
            <v>2002A</v>
          </cell>
          <cell r="I74" t="str">
            <v>2003A</v>
          </cell>
          <cell r="J74">
            <v>0</v>
          </cell>
          <cell r="K74">
            <v>0</v>
          </cell>
          <cell r="L74" t="str">
            <v>2004P</v>
          </cell>
          <cell r="M74" t="str">
            <v>2005P</v>
          </cell>
          <cell r="N74" t="str">
            <v>2006P</v>
          </cell>
          <cell r="O74" t="str">
            <v>2007P</v>
          </cell>
          <cell r="P74" t="str">
            <v>2008P</v>
          </cell>
          <cell r="Q74" t="str">
            <v>2009P</v>
          </cell>
          <cell r="R74" t="str">
            <v>2010P</v>
          </cell>
        </row>
        <row r="75">
          <cell r="B75" t="str">
            <v>COGS Tires</v>
          </cell>
          <cell r="C75">
            <v>94929.994999999995</v>
          </cell>
          <cell r="D75">
            <v>107324.64200000001</v>
          </cell>
          <cell r="E75">
            <v>137569.47</v>
          </cell>
          <cell r="F75">
            <v>176395.19748999999</v>
          </cell>
          <cell r="G75">
            <v>217926.73633999997</v>
          </cell>
          <cell r="H75">
            <v>249297.71824000002</v>
          </cell>
          <cell r="I75">
            <v>283748.03544000001</v>
          </cell>
          <cell r="J75">
            <v>0</v>
          </cell>
          <cell r="K75" t="str">
            <v>COGS Tires</v>
          </cell>
          <cell r="L75">
            <v>321355.71632567246</v>
          </cell>
          <cell r="M75">
            <v>353539.16552181321</v>
          </cell>
          <cell r="N75">
            <v>394367.56233194843</v>
          </cell>
          <cell r="O75">
            <v>440843.65577277704</v>
          </cell>
          <cell r="P75">
            <v>491558.30969763658</v>
          </cell>
          <cell r="Q75">
            <v>545782.03076742846</v>
          </cell>
          <cell r="R75">
            <v>604684.71583026752</v>
          </cell>
        </row>
        <row r="76">
          <cell r="B76" t="str">
            <v>% Margin - Tire Sales</v>
          </cell>
          <cell r="C76">
            <v>0.84965301030251539</v>
          </cell>
          <cell r="D76">
            <v>0.86655048190339035</v>
          </cell>
          <cell r="E76">
            <v>0.863701767207676</v>
          </cell>
          <cell r="F76">
            <v>0.85714924879171395</v>
          </cell>
          <cell r="G76">
            <v>0.8594922184434528</v>
          </cell>
          <cell r="H76">
            <v>0.85339003665099</v>
          </cell>
          <cell r="I76">
            <v>0.85616039754945272</v>
          </cell>
          <cell r="J76">
            <v>0</v>
          </cell>
          <cell r="K76" t="str">
            <v>% Margin - Tire Sales</v>
          </cell>
          <cell r="L76">
            <v>0.86169101782645474</v>
          </cell>
          <cell r="M76">
            <v>0.86144962970989714</v>
          </cell>
          <cell r="N76">
            <v>0.86112255124350601</v>
          </cell>
          <cell r="O76">
            <v>0.86088949873952669</v>
          </cell>
          <cell r="P76">
            <v>0.86058818409132876</v>
          </cell>
          <cell r="Q76">
            <v>0.86020113050653013</v>
          </cell>
          <cell r="R76">
            <v>0.85975693721383528</v>
          </cell>
        </row>
        <row r="89">
          <cell r="B89" t="str">
            <v>% Margin - Tire Sales</v>
          </cell>
          <cell r="C89">
            <v>0.84965301030251539</v>
          </cell>
          <cell r="D89">
            <v>0.86655048190339035</v>
          </cell>
          <cell r="E89">
            <v>0.863701767207676</v>
          </cell>
          <cell r="F89">
            <v>0.85714924879171395</v>
          </cell>
          <cell r="G89">
            <v>0.8594922184434528</v>
          </cell>
          <cell r="H89">
            <v>0.85339003665099</v>
          </cell>
          <cell r="I89">
            <v>0.85616039754945272</v>
          </cell>
          <cell r="J89">
            <v>0</v>
          </cell>
          <cell r="K89" t="str">
            <v>% Margin - Tire Sales</v>
          </cell>
          <cell r="L89">
            <v>0.86169101782645474</v>
          </cell>
          <cell r="M89">
            <v>0.86144962970989714</v>
          </cell>
          <cell r="N89">
            <v>0.86112255124350601</v>
          </cell>
          <cell r="O89">
            <v>0.86088949873952669</v>
          </cell>
          <cell r="P89">
            <v>0.86058818409132876</v>
          </cell>
          <cell r="Q89">
            <v>0.86020113050653013</v>
          </cell>
          <cell r="R89">
            <v>0.85975693721383528</v>
          </cell>
        </row>
        <row r="90">
          <cell r="B90" t="str">
            <v>Wheels - COGS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 t="str">
            <v>Wheels - COGS</v>
          </cell>
        </row>
        <row r="91">
          <cell r="C91" t="str">
            <v>1997A</v>
          </cell>
          <cell r="D91" t="str">
            <v>1998A</v>
          </cell>
          <cell r="E91" t="str">
            <v>1999A</v>
          </cell>
          <cell r="F91" t="str">
            <v>2000A</v>
          </cell>
          <cell r="G91" t="str">
            <v>2001A</v>
          </cell>
          <cell r="H91" t="str">
            <v>2002A</v>
          </cell>
          <cell r="I91" t="str">
            <v>2003A</v>
          </cell>
          <cell r="J91">
            <v>0</v>
          </cell>
          <cell r="K91">
            <v>0</v>
          </cell>
          <cell r="L91" t="str">
            <v>2004P</v>
          </cell>
          <cell r="M91" t="str">
            <v>2005P</v>
          </cell>
          <cell r="N91" t="str">
            <v>2006P</v>
          </cell>
          <cell r="O91" t="str">
            <v>2007P</v>
          </cell>
          <cell r="P91" t="str">
            <v>2008P</v>
          </cell>
          <cell r="Q91" t="str">
            <v>2009P</v>
          </cell>
          <cell r="R91" t="str">
            <v>2010P</v>
          </cell>
        </row>
        <row r="92">
          <cell r="B92" t="str">
            <v>COGS Wheels</v>
          </cell>
          <cell r="C92">
            <v>14794.040999999999</v>
          </cell>
          <cell r="D92">
            <v>16824.805</v>
          </cell>
          <cell r="E92">
            <v>20138.535</v>
          </cell>
          <cell r="F92">
            <v>26286.791219999999</v>
          </cell>
          <cell r="G92">
            <v>28934.881476285642</v>
          </cell>
          <cell r="H92">
            <v>35410.826717775089</v>
          </cell>
          <cell r="I92">
            <v>37902.530619999998</v>
          </cell>
          <cell r="J92">
            <v>0</v>
          </cell>
          <cell r="K92" t="str">
            <v>COGS Wheels</v>
          </cell>
          <cell r="L92">
            <v>37707.525644535468</v>
          </cell>
          <cell r="M92">
            <v>39493.725409153587</v>
          </cell>
          <cell r="N92">
            <v>41461.517652513117</v>
          </cell>
          <cell r="O92">
            <v>43535.317724289132</v>
          </cell>
          <cell r="P92">
            <v>45720.751418610627</v>
          </cell>
          <cell r="Q92">
            <v>48023.74392765353</v>
          </cell>
          <cell r="R92">
            <v>50450.535766834</v>
          </cell>
        </row>
        <row r="93">
          <cell r="B93" t="str">
            <v>% Margin - Wheel Sales</v>
          </cell>
          <cell r="C93">
            <v>0.71141470726813372</v>
          </cell>
          <cell r="D93">
            <v>0.71054588589586176</v>
          </cell>
          <cell r="E93">
            <v>0.6982459887374507</v>
          </cell>
          <cell r="F93">
            <v>0.67067703575566584</v>
          </cell>
          <cell r="G93">
            <v>0.67288718262596503</v>
          </cell>
          <cell r="H93">
            <v>0.70199063572539433</v>
          </cell>
          <cell r="I93">
            <v>0.72509024904704633</v>
          </cell>
          <cell r="J93">
            <v>0</v>
          </cell>
          <cell r="K93" t="str">
            <v>% Margin - Wheel Sales</v>
          </cell>
          <cell r="L93">
            <v>0.71834105796316172</v>
          </cell>
          <cell r="M93">
            <v>0.71708863044990812</v>
          </cell>
          <cell r="N93">
            <v>0.71755467841673637</v>
          </cell>
          <cell r="O93">
            <v>0.71799605599632099</v>
          </cell>
          <cell r="P93">
            <v>0.71841389201132333</v>
          </cell>
          <cell r="Q93">
            <v>0.71880928342923611</v>
          </cell>
          <cell r="R93">
            <v>0.71918329387286961</v>
          </cell>
        </row>
        <row r="106">
          <cell r="B106" t="str">
            <v>% Margin - Wheel Sales</v>
          </cell>
          <cell r="C106">
            <v>0.71141470726813372</v>
          </cell>
          <cell r="D106">
            <v>0.71054588589586176</v>
          </cell>
          <cell r="E106">
            <v>0.6982459887374507</v>
          </cell>
          <cell r="F106">
            <v>0.67067703575566584</v>
          </cell>
          <cell r="G106">
            <v>0.67288718262596503</v>
          </cell>
          <cell r="H106">
            <v>0.70199063572539433</v>
          </cell>
          <cell r="I106">
            <v>0.72509024904704633</v>
          </cell>
          <cell r="J106">
            <v>0</v>
          </cell>
          <cell r="K106" t="str">
            <v>% Margin - Wheel Sales</v>
          </cell>
          <cell r="L106">
            <v>0.71834105796316172</v>
          </cell>
          <cell r="M106">
            <v>0.71708863044990812</v>
          </cell>
          <cell r="N106">
            <v>0.71755467841673637</v>
          </cell>
          <cell r="O106">
            <v>0.71799605599632099</v>
          </cell>
          <cell r="P106">
            <v>0.71841389201132333</v>
          </cell>
          <cell r="Q106">
            <v>0.71880928342923611</v>
          </cell>
          <cell r="R106">
            <v>0.71918329387286961</v>
          </cell>
        </row>
        <row r="107">
          <cell r="B107" t="str">
            <v>Accessories - COGS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 t="str">
            <v>Accessories - COGS</v>
          </cell>
        </row>
        <row r="108">
          <cell r="C108" t="str">
            <v>1997A</v>
          </cell>
          <cell r="D108" t="str">
            <v>1998A</v>
          </cell>
          <cell r="E108" t="str">
            <v>1999A</v>
          </cell>
          <cell r="F108" t="str">
            <v>2000A</v>
          </cell>
          <cell r="G108" t="str">
            <v>2001A</v>
          </cell>
          <cell r="H108" t="str">
            <v>2002A</v>
          </cell>
          <cell r="I108" t="str">
            <v>2003A</v>
          </cell>
          <cell r="J108">
            <v>0</v>
          </cell>
          <cell r="K108">
            <v>0</v>
          </cell>
          <cell r="L108" t="str">
            <v>2004P</v>
          </cell>
          <cell r="M108" t="str">
            <v>2005P</v>
          </cell>
          <cell r="N108" t="str">
            <v>2006P</v>
          </cell>
          <cell r="O108" t="str">
            <v>2007P</v>
          </cell>
          <cell r="P108" t="str">
            <v>2008P</v>
          </cell>
          <cell r="Q108" t="str">
            <v>2009P</v>
          </cell>
          <cell r="R108" t="str">
            <v>2010P</v>
          </cell>
        </row>
        <row r="109">
          <cell r="B109" t="str">
            <v>COGS Accessories</v>
          </cell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3705.3746837143631</v>
          </cell>
          <cell r="H109">
            <v>5434.5632022249065</v>
          </cell>
          <cell r="I109">
            <v>8132.7390499999992</v>
          </cell>
          <cell r="J109">
            <v>0</v>
          </cell>
          <cell r="K109" t="str">
            <v>COGS Accessories</v>
          </cell>
          <cell r="L109">
            <v>8943.5632393169999</v>
          </cell>
          <cell r="M109">
            <v>9159.2060580726484</v>
          </cell>
          <cell r="N109">
            <v>9617.16636097628</v>
          </cell>
          <cell r="O109">
            <v>10098.024679025095</v>
          </cell>
          <cell r="P109">
            <v>10602.925912976349</v>
          </cell>
          <cell r="Q109">
            <v>11133.072208625166</v>
          </cell>
          <cell r="R109">
            <v>11689.725819056428</v>
          </cell>
        </row>
        <row r="110">
          <cell r="B110" t="str">
            <v>% Margin - Accesory Sales</v>
          </cell>
          <cell r="C110">
            <v>0</v>
          </cell>
          <cell r="D110">
            <v>0</v>
          </cell>
          <cell r="E110">
            <v>0</v>
          </cell>
          <cell r="F110">
            <v>0</v>
          </cell>
          <cell r="G110">
            <v>0.71946188667179756</v>
          </cell>
          <cell r="H110">
            <v>0.67737437893381358</v>
          </cell>
          <cell r="I110">
            <v>0.66646720986828323</v>
          </cell>
          <cell r="J110">
            <v>0</v>
          </cell>
          <cell r="K110" t="str">
            <v>% Margin - Accesory Sales</v>
          </cell>
          <cell r="L110">
            <v>0.67071742511355548</v>
          </cell>
          <cell r="M110">
            <v>0.67150036289171777</v>
          </cell>
          <cell r="N110">
            <v>0.67150036289171777</v>
          </cell>
          <cell r="O110">
            <v>0.67150036289171788</v>
          </cell>
          <cell r="P110">
            <v>0.67150036289171777</v>
          </cell>
          <cell r="Q110">
            <v>0.67150036289171777</v>
          </cell>
          <cell r="R110">
            <v>0.67150036289171777</v>
          </cell>
        </row>
        <row r="123">
          <cell r="B123" t="str">
            <v>% Margin - Accesory Sales</v>
          </cell>
          <cell r="C123">
            <v>0</v>
          </cell>
          <cell r="D123">
            <v>0</v>
          </cell>
          <cell r="E123">
            <v>0</v>
          </cell>
          <cell r="F123">
            <v>0</v>
          </cell>
          <cell r="G123">
            <v>0.71946188667179756</v>
          </cell>
          <cell r="H123">
            <v>0.67737437893381358</v>
          </cell>
          <cell r="I123">
            <v>0.66646720986828323</v>
          </cell>
          <cell r="J123">
            <v>0</v>
          </cell>
          <cell r="K123" t="str">
            <v>% Margin - Accesory Sales</v>
          </cell>
          <cell r="L123">
            <v>0.67071742511355548</v>
          </cell>
          <cell r="M123">
            <v>0.67150036289171777</v>
          </cell>
          <cell r="N123">
            <v>0.67150036289171777</v>
          </cell>
          <cell r="O123">
            <v>0.67150036289171788</v>
          </cell>
          <cell r="P123">
            <v>0.67150036289171777</v>
          </cell>
          <cell r="Q123">
            <v>0.67150036289171777</v>
          </cell>
          <cell r="R123">
            <v>0.67150036289171777</v>
          </cell>
        </row>
        <row r="124">
          <cell r="B124" t="str">
            <v>Other - COGS</v>
          </cell>
          <cell r="C124">
            <v>0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 t="str">
            <v>Other - COGS</v>
          </cell>
        </row>
        <row r="125">
          <cell r="C125" t="str">
            <v>1997A</v>
          </cell>
          <cell r="D125" t="str">
            <v>1998A</v>
          </cell>
          <cell r="E125" t="str">
            <v>1999A</v>
          </cell>
          <cell r="F125" t="str">
            <v>2000A</v>
          </cell>
          <cell r="G125" t="str">
            <v>2001A</v>
          </cell>
          <cell r="H125" t="str">
            <v>2002A</v>
          </cell>
          <cell r="I125" t="str">
            <v>2003A</v>
          </cell>
          <cell r="J125">
            <v>0</v>
          </cell>
          <cell r="K125">
            <v>0</v>
          </cell>
          <cell r="L125" t="str">
            <v>2004P</v>
          </cell>
          <cell r="M125" t="str">
            <v>2005P</v>
          </cell>
          <cell r="N125" t="str">
            <v>2006P</v>
          </cell>
          <cell r="O125" t="str">
            <v>2007P</v>
          </cell>
          <cell r="P125" t="str">
            <v>2008P</v>
          </cell>
          <cell r="Q125" t="str">
            <v>2009P</v>
          </cell>
          <cell r="R125" t="str">
            <v>2010P</v>
          </cell>
        </row>
        <row r="126">
          <cell r="B126" t="str">
            <v>COGS Other</v>
          </cell>
          <cell r="C126">
            <v>9014.3960000000006</v>
          </cell>
          <cell r="D126">
            <v>9921.4950000000008</v>
          </cell>
          <cell r="E126">
            <v>11486.336000000001</v>
          </cell>
          <cell r="F126">
            <v>12698.031479999996</v>
          </cell>
          <cell r="G126">
            <v>14486.060079999996</v>
          </cell>
          <cell r="H126">
            <v>16091.522172262312</v>
          </cell>
          <cell r="I126">
            <v>18901.015059999998</v>
          </cell>
          <cell r="J126">
            <v>0</v>
          </cell>
          <cell r="K126" t="str">
            <v>COGS Other</v>
          </cell>
          <cell r="L126">
            <v>14647.244422892994</v>
          </cell>
          <cell r="M126">
            <v>13912.178281541532</v>
          </cell>
          <cell r="N126">
            <v>15212.198394146024</v>
          </cell>
          <cell r="O126">
            <v>16849.015318079582</v>
          </cell>
          <cell r="P126">
            <v>18634.332181932328</v>
          </cell>
          <cell r="Q126">
            <v>20546.573917353617</v>
          </cell>
          <cell r="R126">
            <v>22624.300223021746</v>
          </cell>
        </row>
        <row r="127">
          <cell r="B127" t="str">
            <v>% Margin - Other Sales</v>
          </cell>
          <cell r="C127">
            <v>0.60237273914664091</v>
          </cell>
          <cell r="D127">
            <v>0.60413958368511156</v>
          </cell>
          <cell r="E127">
            <v>0.57813253252793773</v>
          </cell>
          <cell r="F127">
            <v>0.55593038159669472</v>
          </cell>
          <cell r="G127">
            <v>0.56096268942765648</v>
          </cell>
          <cell r="H127">
            <v>0.50984286928861222</v>
          </cell>
          <cell r="I127">
            <v>0.52905670530075277</v>
          </cell>
          <cell r="J127">
            <v>0</v>
          </cell>
          <cell r="K127" t="str">
            <v>% Margin</v>
          </cell>
          <cell r="L127">
            <v>0.39316526696131088</v>
          </cell>
          <cell r="M127">
            <v>0.33772589000676717</v>
          </cell>
          <cell r="N127">
            <v>0.33382724342207681</v>
          </cell>
          <cell r="O127">
            <v>0.33354997560840538</v>
          </cell>
          <cell r="P127">
            <v>0.33331766204972646</v>
          </cell>
          <cell r="Q127">
            <v>0.33313548806066423</v>
          </cell>
          <cell r="R127">
            <v>0.33298904622742515</v>
          </cell>
        </row>
      </sheetData>
      <sheetData sheetId="1">
        <row r="7">
          <cell r="D7" t="str">
            <v>2004E</v>
          </cell>
          <cell r="E7">
            <v>2005</v>
          </cell>
          <cell r="F7">
            <v>2006</v>
          </cell>
          <cell r="G7">
            <v>2007</v>
          </cell>
          <cell r="H7">
            <v>2008</v>
          </cell>
          <cell r="I7">
            <v>2009</v>
          </cell>
        </row>
        <row r="8">
          <cell r="C8" t="str">
            <v>SG&amp;A (in thousands)</v>
          </cell>
          <cell r="D8">
            <v>46457.280400000003</v>
          </cell>
          <cell r="E8">
            <v>53711.894840405526</v>
          </cell>
          <cell r="F8">
            <v>59553.188415067147</v>
          </cell>
          <cell r="G8">
            <v>64584.909194436579</v>
          </cell>
          <cell r="H8">
            <v>70635.987609345771</v>
          </cell>
          <cell r="I8">
            <v>77774.467365776363</v>
          </cell>
        </row>
        <row r="9">
          <cell r="C9" t="str">
            <v>% of sales</v>
          </cell>
          <cell r="D9">
            <v>9.7006446224135859E-2</v>
          </cell>
          <cell r="E9">
            <v>0.1007893662643511</v>
          </cell>
          <cell r="F9">
            <v>0.10051663553744415</v>
          </cell>
          <cell r="G9">
            <v>9.7919207701852085E-2</v>
          </cell>
          <cell r="H9">
            <v>9.6099115084484918E-2</v>
          </cell>
          <cell r="I9">
            <v>9.4855105484306729E-2</v>
          </cell>
        </row>
        <row r="38">
          <cell r="C38" t="str">
            <v>% of sales</v>
          </cell>
          <cell r="D38">
            <v>9.7006446224135859E-2</v>
          </cell>
          <cell r="E38">
            <v>0.1007893662643511</v>
          </cell>
          <cell r="F38">
            <v>0.10051663553744415</v>
          </cell>
          <cell r="G38">
            <v>9.7919207701852085E-2</v>
          </cell>
          <cell r="H38">
            <v>9.6099115084484918E-2</v>
          </cell>
          <cell r="I38">
            <v>9.4855105484306729E-2</v>
          </cell>
        </row>
        <row r="39">
          <cell r="C39" t="str">
            <v>Capex</v>
          </cell>
        </row>
        <row r="40">
          <cell r="D40" t="str">
            <v>2004E</v>
          </cell>
          <cell r="E40">
            <v>2005</v>
          </cell>
          <cell r="F40">
            <v>2006</v>
          </cell>
          <cell r="G40">
            <v>2007</v>
          </cell>
          <cell r="H40">
            <v>2008</v>
          </cell>
          <cell r="I40">
            <v>2009</v>
          </cell>
        </row>
        <row r="41">
          <cell r="C41" t="str">
            <v>Maintenance Capex (in thousands)</v>
          </cell>
          <cell r="D41">
            <v>592.0450000000003</v>
          </cell>
          <cell r="E41">
            <v>480</v>
          </cell>
          <cell r="F41">
            <v>492</v>
          </cell>
          <cell r="G41">
            <v>504.3</v>
          </cell>
          <cell r="H41">
            <v>516.90750000000003</v>
          </cell>
          <cell r="I41">
            <v>529.83018749999997</v>
          </cell>
        </row>
        <row r="42">
          <cell r="C42" t="str">
            <v>Expansion Capex (in thousands)</v>
          </cell>
          <cell r="D42">
            <v>359.5</v>
          </cell>
          <cell r="E42">
            <v>2214</v>
          </cell>
          <cell r="F42">
            <v>0</v>
          </cell>
          <cell r="G42">
            <v>2326.0837499999998</v>
          </cell>
          <cell r="H42">
            <v>0</v>
          </cell>
          <cell r="I42">
            <v>2443.8417398437491</v>
          </cell>
        </row>
      </sheetData>
      <sheetData sheetId="2">
        <row r="5">
          <cell r="C5" t="str">
            <v>Actual</v>
          </cell>
          <cell r="D5">
            <v>0</v>
          </cell>
          <cell r="E5">
            <v>0</v>
          </cell>
          <cell r="F5">
            <v>0</v>
          </cell>
          <cell r="G5" t="str">
            <v>Estimated</v>
          </cell>
          <cell r="H5" t="str">
            <v>Projected</v>
          </cell>
        </row>
        <row r="6">
          <cell r="C6">
            <v>36891</v>
          </cell>
          <cell r="D6">
            <v>37256</v>
          </cell>
          <cell r="E6">
            <v>37621</v>
          </cell>
          <cell r="F6">
            <v>37986</v>
          </cell>
          <cell r="G6" t="str">
            <v>2004E</v>
          </cell>
          <cell r="H6">
            <v>38442</v>
          </cell>
          <cell r="I6">
            <v>39082</v>
          </cell>
          <cell r="J6">
            <v>39447</v>
          </cell>
          <cell r="K6">
            <v>39813</v>
          </cell>
          <cell r="L6">
            <v>40178</v>
          </cell>
        </row>
        <row r="7">
          <cell r="C7">
            <v>36891</v>
          </cell>
          <cell r="D7">
            <v>37256</v>
          </cell>
          <cell r="E7">
            <v>37621</v>
          </cell>
          <cell r="F7">
            <v>37986</v>
          </cell>
          <cell r="G7" t="str">
            <v>2004E</v>
          </cell>
          <cell r="H7">
            <v>38442</v>
          </cell>
          <cell r="I7">
            <v>39082</v>
          </cell>
          <cell r="J7">
            <v>39447</v>
          </cell>
          <cell r="K7">
            <v>39813</v>
          </cell>
          <cell r="L7">
            <v>40178</v>
          </cell>
        </row>
        <row r="8">
          <cell r="B8" t="str">
            <v>Sales</v>
          </cell>
          <cell r="C8">
            <v>267828.31935000001</v>
          </cell>
          <cell r="D8">
            <v>327527.75358000002</v>
          </cell>
          <cell r="E8">
            <v>382154.50950999995</v>
          </cell>
          <cell r="F8">
            <v>431620.73093999998</v>
          </cell>
          <cell r="G8">
            <v>478909.20870000002</v>
          </cell>
          <cell r="H8">
            <v>532912.31834447267</v>
          </cell>
          <cell r="I8">
            <v>592470.96857795806</v>
          </cell>
          <cell r="J8">
            <v>659573.44539681147</v>
          </cell>
          <cell r="K8">
            <v>735032.6540181624</v>
          </cell>
          <cell r="L8">
            <v>819929.16426247335</v>
          </cell>
        </row>
        <row r="9">
          <cell r="B9" t="str">
            <v>% growth</v>
          </cell>
          <cell r="C9">
            <v>0.28770730893177343</v>
          </cell>
          <cell r="D9">
            <v>0.22290187376333548</v>
          </cell>
          <cell r="E9">
            <v>0.16678512075055996</v>
          </cell>
          <cell r="F9">
            <v>0.12944037084221716</v>
          </cell>
          <cell r="G9">
            <v>0.10956025596132379</v>
          </cell>
          <cell r="H9">
            <v>0.11276272968537016</v>
          </cell>
          <cell r="I9">
            <v>0.11176069342609352</v>
          </cell>
          <cell r="J9">
            <v>0.1132586749016784</v>
          </cell>
          <cell r="K9">
            <v>0.11440607433180294</v>
          </cell>
          <cell r="L9">
            <v>0.11550032475456962</v>
          </cell>
        </row>
        <row r="10">
          <cell r="B10" t="str">
            <v>% growth</v>
          </cell>
          <cell r="C10">
            <v>0.28770730893177343</v>
          </cell>
          <cell r="D10">
            <v>0.22290187376333548</v>
          </cell>
          <cell r="E10">
            <v>0.16678512075055996</v>
          </cell>
          <cell r="F10">
            <v>0.12944037084221716</v>
          </cell>
          <cell r="G10">
            <v>0.10956025596132379</v>
          </cell>
          <cell r="H10">
            <v>0.11276272968537016</v>
          </cell>
          <cell r="I10">
            <v>0.11176069342609352</v>
          </cell>
          <cell r="J10">
            <v>0.1132586749016784</v>
          </cell>
          <cell r="K10">
            <v>0.11440607433180294</v>
          </cell>
          <cell r="L10">
            <v>0.11550032475456962</v>
          </cell>
        </row>
        <row r="11">
          <cell r="B11" t="str">
            <v>Gross Profit</v>
          </cell>
          <cell r="C11">
            <v>54215.631160000019</v>
          </cell>
          <cell r="D11">
            <v>67537.397000000026</v>
          </cell>
          <cell r="E11">
            <v>79502.587797737622</v>
          </cell>
          <cell r="F11">
            <v>88529.752179999952</v>
          </cell>
          <cell r="G11">
            <v>101495.34489000001</v>
          </cell>
          <cell r="H11">
            <v>111675.58888415608</v>
          </cell>
          <cell r="I11">
            <v>123212.72667675221</v>
          </cell>
          <cell r="J11">
            <v>136308.69083164999</v>
          </cell>
          <cell r="K11">
            <v>150978.05032401672</v>
          </cell>
          <cell r="L11">
            <v>167419.25791641825</v>
          </cell>
        </row>
        <row r="12">
          <cell r="B12" t="str">
            <v>% margin</v>
          </cell>
          <cell r="C12">
            <v>0.20242680569245791</v>
          </cell>
          <cell r="D12">
            <v>0.20620358507574149</v>
          </cell>
          <cell r="E12">
            <v>0.20803781145923453</v>
          </cell>
          <cell r="F12">
            <v>0.20511005573619345</v>
          </cell>
          <cell r="G12">
            <v>0.21193024282307982</v>
          </cell>
          <cell r="H12">
            <v>0.20955715422582777</v>
          </cell>
          <cell r="I12">
            <v>0.20796415894011813</v>
          </cell>
          <cell r="J12">
            <v>0.20666188395386989</v>
          </cell>
          <cell r="K12">
            <v>0.20540318787018966</v>
          </cell>
          <cell r="L12">
            <v>0.20418746547088851</v>
          </cell>
        </row>
        <row r="13">
          <cell r="B13" t="str">
            <v>% margin</v>
          </cell>
          <cell r="C13">
            <v>0.20242680569245791</v>
          </cell>
          <cell r="D13">
            <v>0.20620358507574149</v>
          </cell>
          <cell r="E13">
            <v>0.20803781145923453</v>
          </cell>
          <cell r="F13">
            <v>0.20511005573619345</v>
          </cell>
          <cell r="G13">
            <v>0.21193024282307982</v>
          </cell>
          <cell r="H13">
            <v>0.20955715422582777</v>
          </cell>
          <cell r="I13">
            <v>0.20796415894011813</v>
          </cell>
          <cell r="J13">
            <v>0.20666188395386989</v>
          </cell>
          <cell r="K13">
            <v>0.20540318787018966</v>
          </cell>
          <cell r="L13">
            <v>0.20418746547088851</v>
          </cell>
        </row>
        <row r="14">
          <cell r="B14" t="str">
            <v>Reported EBITDA</v>
          </cell>
          <cell r="C14">
            <v>26136.231440000014</v>
          </cell>
          <cell r="D14">
            <v>31918.366660000022</v>
          </cell>
          <cell r="E14">
            <v>38261.055457737617</v>
          </cell>
          <cell r="F14">
            <v>44651.155609999958</v>
          </cell>
          <cell r="G14">
            <v>56502.820550000004</v>
          </cell>
          <cell r="H14">
            <v>59891.307281798159</v>
          </cell>
          <cell r="I14">
            <v>65051.870548510466</v>
          </cell>
          <cell r="J14">
            <v>72837.170477919761</v>
          </cell>
          <cell r="K14">
            <v>81712.064339901102</v>
          </cell>
          <cell r="L14">
            <v>90884.63833215776</v>
          </cell>
        </row>
        <row r="15">
          <cell r="B15" t="str">
            <v>% margin</v>
          </cell>
          <cell r="C15">
            <v>9.7585765028249297E-2</v>
          </cell>
          <cell r="D15">
            <v>9.7452403074610977E-2</v>
          </cell>
          <cell r="E15">
            <v>0.10011933525734421</v>
          </cell>
          <cell r="F15">
            <v>0.10344997913505447</v>
          </cell>
          <cell r="G15">
            <v>0.11798232216786356</v>
          </cell>
          <cell r="H15">
            <v>0.11238491815661995</v>
          </cell>
          <cell r="I15">
            <v>0.10979756646076214</v>
          </cell>
          <cell r="J15">
            <v>0.11043072001496299</v>
          </cell>
          <cell r="K15">
            <v>0.1111679377687648</v>
          </cell>
          <cell r="L15">
            <v>0.11084450010252841</v>
          </cell>
        </row>
        <row r="16">
          <cell r="B16" t="str">
            <v>% margin</v>
          </cell>
          <cell r="C16">
            <v>9.7585765028249297E-2</v>
          </cell>
          <cell r="D16">
            <v>9.7452403074610977E-2</v>
          </cell>
          <cell r="E16">
            <v>0.10011933525734421</v>
          </cell>
          <cell r="F16">
            <v>0.10344997913505447</v>
          </cell>
          <cell r="G16">
            <v>0.11798232216786356</v>
          </cell>
          <cell r="H16">
            <v>0.11238491815661995</v>
          </cell>
          <cell r="I16">
            <v>0.10979756646076214</v>
          </cell>
          <cell r="J16">
            <v>0.11043072001496299</v>
          </cell>
          <cell r="K16">
            <v>0.1111679377687648</v>
          </cell>
          <cell r="L16">
            <v>0.11084450010252841</v>
          </cell>
        </row>
        <row r="17">
          <cell r="B17" t="str">
            <v>Adjustments1</v>
          </cell>
          <cell r="C17">
            <v>4.0000000000000571E-4</v>
          </cell>
          <cell r="D17">
            <v>0</v>
          </cell>
          <cell r="E17">
            <v>738.65706226231384</v>
          </cell>
          <cell r="F17">
            <v>1073.4456100000002</v>
          </cell>
          <cell r="G17">
            <v>1214.24541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</row>
        <row r="18">
          <cell r="B18" t="str">
            <v>Adjustments1</v>
          </cell>
          <cell r="C18">
            <v>4.0000000000000571E-4</v>
          </cell>
          <cell r="D18">
            <v>0</v>
          </cell>
          <cell r="E18">
            <v>738.65706226231384</v>
          </cell>
          <cell r="F18">
            <v>1073.4456100000002</v>
          </cell>
          <cell r="G18">
            <v>1214.24541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</row>
        <row r="19">
          <cell r="B19" t="str">
            <v>Adjusted EBITDA</v>
          </cell>
          <cell r="C19">
            <v>26136.231840000015</v>
          </cell>
          <cell r="D19">
            <v>31918.366660000022</v>
          </cell>
          <cell r="E19">
            <v>38999.712519999928</v>
          </cell>
          <cell r="F19">
            <v>45724.60121999996</v>
          </cell>
          <cell r="G19">
            <v>57717.065960000007</v>
          </cell>
          <cell r="H19">
            <v>59891.307281798159</v>
          </cell>
          <cell r="I19">
            <v>65051.870548510466</v>
          </cell>
          <cell r="J19">
            <v>72837.170477919761</v>
          </cell>
          <cell r="K19">
            <v>81712.064339901102</v>
          </cell>
          <cell r="L19">
            <v>90884.63833215776</v>
          </cell>
        </row>
        <row r="20">
          <cell r="B20" t="str">
            <v>% margin</v>
          </cell>
          <cell r="C20">
            <v>9.7585766521743347E-2</v>
          </cell>
          <cell r="D20">
            <v>9.7452403074610977E-2</v>
          </cell>
          <cell r="E20">
            <v>0.10205221068830383</v>
          </cell>
          <cell r="F20">
            <v>0.10593699037675783</v>
          </cell>
          <cell r="G20">
            <v>0.12051776184607746</v>
          </cell>
          <cell r="H20">
            <v>0.11238491815661995</v>
          </cell>
          <cell r="I20">
            <v>0.10979756646076214</v>
          </cell>
          <cell r="J20">
            <v>0.11043072001496299</v>
          </cell>
          <cell r="K20">
            <v>0.1111679377687648</v>
          </cell>
          <cell r="L20">
            <v>0.11084450010252841</v>
          </cell>
        </row>
        <row r="21">
          <cell r="B21" t="str">
            <v>% margin</v>
          </cell>
          <cell r="C21">
            <v>9.7585766521743347E-2</v>
          </cell>
          <cell r="D21">
            <v>9.7452403074610977E-2</v>
          </cell>
          <cell r="E21">
            <v>0.10205221068830383</v>
          </cell>
          <cell r="F21">
            <v>0.10593699037675783</v>
          </cell>
          <cell r="G21">
            <v>0.12051776184607746</v>
          </cell>
          <cell r="H21">
            <v>0.11238491815661995</v>
          </cell>
          <cell r="I21">
            <v>0.10979756646076214</v>
          </cell>
          <cell r="J21">
            <v>0.11043072001496299</v>
          </cell>
          <cell r="K21">
            <v>0.1111679377687648</v>
          </cell>
          <cell r="L21">
            <v>0.11084450010252841</v>
          </cell>
        </row>
        <row r="22">
          <cell r="B22" t="str">
            <v>Capital Expenditures</v>
          </cell>
          <cell r="C22">
            <v>-1254.3440000000001</v>
          </cell>
          <cell r="D22">
            <v>-4034.0113799999999</v>
          </cell>
          <cell r="E22">
            <v>-3045.9007699999984</v>
          </cell>
          <cell r="F22">
            <v>-1335.4694800000016</v>
          </cell>
          <cell r="G22">
            <v>-951.54500000000019</v>
          </cell>
          <cell r="H22">
            <v>-2694</v>
          </cell>
          <cell r="I22">
            <v>-492</v>
          </cell>
          <cell r="J22">
            <v>-2830.38375</v>
          </cell>
          <cell r="K22">
            <v>-516.90750000000003</v>
          </cell>
          <cell r="L22">
            <v>-2973.6719273437493</v>
          </cell>
        </row>
        <row r="23">
          <cell r="B23" t="str">
            <v>% of sales</v>
          </cell>
          <cell r="C23">
            <v>4.6833882355839084E-3</v>
          </cell>
          <cell r="D23">
            <v>1.2316548249443771E-2</v>
          </cell>
          <cell r="E23">
            <v>7.970338421246068E-3</v>
          </cell>
          <cell r="F23">
            <v>3.09408094715832E-3</v>
          </cell>
          <cell r="G23">
            <v>1.9869006122955348E-3</v>
          </cell>
          <cell r="H23">
            <v>5.0552406226395535E-3</v>
          </cell>
          <cell r="I23">
            <v>8.3042043592598759E-4</v>
          </cell>
          <cell r="J23">
            <v>4.2912336294818375E-3</v>
          </cell>
          <cell r="K23">
            <v>7.0324426700535056E-4</v>
          </cell>
          <cell r="L23">
            <v>3.6267424760022637E-3</v>
          </cell>
        </row>
        <row r="24">
          <cell r="B24" t="str">
            <v>% of sales</v>
          </cell>
          <cell r="C24">
            <v>4.6833882355839084E-3</v>
          </cell>
          <cell r="D24">
            <v>1.2316548249443771E-2</v>
          </cell>
          <cell r="E24">
            <v>7.970338421246068E-3</v>
          </cell>
          <cell r="F24">
            <v>3.09408094715832E-3</v>
          </cell>
          <cell r="G24">
            <v>1.9869006122955348E-3</v>
          </cell>
          <cell r="H24">
            <v>5.0552406226395535E-3</v>
          </cell>
          <cell r="I24">
            <v>8.3042043592598759E-4</v>
          </cell>
          <cell r="J24">
            <v>4.2912336294818375E-3</v>
          </cell>
          <cell r="K24">
            <v>7.0324426700535056E-4</v>
          </cell>
          <cell r="L24">
            <v>3.6267424760022637E-3</v>
          </cell>
        </row>
        <row r="25">
          <cell r="B25" t="str">
            <v>Free Cash Flow 2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56765.520960000009</v>
          </cell>
          <cell r="H25">
            <v>57197.307281798159</v>
          </cell>
          <cell r="I25">
            <v>64559.870548510466</v>
          </cell>
          <cell r="J25">
            <v>70006.786727919767</v>
          </cell>
          <cell r="K25">
            <v>81195.156839901101</v>
          </cell>
          <cell r="L25">
            <v>87910.966404814011</v>
          </cell>
        </row>
        <row r="33">
          <cell r="B33" t="str">
            <v>Free Cash Flow 2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56765.520960000009</v>
          </cell>
          <cell r="H33">
            <v>57197.307281798159</v>
          </cell>
          <cell r="I33">
            <v>64559.870548510466</v>
          </cell>
          <cell r="J33">
            <v>70006.786727919767</v>
          </cell>
          <cell r="K33">
            <v>81195.156839901101</v>
          </cell>
          <cell r="L33">
            <v>87910.966404814011</v>
          </cell>
        </row>
        <row r="34">
          <cell r="C34" t="str">
            <v>Actual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 t="str">
            <v>Estimated</v>
          </cell>
        </row>
        <row r="35">
          <cell r="C35">
            <v>36525</v>
          </cell>
          <cell r="D35">
            <v>36891</v>
          </cell>
          <cell r="E35">
            <v>37256</v>
          </cell>
          <cell r="F35">
            <v>37346</v>
          </cell>
          <cell r="G35">
            <v>37986</v>
          </cell>
          <cell r="H35" t="str">
            <v>2004E</v>
          </cell>
        </row>
        <row r="36">
          <cell r="C36">
            <v>36525</v>
          </cell>
          <cell r="D36">
            <v>36891</v>
          </cell>
          <cell r="E36">
            <v>37256</v>
          </cell>
          <cell r="F36">
            <v>37346</v>
          </cell>
          <cell r="G36">
            <v>37986</v>
          </cell>
          <cell r="H36" t="str">
            <v>2004E</v>
          </cell>
        </row>
        <row r="37">
          <cell r="B37" t="str">
            <v>Sales</v>
          </cell>
          <cell r="C37">
            <v>207988.50599999999</v>
          </cell>
          <cell r="D37">
            <v>267828.31935000001</v>
          </cell>
          <cell r="E37">
            <v>327527.75358000002</v>
          </cell>
          <cell r="F37">
            <v>382154.50950999995</v>
          </cell>
          <cell r="G37">
            <v>431620.73093999998</v>
          </cell>
          <cell r="H37">
            <v>478909.20870000002</v>
          </cell>
        </row>
        <row r="38">
          <cell r="B38" t="str">
            <v>% growth</v>
          </cell>
          <cell r="C38">
            <v>0.26857878199496654</v>
          </cell>
          <cell r="D38">
            <v>0.28770730893177343</v>
          </cell>
          <cell r="E38">
            <v>0.22290187376333548</v>
          </cell>
          <cell r="F38">
            <v>0.16678512075055996</v>
          </cell>
          <cell r="G38">
            <v>0.12944037084221716</v>
          </cell>
          <cell r="H38">
            <v>0.10956025596132379</v>
          </cell>
        </row>
        <row r="39">
          <cell r="B39" t="str">
            <v>% growth</v>
          </cell>
          <cell r="C39">
            <v>0.26857878199496654</v>
          </cell>
          <cell r="D39">
            <v>0.28770730893177343</v>
          </cell>
          <cell r="E39">
            <v>0.22290187376333548</v>
          </cell>
          <cell r="F39">
            <v>0.16678512075055996</v>
          </cell>
          <cell r="G39">
            <v>0.12944037084221716</v>
          </cell>
          <cell r="H39">
            <v>0.10956025596132379</v>
          </cell>
        </row>
        <row r="40">
          <cell r="B40" t="str">
            <v>Gross Profit</v>
          </cell>
          <cell r="C40">
            <v>40224.542999999976</v>
          </cell>
          <cell r="D40">
            <v>54215.631160000019</v>
          </cell>
          <cell r="E40">
            <v>67537.397000000026</v>
          </cell>
          <cell r="F40">
            <v>79502.587797737622</v>
          </cell>
          <cell r="G40">
            <v>88529.752179999952</v>
          </cell>
          <cell r="H40">
            <v>101495.34489000001</v>
          </cell>
        </row>
        <row r="41">
          <cell r="B41" t="str">
            <v>% margin</v>
          </cell>
          <cell r="C41">
            <v>0.19339791305583001</v>
          </cell>
          <cell r="D41">
            <v>0.20242680569245791</v>
          </cell>
          <cell r="E41">
            <v>0.20620358507574149</v>
          </cell>
          <cell r="F41">
            <v>0.20803781145923453</v>
          </cell>
          <cell r="G41">
            <v>0.20511005573619345</v>
          </cell>
          <cell r="H41">
            <v>0.21193024282307982</v>
          </cell>
        </row>
        <row r="42">
          <cell r="B42" t="str">
            <v>% margin</v>
          </cell>
          <cell r="C42">
            <v>0.19339791305583001</v>
          </cell>
          <cell r="D42">
            <v>0.20242680569245791</v>
          </cell>
          <cell r="E42">
            <v>0.20620358507574149</v>
          </cell>
          <cell r="F42">
            <v>0.20803781145923453</v>
          </cell>
          <cell r="G42">
            <v>0.20511005573619345</v>
          </cell>
          <cell r="H42">
            <v>0.21193024282307982</v>
          </cell>
        </row>
        <row r="43">
          <cell r="B43" t="str">
            <v>EBITDA</v>
          </cell>
          <cell r="C43">
            <v>17070.70594999997</v>
          </cell>
          <cell r="D43">
            <v>26136.231440000014</v>
          </cell>
          <cell r="E43">
            <v>31918.366660000022</v>
          </cell>
          <cell r="F43">
            <v>38261.055457737617</v>
          </cell>
          <cell r="G43">
            <v>44651.155609999958</v>
          </cell>
          <cell r="H43">
            <v>56502.820550000004</v>
          </cell>
        </row>
        <row r="44">
          <cell r="B44" t="str">
            <v>% margin</v>
          </cell>
          <cell r="C44">
            <v>8.2075237128728509E-2</v>
          </cell>
          <cell r="D44">
            <v>9.7585765028249297E-2</v>
          </cell>
          <cell r="E44">
            <v>9.7452403074610977E-2</v>
          </cell>
          <cell r="F44">
            <v>0.10011933525734421</v>
          </cell>
          <cell r="G44">
            <v>0.10344997913505447</v>
          </cell>
          <cell r="H44">
            <v>0.11798232216786356</v>
          </cell>
        </row>
        <row r="45">
          <cell r="B45" t="str">
            <v>% margin</v>
          </cell>
          <cell r="C45">
            <v>8.2075237128728509E-2</v>
          </cell>
          <cell r="D45">
            <v>9.7585765028249297E-2</v>
          </cell>
          <cell r="E45">
            <v>9.7452403074610977E-2</v>
          </cell>
          <cell r="F45">
            <v>0.10011933525734421</v>
          </cell>
          <cell r="G45">
            <v>0.10344997913505447</v>
          </cell>
          <cell r="H45">
            <v>0.11798232216786356</v>
          </cell>
        </row>
        <row r="46">
          <cell r="B46" t="str">
            <v>EBIT</v>
          </cell>
          <cell r="C46">
            <v>16576.29494999997</v>
          </cell>
          <cell r="D46">
            <v>25321.120800000015</v>
          </cell>
          <cell r="E46">
            <v>30798.787700000023</v>
          </cell>
          <cell r="F46">
            <v>36809.581237737613</v>
          </cell>
          <cell r="G46">
            <v>42858.947109999957</v>
          </cell>
          <cell r="H46">
            <v>54615.561790000007</v>
          </cell>
        </row>
        <row r="47">
          <cell r="B47" t="str">
            <v>% margin</v>
          </cell>
          <cell r="C47">
            <v>7.9698129809153834E-2</v>
          </cell>
          <cell r="D47">
            <v>9.4542357811349259E-2</v>
          </cell>
          <cell r="E47">
            <v>9.4034131041897465E-2</v>
          </cell>
          <cell r="F47">
            <v>9.6321200775401045E-2</v>
          </cell>
          <cell r="G47">
            <v>9.9297702908431013E-2</v>
          </cell>
          <cell r="H47">
            <v>0.114041577814413</v>
          </cell>
        </row>
        <row r="48">
          <cell r="B48" t="str">
            <v>% margin</v>
          </cell>
          <cell r="C48">
            <v>7.9698129809153834E-2</v>
          </cell>
          <cell r="D48">
            <v>9.4542357811349259E-2</v>
          </cell>
          <cell r="E48">
            <v>9.4034131041897465E-2</v>
          </cell>
          <cell r="F48">
            <v>9.6321200775401045E-2</v>
          </cell>
          <cell r="G48">
            <v>9.9297702908431013E-2</v>
          </cell>
          <cell r="H48">
            <v>0.114041577814413</v>
          </cell>
        </row>
        <row r="49">
          <cell r="B49" t="str">
            <v>Pre-Tax Income</v>
          </cell>
          <cell r="C49">
            <v>16191.46294999997</v>
          </cell>
          <cell r="D49">
            <v>25098.315080000015</v>
          </cell>
          <cell r="E49">
            <v>30723.007840000024</v>
          </cell>
          <cell r="F49">
            <v>36942.059267737612</v>
          </cell>
          <cell r="G49">
            <v>43147.627253999955</v>
          </cell>
          <cell r="H49">
            <v>55038.064490000004</v>
          </cell>
        </row>
        <row r="50">
          <cell r="B50" t="str">
            <v>% margin</v>
          </cell>
          <cell r="C50">
            <v>7.7847873718560057E-2</v>
          </cell>
          <cell r="D50">
            <v>9.371046027138509E-2</v>
          </cell>
          <cell r="E50">
            <v>9.3802761763502898E-2</v>
          </cell>
          <cell r="F50">
            <v>9.6667861685329495E-2</v>
          </cell>
          <cell r="G50">
            <v>9.9966531172011638E-2</v>
          </cell>
          <cell r="H50">
            <v>0.11492379659894396</v>
          </cell>
        </row>
        <row r="51">
          <cell r="B51" t="str">
            <v>% margin</v>
          </cell>
          <cell r="C51">
            <v>7.7847873718560057E-2</v>
          </cell>
          <cell r="D51">
            <v>9.371046027138509E-2</v>
          </cell>
          <cell r="E51">
            <v>9.3802761763502898E-2</v>
          </cell>
          <cell r="F51">
            <v>9.6667861685329495E-2</v>
          </cell>
          <cell r="G51">
            <v>9.9966531172011638E-2</v>
          </cell>
          <cell r="H51">
            <v>0.11492379659894396</v>
          </cell>
        </row>
        <row r="52">
          <cell r="B52" t="str">
            <v>Taxes1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</row>
        <row r="53">
          <cell r="B53" t="str">
            <v>Effective Tax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</row>
        <row r="54">
          <cell r="B54" t="str">
            <v>Effective Tax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</row>
        <row r="55">
          <cell r="B55" t="str">
            <v>Net Income</v>
          </cell>
          <cell r="C55">
            <v>16191.46294999997</v>
          </cell>
          <cell r="D55">
            <v>25098.315080000015</v>
          </cell>
          <cell r="E55">
            <v>30723.007840000024</v>
          </cell>
          <cell r="F55">
            <v>36942.059267737612</v>
          </cell>
          <cell r="G55">
            <v>43147.627253999955</v>
          </cell>
          <cell r="H55">
            <v>55038.064490000004</v>
          </cell>
        </row>
        <row r="58">
          <cell r="B58" t="str">
            <v>Net Income</v>
          </cell>
          <cell r="C58">
            <v>16191.46294999997</v>
          </cell>
          <cell r="D58">
            <v>25098.315080000015</v>
          </cell>
          <cell r="E58">
            <v>30723.007840000024</v>
          </cell>
          <cell r="F58">
            <v>36942.059267737612</v>
          </cell>
          <cell r="G58">
            <v>43147.627253999955</v>
          </cell>
          <cell r="H58">
            <v>55038.064490000004</v>
          </cell>
        </row>
        <row r="59">
          <cell r="C59" t="str">
            <v>Estimated</v>
          </cell>
          <cell r="D59" t="str">
            <v>Projected</v>
          </cell>
        </row>
        <row r="60">
          <cell r="C60" t="str">
            <v>2004E</v>
          </cell>
          <cell r="D60">
            <v>38717</v>
          </cell>
          <cell r="E60">
            <v>39082</v>
          </cell>
          <cell r="F60">
            <v>39447</v>
          </cell>
          <cell r="G60">
            <v>39813</v>
          </cell>
          <cell r="H60">
            <v>40178</v>
          </cell>
        </row>
        <row r="61">
          <cell r="C61" t="str">
            <v>2004E</v>
          </cell>
          <cell r="D61">
            <v>38717</v>
          </cell>
          <cell r="E61">
            <v>39082</v>
          </cell>
          <cell r="F61">
            <v>39447</v>
          </cell>
          <cell r="G61">
            <v>39813</v>
          </cell>
          <cell r="H61">
            <v>40178</v>
          </cell>
        </row>
        <row r="62">
          <cell r="B62" t="str">
            <v>Sales</v>
          </cell>
          <cell r="C62">
            <v>478909.20870000002</v>
          </cell>
          <cell r="D62">
            <v>532912.31834447267</v>
          </cell>
          <cell r="E62">
            <v>592470.96857795806</v>
          </cell>
          <cell r="F62">
            <v>659573.44539681147</v>
          </cell>
          <cell r="G62">
            <v>735032.6540181624</v>
          </cell>
          <cell r="H62">
            <v>819929.16426247335</v>
          </cell>
        </row>
        <row r="63">
          <cell r="B63" t="str">
            <v>% growth</v>
          </cell>
          <cell r="C63">
            <v>0.10956025596132379</v>
          </cell>
          <cell r="D63">
            <v>0.11276272968537016</v>
          </cell>
          <cell r="E63">
            <v>0.11176069342609352</v>
          </cell>
          <cell r="F63">
            <v>0.1132586749016784</v>
          </cell>
          <cell r="G63">
            <v>0.11440607433180294</v>
          </cell>
          <cell r="H63">
            <v>0.11550032475456962</v>
          </cell>
        </row>
        <row r="64">
          <cell r="B64" t="str">
            <v>% growth</v>
          </cell>
          <cell r="C64">
            <v>0.10956025596132379</v>
          </cell>
          <cell r="D64">
            <v>0.11276272968537016</v>
          </cell>
          <cell r="E64">
            <v>0.11176069342609352</v>
          </cell>
          <cell r="F64">
            <v>0.1132586749016784</v>
          </cell>
          <cell r="G64">
            <v>0.11440607433180294</v>
          </cell>
          <cell r="H64">
            <v>0.11550032475456962</v>
          </cell>
        </row>
        <row r="65">
          <cell r="B65" t="str">
            <v>Gross Profit</v>
          </cell>
          <cell r="C65">
            <v>101495.34489000001</v>
          </cell>
          <cell r="D65">
            <v>111675.58888415608</v>
          </cell>
          <cell r="E65">
            <v>123212.72667675221</v>
          </cell>
          <cell r="F65">
            <v>136308.69083164999</v>
          </cell>
          <cell r="G65">
            <v>150978.05032401672</v>
          </cell>
          <cell r="H65">
            <v>167419.25791641825</v>
          </cell>
        </row>
        <row r="66">
          <cell r="B66" t="str">
            <v>% margin</v>
          </cell>
          <cell r="C66">
            <v>0.21193024282307982</v>
          </cell>
          <cell r="D66">
            <v>0.20955715422582777</v>
          </cell>
          <cell r="E66">
            <v>0.20796415894011813</v>
          </cell>
          <cell r="F66">
            <v>0.20666188395386989</v>
          </cell>
          <cell r="G66">
            <v>0.20540318787018966</v>
          </cell>
          <cell r="H66">
            <v>0.20418746547088851</v>
          </cell>
        </row>
        <row r="67">
          <cell r="B67" t="str">
            <v>% margin</v>
          </cell>
          <cell r="C67">
            <v>0.21193024282307982</v>
          </cell>
          <cell r="D67">
            <v>0.20955715422582777</v>
          </cell>
          <cell r="E67">
            <v>0.20796415894011813</v>
          </cell>
          <cell r="F67">
            <v>0.20666188395386989</v>
          </cell>
          <cell r="G67">
            <v>0.20540318787018966</v>
          </cell>
          <cell r="H67">
            <v>0.20418746547088851</v>
          </cell>
        </row>
        <row r="68">
          <cell r="B68" t="str">
            <v>EBITDA</v>
          </cell>
          <cell r="C68">
            <v>56502.820550000004</v>
          </cell>
          <cell r="D68">
            <v>59891.307281798159</v>
          </cell>
          <cell r="E68">
            <v>65051.870548510466</v>
          </cell>
          <cell r="F68">
            <v>72837.170477919761</v>
          </cell>
          <cell r="G68">
            <v>81712.064339901102</v>
          </cell>
          <cell r="H68">
            <v>90884.63833215776</v>
          </cell>
        </row>
        <row r="69">
          <cell r="B69" t="str">
            <v>% margin</v>
          </cell>
          <cell r="C69">
            <v>0.11798232216786356</v>
          </cell>
          <cell r="D69">
            <v>0.11238491815661995</v>
          </cell>
          <cell r="E69">
            <v>0.10979756646076214</v>
          </cell>
          <cell r="F69">
            <v>0.11043072001496299</v>
          </cell>
          <cell r="G69">
            <v>0.1111679377687648</v>
          </cell>
          <cell r="H69">
            <v>0.11084450010252841</v>
          </cell>
        </row>
        <row r="70">
          <cell r="B70" t="str">
            <v>% margin</v>
          </cell>
          <cell r="C70">
            <v>0.11798232216786356</v>
          </cell>
          <cell r="D70">
            <v>0.11238491815661995</v>
          </cell>
          <cell r="E70">
            <v>0.10979756646076214</v>
          </cell>
          <cell r="F70">
            <v>0.11043072001496299</v>
          </cell>
          <cell r="G70">
            <v>0.1111679377687648</v>
          </cell>
          <cell r="H70">
            <v>0.11084450010252841</v>
          </cell>
        </row>
        <row r="71">
          <cell r="B71" t="str">
            <v>EBIT</v>
          </cell>
          <cell r="C71">
            <v>54615.561790000007</v>
          </cell>
          <cell r="D71">
            <v>57963.694043750547</v>
          </cell>
          <cell r="E71">
            <v>63659.538261685062</v>
          </cell>
          <cell r="F71">
            <v>71723.781637213411</v>
          </cell>
          <cell r="G71">
            <v>80342.062714670945</v>
          </cell>
          <cell r="H71">
            <v>89644.79055064189</v>
          </cell>
        </row>
        <row r="72">
          <cell r="B72" t="str">
            <v>% margin</v>
          </cell>
          <cell r="C72">
            <v>0.114041577814413</v>
          </cell>
          <cell r="D72">
            <v>0.10876778796147665</v>
          </cell>
          <cell r="E72">
            <v>0.10744752340267397</v>
          </cell>
          <cell r="F72">
            <v>0.10874267625201781</v>
          </cell>
          <cell r="G72">
            <v>0.10930407278570473</v>
          </cell>
          <cell r="H72">
            <v>0.10933235998658179</v>
          </cell>
        </row>
        <row r="73">
          <cell r="B73" t="str">
            <v>% margin</v>
          </cell>
          <cell r="C73">
            <v>0.114041577814413</v>
          </cell>
          <cell r="D73">
            <v>0.10876778796147665</v>
          </cell>
          <cell r="E73">
            <v>0.10744752340267397</v>
          </cell>
          <cell r="F73">
            <v>0.10874267625201781</v>
          </cell>
          <cell r="G73">
            <v>0.10930407278570473</v>
          </cell>
          <cell r="H73">
            <v>0.10933235998658179</v>
          </cell>
        </row>
        <row r="74">
          <cell r="B74" t="str">
            <v>Pre-Tax Income</v>
          </cell>
          <cell r="C74">
            <v>55038.064490000004</v>
          </cell>
          <cell r="D74">
            <v>58625.294065060429</v>
          </cell>
          <cell r="E74">
            <v>64811.805717052848</v>
          </cell>
          <cell r="F74">
            <v>73748.842030107538</v>
          </cell>
          <cell r="G74">
            <v>83357.37408717745</v>
          </cell>
          <cell r="H74">
            <v>93993.017890355564</v>
          </cell>
        </row>
        <row r="75">
          <cell r="B75" t="str">
            <v>% margin</v>
          </cell>
          <cell r="C75">
            <v>0.11492379659894396</v>
          </cell>
          <cell r="D75">
            <v>0.11000926802965219</v>
          </cell>
          <cell r="E75">
            <v>0.10939237389574276</v>
          </cell>
          <cell r="F75">
            <v>0.11181293386627911</v>
          </cell>
          <cell r="G75">
            <v>0.11340635498503679</v>
          </cell>
          <cell r="H75">
            <v>0.11463553436948706</v>
          </cell>
        </row>
        <row r="76">
          <cell r="B76" t="str">
            <v>% margin</v>
          </cell>
          <cell r="C76">
            <v>0.11492379659894396</v>
          </cell>
          <cell r="D76">
            <v>0.11000926802965219</v>
          </cell>
          <cell r="E76">
            <v>0.10939237389574276</v>
          </cell>
          <cell r="F76">
            <v>0.11181293386627911</v>
          </cell>
          <cell r="G76">
            <v>0.11340635498503679</v>
          </cell>
          <cell r="H76">
            <v>0.11463553436948706</v>
          </cell>
        </row>
        <row r="77">
          <cell r="B77" t="str">
            <v>Taxes1</v>
          </cell>
          <cell r="C77">
            <v>0</v>
          </cell>
          <cell r="D77">
            <v>-21984.485274397666</v>
          </cell>
          <cell r="E77">
            <v>-24304.42714389482</v>
          </cell>
          <cell r="F77">
            <v>-27655.815761290331</v>
          </cell>
          <cell r="G77">
            <v>-31259.015282691558</v>
          </cell>
          <cell r="H77">
            <v>-35247.381708883346</v>
          </cell>
        </row>
        <row r="78">
          <cell r="B78" t="str">
            <v>Effective Tax</v>
          </cell>
          <cell r="C78">
            <v>0</v>
          </cell>
          <cell r="D78">
            <v>0.37500000000000011</v>
          </cell>
          <cell r="E78">
            <v>0.37500000000000006</v>
          </cell>
          <cell r="F78">
            <v>0.37500000000000006</v>
          </cell>
          <cell r="G78">
            <v>0.37500000000000017</v>
          </cell>
          <cell r="H78">
            <v>0.37500000000000011</v>
          </cell>
        </row>
        <row r="79">
          <cell r="B79" t="str">
            <v>Effective Tax</v>
          </cell>
          <cell r="C79">
            <v>0</v>
          </cell>
          <cell r="D79">
            <v>0.37500000000000011</v>
          </cell>
          <cell r="E79">
            <v>0.37500000000000006</v>
          </cell>
          <cell r="F79">
            <v>0.37500000000000006</v>
          </cell>
          <cell r="G79">
            <v>0.37500000000000017</v>
          </cell>
          <cell r="H79">
            <v>0.37500000000000011</v>
          </cell>
        </row>
        <row r="80">
          <cell r="B80" t="str">
            <v>Net Income</v>
          </cell>
          <cell r="C80">
            <v>55038.064490000004</v>
          </cell>
          <cell r="D80">
            <v>36640.808790662762</v>
          </cell>
          <cell r="E80">
            <v>40507.378573158028</v>
          </cell>
          <cell r="F80">
            <v>46093.026268817208</v>
          </cell>
          <cell r="G80">
            <v>52098.358804485892</v>
          </cell>
          <cell r="H80">
            <v>58745.636181472219</v>
          </cell>
        </row>
      </sheetData>
      <sheetData sheetId="3">
        <row r="2">
          <cell r="D2" t="str">
            <v>Actual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 t="str">
            <v>Estimated</v>
          </cell>
        </row>
        <row r="3">
          <cell r="D3">
            <v>36525</v>
          </cell>
          <cell r="E3">
            <v>36891</v>
          </cell>
          <cell r="F3">
            <v>37256</v>
          </cell>
          <cell r="G3">
            <v>37346</v>
          </cell>
          <cell r="H3">
            <v>37986</v>
          </cell>
          <cell r="I3" t="str">
            <v>2004E</v>
          </cell>
        </row>
        <row r="4">
          <cell r="D4">
            <v>36525</v>
          </cell>
          <cell r="E4">
            <v>36891</v>
          </cell>
          <cell r="F4">
            <v>37256</v>
          </cell>
          <cell r="G4">
            <v>37346</v>
          </cell>
          <cell r="H4">
            <v>37986</v>
          </cell>
          <cell r="I4" t="str">
            <v>2004E</v>
          </cell>
        </row>
        <row r="5">
          <cell r="B5" t="str">
            <v>Tires - Revenue</v>
          </cell>
          <cell r="C5" t="str">
            <v>Assets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 t="str">
            <v>Tires - Revenue</v>
          </cell>
        </row>
        <row r="6">
          <cell r="C6" t="str">
            <v>Cash and cash equivalents</v>
          </cell>
          <cell r="D6">
            <v>271.89200000000244</v>
          </cell>
          <cell r="E6">
            <v>781.45863999999244</v>
          </cell>
          <cell r="F6">
            <v>8105.9732200000044</v>
          </cell>
          <cell r="G6">
            <v>16829.551189999984</v>
          </cell>
          <cell r="H6">
            <v>41861.316049999994</v>
          </cell>
          <cell r="I6">
            <v>36881.301779999987</v>
          </cell>
          <cell r="J6">
            <v>0</v>
          </cell>
          <cell r="K6">
            <v>0</v>
          </cell>
          <cell r="L6" t="str">
            <v>2004P</v>
          </cell>
          <cell r="M6" t="str">
            <v>2005P</v>
          </cell>
          <cell r="N6" t="str">
            <v>2006P</v>
          </cell>
          <cell r="O6" t="str">
            <v>2007P</v>
          </cell>
          <cell r="P6" t="str">
            <v>2008P</v>
          </cell>
          <cell r="Q6" t="str">
            <v>2009P</v>
          </cell>
          <cell r="R6" t="str">
            <v>2010P</v>
          </cell>
        </row>
        <row r="7">
          <cell r="B7" t="str">
            <v>Tire Sales</v>
          </cell>
          <cell r="C7" t="str">
            <v>Marketable securities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 t="str">
            <v>Total Tire Units Sold - Retail</v>
          </cell>
          <cell r="L7">
            <v>372936.13334425376</v>
          </cell>
          <cell r="M7">
            <v>410400.27568515122</v>
          </cell>
          <cell r="N7">
            <v>457969.14941138291</v>
          </cell>
          <cell r="O7">
            <v>512079.25804442877</v>
          </cell>
          <cell r="P7">
            <v>571188.77389265969</v>
          </cell>
          <cell r="Q7">
            <v>634481.88035517256</v>
          </cell>
          <cell r="R7">
            <v>703320.54288486973</v>
          </cell>
        </row>
        <row r="8">
          <cell r="B8" t="str">
            <v>% Growth</v>
          </cell>
          <cell r="C8" t="str">
            <v>Total cash and marketable securities</v>
          </cell>
          <cell r="D8">
            <v>271.89200000000244</v>
          </cell>
          <cell r="E8">
            <v>781.45863999999244</v>
          </cell>
          <cell r="F8">
            <v>8105.9732200000044</v>
          </cell>
          <cell r="G8">
            <v>16829.551189999984</v>
          </cell>
          <cell r="H8">
            <v>41861.316049999994</v>
          </cell>
          <cell r="I8">
            <v>36881.301779999987</v>
          </cell>
          <cell r="J8">
            <v>0</v>
          </cell>
          <cell r="K8" t="str">
            <v>% Growth</v>
          </cell>
          <cell r="L8">
            <v>0.12526998711886494</v>
          </cell>
          <cell r="M8">
            <v>0.10045726061710059</v>
          </cell>
          <cell r="N8">
            <v>0.11590848384986296</v>
          </cell>
          <cell r="O8">
            <v>0.11815230065735283</v>
          </cell>
          <cell r="P8">
            <v>0.11543040441427621</v>
          </cell>
          <cell r="Q8">
            <v>0.11080943701181201</v>
          </cell>
          <cell r="R8">
            <v>0.10849586829991487</v>
          </cell>
        </row>
        <row r="9">
          <cell r="B9" t="str">
            <v>% Growth</v>
          </cell>
          <cell r="C9" t="str">
            <v>Total cash and marketable securities</v>
          </cell>
          <cell r="D9">
            <v>271.89200000000244</v>
          </cell>
          <cell r="E9">
            <v>781.45863999999244</v>
          </cell>
          <cell r="F9">
            <v>8105.9732200000044</v>
          </cell>
          <cell r="G9">
            <v>16829.551189999984</v>
          </cell>
          <cell r="H9">
            <v>41861.316049999994</v>
          </cell>
          <cell r="I9">
            <v>36881.301779999987</v>
          </cell>
          <cell r="J9">
            <v>0</v>
          </cell>
          <cell r="K9" t="str">
            <v>% Growth</v>
          </cell>
          <cell r="L9">
            <v>0.12526998711886494</v>
          </cell>
          <cell r="M9">
            <v>0.10045726061710059</v>
          </cell>
          <cell r="N9">
            <v>0.11590848384986296</v>
          </cell>
          <cell r="O9">
            <v>0.11815230065735283</v>
          </cell>
          <cell r="P9">
            <v>0.11543040441427621</v>
          </cell>
          <cell r="Q9">
            <v>0.11080943701181201</v>
          </cell>
          <cell r="R9">
            <v>0.10849586829991487</v>
          </cell>
        </row>
        <row r="10">
          <cell r="C10" t="str">
            <v>Total receivables, net</v>
          </cell>
          <cell r="D10">
            <v>10036.938</v>
          </cell>
          <cell r="E10">
            <v>13086.076999999999</v>
          </cell>
          <cell r="F10">
            <v>13983.385</v>
          </cell>
          <cell r="G10">
            <v>14404.438</v>
          </cell>
          <cell r="H10">
            <v>18073.323</v>
          </cell>
          <cell r="I10">
            <v>21073.981589999999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 t="str">
            <v>2004E</v>
          </cell>
        </row>
        <row r="11">
          <cell r="T11" t="str">
            <v>Tires</v>
          </cell>
          <cell r="U11">
            <v>374959.97161000001</v>
          </cell>
          <cell r="V11">
            <v>0.78294583774621829</v>
          </cell>
        </row>
        <row r="12">
          <cell r="C12" t="str">
            <v>Inventories</v>
          </cell>
          <cell r="D12">
            <v>38757.574999999997</v>
          </cell>
          <cell r="E12">
            <v>50837.459000000003</v>
          </cell>
          <cell r="F12">
            <v>64021.527999999998</v>
          </cell>
          <cell r="G12">
            <v>63759.16113</v>
          </cell>
          <cell r="H12">
            <v>69169.13</v>
          </cell>
          <cell r="I12">
            <v>95214.199309999996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 t="str">
            <v>Wheels</v>
          </cell>
          <cell r="U12">
            <v>52335.303069999994</v>
          </cell>
          <cell r="V12">
            <v>0.10928021871215272</v>
          </cell>
        </row>
        <row r="13">
          <cell r="C13" t="str">
            <v>Other current assets</v>
          </cell>
          <cell r="D13">
            <v>1975.7629999999999</v>
          </cell>
          <cell r="E13">
            <v>1817.52</v>
          </cell>
          <cell r="F13">
            <v>2142.2420000000002</v>
          </cell>
          <cell r="G13">
            <v>1522.355</v>
          </cell>
          <cell r="H13">
            <v>1029.0550000000001</v>
          </cell>
          <cell r="I13">
            <v>2191.8351700000003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 t="str">
            <v>Acessories</v>
          </cell>
          <cell r="U13">
            <v>13390.323399999997</v>
          </cell>
          <cell r="V13">
            <v>2.7960045780593898E-2</v>
          </cell>
        </row>
        <row r="14">
          <cell r="C14" t="str">
            <v>Total current assets</v>
          </cell>
          <cell r="D14">
            <v>51042.167999999998</v>
          </cell>
          <cell r="E14">
            <v>66522.514639999994</v>
          </cell>
          <cell r="F14">
            <v>88253.128220000013</v>
          </cell>
          <cell r="G14">
            <v>96515.505319999997</v>
          </cell>
          <cell r="H14">
            <v>130132.82405</v>
          </cell>
          <cell r="I14">
            <v>155361.31784999999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 t="str">
            <v>Other</v>
          </cell>
          <cell r="U14">
            <v>38223.610620000007</v>
          </cell>
          <cell r="V14">
            <v>7.9813897761035063E-2</v>
          </cell>
        </row>
        <row r="15">
          <cell r="C15" t="str">
            <v>Total current assets</v>
          </cell>
          <cell r="D15">
            <v>51042.167999999998</v>
          </cell>
          <cell r="E15">
            <v>66522.514639999994</v>
          </cell>
          <cell r="F15">
            <v>88253.128220000013</v>
          </cell>
          <cell r="G15">
            <v>96515.505319999997</v>
          </cell>
          <cell r="H15">
            <v>130132.82405</v>
          </cell>
          <cell r="I15">
            <v>155361.31784999999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 t="str">
            <v>Other</v>
          </cell>
          <cell r="U15">
            <v>38223.610620000007</v>
          </cell>
          <cell r="V15">
            <v>7.9813897761035063E-2</v>
          </cell>
        </row>
        <row r="16">
          <cell r="C16" t="str">
            <v>Net property</v>
          </cell>
          <cell r="D16">
            <v>1556.4239999999995</v>
          </cell>
          <cell r="E16">
            <v>1959.4171700000006</v>
          </cell>
          <cell r="F16">
            <v>4798.4066400000011</v>
          </cell>
          <cell r="G16">
            <v>6323.7486800000006</v>
          </cell>
          <cell r="H16">
            <v>5849.3329500000009</v>
          </cell>
          <cell r="I16">
            <v>4702.6868700000005</v>
          </cell>
        </row>
        <row r="17">
          <cell r="C17" t="str">
            <v>Total assets</v>
          </cell>
          <cell r="D17">
            <v>52598.591999999997</v>
          </cell>
          <cell r="E17">
            <v>68481.931809999995</v>
          </cell>
          <cell r="F17">
            <v>93051.534860000014</v>
          </cell>
          <cell r="G17">
            <v>102839.254</v>
          </cell>
          <cell r="H17">
            <v>135982.15700000001</v>
          </cell>
          <cell r="I17">
            <v>160064.00472</v>
          </cell>
        </row>
        <row r="18">
          <cell r="C18" t="str">
            <v>Total assets</v>
          </cell>
          <cell r="D18">
            <v>52598.591999999997</v>
          </cell>
          <cell r="E18">
            <v>68481.931809999995</v>
          </cell>
          <cell r="F18">
            <v>93051.534860000014</v>
          </cell>
          <cell r="G18">
            <v>102839.254</v>
          </cell>
          <cell r="H18">
            <v>135982.15700000001</v>
          </cell>
          <cell r="I18">
            <v>160064.00472</v>
          </cell>
        </row>
        <row r="19">
          <cell r="C19" t="str">
            <v>Liabilities</v>
          </cell>
        </row>
        <row r="20">
          <cell r="C20" t="str">
            <v>Account payables</v>
          </cell>
          <cell r="D20">
            <v>8304.3670000000002</v>
          </cell>
          <cell r="E20">
            <v>10063.054</v>
          </cell>
          <cell r="F20">
            <v>19429.564999999999</v>
          </cell>
          <cell r="G20">
            <v>11375.518</v>
          </cell>
          <cell r="H20">
            <v>22673.196</v>
          </cell>
          <cell r="I20">
            <v>25242.880719999997</v>
          </cell>
        </row>
        <row r="21">
          <cell r="C21" t="str">
            <v>Salaries, wages and employer taxes</v>
          </cell>
          <cell r="D21">
            <v>427.51100000000002</v>
          </cell>
          <cell r="E21">
            <v>667.17</v>
          </cell>
          <cell r="F21">
            <v>678.37300000000005</v>
          </cell>
          <cell r="G21">
            <v>837.52499999999998</v>
          </cell>
          <cell r="H21">
            <v>481.38499999999999</v>
          </cell>
          <cell r="I21">
            <v>580.97559999999999</v>
          </cell>
        </row>
        <row r="22">
          <cell r="B22" t="str">
            <v>Wheels - Revenue</v>
          </cell>
          <cell r="C22" t="str">
            <v>Other current liabilities</v>
          </cell>
          <cell r="D22">
            <v>328.96699999999998</v>
          </cell>
          <cell r="E22">
            <v>1098.46</v>
          </cell>
          <cell r="F22">
            <v>1105.6210000000001</v>
          </cell>
          <cell r="G22">
            <v>1363.7239999999999</v>
          </cell>
          <cell r="H22">
            <v>1612.7670000000001</v>
          </cell>
          <cell r="I22">
            <v>1319.5859100000016</v>
          </cell>
          <cell r="J22">
            <v>0</v>
          </cell>
          <cell r="K22" t="str">
            <v>Wheels - Revenue</v>
          </cell>
        </row>
        <row r="23">
          <cell r="C23" t="str">
            <v>Total current liabilities</v>
          </cell>
          <cell r="D23">
            <v>9060.8450000000012</v>
          </cell>
          <cell r="E23">
            <v>11828.684000000001</v>
          </cell>
          <cell r="F23">
            <v>21213.558999999997</v>
          </cell>
          <cell r="G23">
            <v>13576.767</v>
          </cell>
          <cell r="H23">
            <v>24767.347999999998</v>
          </cell>
          <cell r="I23">
            <v>27143.442230000001</v>
          </cell>
          <cell r="J23">
            <v>0</v>
          </cell>
          <cell r="K23">
            <v>0</v>
          </cell>
          <cell r="L23" t="str">
            <v>2004P</v>
          </cell>
          <cell r="M23" t="str">
            <v>2005P</v>
          </cell>
          <cell r="N23" t="str">
            <v>2006P</v>
          </cell>
          <cell r="O23" t="str">
            <v>2007P</v>
          </cell>
          <cell r="P23" t="str">
            <v>2008P</v>
          </cell>
          <cell r="Q23" t="str">
            <v>2009P</v>
          </cell>
          <cell r="R23" t="str">
            <v>2010P</v>
          </cell>
        </row>
        <row r="24">
          <cell r="B24" t="str">
            <v>Wheel Sales</v>
          </cell>
          <cell r="C24">
            <v>20795.241999999998</v>
          </cell>
          <cell r="D24">
            <v>23678.703000000001</v>
          </cell>
          <cell r="E24">
            <v>28841.605</v>
          </cell>
          <cell r="F24">
            <v>39194.410749999995</v>
          </cell>
          <cell r="G24">
            <v>43001.088775931632</v>
          </cell>
          <cell r="H24">
            <v>50443.445988682884</v>
          </cell>
          <cell r="I24">
            <v>52272.845580000001</v>
          </cell>
          <cell r="J24">
            <v>0</v>
          </cell>
          <cell r="K24" t="str">
            <v>Total Tire Units Sold - Retail</v>
          </cell>
          <cell r="L24">
            <v>52492.510662629007</v>
          </cell>
          <cell r="M24">
            <v>55075.096343913377</v>
          </cell>
          <cell r="N24">
            <v>57781.683960303562</v>
          </cell>
          <cell r="O24">
            <v>60634.480316020301</v>
          </cell>
          <cell r="P24">
            <v>63641.240692892941</v>
          </cell>
          <cell r="Q24">
            <v>66810.13313927417</v>
          </cell>
          <cell r="R24">
            <v>70149.760424985856</v>
          </cell>
        </row>
        <row r="25">
          <cell r="B25" t="str">
            <v>% Growth</v>
          </cell>
          <cell r="C25" t="str">
            <v>Notes payable to shareholders</v>
          </cell>
          <cell r="D25">
            <v>5761.4629999999997</v>
          </cell>
          <cell r="E25">
            <v>4306.5990000000002</v>
          </cell>
          <cell r="F25">
            <v>4617.3549999999996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 t="str">
            <v>% Growth</v>
          </cell>
          <cell r="L25">
            <v>4.2022790263602783E-3</v>
          </cell>
          <cell r="M25">
            <v>4.919912666937809E-2</v>
          </cell>
          <cell r="N25">
            <v>4.9143583871175567E-2</v>
          </cell>
          <cell r="O25">
            <v>4.9371983649293183E-2</v>
          </cell>
          <cell r="P25">
            <v>4.9588293017466922E-2</v>
          </cell>
          <cell r="Q25">
            <v>4.9793065186661378E-2</v>
          </cell>
          <cell r="R25">
            <v>4.9986837756329727E-2</v>
          </cell>
        </row>
        <row r="26">
          <cell r="C26" t="str">
            <v>Notes payable to banks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</row>
        <row r="27">
          <cell r="C27" t="str">
            <v>Long term debt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</row>
        <row r="28">
          <cell r="C28" t="str">
            <v>Capital lease obligation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</row>
        <row r="29">
          <cell r="C29" t="str">
            <v>Other debt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</row>
        <row r="30">
          <cell r="C30" t="str">
            <v>Total debt, current plus long-term</v>
          </cell>
          <cell r="D30">
            <v>5761.4629999999997</v>
          </cell>
          <cell r="E30">
            <v>4306.5990000000002</v>
          </cell>
          <cell r="F30">
            <v>4617.3549999999996</v>
          </cell>
          <cell r="G30">
            <v>0</v>
          </cell>
          <cell r="H30">
            <v>0</v>
          </cell>
          <cell r="I30">
            <v>0</v>
          </cell>
        </row>
        <row r="31">
          <cell r="C31" t="str">
            <v>Total liabilities</v>
          </cell>
          <cell r="D31">
            <v>14822.308000000001</v>
          </cell>
          <cell r="E31">
            <v>16135.283000000001</v>
          </cell>
          <cell r="F31">
            <v>25830.913999999997</v>
          </cell>
          <cell r="G31">
            <v>13576.767</v>
          </cell>
          <cell r="H31">
            <v>24767.347999999998</v>
          </cell>
          <cell r="I31">
            <v>27143.442230000001</v>
          </cell>
        </row>
        <row r="32">
          <cell r="C32" t="str">
            <v>Total liabilities</v>
          </cell>
          <cell r="D32">
            <v>14822.308000000001</v>
          </cell>
          <cell r="E32">
            <v>16135.283000000001</v>
          </cell>
          <cell r="F32">
            <v>25830.913999999997</v>
          </cell>
          <cell r="G32">
            <v>13576.767</v>
          </cell>
          <cell r="H32">
            <v>24767.347999999998</v>
          </cell>
          <cell r="I32">
            <v>27143.442230000001</v>
          </cell>
        </row>
        <row r="33">
          <cell r="C33" t="str">
            <v>Stockholders' equity</v>
          </cell>
        </row>
        <row r="34">
          <cell r="C34" t="str">
            <v>Common stock</v>
          </cell>
          <cell r="D34">
            <v>79.638999999999996</v>
          </cell>
          <cell r="E34">
            <v>79.638999999999996</v>
          </cell>
          <cell r="F34">
            <v>79.638999999999996</v>
          </cell>
          <cell r="G34">
            <v>79.638999999999996</v>
          </cell>
          <cell r="H34">
            <v>79.638999999999996</v>
          </cell>
          <cell r="I34">
            <v>79.638999999999996</v>
          </cell>
        </row>
        <row r="35">
          <cell r="C35" t="str">
            <v>Retained earnings / (Accumulated deficit)</v>
          </cell>
          <cell r="D35">
            <v>37696.677000000003</v>
          </cell>
          <cell r="E35">
            <v>52267.040999999997</v>
          </cell>
          <cell r="F35">
            <v>67141.013000000006</v>
          </cell>
          <cell r="G35">
            <v>89182.880999999994</v>
          </cell>
          <cell r="H35">
            <v>111135.20299999999</v>
          </cell>
          <cell r="I35">
            <v>132840.95649000001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819929.16426247335</v>
          </cell>
        </row>
        <row r="36">
          <cell r="C36" t="str">
            <v>Total stockholders' equity</v>
          </cell>
          <cell r="D36">
            <v>37776.316000000006</v>
          </cell>
          <cell r="E36">
            <v>52346.68</v>
          </cell>
          <cell r="F36">
            <v>67220.652000000002</v>
          </cell>
          <cell r="G36">
            <v>89262.51999999999</v>
          </cell>
          <cell r="H36">
            <v>111214.84199999999</v>
          </cell>
          <cell r="I36">
            <v>132920.59549000001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 t="str">
            <v>Tires</v>
          </cell>
          <cell r="U36">
            <v>671924.25188649341</v>
          </cell>
          <cell r="V36">
            <v>0.81949061110771637</v>
          </cell>
        </row>
        <row r="37">
          <cell r="C37" t="str">
            <v>Total liabilities and stockholders' equity</v>
          </cell>
          <cell r="D37">
            <v>52598.624000000011</v>
          </cell>
          <cell r="E37">
            <v>68481.963000000003</v>
          </cell>
          <cell r="F37">
            <v>93051.565999999992</v>
          </cell>
          <cell r="G37">
            <v>102839.28699999998</v>
          </cell>
          <cell r="H37">
            <v>135982.19</v>
          </cell>
          <cell r="I37">
            <v>160064.03772000002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 t="str">
            <v>Wheels</v>
          </cell>
          <cell r="U37">
            <v>65302.810067314989</v>
          </cell>
          <cell r="V37">
            <v>7.9644453342570018E-2</v>
          </cell>
        </row>
        <row r="38">
          <cell r="T38" t="str">
            <v>Acessories</v>
          </cell>
          <cell r="U38">
            <v>16863.366366943741</v>
          </cell>
          <cell r="V38">
            <v>2.0566857604232613E-2</v>
          </cell>
        </row>
        <row r="39">
          <cell r="B39" t="str">
            <v>Accessories - Revenue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 t="str">
            <v>Accessories - Revenue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 t="str">
            <v>Other</v>
          </cell>
          <cell r="U39">
            <v>65838.735941721199</v>
          </cell>
          <cell r="V39">
            <v>8.0298077945481022E-2</v>
          </cell>
        </row>
        <row r="40">
          <cell r="C40" t="str">
            <v>1997A</v>
          </cell>
          <cell r="D40" t="str">
            <v>Estimated</v>
          </cell>
          <cell r="E40" t="str">
            <v>Projected</v>
          </cell>
          <cell r="F40" t="str">
            <v>2000A</v>
          </cell>
          <cell r="G40" t="str">
            <v>2001A</v>
          </cell>
          <cell r="H40" t="str">
            <v>2002A</v>
          </cell>
          <cell r="I40" t="str">
            <v>2003A</v>
          </cell>
          <cell r="J40">
            <v>0</v>
          </cell>
          <cell r="K40">
            <v>0</v>
          </cell>
          <cell r="L40" t="str">
            <v>2004P</v>
          </cell>
          <cell r="M40" t="str">
            <v>2005P</v>
          </cell>
          <cell r="N40" t="str">
            <v>2006P</v>
          </cell>
          <cell r="O40" t="str">
            <v>2007P</v>
          </cell>
          <cell r="P40" t="str">
            <v>2008P</v>
          </cell>
          <cell r="Q40" t="str">
            <v>2009P</v>
          </cell>
          <cell r="R40" t="str">
            <v>2010P</v>
          </cell>
        </row>
        <row r="41">
          <cell r="B41" t="str">
            <v>Accessory Sales</v>
          </cell>
          <cell r="C41">
            <v>0</v>
          </cell>
          <cell r="D41" t="str">
            <v>2004E</v>
          </cell>
          <cell r="E41">
            <v>38717</v>
          </cell>
          <cell r="F41">
            <v>39082</v>
          </cell>
          <cell r="G41">
            <v>39447</v>
          </cell>
          <cell r="H41">
            <v>39813</v>
          </cell>
          <cell r="I41">
            <v>40178</v>
          </cell>
          <cell r="J41">
            <v>0</v>
          </cell>
          <cell r="K41" t="str">
            <v>Total Tire Units Sold - Retail</v>
          </cell>
          <cell r="L41">
            <v>13334.3236726</v>
          </cell>
          <cell r="M41">
            <v>13639.912298229998</v>
          </cell>
          <cell r="N41">
            <v>14321.907913141498</v>
          </cell>
          <cell r="O41">
            <v>15038.003308798572</v>
          </cell>
          <cell r="P41">
            <v>15789.903474238501</v>
          </cell>
          <cell r="Q41">
            <v>16579.398647950427</v>
          </cell>
          <cell r="R41">
            <v>17408.368580347953</v>
          </cell>
        </row>
        <row r="42">
          <cell r="B42" t="str">
            <v>% Growth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0.55779942886044331</v>
          </cell>
          <cell r="I42">
            <v>0.52097533930826145</v>
          </cell>
          <cell r="J42">
            <v>0</v>
          </cell>
          <cell r="K42" t="str">
            <v>% Growth</v>
          </cell>
          <cell r="L42">
            <v>9.2730190766211917E-2</v>
          </cell>
          <cell r="M42">
            <v>2.2917444718845159E-2</v>
          </cell>
          <cell r="N42">
            <v>0.05</v>
          </cell>
          <cell r="O42">
            <v>4.9999999999999822E-2</v>
          </cell>
          <cell r="P42">
            <v>0.05</v>
          </cell>
          <cell r="Q42">
            <v>0.05</v>
          </cell>
          <cell r="R42">
            <v>5.0000000000000266E-2</v>
          </cell>
        </row>
        <row r="43">
          <cell r="C43" t="str">
            <v>Assets</v>
          </cell>
        </row>
        <row r="44">
          <cell r="C44" t="str">
            <v>Cash and cash equivalents</v>
          </cell>
          <cell r="D44">
            <v>36881.301779999987</v>
          </cell>
          <cell r="E44">
            <v>76817.830357852567</v>
          </cell>
          <cell r="F44">
            <v>115717.73673680698</v>
          </cell>
          <cell r="G44">
            <v>150765.56862532496</v>
          </cell>
          <cell r="H44">
            <v>193254.54843171869</v>
          </cell>
          <cell r="I44">
            <v>238522.51158768215</v>
          </cell>
        </row>
        <row r="45">
          <cell r="C45" t="str">
            <v>Marketable securities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</row>
        <row r="46">
          <cell r="C46" t="str">
            <v>Total cash and marketable securities</v>
          </cell>
          <cell r="D46">
            <v>36881.301779999987</v>
          </cell>
          <cell r="E46">
            <v>76817.830357852567</v>
          </cell>
          <cell r="F46">
            <v>115717.73673680698</v>
          </cell>
          <cell r="G46">
            <v>150765.56862532496</v>
          </cell>
          <cell r="H46">
            <v>193254.54843171869</v>
          </cell>
          <cell r="I46">
            <v>238522.51158768215</v>
          </cell>
        </row>
        <row r="47">
          <cell r="C47" t="str">
            <v>Total cash and marketable securities</v>
          </cell>
          <cell r="D47">
            <v>36881.301779999987</v>
          </cell>
          <cell r="E47">
            <v>76817.830357852567</v>
          </cell>
          <cell r="F47">
            <v>115717.73673680698</v>
          </cell>
          <cell r="G47">
            <v>150765.56862532496</v>
          </cell>
          <cell r="H47">
            <v>193254.54843171869</v>
          </cell>
          <cell r="I47">
            <v>238522.51158768215</v>
          </cell>
        </row>
        <row r="48">
          <cell r="C48" t="str">
            <v>Total receivables, net</v>
          </cell>
          <cell r="D48">
            <v>21073.981589999999</v>
          </cell>
          <cell r="E48">
            <v>23773.7446253698</v>
          </cell>
          <cell r="F48">
            <v>26580.549951973393</v>
          </cell>
          <cell r="G48">
            <v>29759.355631119397</v>
          </cell>
          <cell r="H48">
            <v>33357.868012041559</v>
          </cell>
          <cell r="I48">
            <v>37433.351651941477</v>
          </cell>
        </row>
        <row r="49">
          <cell r="C49" t="str">
            <v>Total receivables, net</v>
          </cell>
          <cell r="D49">
            <v>21073.981589999999</v>
          </cell>
          <cell r="E49">
            <v>23773.7446253698</v>
          </cell>
          <cell r="F49">
            <v>26580.549951973393</v>
          </cell>
          <cell r="G49">
            <v>29759.355631119397</v>
          </cell>
          <cell r="H49">
            <v>33357.868012041559</v>
          </cell>
          <cell r="I49">
            <v>37433.351651941477</v>
          </cell>
        </row>
        <row r="50">
          <cell r="C50" t="str">
            <v>Inventories</v>
          </cell>
          <cell r="D50">
            <v>95214.199309999996</v>
          </cell>
          <cell r="E50">
            <v>91356.893996571089</v>
          </cell>
          <cell r="F50">
            <v>94238.996112733847</v>
          </cell>
          <cell r="G50">
            <v>103965.40548920688</v>
          </cell>
          <cell r="H50">
            <v>114855.98999448562</v>
          </cell>
          <cell r="I50">
            <v>127059.08318397104</v>
          </cell>
        </row>
        <row r="51">
          <cell r="C51" t="str">
            <v>Other current assets</v>
          </cell>
          <cell r="D51">
            <v>2191.8351700000003</v>
          </cell>
          <cell r="E51">
            <v>2438.9924867895979</v>
          </cell>
          <cell r="F51">
            <v>2711.5759783742355</v>
          </cell>
          <cell r="G51">
            <v>3018.6854805801236</v>
          </cell>
          <cell r="H51">
            <v>3364.041436055707</v>
          </cell>
          <cell r="I51">
            <v>3752.5893144079701</v>
          </cell>
        </row>
        <row r="52">
          <cell r="C52" t="str">
            <v>Total current assets</v>
          </cell>
          <cell r="D52">
            <v>155361.31784999999</v>
          </cell>
          <cell r="E52">
            <v>194387.46146658307</v>
          </cell>
          <cell r="F52">
            <v>239248.85877988848</v>
          </cell>
          <cell r="G52">
            <v>287509.01522623136</v>
          </cell>
          <cell r="H52">
            <v>344832.44787430158</v>
          </cell>
          <cell r="I52">
            <v>406767.53573800263</v>
          </cell>
        </row>
        <row r="53">
          <cell r="C53" t="str">
            <v>Total current assets</v>
          </cell>
          <cell r="D53">
            <v>155361.31784999999</v>
          </cell>
          <cell r="E53">
            <v>194387.46146658307</v>
          </cell>
          <cell r="F53">
            <v>239248.85877988848</v>
          </cell>
          <cell r="G53">
            <v>287509.01522623136</v>
          </cell>
          <cell r="H53">
            <v>344832.44787430158</v>
          </cell>
          <cell r="I53">
            <v>406767.53573800263</v>
          </cell>
        </row>
        <row r="54">
          <cell r="C54" t="str">
            <v>Net property</v>
          </cell>
          <cell r="D54">
            <v>4702.6868700000005</v>
          </cell>
          <cell r="E54">
            <v>5469.0736319523894</v>
          </cell>
          <cell r="F54">
            <v>4568.7413451269858</v>
          </cell>
          <cell r="G54">
            <v>6285.7362544206353</v>
          </cell>
          <cell r="H54">
            <v>5432.642129190479</v>
          </cell>
          <cell r="I54">
            <v>7166.4662750183543</v>
          </cell>
        </row>
        <row r="55">
          <cell r="C55" t="str">
            <v>Total assets</v>
          </cell>
          <cell r="D55">
            <v>160064.00472</v>
          </cell>
          <cell r="E55">
            <v>199856.53509853547</v>
          </cell>
          <cell r="F55">
            <v>243817.60012501548</v>
          </cell>
          <cell r="G55">
            <v>293794.75148065202</v>
          </cell>
          <cell r="H55">
            <v>350265.09000349208</v>
          </cell>
          <cell r="I55">
            <v>413934.00201302097</v>
          </cell>
        </row>
        <row r="56">
          <cell r="B56" t="str">
            <v>Other - Revenue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 t="str">
            <v>Other - Revenue</v>
          </cell>
        </row>
        <row r="57">
          <cell r="C57" t="str">
            <v>Liabilities</v>
          </cell>
          <cell r="D57" t="str">
            <v>1998A</v>
          </cell>
          <cell r="E57" t="str">
            <v>1999A</v>
          </cell>
          <cell r="F57" t="str">
            <v>2000A</v>
          </cell>
          <cell r="G57" t="str">
            <v>2001A</v>
          </cell>
          <cell r="H57" t="str">
            <v>2002A</v>
          </cell>
          <cell r="I57" t="str">
            <v>2003A</v>
          </cell>
          <cell r="J57">
            <v>0</v>
          </cell>
          <cell r="K57">
            <v>0</v>
          </cell>
          <cell r="L57" t="str">
            <v>2004P</v>
          </cell>
          <cell r="M57" t="str">
            <v>2005P</v>
          </cell>
          <cell r="N57" t="str">
            <v>2006P</v>
          </cell>
          <cell r="O57" t="str">
            <v>2007P</v>
          </cell>
          <cell r="P57" t="str">
            <v>2008P</v>
          </cell>
          <cell r="Q57" t="str">
            <v>2009P</v>
          </cell>
          <cell r="R57" t="str">
            <v>2010P</v>
          </cell>
        </row>
        <row r="58">
          <cell r="B58" t="str">
            <v>Other Sales</v>
          </cell>
          <cell r="C58" t="str">
            <v>Account payables</v>
          </cell>
          <cell r="D58">
            <v>25242.880719999997</v>
          </cell>
          <cell r="E58">
            <v>28173.921353357404</v>
          </cell>
          <cell r="F58">
            <v>31385.78352053422</v>
          </cell>
          <cell r="G58">
            <v>34997.94536195961</v>
          </cell>
          <cell r="H58">
            <v>39063.8026546908</v>
          </cell>
          <cell r="I58">
            <v>43642.354756750232</v>
          </cell>
          <cell r="J58">
            <v>0</v>
          </cell>
          <cell r="K58" t="str">
            <v>Total Tire Units Sold - Retail</v>
          </cell>
          <cell r="L58">
            <v>37254.67546026731</v>
          </cell>
          <cell r="M58">
            <v>41193.697886954316</v>
          </cell>
          <cell r="N58">
            <v>45569.074106130916</v>
          </cell>
          <cell r="O58">
            <v>50514.215410588658</v>
          </cell>
          <cell r="P58">
            <v>55905.624884505334</v>
          </cell>
          <cell r="Q58">
            <v>61676.328862363865</v>
          </cell>
          <cell r="R58">
            <v>67943.076444531995</v>
          </cell>
        </row>
        <row r="59">
          <cell r="B59" t="str">
            <v>% Growth</v>
          </cell>
          <cell r="C59" t="str">
            <v>Salaries, wages and employer taxes</v>
          </cell>
          <cell r="D59">
            <v>580.97559999999999</v>
          </cell>
          <cell r="E59">
            <v>648.43474261837844</v>
          </cell>
          <cell r="F59">
            <v>722.35711187532331</v>
          </cell>
          <cell r="G59">
            <v>805.4925478185163</v>
          </cell>
          <cell r="H59">
            <v>899.06997689091725</v>
          </cell>
          <cell r="I59">
            <v>1004.4472943267079</v>
          </cell>
          <cell r="J59">
            <v>0</v>
          </cell>
          <cell r="K59" t="str">
            <v>% Growth</v>
          </cell>
          <cell r="L59">
            <v>4.2792452865112462E-2</v>
          </cell>
          <cell r="M59">
            <v>0.10573229743708379</v>
          </cell>
          <cell r="N59">
            <v>0.10621469893729163</v>
          </cell>
          <cell r="O59">
            <v>0.10851967922237016</v>
          </cell>
          <cell r="P59">
            <v>0.10673053971232305</v>
          </cell>
          <cell r="Q59">
            <v>0.10322224265948465</v>
          </cell>
          <cell r="R59">
            <v>0.10160701354571411</v>
          </cell>
        </row>
        <row r="60">
          <cell r="C60" t="str">
            <v>Other current liabilities</v>
          </cell>
          <cell r="D60">
            <v>1319.5859100000016</v>
          </cell>
          <cell r="E60">
            <v>1472.8077218969088</v>
          </cell>
          <cell r="F60">
            <v>1640.7096387851252</v>
          </cell>
          <cell r="G60">
            <v>1829.5374482358925</v>
          </cell>
          <cell r="H60">
            <v>2042.0824447864616</v>
          </cell>
          <cell r="I60">
            <v>2281.4288533479689</v>
          </cell>
        </row>
        <row r="61">
          <cell r="C61" t="str">
            <v>Total current liabilities</v>
          </cell>
          <cell r="D61">
            <v>27143.442230000001</v>
          </cell>
          <cell r="E61">
            <v>30295.16381787269</v>
          </cell>
          <cell r="F61">
            <v>33748.850271194671</v>
          </cell>
          <cell r="G61">
            <v>37632.975358014017</v>
          </cell>
          <cell r="H61">
            <v>42004.955076368176</v>
          </cell>
          <cell r="I61">
            <v>46928.230904424912</v>
          </cell>
        </row>
        <row r="62">
          <cell r="C62" t="str">
            <v>Total current liabilities</v>
          </cell>
          <cell r="D62">
            <v>27143.442230000001</v>
          </cell>
          <cell r="E62">
            <v>30295.16381787269</v>
          </cell>
          <cell r="F62">
            <v>33748.850271194671</v>
          </cell>
          <cell r="G62">
            <v>37632.975358014017</v>
          </cell>
          <cell r="H62">
            <v>42004.955076368176</v>
          </cell>
          <cell r="I62">
            <v>46928.230904424912</v>
          </cell>
        </row>
        <row r="63">
          <cell r="C63" t="str">
            <v>Notes payable to shareholders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</row>
        <row r="64">
          <cell r="C64" t="str">
            <v>Notes payable to banks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</row>
        <row r="65">
          <cell r="C65" t="str">
            <v>Long term debt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</row>
        <row r="66">
          <cell r="C66" t="str">
            <v>Capital lease obligation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</row>
        <row r="67">
          <cell r="C67" t="str">
            <v>Other debt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</row>
        <row r="68">
          <cell r="C68" t="str">
            <v>Total debt, current plus long-term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</row>
        <row r="69">
          <cell r="C69" t="str">
            <v>Total liabilities</v>
          </cell>
          <cell r="D69">
            <v>27143.442230000001</v>
          </cell>
          <cell r="E69">
            <v>30295.16381787269</v>
          </cell>
          <cell r="F69">
            <v>33748.850271194671</v>
          </cell>
          <cell r="G69">
            <v>37632.975358014017</v>
          </cell>
          <cell r="H69">
            <v>42004.955076368176</v>
          </cell>
          <cell r="I69">
            <v>46928.230904424912</v>
          </cell>
        </row>
        <row r="70">
          <cell r="C70" t="str">
            <v>Total liabilities</v>
          </cell>
          <cell r="D70">
            <v>27143.442230000001</v>
          </cell>
          <cell r="E70">
            <v>30295.16381787269</v>
          </cell>
          <cell r="F70">
            <v>33748.850271194671</v>
          </cell>
          <cell r="G70">
            <v>37632.975358014017</v>
          </cell>
          <cell r="H70">
            <v>42004.955076368176</v>
          </cell>
          <cell r="I70">
            <v>46928.230904424912</v>
          </cell>
        </row>
        <row r="71">
          <cell r="C71" t="str">
            <v>Stockholders' equity</v>
          </cell>
        </row>
        <row r="72">
          <cell r="C72" t="str">
            <v>Common stock</v>
          </cell>
          <cell r="D72">
            <v>79.638999999999996</v>
          </cell>
          <cell r="E72">
            <v>79.638999999999996</v>
          </cell>
          <cell r="F72">
            <v>79.638999999999996</v>
          </cell>
          <cell r="G72">
            <v>79.638999999999996</v>
          </cell>
          <cell r="H72">
            <v>79.638999999999996</v>
          </cell>
          <cell r="I72">
            <v>79.638999999999996</v>
          </cell>
        </row>
        <row r="73">
          <cell r="B73" t="str">
            <v>Tires - COGS</v>
          </cell>
          <cell r="C73" t="str">
            <v>Retained earnings / (Accumulated deficit)</v>
          </cell>
          <cell r="D73">
            <v>132840.95649000001</v>
          </cell>
          <cell r="E73">
            <v>169481.76528066277</v>
          </cell>
          <cell r="F73">
            <v>209989.1438538208</v>
          </cell>
          <cell r="G73">
            <v>256082.170122638</v>
          </cell>
          <cell r="H73">
            <v>308180.52892712387</v>
          </cell>
          <cell r="I73">
            <v>366926.16510859609</v>
          </cell>
          <cell r="J73">
            <v>0</v>
          </cell>
          <cell r="K73" t="str">
            <v>Tires - COGS</v>
          </cell>
        </row>
        <row r="74">
          <cell r="C74" t="str">
            <v>Total stockholders' equity</v>
          </cell>
          <cell r="D74">
            <v>132920.59549000001</v>
          </cell>
          <cell r="E74">
            <v>169561.40428066277</v>
          </cell>
          <cell r="F74">
            <v>210068.7828538208</v>
          </cell>
          <cell r="G74">
            <v>256161.80912263799</v>
          </cell>
          <cell r="H74">
            <v>308260.1679271239</v>
          </cell>
          <cell r="I74">
            <v>367005.80410859612</v>
          </cell>
          <cell r="J74">
            <v>0</v>
          </cell>
          <cell r="K74">
            <v>0</v>
          </cell>
          <cell r="L74" t="str">
            <v>2004P</v>
          </cell>
          <cell r="M74" t="str">
            <v>2005P</v>
          </cell>
          <cell r="N74" t="str">
            <v>2006P</v>
          </cell>
          <cell r="O74" t="str">
            <v>2007P</v>
          </cell>
          <cell r="P74" t="str">
            <v>2008P</v>
          </cell>
          <cell r="Q74" t="str">
            <v>2009P</v>
          </cell>
          <cell r="R74" t="str">
            <v>2010P</v>
          </cell>
        </row>
        <row r="75">
          <cell r="B75" t="str">
            <v>COGS Tires</v>
          </cell>
          <cell r="C75" t="str">
            <v>Total liabilities and stockholders' equity</v>
          </cell>
          <cell r="D75">
            <v>160064.03772000002</v>
          </cell>
          <cell r="E75">
            <v>199856.56809853547</v>
          </cell>
          <cell r="F75">
            <v>243817.63312501548</v>
          </cell>
          <cell r="G75">
            <v>293794.78448065202</v>
          </cell>
          <cell r="H75">
            <v>350265.12300349207</v>
          </cell>
          <cell r="I75">
            <v>413934.03501302103</v>
          </cell>
          <cell r="J75">
            <v>0</v>
          </cell>
          <cell r="K75" t="str">
            <v>COGS Tires</v>
          </cell>
          <cell r="L75">
            <v>321355.71632567246</v>
          </cell>
          <cell r="M75">
            <v>353539.16552181321</v>
          </cell>
          <cell r="N75">
            <v>394367.56233194843</v>
          </cell>
          <cell r="O75">
            <v>440843.65577277704</v>
          </cell>
          <cell r="P75">
            <v>491558.30969763658</v>
          </cell>
          <cell r="Q75">
            <v>545782.03076742846</v>
          </cell>
          <cell r="R75">
            <v>604684.71583026752</v>
          </cell>
        </row>
        <row r="76">
          <cell r="B76" t="str">
            <v>% Margin - Tire Sales</v>
          </cell>
          <cell r="C76">
            <v>0.84965301030251539</v>
          </cell>
          <cell r="D76">
            <v>0.86655048190339035</v>
          </cell>
          <cell r="E76">
            <v>0.863701767207676</v>
          </cell>
          <cell r="F76">
            <v>0.85714924879171395</v>
          </cell>
          <cell r="G76">
            <v>0.8594922184434528</v>
          </cell>
          <cell r="H76">
            <v>0.85339003665099</v>
          </cell>
          <cell r="I76">
            <v>0.85616039754945272</v>
          </cell>
          <cell r="J76">
            <v>0</v>
          </cell>
          <cell r="K76" t="str">
            <v>% Margin - Tire Sales</v>
          </cell>
          <cell r="L76">
            <v>0.86169101782645474</v>
          </cell>
          <cell r="M76">
            <v>0.86144962970989714</v>
          </cell>
          <cell r="N76">
            <v>0.86112255124350601</v>
          </cell>
          <cell r="O76">
            <v>0.86088949873952669</v>
          </cell>
          <cell r="P76">
            <v>0.86058818409132876</v>
          </cell>
          <cell r="Q76">
            <v>0.86020113050653013</v>
          </cell>
          <cell r="R76">
            <v>0.85975693721383528</v>
          </cell>
        </row>
        <row r="89">
          <cell r="B89" t="str">
            <v>% Margin - Tire Sales</v>
          </cell>
          <cell r="C89">
            <v>0.84965301030251539</v>
          </cell>
          <cell r="D89">
            <v>0.86655048190339035</v>
          </cell>
          <cell r="E89">
            <v>0.863701767207676</v>
          </cell>
          <cell r="F89">
            <v>0.85714924879171395</v>
          </cell>
          <cell r="G89">
            <v>0.8594922184434528</v>
          </cell>
          <cell r="H89">
            <v>0.85339003665099</v>
          </cell>
          <cell r="I89">
            <v>0.85616039754945272</v>
          </cell>
          <cell r="J89">
            <v>0</v>
          </cell>
          <cell r="K89" t="str">
            <v>% Margin - Tire Sales</v>
          </cell>
          <cell r="L89">
            <v>0.86169101782645474</v>
          </cell>
          <cell r="M89">
            <v>0.86144962970989714</v>
          </cell>
          <cell r="N89">
            <v>0.86112255124350601</v>
          </cell>
          <cell r="O89">
            <v>0.86088949873952669</v>
          </cell>
          <cell r="P89">
            <v>0.86058818409132876</v>
          </cell>
          <cell r="Q89">
            <v>0.86020113050653013</v>
          </cell>
          <cell r="R89">
            <v>0.85975693721383528</v>
          </cell>
        </row>
        <row r="90">
          <cell r="B90" t="str">
            <v>Wheels - COGS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 t="str">
            <v>Wheels - COGS</v>
          </cell>
        </row>
        <row r="91">
          <cell r="C91" t="str">
            <v>1997A</v>
          </cell>
          <cell r="D91" t="str">
            <v>1998A</v>
          </cell>
          <cell r="E91" t="str">
            <v>1999A</v>
          </cell>
          <cell r="F91" t="str">
            <v>2000A</v>
          </cell>
          <cell r="G91" t="str">
            <v>2001A</v>
          </cell>
          <cell r="H91" t="str">
            <v>2002A</v>
          </cell>
          <cell r="I91" t="str">
            <v>2003A</v>
          </cell>
          <cell r="J91">
            <v>0</v>
          </cell>
          <cell r="K91">
            <v>0</v>
          </cell>
          <cell r="L91" t="str">
            <v>2004P</v>
          </cell>
          <cell r="M91" t="str">
            <v>2005P</v>
          </cell>
          <cell r="N91" t="str">
            <v>2006P</v>
          </cell>
          <cell r="O91" t="str">
            <v>2007P</v>
          </cell>
          <cell r="P91" t="str">
            <v>2008P</v>
          </cell>
          <cell r="Q91" t="str">
            <v>2009P</v>
          </cell>
          <cell r="R91" t="str">
            <v>2010P</v>
          </cell>
        </row>
        <row r="92">
          <cell r="B92" t="str">
            <v>COGS Wheels</v>
          </cell>
          <cell r="C92">
            <v>14794.040999999999</v>
          </cell>
          <cell r="D92">
            <v>16824.805</v>
          </cell>
          <cell r="E92">
            <v>20138.535</v>
          </cell>
          <cell r="F92">
            <v>26286.791219999999</v>
          </cell>
          <cell r="G92">
            <v>28934.881476285642</v>
          </cell>
          <cell r="H92">
            <v>35410.826717775089</v>
          </cell>
          <cell r="I92">
            <v>37902.530619999998</v>
          </cell>
          <cell r="J92">
            <v>0</v>
          </cell>
          <cell r="K92" t="str">
            <v>COGS Wheels</v>
          </cell>
          <cell r="L92">
            <v>37707.525644535468</v>
          </cell>
          <cell r="M92">
            <v>39493.725409153587</v>
          </cell>
          <cell r="N92">
            <v>41461.517652513117</v>
          </cell>
          <cell r="O92">
            <v>43535.317724289132</v>
          </cell>
          <cell r="P92">
            <v>45720.751418610627</v>
          </cell>
          <cell r="Q92">
            <v>48023.74392765353</v>
          </cell>
          <cell r="R92">
            <v>50450.535766834</v>
          </cell>
        </row>
        <row r="93">
          <cell r="B93" t="str">
            <v>% Margin - Wheel Sales</v>
          </cell>
          <cell r="C93">
            <v>0.71141470726813372</v>
          </cell>
          <cell r="D93">
            <v>0.71054588589586176</v>
          </cell>
          <cell r="E93">
            <v>0.6982459887374507</v>
          </cell>
          <cell r="F93">
            <v>0.67067703575566584</v>
          </cell>
          <cell r="G93">
            <v>0.67288718262596503</v>
          </cell>
          <cell r="H93">
            <v>0.70199063572539433</v>
          </cell>
          <cell r="I93">
            <v>0.72509024904704633</v>
          </cell>
          <cell r="J93">
            <v>0</v>
          </cell>
          <cell r="K93" t="str">
            <v>% Margin - Wheel Sales</v>
          </cell>
          <cell r="L93">
            <v>0.71834105796316172</v>
          </cell>
          <cell r="M93">
            <v>0.71708863044990812</v>
          </cell>
          <cell r="N93">
            <v>0.71755467841673637</v>
          </cell>
          <cell r="O93">
            <v>0.71799605599632099</v>
          </cell>
          <cell r="P93">
            <v>0.71841389201132333</v>
          </cell>
          <cell r="Q93">
            <v>0.71880928342923611</v>
          </cell>
          <cell r="R93">
            <v>0.71918329387286961</v>
          </cell>
        </row>
        <row r="106">
          <cell r="B106" t="str">
            <v>% Margin - Wheel Sales</v>
          </cell>
          <cell r="C106">
            <v>0.71141470726813372</v>
          </cell>
          <cell r="D106">
            <v>0.71054588589586176</v>
          </cell>
          <cell r="E106">
            <v>0.6982459887374507</v>
          </cell>
          <cell r="F106">
            <v>0.67067703575566584</v>
          </cell>
          <cell r="G106">
            <v>0.67288718262596503</v>
          </cell>
          <cell r="H106">
            <v>0.70199063572539433</v>
          </cell>
          <cell r="I106">
            <v>0.72509024904704633</v>
          </cell>
          <cell r="J106">
            <v>0</v>
          </cell>
          <cell r="K106" t="str">
            <v>% Margin - Wheel Sales</v>
          </cell>
          <cell r="L106">
            <v>0.71834105796316172</v>
          </cell>
          <cell r="M106">
            <v>0.71708863044990812</v>
          </cell>
          <cell r="N106">
            <v>0.71755467841673637</v>
          </cell>
          <cell r="O106">
            <v>0.71799605599632099</v>
          </cell>
          <cell r="P106">
            <v>0.71841389201132333</v>
          </cell>
          <cell r="Q106">
            <v>0.71880928342923611</v>
          </cell>
          <cell r="R106">
            <v>0.71918329387286961</v>
          </cell>
        </row>
        <row r="107">
          <cell r="B107" t="str">
            <v>Accessories - COGS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 t="str">
            <v>Accessories - COGS</v>
          </cell>
        </row>
        <row r="108">
          <cell r="C108" t="str">
            <v>1997A</v>
          </cell>
          <cell r="D108" t="str">
            <v>1998A</v>
          </cell>
          <cell r="E108" t="str">
            <v>1999A</v>
          </cell>
          <cell r="F108" t="str">
            <v>2000A</v>
          </cell>
          <cell r="G108" t="str">
            <v>2001A</v>
          </cell>
          <cell r="H108" t="str">
            <v>2002A</v>
          </cell>
          <cell r="I108" t="str">
            <v>2003A</v>
          </cell>
          <cell r="J108">
            <v>0</v>
          </cell>
          <cell r="K108">
            <v>0</v>
          </cell>
          <cell r="L108" t="str">
            <v>2004P</v>
          </cell>
          <cell r="M108" t="str">
            <v>2005P</v>
          </cell>
          <cell r="N108" t="str">
            <v>2006P</v>
          </cell>
          <cell r="O108" t="str">
            <v>2007P</v>
          </cell>
          <cell r="P108" t="str">
            <v>2008P</v>
          </cell>
          <cell r="Q108" t="str">
            <v>2009P</v>
          </cell>
          <cell r="R108" t="str">
            <v>2010P</v>
          </cell>
        </row>
        <row r="109">
          <cell r="B109" t="str">
            <v>COGS Accessories</v>
          </cell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3705.3746837143631</v>
          </cell>
          <cell r="H109">
            <v>5434.5632022249065</v>
          </cell>
          <cell r="I109">
            <v>8132.7390499999992</v>
          </cell>
          <cell r="J109">
            <v>0</v>
          </cell>
          <cell r="K109" t="str">
            <v>COGS Accessories</v>
          </cell>
          <cell r="L109">
            <v>8943.5632393169999</v>
          </cell>
          <cell r="M109">
            <v>9159.2060580726484</v>
          </cell>
          <cell r="N109">
            <v>9617.16636097628</v>
          </cell>
          <cell r="O109">
            <v>10098.024679025095</v>
          </cell>
          <cell r="P109">
            <v>10602.925912976349</v>
          </cell>
          <cell r="Q109">
            <v>11133.072208625166</v>
          </cell>
          <cell r="R109">
            <v>11689.725819056428</v>
          </cell>
        </row>
        <row r="110">
          <cell r="B110" t="str">
            <v>% Margin - Accesory Sales</v>
          </cell>
          <cell r="C110">
            <v>0</v>
          </cell>
          <cell r="D110">
            <v>0</v>
          </cell>
          <cell r="E110">
            <v>0</v>
          </cell>
          <cell r="F110">
            <v>0</v>
          </cell>
          <cell r="G110">
            <v>0.71946188667179756</v>
          </cell>
          <cell r="H110">
            <v>0.67737437893381358</v>
          </cell>
          <cell r="I110">
            <v>0.66646720986828323</v>
          </cell>
          <cell r="J110">
            <v>0</v>
          </cell>
          <cell r="K110" t="str">
            <v>% Margin - Accesory Sales</v>
          </cell>
          <cell r="L110">
            <v>0.67071742511355548</v>
          </cell>
          <cell r="M110">
            <v>0.67150036289171777</v>
          </cell>
          <cell r="N110">
            <v>0.67150036289171777</v>
          </cell>
          <cell r="O110">
            <v>0.67150036289171788</v>
          </cell>
          <cell r="P110">
            <v>0.67150036289171777</v>
          </cell>
          <cell r="Q110">
            <v>0.67150036289171777</v>
          </cell>
          <cell r="R110">
            <v>0.67150036289171777</v>
          </cell>
        </row>
        <row r="123">
          <cell r="B123" t="str">
            <v>% Margin - Accesory Sales</v>
          </cell>
          <cell r="C123">
            <v>0</v>
          </cell>
          <cell r="D123">
            <v>0</v>
          </cell>
          <cell r="E123">
            <v>0</v>
          </cell>
          <cell r="F123">
            <v>0</v>
          </cell>
          <cell r="G123">
            <v>0.71946188667179756</v>
          </cell>
          <cell r="H123">
            <v>0.67737437893381358</v>
          </cell>
          <cell r="I123">
            <v>0.66646720986828323</v>
          </cell>
          <cell r="J123">
            <v>0</v>
          </cell>
          <cell r="K123" t="str">
            <v>% Margin - Accesory Sales</v>
          </cell>
          <cell r="L123">
            <v>0.67071742511355548</v>
          </cell>
          <cell r="M123">
            <v>0.67150036289171777</v>
          </cell>
          <cell r="N123">
            <v>0.67150036289171777</v>
          </cell>
          <cell r="O123">
            <v>0.67150036289171788</v>
          </cell>
          <cell r="P123">
            <v>0.67150036289171777</v>
          </cell>
          <cell r="Q123">
            <v>0.67150036289171777</v>
          </cell>
          <cell r="R123">
            <v>0.67150036289171777</v>
          </cell>
        </row>
        <row r="124">
          <cell r="B124" t="str">
            <v>Other - COGS</v>
          </cell>
          <cell r="C124">
            <v>0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 t="str">
            <v>Other - COGS</v>
          </cell>
        </row>
        <row r="125">
          <cell r="C125" t="str">
            <v>1997A</v>
          </cell>
          <cell r="D125" t="str">
            <v>1998A</v>
          </cell>
          <cell r="E125" t="str">
            <v>1999A</v>
          </cell>
          <cell r="F125" t="str">
            <v>2000A</v>
          </cell>
          <cell r="G125" t="str">
            <v>2001A</v>
          </cell>
          <cell r="H125" t="str">
            <v>2002A</v>
          </cell>
          <cell r="I125" t="str">
            <v>2003A</v>
          </cell>
          <cell r="J125">
            <v>0</v>
          </cell>
          <cell r="K125">
            <v>0</v>
          </cell>
          <cell r="L125" t="str">
            <v>2004P</v>
          </cell>
          <cell r="M125" t="str">
            <v>2005P</v>
          </cell>
          <cell r="N125" t="str">
            <v>2006P</v>
          </cell>
          <cell r="O125" t="str">
            <v>2007P</v>
          </cell>
          <cell r="P125" t="str">
            <v>2008P</v>
          </cell>
          <cell r="Q125" t="str">
            <v>2009P</v>
          </cell>
          <cell r="R125" t="str">
            <v>2010P</v>
          </cell>
        </row>
        <row r="126">
          <cell r="B126" t="str">
            <v>COGS Other</v>
          </cell>
          <cell r="C126">
            <v>9014.3960000000006</v>
          </cell>
          <cell r="D126">
            <v>9921.4950000000008</v>
          </cell>
          <cell r="E126">
            <v>11486.336000000001</v>
          </cell>
          <cell r="F126">
            <v>12698.031479999996</v>
          </cell>
          <cell r="G126">
            <v>14486.060079999996</v>
          </cell>
          <cell r="H126">
            <v>16091.522172262312</v>
          </cell>
          <cell r="I126">
            <v>18901.015059999998</v>
          </cell>
          <cell r="J126">
            <v>0</v>
          </cell>
          <cell r="K126" t="str">
            <v>COGS Other</v>
          </cell>
          <cell r="L126">
            <v>14647.244422892994</v>
          </cell>
          <cell r="M126">
            <v>13912.178281541532</v>
          </cell>
          <cell r="N126">
            <v>15212.198394146024</v>
          </cell>
          <cell r="O126">
            <v>16849.015318079582</v>
          </cell>
          <cell r="P126">
            <v>18634.332181932328</v>
          </cell>
          <cell r="Q126">
            <v>20546.573917353617</v>
          </cell>
          <cell r="R126">
            <v>22624.300223021746</v>
          </cell>
        </row>
        <row r="127">
          <cell r="B127" t="str">
            <v>% Margin - Other Sales</v>
          </cell>
          <cell r="C127">
            <v>0.60237273914664091</v>
          </cell>
          <cell r="D127">
            <v>0.60413958368511156</v>
          </cell>
          <cell r="E127">
            <v>0.57813253252793773</v>
          </cell>
          <cell r="F127">
            <v>0.55593038159669472</v>
          </cell>
          <cell r="G127">
            <v>0.56096268942765648</v>
          </cell>
          <cell r="H127">
            <v>0.50984286928861222</v>
          </cell>
          <cell r="I127">
            <v>0.52905670530075277</v>
          </cell>
          <cell r="J127">
            <v>0</v>
          </cell>
          <cell r="K127" t="str">
            <v>% Margin</v>
          </cell>
          <cell r="L127">
            <v>0.39316526696131088</v>
          </cell>
          <cell r="M127">
            <v>0.33772589000676717</v>
          </cell>
          <cell r="N127">
            <v>0.33382724342207681</v>
          </cell>
          <cell r="O127">
            <v>0.33354997560840538</v>
          </cell>
          <cell r="P127">
            <v>0.33331766204972646</v>
          </cell>
          <cell r="Q127">
            <v>0.33313548806066423</v>
          </cell>
          <cell r="R127">
            <v>0.33298904622742515</v>
          </cell>
        </row>
      </sheetData>
      <sheetData sheetId="4">
        <row r="3">
          <cell r="Q3" t="str">
            <v>Inventory Turns</v>
          </cell>
        </row>
        <row r="4">
          <cell r="D4">
            <v>36891</v>
          </cell>
          <cell r="E4">
            <v>37256</v>
          </cell>
          <cell r="F4">
            <v>37621</v>
          </cell>
          <cell r="G4">
            <v>37986</v>
          </cell>
          <cell r="H4" t="str">
            <v>2004E</v>
          </cell>
          <cell r="I4">
            <v>2005</v>
          </cell>
          <cell r="J4">
            <v>2006</v>
          </cell>
          <cell r="K4">
            <v>2007</v>
          </cell>
          <cell r="L4">
            <v>2008</v>
          </cell>
          <cell r="M4">
            <v>2009</v>
          </cell>
          <cell r="N4">
            <v>0</v>
          </cell>
          <cell r="O4">
            <v>0</v>
          </cell>
          <cell r="P4">
            <v>0</v>
          </cell>
          <cell r="Q4">
            <v>37986</v>
          </cell>
          <cell r="R4" t="str">
            <v>2004E</v>
          </cell>
          <cell r="S4" t="str">
            <v>2004 Adj.</v>
          </cell>
        </row>
        <row r="5">
          <cell r="C5" t="str">
            <v>Payroll</v>
          </cell>
          <cell r="D5">
            <v>-10998.592620000001</v>
          </cell>
          <cell r="E5">
            <v>-13501.05299</v>
          </cell>
          <cell r="F5">
            <v>-15573.533359999999</v>
          </cell>
          <cell r="G5">
            <v>-16917.740330000001</v>
          </cell>
          <cell r="H5">
            <v>-18366.945810000001</v>
          </cell>
          <cell r="I5">
            <v>-19953.146055963651</v>
          </cell>
          <cell r="J5">
            <v>-21915.358827423905</v>
          </cell>
          <cell r="K5">
            <v>-24162.557296122381</v>
          </cell>
          <cell r="L5">
            <v>-26675.825070003684</v>
          </cell>
          <cell r="M5">
            <v>-29488.481635774853</v>
          </cell>
          <cell r="N5">
            <v>0</v>
          </cell>
          <cell r="O5">
            <v>0</v>
          </cell>
          <cell r="P5" t="str">
            <v>Tires</v>
          </cell>
          <cell r="Q5">
            <v>5.9</v>
          </cell>
          <cell r="R5">
            <v>5.2</v>
          </cell>
          <cell r="S5">
            <v>6</v>
          </cell>
        </row>
        <row r="6">
          <cell r="C6" t="str">
            <v>% of Sales</v>
          </cell>
          <cell r="D6">
            <v>4.1065831450134892E-2</v>
          </cell>
          <cell r="E6">
            <v>4.1221096051948194E-2</v>
          </cell>
          <cell r="F6">
            <v>4.0751928794372852E-2</v>
          </cell>
          <cell r="G6">
            <v>3.9195847458846349E-2</v>
          </cell>
          <cell r="H6">
            <v>3.8351623807479314E-2</v>
          </cell>
          <cell r="I6">
            <v>3.7441705453440104E-2</v>
          </cell>
          <cell r="J6">
            <v>3.6989759818991462E-2</v>
          </cell>
          <cell r="K6">
            <v>3.6633611411668862E-2</v>
          </cell>
          <cell r="L6">
            <v>3.6292027196582935E-2</v>
          </cell>
          <cell r="M6">
            <v>3.5964669780101988E-2</v>
          </cell>
          <cell r="N6">
            <v>0</v>
          </cell>
          <cell r="O6">
            <v>0</v>
          </cell>
          <cell r="P6" t="str">
            <v>Wheels</v>
          </cell>
          <cell r="Q6">
            <v>2.2000000000000002</v>
          </cell>
          <cell r="R6">
            <v>1.3</v>
          </cell>
          <cell r="S6">
            <v>1.5</v>
          </cell>
        </row>
        <row r="7">
          <cell r="C7" t="str">
            <v>Advertising</v>
          </cell>
          <cell r="D7">
            <v>-6473.9875700000011</v>
          </cell>
          <cell r="E7">
            <v>-6634.2078599999986</v>
          </cell>
          <cell r="F7">
            <v>-8460.676730000001</v>
          </cell>
          <cell r="G7">
            <v>-8129.1407100000006</v>
          </cell>
          <cell r="H7">
            <v>-7185.2581399999999</v>
          </cell>
          <cell r="I7">
            <v>-9992.8257119902319</v>
          </cell>
          <cell r="J7">
            <v>-11265.972748359804</v>
          </cell>
          <cell r="K7">
            <v>-12077.713430673746</v>
          </cell>
          <cell r="L7">
            <v>-12965.02159104356</v>
          </cell>
          <cell r="M7">
            <v>-13742.617687146127</v>
          </cell>
        </row>
        <row r="8">
          <cell r="C8" t="str">
            <v>% of Sales</v>
          </cell>
          <cell r="D8">
            <v>2.4172154706088966E-2</v>
          </cell>
          <cell r="E8">
            <v>2.0255406717402242E-2</v>
          </cell>
          <cell r="F8">
            <v>2.2139413560364144E-2</v>
          </cell>
          <cell r="G8">
            <v>1.8833990416299167E-2</v>
          </cell>
          <cell r="H8">
            <v>1.5003382706931858E-2</v>
          </cell>
          <cell r="I8">
            <v>1.8751350584339289E-2</v>
          </cell>
          <cell r="J8">
            <v>1.9015231708990332E-2</v>
          </cell>
          <cell r="K8">
            <v>1.8311400367865889E-2</v>
          </cell>
          <cell r="L8">
            <v>1.7638701519134412E-2</v>
          </cell>
          <cell r="M8">
            <v>1.676073773946999E-2</v>
          </cell>
        </row>
        <row r="9">
          <cell r="C9" t="str">
            <v>Rent</v>
          </cell>
          <cell r="D9">
            <v>-2313.0732599999997</v>
          </cell>
          <cell r="E9">
            <v>-3259.3833100000002</v>
          </cell>
          <cell r="F9">
            <v>-3423.8730699999996</v>
          </cell>
          <cell r="G9">
            <v>-4539.1446400000004</v>
          </cell>
          <cell r="H9">
            <v>-4554.8946299999998</v>
          </cell>
          <cell r="I9">
            <v>-4904.3035318053217</v>
          </cell>
          <cell r="J9">
            <v>-5703.3044978053213</v>
          </cell>
          <cell r="K9">
            <v>-5850.8419597333341</v>
          </cell>
          <cell r="L9">
            <v>-5886.7232790666676</v>
          </cell>
          <cell r="M9">
            <v>-6921.4845251999996</v>
          </cell>
        </row>
        <row r="10">
          <cell r="C10" t="str">
            <v>% of Sales</v>
          </cell>
          <cell r="D10">
            <v>8.6364028479649253E-3</v>
          </cell>
          <cell r="E10">
            <v>9.9514721252587906E-3</v>
          </cell>
          <cell r="F10">
            <v>8.9593946552929699E-3</v>
          </cell>
          <cell r="G10">
            <v>1.0516512101062614E-2</v>
          </cell>
          <cell r="H10">
            <v>9.5109773361098451E-3</v>
          </cell>
          <cell r="I10">
            <v>9.2028338677568287E-3</v>
          </cell>
          <cell r="J10">
            <v>9.6263020473295532E-3</v>
          </cell>
          <cell r="K10">
            <v>8.8706451124838121E-3</v>
          </cell>
          <cell r="L10">
            <v>8.0087915099908043E-3</v>
          </cell>
          <cell r="M10">
            <v>8.4415640117227412E-3</v>
          </cell>
        </row>
        <row r="11">
          <cell r="C11" t="str">
            <v>Bad Debt</v>
          </cell>
          <cell r="D11">
            <v>-292.02140999999995</v>
          </cell>
          <cell r="E11">
            <v>-192.04410999999999</v>
          </cell>
          <cell r="F11">
            <v>-122.62552000000001</v>
          </cell>
          <cell r="G11">
            <v>-121.35471999999999</v>
          </cell>
          <cell r="H11">
            <v>-117.25558000000001</v>
          </cell>
          <cell r="I11">
            <v>-132.33788517003322</v>
          </cell>
          <cell r="J11">
            <v>-147.96212471916675</v>
          </cell>
          <cell r="K11">
            <v>-165.6571251313338</v>
          </cell>
          <cell r="L11">
            <v>-185.68844647989536</v>
          </cell>
          <cell r="M11">
            <v>-208.37485513988722</v>
          </cell>
        </row>
        <row r="12">
          <cell r="C12" t="str">
            <v>% of Sales</v>
          </cell>
          <cell r="D12">
            <v>1.0903305920326679E-3</v>
          </cell>
          <cell r="E12">
            <v>5.8634453996916761E-4</v>
          </cell>
          <cell r="F12">
            <v>3.2087942690308942E-4</v>
          </cell>
          <cell r="G12">
            <v>2.8116054512884281E-4</v>
          </cell>
          <cell r="H12">
            <v>2.4483885018266932E-4</v>
          </cell>
          <cell r="I12">
            <v>2.4832956682470695E-4</v>
          </cell>
          <cell r="J12">
            <v>2.4973734168663779E-4</v>
          </cell>
          <cell r="K12">
            <v>2.5115796623933432E-4</v>
          </cell>
          <cell r="L12">
            <v>2.5262611866942589E-4</v>
          </cell>
          <cell r="M12">
            <v>2.5413763069072006E-4</v>
          </cell>
        </row>
        <row r="13">
          <cell r="C13" t="str">
            <v>Bank Charges</v>
          </cell>
          <cell r="D13">
            <v>-2849.0820400000002</v>
          </cell>
          <cell r="E13">
            <v>-3576.4567000000002</v>
          </cell>
          <cell r="F13">
            <v>-4515.7143500000002</v>
          </cell>
          <cell r="G13">
            <v>-5393.3485499999997</v>
          </cell>
          <cell r="H13">
            <v>-5763.1611500000008</v>
          </cell>
          <cell r="I13">
            <v>-6293.4634275967965</v>
          </cell>
          <cell r="J13">
            <v>-6946.5481817741447</v>
          </cell>
          <cell r="K13">
            <v>-7673.1767579044445</v>
          </cell>
          <cell r="L13">
            <v>-8481.9365794440928</v>
          </cell>
          <cell r="M13">
            <v>-9382.4011628577482</v>
          </cell>
        </row>
        <row r="14">
          <cell r="C14" t="str">
            <v>% of Sales</v>
          </cell>
          <cell r="D14">
            <v>1.0637717650301196E-2</v>
          </cell>
          <cell r="E14">
            <v>1.0919553109341116E-2</v>
          </cell>
          <cell r="F14">
            <v>1.181646228848658E-2</v>
          </cell>
          <cell r="G14">
            <v>1.2495573459259385E-2</v>
          </cell>
          <cell r="H14">
            <v>1.2033932622937265E-2</v>
          </cell>
          <cell r="I14">
            <v>1.1809566435146135E-2</v>
          </cell>
          <cell r="J14">
            <v>1.1724706441645857E-2</v>
          </cell>
          <cell r="K14">
            <v>1.1633544090435783E-2</v>
          </cell>
          <cell r="L14">
            <v>1.1539537098217825E-2</v>
          </cell>
          <cell r="M14">
            <v>1.1442941136625164E-2</v>
          </cell>
        </row>
        <row r="15">
          <cell r="C15" t="str">
            <v>Computer Systems</v>
          </cell>
          <cell r="D15">
            <v>-927.12536999999998</v>
          </cell>
          <cell r="E15">
            <v>-2654.2852600000001</v>
          </cell>
          <cell r="F15">
            <v>-2276.30611</v>
          </cell>
          <cell r="G15">
            <v>-1746.8085399999995</v>
          </cell>
          <cell r="H15">
            <v>-2062.9451300000001</v>
          </cell>
          <cell r="I15">
            <v>-2293.7516072253165</v>
          </cell>
          <cell r="J15">
            <v>-2550.1028773960352</v>
          </cell>
          <cell r="K15">
            <v>-2838.9241501528663</v>
          </cell>
          <cell r="L15">
            <v>-3163.7143174976059</v>
          </cell>
          <cell r="M15">
            <v>-3529.1243485992604</v>
          </cell>
        </row>
        <row r="16">
          <cell r="C16" t="str">
            <v>% of Sales</v>
          </cell>
          <cell r="D16">
            <v>3.4616405473852289E-3</v>
          </cell>
          <cell r="E16">
            <v>8.1040010533082341E-3</v>
          </cell>
          <cell r="F16">
            <v>5.9565072591154008E-3</v>
          </cell>
          <cell r="G16">
            <v>4.0470913808883409E-3</v>
          </cell>
          <cell r="H16">
            <v>4.3075912772691689E-3</v>
          </cell>
          <cell r="I16">
            <v>4.3041819981775005E-3</v>
          </cell>
          <cell r="J16">
            <v>4.3041819981775014E-3</v>
          </cell>
          <cell r="K16">
            <v>4.3041819981775005E-3</v>
          </cell>
          <cell r="L16">
            <v>4.3041819981775005E-3</v>
          </cell>
          <cell r="M16">
            <v>4.3041819981775005E-3</v>
          </cell>
        </row>
        <row r="17">
          <cell r="C17" t="str">
            <v>Other SG&amp;A</v>
          </cell>
          <cell r="D17">
            <v>-3250.2256700000003</v>
          </cell>
          <cell r="E17">
            <v>-4645.4435199999989</v>
          </cell>
          <cell r="F17">
            <v>-5523.7322699999986</v>
          </cell>
          <cell r="G17">
            <v>-5341.1798099999996</v>
          </cell>
          <cell r="H17">
            <v>-5259.6845099999991</v>
          </cell>
          <cell r="I17">
            <v>-6317.679220115825</v>
          </cell>
          <cell r="J17">
            <v>-7261.7229964515309</v>
          </cell>
          <cell r="K17">
            <v>-8064.355852424881</v>
          </cell>
          <cell r="L17">
            <v>-8966.9460845074464</v>
          </cell>
          <cell r="M17">
            <v>-9982.4187124927212</v>
          </cell>
        </row>
        <row r="18">
          <cell r="C18" t="str">
            <v>% of Sales</v>
          </cell>
          <cell r="D18">
            <v>1.2135481706669643E-2</v>
          </cell>
          <cell r="E18">
            <v>1.4183358415351297E-2</v>
          </cell>
          <cell r="F18">
            <v>1.4454185761362728E-2</v>
          </cell>
          <cell r="G18">
            <v>1.2374706373273071E-2</v>
          </cell>
          <cell r="H18">
            <v>1.0982633898975179E-2</v>
          </cell>
          <cell r="I18">
            <v>1.1855006916976723E-2</v>
          </cell>
          <cell r="J18">
            <v>1.2256673122534652E-2</v>
          </cell>
          <cell r="K18">
            <v>1.2226622992035734E-2</v>
          </cell>
          <cell r="L18">
            <v>1.2199384660651928E-2</v>
          </cell>
          <cell r="M18">
            <v>1.2174733071571995E-2</v>
          </cell>
        </row>
        <row r="19">
          <cell r="C19" t="str">
            <v>Tax</v>
          </cell>
          <cell r="D19">
            <v>-975.29178000000002</v>
          </cell>
          <cell r="E19">
            <v>-1156.1565900000001</v>
          </cell>
          <cell r="F19">
            <v>-1345.0709300000001</v>
          </cell>
          <cell r="G19">
            <v>-1689.8792700000001</v>
          </cell>
          <cell r="H19">
            <v>-1682.3793900000001</v>
          </cell>
          <cell r="I19">
            <v>-1896.774162490741</v>
          </cell>
          <cell r="J19">
            <v>-2369.8838743118326</v>
          </cell>
          <cell r="K19">
            <v>-2638.293781587246</v>
          </cell>
          <cell r="L19">
            <v>-2940.1306160726494</v>
          </cell>
          <cell r="M19">
            <v>-3279.7166570498935</v>
          </cell>
        </row>
        <row r="20">
          <cell r="C20" t="str">
            <v>% of Sales</v>
          </cell>
          <cell r="D20">
            <v>3.6414811636311007E-3</v>
          </cell>
          <cell r="E20">
            <v>3.5299499885514405E-3</v>
          </cell>
          <cell r="F20">
            <v>3.5197044559925656E-3</v>
          </cell>
          <cell r="G20">
            <v>3.9151948663812258E-3</v>
          </cell>
          <cell r="H20">
            <v>3.512940155330949E-3</v>
          </cell>
          <cell r="I20">
            <v>3.5592612465465147E-3</v>
          </cell>
          <cell r="J20">
            <v>4.000000000000001E-3</v>
          </cell>
          <cell r="K20">
            <v>4.0000000000000001E-3</v>
          </cell>
          <cell r="L20">
            <v>4.0000000000000001E-3</v>
          </cell>
          <cell r="M20">
            <v>4.0000000000000001E-3</v>
          </cell>
        </row>
        <row r="21">
          <cell r="C21" t="str">
            <v>Depreciation &amp; Amortization</v>
          </cell>
          <cell r="D21">
            <v>-815.11063999999999</v>
          </cell>
          <cell r="E21">
            <v>-1119.5789600000001</v>
          </cell>
          <cell r="F21">
            <v>-1451.4742200000001</v>
          </cell>
          <cell r="G21">
            <v>-1792.2084999999997</v>
          </cell>
          <cell r="H21">
            <v>-1887.2587600000002</v>
          </cell>
          <cell r="I21">
            <v>-1927.6132380476126</v>
          </cell>
          <cell r="J21">
            <v>-1392.3322868254033</v>
          </cell>
          <cell r="K21">
            <v>-1113.3888407063514</v>
          </cell>
          <cell r="L21">
            <v>-1370.0016252301575</v>
          </cell>
          <cell r="M21">
            <v>-1239.8477815158733</v>
          </cell>
        </row>
        <row r="22">
          <cell r="C22" t="str">
            <v>% of Sales</v>
          </cell>
          <cell r="D22">
            <v>3.0434072169000449E-3</v>
          </cell>
          <cell r="E22">
            <v>3.4182720327135215E-3</v>
          </cell>
          <cell r="F22">
            <v>3.7981344819431441E-3</v>
          </cell>
          <cell r="G22">
            <v>4.1522762266234525E-3</v>
          </cell>
          <cell r="H22">
            <v>3.9407443534505582E-3</v>
          </cell>
          <cell r="I22">
            <v>3.6171301951433035E-3</v>
          </cell>
          <cell r="J22">
            <v>2.350043058088168E-3</v>
          </cell>
          <cell r="K22">
            <v>1.688043762945181E-3</v>
          </cell>
          <cell r="L22">
            <v>1.8638649830600659E-3</v>
          </cell>
          <cell r="M22">
            <v>1.512140115946622E-3</v>
          </cell>
        </row>
        <row r="23">
          <cell r="C23" t="str">
            <v xml:space="preserve">SG&amp;A </v>
          </cell>
          <cell r="D23">
            <v>-28894.510360000004</v>
          </cell>
          <cell r="E23">
            <v>-36738.609300000004</v>
          </cell>
          <cell r="F23">
            <v>-42693.006560000009</v>
          </cell>
          <cell r="G23">
            <v>-45670.805069999995</v>
          </cell>
          <cell r="H23">
            <v>-46879.783100000001</v>
          </cell>
          <cell r="I23">
            <v>-53711.894840405534</v>
          </cell>
          <cell r="J23">
            <v>-59553.188415067147</v>
          </cell>
          <cell r="K23">
            <v>-64584.909194436579</v>
          </cell>
          <cell r="L23">
            <v>-70635.987609345771</v>
          </cell>
          <cell r="M23">
            <v>-77774.467365776363</v>
          </cell>
        </row>
        <row r="24">
          <cell r="C24" t="str">
            <v>% of sales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9.7006446224135859E-2</v>
          </cell>
          <cell r="I24">
            <v>0.1007893662643511</v>
          </cell>
          <cell r="J24">
            <v>0.10051663553744415</v>
          </cell>
          <cell r="K24">
            <v>9.7919207701852085E-2</v>
          </cell>
          <cell r="L24">
            <v>9.6099115084484918E-2</v>
          </cell>
          <cell r="M24">
            <v>9.4855105484306729E-2</v>
          </cell>
        </row>
      </sheetData>
      <sheetData sheetId="5">
        <row r="2">
          <cell r="D2" t="str">
            <v>Actual</v>
          </cell>
        </row>
      </sheetData>
      <sheetData sheetId="6">
        <row r="7">
          <cell r="D7" t="str">
            <v>2004E</v>
          </cell>
        </row>
      </sheetData>
      <sheetData sheetId="7">
        <row r="5">
          <cell r="C5" t="str">
            <v>Actual</v>
          </cell>
        </row>
      </sheetData>
      <sheetData sheetId="8">
        <row r="3">
          <cell r="Q3" t="str">
            <v>Inventory Turns</v>
          </cell>
        </row>
      </sheetData>
      <sheetData sheetId="9">
        <row r="2">
          <cell r="D2" t="str">
            <v>Actual</v>
          </cell>
        </row>
      </sheetData>
      <sheetData sheetId="10">
        <row r="7">
          <cell r="D7" t="str">
            <v>2004E</v>
          </cell>
        </row>
      </sheetData>
      <sheetData sheetId="11">
        <row r="5">
          <cell r="C5" t="str">
            <v>Actual</v>
          </cell>
        </row>
      </sheetData>
      <sheetData sheetId="12">
        <row r="3">
          <cell r="Q3" t="str">
            <v>Inventory Turns</v>
          </cell>
        </row>
      </sheetData>
      <sheetData sheetId="13"/>
      <sheetData sheetId="14"/>
      <sheetData sheetId="15">
        <row r="3">
          <cell r="Q3" t="str">
            <v>Inventory Turns</v>
          </cell>
        </row>
      </sheetData>
      <sheetData sheetId="16">
        <row r="2">
          <cell r="D2" t="str">
            <v>Actual</v>
          </cell>
        </row>
      </sheetData>
      <sheetData sheetId="17"/>
      <sheetData sheetId="18">
        <row r="5">
          <cell r="C5" t="str">
            <v>Actual</v>
          </cell>
        </row>
      </sheetData>
      <sheetData sheetId="19">
        <row r="7">
          <cell r="D7" t="str">
            <v>2004E</v>
          </cell>
        </row>
      </sheetData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>
        <row r="2">
          <cell r="D2" t="str">
            <v>Actual</v>
          </cell>
        </row>
      </sheetData>
      <sheetData sheetId="87"/>
      <sheetData sheetId="88"/>
      <sheetData sheetId="89"/>
      <sheetData sheetId="90"/>
      <sheetData sheetId="91"/>
      <sheetData sheetId="92"/>
      <sheetData sheetId="93">
        <row r="2">
          <cell r="D2" t="str">
            <v>Actual</v>
          </cell>
        </row>
      </sheetData>
      <sheetData sheetId="94"/>
      <sheetData sheetId="95">
        <row r="5">
          <cell r="C5" t="str">
            <v>Actual</v>
          </cell>
        </row>
      </sheetData>
      <sheetData sheetId="96">
        <row r="7">
          <cell r="D7" t="str">
            <v>2004E</v>
          </cell>
        </row>
      </sheetData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>
        <row r="2">
          <cell r="D2" t="str">
            <v>Actual</v>
          </cell>
        </row>
      </sheetData>
      <sheetData sheetId="133"/>
      <sheetData sheetId="134"/>
      <sheetData sheetId="135"/>
      <sheetData sheetId="136"/>
      <sheetData sheetId="137"/>
      <sheetData sheetId="138"/>
      <sheetData sheetId="139">
        <row r="2">
          <cell r="D2" t="str">
            <v>Actual</v>
          </cell>
        </row>
      </sheetData>
      <sheetData sheetId="140"/>
      <sheetData sheetId="141">
        <row r="5">
          <cell r="C5" t="str">
            <v>Actual</v>
          </cell>
        </row>
      </sheetData>
      <sheetData sheetId="142">
        <row r="7">
          <cell r="D7" t="str">
            <v>2004E</v>
          </cell>
        </row>
      </sheetData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>
        <row r="2">
          <cell r="D2" t="str">
            <v>Actual</v>
          </cell>
        </row>
      </sheetData>
      <sheetData sheetId="180"/>
      <sheetData sheetId="181"/>
      <sheetData sheetId="182"/>
      <sheetData sheetId="183"/>
      <sheetData sheetId="184"/>
      <sheetData sheetId="185"/>
      <sheetData sheetId="186">
        <row r="2">
          <cell r="D2" t="str">
            <v>Actual</v>
          </cell>
        </row>
      </sheetData>
      <sheetData sheetId="187"/>
      <sheetData sheetId="188">
        <row r="5">
          <cell r="C5" t="str">
            <v>Actual</v>
          </cell>
        </row>
      </sheetData>
      <sheetData sheetId="189">
        <row r="7">
          <cell r="D7" t="str">
            <v>2004E</v>
          </cell>
        </row>
      </sheetData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 refreshError="1"/>
      <sheetData sheetId="225"/>
      <sheetData sheetId="226" refreshError="1"/>
      <sheetData sheetId="227" refreshError="1"/>
      <sheetData sheetId="228" refreshError="1"/>
      <sheetData sheetId="229" refreshError="1"/>
      <sheetData sheetId="230">
        <row r="2">
          <cell r="D2" t="str">
            <v>Actual</v>
          </cell>
        </row>
      </sheetData>
      <sheetData sheetId="231">
        <row r="7">
          <cell r="D7" t="str">
            <v>2004E</v>
          </cell>
        </row>
      </sheetData>
      <sheetData sheetId="232">
        <row r="5">
          <cell r="C5" t="str">
            <v>Actual</v>
          </cell>
        </row>
      </sheetData>
      <sheetData sheetId="233">
        <row r="2">
          <cell r="D2" t="str">
            <v>Actual</v>
          </cell>
        </row>
      </sheetData>
      <sheetData sheetId="234">
        <row r="5">
          <cell r="C5" t="str">
            <v>Actual</v>
          </cell>
        </row>
      </sheetData>
      <sheetData sheetId="235"/>
      <sheetData sheetId="236"/>
      <sheetData sheetId="237"/>
      <sheetData sheetId="238"/>
      <sheetData sheetId="239"/>
      <sheetData sheetId="240">
        <row r="3">
          <cell r="Q3" t="str">
            <v>Inventory Turns</v>
          </cell>
        </row>
      </sheetData>
      <sheetData sheetId="241">
        <row r="7">
          <cell r="D7" t="str">
            <v>2004E</v>
          </cell>
        </row>
      </sheetData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 refreshError="1"/>
      <sheetData sheetId="332" refreshError="1"/>
      <sheetData sheetId="333" refreshError="1"/>
      <sheetData sheetId="33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tail-Whole"/>
      <sheetName val="Balance Summary"/>
      <sheetName val="Income Summary"/>
      <sheetName val="CF Summary"/>
      <sheetName val="Industry"/>
      <sheetName val="SGA"/>
      <sheetName val="Revenue by Product"/>
      <sheetName val="Industry Graphs"/>
      <sheetName val="ownership"/>
      <sheetName val="employees"/>
      <sheetName val="facilities"/>
      <sheetName val="fac_util"/>
      <sheetName val="Clients"/>
      <sheetName val="Opinion"/>
      <sheetName val="Total NA Tire Aftermarket"/>
      <sheetName val="Total NA Wheel Aftermarket (2)"/>
      <sheetName val="Sheet1 (2)"/>
      <sheetName val="List"/>
      <sheetName val="Graph by Product Type"/>
      <sheetName val="SGA Graph"/>
      <sheetName val="Mappings"/>
      <sheetName val="FX"/>
      <sheetName val="Admin"/>
      <sheetName val="Inputs"/>
      <sheetName val="CLOSE"/>
      <sheetName val="List management"/>
      <sheetName val="Lists"/>
      <sheetName val="Balance_Summary"/>
      <sheetName val="Income_Summary"/>
      <sheetName val="CF_Summary"/>
      <sheetName val="Revenue_by_Product"/>
      <sheetName val="Industry_Graphs"/>
      <sheetName val="Total_NA_Tire_Aftermarket"/>
      <sheetName val="Total_NA_Wheel_Aftermarket_(2)"/>
      <sheetName val="Sheet1_(2)"/>
      <sheetName val="Graph_by_Product_Type"/>
      <sheetName val="SGA_Graph"/>
      <sheetName val="List_management"/>
      <sheetName val="Balance_Summary1"/>
      <sheetName val="Income_Summary1"/>
      <sheetName val="CF_Summary1"/>
      <sheetName val="Revenue_by_Product1"/>
      <sheetName val="Industry_Graphs1"/>
      <sheetName val="Total_NA_Tire_Aftermarket1"/>
      <sheetName val="Total_NA_Wheel_Aftermarket_(2)1"/>
      <sheetName val="Sheet1_(2)1"/>
      <sheetName val="Graph_by_Product_Type1"/>
      <sheetName val="SGA_Graph1"/>
      <sheetName val="UK Topline &amp; Revenue Inputs"/>
      <sheetName val="Balance_Summary2"/>
      <sheetName val="Income_Summary2"/>
      <sheetName val="CF_Summary2"/>
      <sheetName val="Revenue_by_Product2"/>
      <sheetName val="Industry_Graphs2"/>
      <sheetName val="Total_NA_Tire_Aftermarket2"/>
      <sheetName val="Total_NA_Wheel_Aftermarket_(2)2"/>
      <sheetName val="Sheet1_(2)2"/>
      <sheetName val="Graph_by_Product_Type2"/>
      <sheetName val="SGA_Graph2"/>
      <sheetName val="List_management1"/>
      <sheetName val="WC"/>
      <sheetName val="MP Graphs"/>
      <sheetName val="Locker_info"/>
      <sheetName val="LTN May 09 Summary"/>
      <sheetName val="_2003_DS"/>
      <sheetName val="_2003_USFC"/>
      <sheetName val="_2004_DS"/>
      <sheetName val="_2004_USFC"/>
      <sheetName val="JAW_DROPSHIP"/>
      <sheetName val="JAW_USFC"/>
      <sheetName val="DATA_2005"/>
      <sheetName val="TC"/>
      <sheetName val="Balance_Summary3"/>
      <sheetName val="Income_Summary3"/>
      <sheetName val="CF_Summary3"/>
      <sheetName val="Revenue_by_Product3"/>
      <sheetName val="Industry_Graphs3"/>
      <sheetName val="Total_NA_Tire_Aftermarket3"/>
      <sheetName val="Total_NA_Wheel_Aftermarket_(2)3"/>
      <sheetName val="Sheet1_(2)3"/>
      <sheetName val="Graph_by_Product_Type3"/>
      <sheetName val="SGA_Graph3"/>
      <sheetName val="List_management2"/>
      <sheetName val="UK_Topline_&amp;_Revenue_Inputs"/>
      <sheetName val="MP_Graphs"/>
      <sheetName val="LTN_May_09_Summary"/>
      <sheetName val="Pro Forma OUTPUT"/>
      <sheetName val="Performance Graphs"/>
      <sheetName val="Balance_Summary4"/>
      <sheetName val="Income_Summary4"/>
      <sheetName val="CF_Summary4"/>
      <sheetName val="Revenue_by_Product4"/>
      <sheetName val="Industry_Graphs4"/>
      <sheetName val="Total_NA_Tire_Aftermarket4"/>
      <sheetName val="Total_NA_Wheel_Aftermarket_(2)4"/>
      <sheetName val="Sheet1_(2)4"/>
      <sheetName val="Graph_by_Product_Type4"/>
      <sheetName val="SGA_Graph4"/>
      <sheetName val="List_management3"/>
      <sheetName val="UK_Topline_&amp;_Revenue_Inputs1"/>
      <sheetName val="MP_Graphs1"/>
      <sheetName val="LTN_May_09_Summary1"/>
      <sheetName val="Express"/>
      <sheetName val="Blu-Ray Players"/>
      <sheetName val="Historical LCF"/>
      <sheetName val="Home Video (MS)"/>
      <sheetName val="VOD"/>
      <sheetName val="Home Video WW"/>
      <sheetName val="Casino Royale Cash Flows"/>
      <sheetName val="Domestic Home Video"/>
      <sheetName val="Film Genre Performance"/>
      <sheetName val="U.S. Online"/>
      <sheetName val="Stargate"/>
      <sheetName val="Film Production Financing"/>
      <sheetName val="Features &amp; TV Distribu Timeline"/>
      <sheetName val="Potential Film Breakout Value"/>
      <sheetName val="TV Programming"/>
      <sheetName val="Library Comparison"/>
      <sheetName val="Library Composition By Release"/>
      <sheetName val="summary"/>
      <sheetName val="DVD Unit Sales &amp; Conversion"/>
      <sheetName val="DATA_2002"/>
      <sheetName val="DATA_2003"/>
      <sheetName val="DATA_2004"/>
    </sheetNames>
    <sheetDataSet>
      <sheetData sheetId="0">
        <row r="5">
          <cell r="F5" t="str">
            <v>Retail Vs. Wholesale</v>
          </cell>
        </row>
        <row r="6">
          <cell r="F6" t="str">
            <v>Retail Vs. Wholesale</v>
          </cell>
        </row>
        <row r="7">
          <cell r="G7">
            <v>2000</v>
          </cell>
          <cell r="H7">
            <v>2001</v>
          </cell>
          <cell r="I7">
            <v>2002</v>
          </cell>
          <cell r="J7">
            <v>2003</v>
          </cell>
          <cell r="K7" t="str">
            <v>2004E</v>
          </cell>
        </row>
        <row r="8">
          <cell r="F8" t="str">
            <v>Retail Revenues</v>
          </cell>
          <cell r="G8">
            <v>94154.660919999995</v>
          </cell>
          <cell r="H8">
            <v>120792.16063000001</v>
          </cell>
          <cell r="I8">
            <v>152978.05283</v>
          </cell>
          <cell r="J8">
            <v>183836.06384999998</v>
          </cell>
          <cell r="K8">
            <v>193670.91230000003</v>
          </cell>
        </row>
        <row r="9">
          <cell r="F9" t="str">
            <v>Wholesale Revenues</v>
          </cell>
          <cell r="G9">
            <v>150832.61232000001</v>
          </cell>
          <cell r="H9">
            <v>180912.02152000001</v>
          </cell>
          <cell r="I9">
            <v>197614.72827000002</v>
          </cell>
          <cell r="J9">
            <v>212058.78956</v>
          </cell>
          <cell r="K9">
            <v>246355.26067000002</v>
          </cell>
        </row>
        <row r="10">
          <cell r="F10" t="str">
            <v>Wholesale Revenues</v>
          </cell>
          <cell r="G10">
            <v>150832.61232000001</v>
          </cell>
          <cell r="H10">
            <v>180912.02152000001</v>
          </cell>
          <cell r="I10">
            <v>197614.72827000002</v>
          </cell>
          <cell r="J10">
            <v>212058.78956</v>
          </cell>
          <cell r="K10">
            <v>246355.26067000002</v>
          </cell>
        </row>
        <row r="11">
          <cell r="G11">
            <v>94154.660919999995</v>
          </cell>
          <cell r="H11">
            <v>120792.16063000001</v>
          </cell>
          <cell r="I11">
            <v>152978.05283</v>
          </cell>
          <cell r="J11">
            <v>183836.06384999998</v>
          </cell>
          <cell r="K11">
            <v>193033.86865993863</v>
          </cell>
        </row>
        <row r="12">
          <cell r="G12">
            <v>150832.61232000001</v>
          </cell>
          <cell r="H12">
            <v>180912.02152000001</v>
          </cell>
          <cell r="I12">
            <v>197614.72827000002</v>
          </cell>
          <cell r="J12">
            <v>212058.78956</v>
          </cell>
          <cell r="K12">
            <v>245729.09901954417</v>
          </cell>
        </row>
      </sheetData>
      <sheetData sheetId="1">
        <row r="5">
          <cell r="F5" t="str">
            <v>Retail Vs. Wholesale</v>
          </cell>
        </row>
      </sheetData>
      <sheetData sheetId="2">
        <row r="5">
          <cell r="F5" t="str">
            <v>Retail Vs. Wholesale</v>
          </cell>
        </row>
      </sheetData>
      <sheetData sheetId="3">
        <row r="5">
          <cell r="F5" t="str">
            <v>Retail Vs. Wholesale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>
        <row r="5">
          <cell r="F5" t="str">
            <v>Retail Vs. Wholesale</v>
          </cell>
        </row>
      </sheetData>
      <sheetData sheetId="39">
        <row r="5">
          <cell r="F5" t="str">
            <v>Retail Vs. Wholesale</v>
          </cell>
        </row>
      </sheetData>
      <sheetData sheetId="40">
        <row r="5">
          <cell r="F5" t="str">
            <v>Retail Vs. Wholesale</v>
          </cell>
        </row>
      </sheetData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>
        <row r="5">
          <cell r="F5" t="str">
            <v>Retail Vs. Wholesale</v>
          </cell>
        </row>
      </sheetData>
      <sheetData sheetId="73">
        <row r="5">
          <cell r="F5" t="str">
            <v>Retail Vs. Wholesale</v>
          </cell>
        </row>
      </sheetData>
      <sheetData sheetId="74">
        <row r="5">
          <cell r="F5" t="str">
            <v>Retail Vs. Wholesale</v>
          </cell>
        </row>
      </sheetData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 refreshError="1"/>
      <sheetData sheetId="87" refreshError="1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rformance Graphs"/>
      <sheetName val="Sheet1"/>
      <sheetName val="Sheet2"/>
      <sheetName val="Sheet3"/>
      <sheetName val="Retail-Whole"/>
      <sheetName val="List"/>
      <sheetName val="Lookup"/>
      <sheetName val="Inputs"/>
      <sheetName val="WC"/>
      <sheetName val="MP Graphs"/>
      <sheetName val="Update"/>
      <sheetName val="Admin"/>
      <sheetName val="Comparative"/>
      <sheetName val="Performance_Graphs"/>
      <sheetName val="MP_Graphs"/>
      <sheetName val="Performance_Graphs1"/>
      <sheetName val="MP_Graphs1"/>
      <sheetName val="Performance_Graphs2"/>
      <sheetName val="MP_Graphs2"/>
      <sheetName val="Graph by Product Type"/>
      <sheetName val="SGA Graph"/>
      <sheetName val="Income Summary"/>
      <sheetName val="Balance Summary"/>
      <sheetName val="SGA"/>
      <sheetName val="2020 Transfer rate all busin..."/>
      <sheetName val="CWL Summary April 2009"/>
      <sheetName val="_2004_DATA"/>
      <sheetName val="data"/>
      <sheetName val="Essbase_ShipMargin"/>
      <sheetName val="CLOSE"/>
      <sheetName val="Definitions"/>
      <sheetName val="merger"/>
      <sheetName val="Retail_WBR_Summary"/>
      <sheetName val="216530_1"/>
      <sheetName val="Performance_Graphs3"/>
      <sheetName val="MP_Graphs3"/>
      <sheetName val="Graph_by_Product_Type"/>
      <sheetName val="SGA_Graph"/>
      <sheetName val="Income_Summary"/>
      <sheetName val="Balance_Summary"/>
      <sheetName val="CWL_Summary_April_2009"/>
      <sheetName val="2020_Transfer_rate_all_busin___"/>
      <sheetName val="HV graph"/>
      <sheetName val="gnm full site list"/>
      <sheetName val="Performance_Graphs4"/>
      <sheetName val="MP_Graphs4"/>
      <sheetName val="Graph_by_Product_Type1"/>
      <sheetName val="SGA_Graph1"/>
      <sheetName val="Income_Summary1"/>
      <sheetName val="Balance_Summary1"/>
      <sheetName val="2020_Transfer_rate_all_busin__1"/>
      <sheetName val="CWL_Summary_April_20091"/>
      <sheetName val="PopCache"/>
      <sheetName val="Vin P&amp;L"/>
      <sheetName val="edison-2"/>
      <sheetName val="Performance_Graphs5"/>
      <sheetName val="MP_Graphs5"/>
      <sheetName val="Graph_by_Product_Type2"/>
      <sheetName val="SGA_Graph2"/>
      <sheetName val="Income_Summary2"/>
      <sheetName val="Balance_Summary2"/>
      <sheetName val="2020_Transfer_rate_all_busin__2"/>
      <sheetName val="CWL_Summary_April_20092"/>
      <sheetName val="gnm_full_site_list"/>
      <sheetName val="HV_graph"/>
    </sheetNames>
    <sheetDataSet>
      <sheetData sheetId="0">
        <row r="5">
          <cell r="D5" t="str">
            <v>Retail Tire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 t="str">
            <v>Wholesale Tire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 t="str">
            <v>Retail Wheel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 t="str">
            <v>Wholesale Wheel</v>
          </cell>
        </row>
        <row r="6">
          <cell r="E6" t="str">
            <v>2002A</v>
          </cell>
          <cell r="F6" t="str">
            <v>2003A</v>
          </cell>
          <cell r="G6" t="str">
            <v>2004E</v>
          </cell>
          <cell r="H6" t="str">
            <v>2005P</v>
          </cell>
          <cell r="I6" t="str">
            <v>2006P</v>
          </cell>
          <cell r="J6" t="str">
            <v>2007P</v>
          </cell>
          <cell r="K6" t="str">
            <v>2008P</v>
          </cell>
          <cell r="L6" t="str">
            <v>2009P</v>
          </cell>
          <cell r="M6">
            <v>0</v>
          </cell>
          <cell r="N6">
            <v>0</v>
          </cell>
          <cell r="O6" t="str">
            <v>2002A</v>
          </cell>
          <cell r="P6" t="str">
            <v>2003A</v>
          </cell>
          <cell r="Q6" t="str">
            <v>2004E</v>
          </cell>
          <cell r="R6" t="str">
            <v>2005P</v>
          </cell>
          <cell r="S6" t="str">
            <v>2006P</v>
          </cell>
          <cell r="T6" t="str">
            <v>2007P</v>
          </cell>
          <cell r="U6" t="str">
            <v>2008P</v>
          </cell>
          <cell r="V6" t="str">
            <v>2009P</v>
          </cell>
          <cell r="W6">
            <v>0</v>
          </cell>
          <cell r="X6">
            <v>0</v>
          </cell>
          <cell r="Y6" t="str">
            <v>2002A</v>
          </cell>
          <cell r="Z6" t="str">
            <v>2003A</v>
          </cell>
          <cell r="AA6" t="str">
            <v>2004E</v>
          </cell>
          <cell r="AB6" t="str">
            <v>2005P</v>
          </cell>
          <cell r="AC6" t="str">
            <v>2006P</v>
          </cell>
          <cell r="AD6" t="str">
            <v>2007P</v>
          </cell>
          <cell r="AE6" t="str">
            <v>2008P</v>
          </cell>
          <cell r="AF6" t="str">
            <v>2009P</v>
          </cell>
          <cell r="AG6">
            <v>0</v>
          </cell>
          <cell r="AH6">
            <v>0</v>
          </cell>
          <cell r="AI6" t="str">
            <v>2002A</v>
          </cell>
          <cell r="AJ6" t="str">
            <v>2003A</v>
          </cell>
          <cell r="AK6" t="str">
            <v>2004E</v>
          </cell>
          <cell r="AL6" t="str">
            <v>2005P</v>
          </cell>
          <cell r="AM6" t="str">
            <v>2006P</v>
          </cell>
          <cell r="AN6" t="str">
            <v>2007P</v>
          </cell>
          <cell r="AO6" t="str">
            <v>2008P</v>
          </cell>
          <cell r="AP6" t="str">
            <v>2009P</v>
          </cell>
        </row>
        <row r="7">
          <cell r="D7" t="str">
            <v>Passenger</v>
          </cell>
          <cell r="E7">
            <v>12745.165070000001</v>
          </cell>
          <cell r="F7">
            <v>15099.97558</v>
          </cell>
          <cell r="G7">
            <v>14610.194830000002</v>
          </cell>
          <cell r="H7">
            <v>15735.123304296001</v>
          </cell>
          <cell r="I7">
            <v>17253.562703160565</v>
          </cell>
          <cell r="J7">
            <v>18918.531504015562</v>
          </cell>
          <cell r="K7">
            <v>20744.169794153062</v>
          </cell>
          <cell r="L7">
            <v>22745.982179288832</v>
          </cell>
          <cell r="M7">
            <v>0</v>
          </cell>
          <cell r="N7" t="str">
            <v>Passenger</v>
          </cell>
          <cell r="O7">
            <v>24321.365969999999</v>
          </cell>
          <cell r="P7">
            <v>22616.740440000001</v>
          </cell>
          <cell r="Q7">
            <v>26279.795259999999</v>
          </cell>
          <cell r="R7">
            <v>27716.774464816794</v>
          </cell>
          <cell r="S7">
            <v>28695.176603424818</v>
          </cell>
          <cell r="T7">
            <v>29708.116337525702</v>
          </cell>
          <cell r="U7">
            <v>30756.81284424035</v>
          </cell>
          <cell r="V7">
            <v>31842.528337642027</v>
          </cell>
          <cell r="W7">
            <v>0</v>
          </cell>
          <cell r="X7" t="str">
            <v>Steel</v>
          </cell>
          <cell r="Y7">
            <v>2119.0672</v>
          </cell>
          <cell r="Z7">
            <v>2588.6023300000002</v>
          </cell>
          <cell r="AA7">
            <v>2629.7631500000002</v>
          </cell>
          <cell r="AB7">
            <v>2629.7631500000002</v>
          </cell>
          <cell r="AC7">
            <v>2590.3167027500003</v>
          </cell>
          <cell r="AD7">
            <v>2564.4135357225005</v>
          </cell>
          <cell r="AE7">
            <v>2538.7694003652755</v>
          </cell>
          <cell r="AF7">
            <v>2513.3817063616225</v>
          </cell>
          <cell r="AG7">
            <v>0</v>
          </cell>
          <cell r="AH7" t="str">
            <v>Steel</v>
          </cell>
          <cell r="AI7">
            <v>930.02193</v>
          </cell>
          <cell r="AJ7">
            <v>1093.5234300000002</v>
          </cell>
          <cell r="AK7">
            <v>1081.6061300000001</v>
          </cell>
          <cell r="AL7">
            <v>1081.6061300000001</v>
          </cell>
          <cell r="AM7">
            <v>1065.3820380500001</v>
          </cell>
          <cell r="AN7">
            <v>1054.7282176695003</v>
          </cell>
          <cell r="AO7">
            <v>1044.1809354928052</v>
          </cell>
          <cell r="AP7">
            <v>1033.7391261378771</v>
          </cell>
        </row>
        <row r="8">
          <cell r="D8" t="str">
            <v>Passenger High Performance</v>
          </cell>
          <cell r="E8">
            <v>78206.698860000004</v>
          </cell>
          <cell r="F8">
            <v>90356.444220000005</v>
          </cell>
          <cell r="G8">
            <v>95916.354560000007</v>
          </cell>
          <cell r="H8">
            <v>105335.426223588</v>
          </cell>
          <cell r="I8">
            <v>117619.38577388792</v>
          </cell>
          <cell r="J8">
            <v>131335.87061642055</v>
          </cell>
          <cell r="K8">
            <v>146651.9383440153</v>
          </cell>
          <cell r="L8">
            <v>163754.12839702857</v>
          </cell>
          <cell r="M8">
            <v>0</v>
          </cell>
          <cell r="N8" t="str">
            <v>Passenger High Performance</v>
          </cell>
          <cell r="O8">
            <v>102083.98933</v>
          </cell>
          <cell r="P8">
            <v>109346.78512000002</v>
          </cell>
          <cell r="Q8">
            <v>127423.20983000001</v>
          </cell>
          <cell r="R8">
            <v>146088.16160589841</v>
          </cell>
          <cell r="S8">
            <v>166146.06619438817</v>
          </cell>
          <cell r="T8">
            <v>188957.92108287761</v>
          </cell>
          <cell r="U8">
            <v>214901.84364755661</v>
          </cell>
          <cell r="V8">
            <v>244407.86678036602</v>
          </cell>
          <cell r="W8">
            <v>0</v>
          </cell>
          <cell r="X8" t="str">
            <v>Alloy</v>
          </cell>
          <cell r="Y8">
            <v>25438.616740000001</v>
          </cell>
          <cell r="Z8">
            <v>26466.065820000003</v>
          </cell>
          <cell r="AA8">
            <v>26795.375110000001</v>
          </cell>
          <cell r="AB8">
            <v>27604.595438322001</v>
          </cell>
          <cell r="AC8">
            <v>28856.463841449906</v>
          </cell>
          <cell r="AD8">
            <v>30165.104476659653</v>
          </cell>
          <cell r="AE8">
            <v>31533.091964676169</v>
          </cell>
          <cell r="AF8">
            <v>32963.117685274236</v>
          </cell>
          <cell r="AG8">
            <v>0</v>
          </cell>
          <cell r="AH8" t="str">
            <v>Alloy</v>
          </cell>
          <cell r="AI8">
            <v>21694.280480000001</v>
          </cell>
          <cell r="AJ8">
            <v>21737.451329999996</v>
          </cell>
          <cell r="AK8">
            <v>21189.893179999999</v>
          </cell>
          <cell r="AL8">
            <v>21829.827954036002</v>
          </cell>
          <cell r="AM8">
            <v>22819.810651751537</v>
          </cell>
          <cell r="AN8">
            <v>23854.689064808466</v>
          </cell>
          <cell r="AO8">
            <v>24936.499213897532</v>
          </cell>
          <cell r="AP8">
            <v>26067.369453247786</v>
          </cell>
        </row>
        <row r="9">
          <cell r="D9" t="str">
            <v>Winter Tires</v>
          </cell>
          <cell r="E9">
            <v>12744.81438</v>
          </cell>
          <cell r="F9">
            <v>17128.657049999998</v>
          </cell>
          <cell r="G9">
            <v>19545.170699999999</v>
          </cell>
          <cell r="H9">
            <v>22069.249768263006</v>
          </cell>
          <cell r="I9">
            <v>24647.206390995671</v>
          </cell>
          <cell r="J9">
            <v>27526.299682100642</v>
          </cell>
          <cell r="K9">
            <v>30741.706064733673</v>
          </cell>
          <cell r="L9">
            <v>34332.710995841422</v>
          </cell>
          <cell r="M9">
            <v>0</v>
          </cell>
          <cell r="N9" t="str">
            <v>Winter Tires</v>
          </cell>
          <cell r="O9">
            <v>9143.5335799999993</v>
          </cell>
          <cell r="P9">
            <v>11541.61686</v>
          </cell>
          <cell r="Q9">
            <v>14366.857010000002</v>
          </cell>
          <cell r="R9">
            <v>16925.594243481002</v>
          </cell>
          <cell r="S9">
            <v>18817.875679902179</v>
          </cell>
          <cell r="T9">
            <v>20921.714180915245</v>
          </cell>
          <cell r="U9">
            <v>23260.761826341575</v>
          </cell>
          <cell r="V9">
            <v>25861.314998526563</v>
          </cell>
          <cell r="W9">
            <v>0</v>
          </cell>
          <cell r="X9" t="str">
            <v>Other</v>
          </cell>
          <cell r="Y9">
            <v>218.27634999999998</v>
          </cell>
          <cell r="Z9">
            <v>189.68571999999998</v>
          </cell>
          <cell r="AA9">
            <v>181.11311000000001</v>
          </cell>
          <cell r="AB9">
            <v>184.7353722</v>
          </cell>
          <cell r="AC9">
            <v>191.20111022699999</v>
          </cell>
          <cell r="AD9">
            <v>197.89314908494498</v>
          </cell>
          <cell r="AE9">
            <v>204.81940930291805</v>
          </cell>
          <cell r="AF9">
            <v>211.98808862852016</v>
          </cell>
          <cell r="AG9">
            <v>0</v>
          </cell>
          <cell r="AH9" t="str">
            <v>Other</v>
          </cell>
          <cell r="AI9">
            <v>210.45170999999999</v>
          </cell>
          <cell r="AJ9">
            <v>145.14046999999999</v>
          </cell>
          <cell r="AK9">
            <v>145.85796999999999</v>
          </cell>
          <cell r="AL9">
            <v>148.7751294</v>
          </cell>
          <cell r="AM9">
            <v>153.98225892899998</v>
          </cell>
          <cell r="AN9">
            <v>159.37163799151497</v>
          </cell>
          <cell r="AO9">
            <v>164.94964532121799</v>
          </cell>
          <cell r="AP9">
            <v>170.72288290746062</v>
          </cell>
        </row>
        <row r="10">
          <cell r="D10" t="str">
            <v>Light Truck</v>
          </cell>
          <cell r="E10">
            <v>16165.620429999999</v>
          </cell>
          <cell r="F10">
            <v>23311.293210000003</v>
          </cell>
          <cell r="G10">
            <v>24773.93691</v>
          </cell>
          <cell r="H10">
            <v>26802.588973361999</v>
          </cell>
          <cell r="I10">
            <v>29402.010437223493</v>
          </cell>
          <cell r="J10">
            <v>32253.534112311645</v>
          </cell>
          <cell r="K10">
            <v>35381.609871718967</v>
          </cell>
          <cell r="L10">
            <v>38813.058834277283</v>
          </cell>
          <cell r="M10">
            <v>0</v>
          </cell>
          <cell r="N10" t="str">
            <v>Light Truck</v>
          </cell>
          <cell r="O10">
            <v>36209.695820000008</v>
          </cell>
          <cell r="P10">
            <v>41529.888700000003</v>
          </cell>
          <cell r="Q10">
            <v>51388.623509999998</v>
          </cell>
          <cell r="R10">
            <v>60016.773397328994</v>
          </cell>
          <cell r="S10">
            <v>68869.247473435025</v>
          </cell>
          <cell r="T10">
            <v>79027.461475766686</v>
          </cell>
          <cell r="U10">
            <v>90684.012043442272</v>
          </cell>
          <cell r="V10">
            <v>104059.90381985002</v>
          </cell>
        </row>
        <row r="11">
          <cell r="D11" t="str">
            <v>Other</v>
          </cell>
          <cell r="E11">
            <v>112.21975</v>
          </cell>
          <cell r="F11">
            <v>84.035550000000001</v>
          </cell>
          <cell r="G11">
            <v>44.872529999999998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 t="str">
            <v>Other</v>
          </cell>
          <cell r="O11">
            <v>301.61847</v>
          </cell>
          <cell r="P11">
            <v>287.16880000000003</v>
          </cell>
          <cell r="Q11">
            <v>263.22577999999999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</row>
        <row r="45">
          <cell r="D45" t="str">
            <v>Other</v>
          </cell>
          <cell r="E45">
            <v>112.21975</v>
          </cell>
          <cell r="F45">
            <v>84.035550000000001</v>
          </cell>
          <cell r="G45">
            <v>44.872529999999998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 t="str">
            <v>Other</v>
          </cell>
          <cell r="O45">
            <v>301.61847</v>
          </cell>
          <cell r="P45">
            <v>287.16880000000003</v>
          </cell>
          <cell r="Q45">
            <v>263.22577999999999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</row>
        <row r="46">
          <cell r="E46" t="str">
            <v>2002A</v>
          </cell>
          <cell r="F46" t="str">
            <v>2003A</v>
          </cell>
          <cell r="G46" t="str">
            <v>2004E</v>
          </cell>
          <cell r="H46" t="str">
            <v>2005P</v>
          </cell>
          <cell r="I46" t="str">
            <v>2006P</v>
          </cell>
          <cell r="J46" t="str">
            <v>2007P</v>
          </cell>
          <cell r="K46" t="str">
            <v>2008P</v>
          </cell>
          <cell r="L46" t="str">
            <v>2009P</v>
          </cell>
          <cell r="M46">
            <v>0</v>
          </cell>
          <cell r="N46">
            <v>0</v>
          </cell>
          <cell r="O46" t="str">
            <v>2002A</v>
          </cell>
          <cell r="P46" t="str">
            <v>2003A</v>
          </cell>
          <cell r="Q46" t="str">
            <v>2004E</v>
          </cell>
          <cell r="R46" t="str">
            <v>2005P</v>
          </cell>
          <cell r="S46" t="str">
            <v>2006P</v>
          </cell>
          <cell r="T46" t="str">
            <v>2007P</v>
          </cell>
          <cell r="U46" t="str">
            <v>2008P</v>
          </cell>
          <cell r="V46" t="str">
            <v>2009P</v>
          </cell>
          <cell r="W46">
            <v>0</v>
          </cell>
          <cell r="X46">
            <v>0</v>
          </cell>
          <cell r="Y46" t="str">
            <v>Retail Wheel</v>
          </cell>
        </row>
        <row r="47">
          <cell r="D47" t="str">
            <v>Passenger</v>
          </cell>
          <cell r="E47">
            <v>0.19077239033355953</v>
          </cell>
          <cell r="F47">
            <v>0.19817830923935842</v>
          </cell>
          <cell r="G47">
            <v>0.19841277914019434</v>
          </cell>
          <cell r="H47">
            <v>0.19799999999999998</v>
          </cell>
          <cell r="I47">
            <v>0.19799999999999998</v>
          </cell>
          <cell r="J47">
            <v>0.19799999999999995</v>
          </cell>
          <cell r="K47">
            <v>0.19799999999999993</v>
          </cell>
          <cell r="L47">
            <v>0.19799999999999995</v>
          </cell>
          <cell r="M47">
            <v>0</v>
          </cell>
          <cell r="N47" t="str">
            <v>Passenger</v>
          </cell>
          <cell r="O47">
            <v>0.11328945723684609</v>
          </cell>
          <cell r="P47">
            <v>0.11177285589434831</v>
          </cell>
          <cell r="Q47">
            <v>0.11278476223562479</v>
          </cell>
          <cell r="R47">
            <v>0.11299999999999999</v>
          </cell>
          <cell r="S47">
            <v>0.11299999999999993</v>
          </cell>
          <cell r="T47">
            <v>0.113</v>
          </cell>
          <cell r="U47">
            <v>0.11299999999999996</v>
          </cell>
          <cell r="V47">
            <v>0.11300000000000007</v>
          </cell>
          <cell r="W47">
            <v>0</v>
          </cell>
          <cell r="X47">
            <v>0</v>
          </cell>
          <cell r="Y47" t="str">
            <v>2002A</v>
          </cell>
          <cell r="Z47" t="str">
            <v>2003A</v>
          </cell>
          <cell r="AA47" t="str">
            <v>2004E</v>
          </cell>
          <cell r="AB47" t="str">
            <v>2005P</v>
          </cell>
          <cell r="AC47" t="str">
            <v>2006P</v>
          </cell>
          <cell r="AD47" t="str">
            <v>2007P</v>
          </cell>
          <cell r="AE47" t="str">
            <v>2008P</v>
          </cell>
          <cell r="AF47" t="str">
            <v>2009P</v>
          </cell>
          <cell r="AG47">
            <v>0</v>
          </cell>
          <cell r="AH47">
            <v>0</v>
          </cell>
          <cell r="AI47" t="str">
            <v>2002A</v>
          </cell>
          <cell r="AJ47" t="str">
            <v>2003A</v>
          </cell>
          <cell r="AK47" t="str">
            <v>2004E</v>
          </cell>
          <cell r="AL47" t="str">
            <v>2005P</v>
          </cell>
          <cell r="AM47" t="str">
            <v>2006P</v>
          </cell>
          <cell r="AN47" t="str">
            <v>2007P</v>
          </cell>
          <cell r="AO47" t="str">
            <v>2008P</v>
          </cell>
          <cell r="AP47" t="str">
            <v>2009P</v>
          </cell>
        </row>
        <row r="48">
          <cell r="D48" t="str">
            <v>Passenger High Performance</v>
          </cell>
          <cell r="E48">
            <v>0.19942653394724916</v>
          </cell>
          <cell r="F48">
            <v>0.19293110392386797</v>
          </cell>
          <cell r="G48">
            <v>0.18800779650898353</v>
          </cell>
          <cell r="H48">
            <v>0.18799999999999997</v>
          </cell>
          <cell r="I48">
            <v>0.18799999999999992</v>
          </cell>
          <cell r="J48">
            <v>0.188</v>
          </cell>
          <cell r="K48">
            <v>0.188</v>
          </cell>
          <cell r="L48">
            <v>0.18799999999999997</v>
          </cell>
          <cell r="M48">
            <v>0</v>
          </cell>
          <cell r="N48" t="str">
            <v>Passenger High Performance</v>
          </cell>
          <cell r="O48">
            <v>0.11414378382424446</v>
          </cell>
          <cell r="P48">
            <v>0.1036156400717783</v>
          </cell>
          <cell r="Q48">
            <v>9.7453069629677522E-2</v>
          </cell>
          <cell r="R48">
            <v>9.6999999999999975E-2</v>
          </cell>
          <cell r="S48">
            <v>9.6999999999999933E-2</v>
          </cell>
          <cell r="T48">
            <v>9.7000000000000003E-2</v>
          </cell>
          <cell r="U48">
            <v>9.6999999999999933E-2</v>
          </cell>
          <cell r="V48">
            <v>9.6999999999999975E-2</v>
          </cell>
          <cell r="W48">
            <v>0</v>
          </cell>
          <cell r="X48" t="str">
            <v>Steel</v>
          </cell>
          <cell r="Y48">
            <v>0.43500683012789781</v>
          </cell>
          <cell r="Z48">
            <v>0.46145967503629648</v>
          </cell>
          <cell r="AA48">
            <v>0.44285388210721566</v>
          </cell>
          <cell r="AB48">
            <v>0.44299999999999989</v>
          </cell>
          <cell r="AC48">
            <v>0.44299999999999995</v>
          </cell>
          <cell r="AD48">
            <v>0.44299999999999995</v>
          </cell>
          <cell r="AE48">
            <v>0.44299999999999995</v>
          </cell>
          <cell r="AF48">
            <v>0.44299999999999989</v>
          </cell>
          <cell r="AG48">
            <v>0</v>
          </cell>
          <cell r="AH48" t="str">
            <v>Steel</v>
          </cell>
          <cell r="AI48">
            <v>0.32495868135066452</v>
          </cell>
          <cell r="AJ48">
            <v>0.35080486569912822</v>
          </cell>
          <cell r="AK48">
            <v>0.3238166004107243</v>
          </cell>
          <cell r="AL48">
            <v>0.32381660041072458</v>
          </cell>
          <cell r="AM48">
            <v>0.32381660041072458</v>
          </cell>
          <cell r="AN48">
            <v>0.32381660041072458</v>
          </cell>
          <cell r="AO48">
            <v>0.32381660041072458</v>
          </cell>
          <cell r="AP48">
            <v>0.32381660041072458</v>
          </cell>
        </row>
        <row r="49">
          <cell r="D49" t="str">
            <v>Winter Tires</v>
          </cell>
          <cell r="E49">
            <v>0.19338332287746218</v>
          </cell>
          <cell r="F49">
            <v>0.18727322642028144</v>
          </cell>
          <cell r="G49">
            <v>0.19784687324322014</v>
          </cell>
          <cell r="H49">
            <v>0.19799999999999998</v>
          </cell>
          <cell r="I49">
            <v>0.19799999999999993</v>
          </cell>
          <cell r="J49">
            <v>0.19799999999999995</v>
          </cell>
          <cell r="K49">
            <v>0.19799999999999995</v>
          </cell>
          <cell r="L49">
            <v>0.19799999999999998</v>
          </cell>
          <cell r="M49">
            <v>0</v>
          </cell>
          <cell r="N49" t="str">
            <v>Winter Tires</v>
          </cell>
          <cell r="O49">
            <v>0.10945833481589284</v>
          </cell>
          <cell r="P49">
            <v>0.10355523359488819</v>
          </cell>
          <cell r="Q49">
            <v>0.10854485493344515</v>
          </cell>
          <cell r="R49">
            <v>0.109</v>
          </cell>
          <cell r="S49">
            <v>0.109</v>
          </cell>
          <cell r="T49">
            <v>0.10899999999999997</v>
          </cell>
          <cell r="U49">
            <v>0.10900000000000001</v>
          </cell>
          <cell r="V49">
            <v>0.10900000000000004</v>
          </cell>
          <cell r="W49">
            <v>0</v>
          </cell>
          <cell r="X49" t="str">
            <v>Alloy</v>
          </cell>
          <cell r="Y49">
            <v>0.38589659937467141</v>
          </cell>
          <cell r="Z49">
            <v>0.35788471261347449</v>
          </cell>
          <cell r="AA49">
            <v>0.37192999236202884</v>
          </cell>
          <cell r="AB49">
            <v>0.37200000000000005</v>
          </cell>
          <cell r="AC49">
            <v>0.372</v>
          </cell>
          <cell r="AD49">
            <v>0.372</v>
          </cell>
          <cell r="AE49">
            <v>0.37200000000000005</v>
          </cell>
          <cell r="AF49">
            <v>0.372</v>
          </cell>
          <cell r="AG49">
            <v>0</v>
          </cell>
          <cell r="AH49" t="str">
            <v>Alloy</v>
          </cell>
          <cell r="AI49">
            <v>0.23180115316961952</v>
          </cell>
          <cell r="AJ49">
            <v>0.18704412620759625</v>
          </cell>
          <cell r="AK49">
            <v>0.2108453295185512</v>
          </cell>
          <cell r="AL49">
            <v>0.21084532951855101</v>
          </cell>
          <cell r="AM49">
            <v>0.21084532951855101</v>
          </cell>
          <cell r="AN49">
            <v>0.21084532951855109</v>
          </cell>
          <cell r="AO49">
            <v>0.21084532951855103</v>
          </cell>
          <cell r="AP49">
            <v>0.21084532951855101</v>
          </cell>
        </row>
        <row r="50">
          <cell r="D50" t="str">
            <v>Light Truck</v>
          </cell>
          <cell r="E50">
            <v>0.18139013664207387</v>
          </cell>
          <cell r="F50">
            <v>0.1870387009730379</v>
          </cell>
          <cell r="G50">
            <v>0.18255517063880339</v>
          </cell>
          <cell r="H50">
            <v>0.18300000000000008</v>
          </cell>
          <cell r="I50">
            <v>0.18300000000000005</v>
          </cell>
          <cell r="J50">
            <v>0.18300000000000011</v>
          </cell>
          <cell r="K50">
            <v>0.18300000000000008</v>
          </cell>
          <cell r="L50">
            <v>0.18300000000000002</v>
          </cell>
          <cell r="M50">
            <v>0</v>
          </cell>
          <cell r="N50" t="str">
            <v>Light Truck</v>
          </cell>
          <cell r="O50">
            <v>0.10642271255621948</v>
          </cell>
          <cell r="P50">
            <v>0.10325911299637075</v>
          </cell>
          <cell r="Q50">
            <v>0.10104900200312843</v>
          </cell>
          <cell r="R50">
            <v>0.10099999999999999</v>
          </cell>
          <cell r="S50">
            <v>0.10100000000000002</v>
          </cell>
          <cell r="T50">
            <v>0.10099999999999992</v>
          </cell>
          <cell r="U50">
            <v>0.10099999999999996</v>
          </cell>
          <cell r="V50">
            <v>0.10099999999999994</v>
          </cell>
          <cell r="W50">
            <v>0</v>
          </cell>
          <cell r="X50" t="str">
            <v>Other</v>
          </cell>
          <cell r="Y50">
            <v>-1.3507349284519372</v>
          </cell>
          <cell r="Z50">
            <v>-2.2756429424418458</v>
          </cell>
          <cell r="AA50">
            <v>-2.5698278826971719</v>
          </cell>
          <cell r="AB50">
            <v>-2.6161486694431169</v>
          </cell>
          <cell r="AC50">
            <v>-2.6523101561375491</v>
          </cell>
          <cell r="AD50">
            <v>-2.6888332576989233</v>
          </cell>
          <cell r="AE50">
            <v>-2.7257215902759122</v>
          </cell>
          <cell r="AF50">
            <v>-2.7629788061786726</v>
          </cell>
          <cell r="AG50">
            <v>0</v>
          </cell>
          <cell r="AH50" t="str">
            <v>Other</v>
          </cell>
          <cell r="AI50">
            <v>-1.5802987773299637</v>
          </cell>
          <cell r="AJ50">
            <v>-2.210308744349526</v>
          </cell>
          <cell r="AK50">
            <v>-2.4153742164380874</v>
          </cell>
          <cell r="AL50">
            <v>-2.4566654170573869</v>
          </cell>
          <cell r="AM50">
            <v>-2.4912320712279619</v>
          </cell>
          <cell r="AN50">
            <v>-2.5261443919402415</v>
          </cell>
          <cell r="AO50">
            <v>-2.5614058358596443</v>
          </cell>
          <cell r="AP50">
            <v>-2.5970198942182403</v>
          </cell>
        </row>
        <row r="51">
          <cell r="D51" t="str">
            <v>Other</v>
          </cell>
          <cell r="E51">
            <v>0.3583371913420203</v>
          </cell>
          <cell r="F51">
            <v>0.81687738106075336</v>
          </cell>
          <cell r="G51">
            <v>0.60905747904118623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 t="str">
            <v>Other</v>
          </cell>
          <cell r="O51">
            <v>0.69733474876389367</v>
          </cell>
          <cell r="P51">
            <v>0.91923259072712626</v>
          </cell>
          <cell r="Q51">
            <v>0.8337987639356601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5">
          <cell r="D5" t="str">
            <v>Retail Tire</v>
          </cell>
        </row>
      </sheetData>
      <sheetData sheetId="14"/>
      <sheetData sheetId="15">
        <row r="5">
          <cell r="D5" t="str">
            <v>Retail Tire</v>
          </cell>
        </row>
      </sheetData>
      <sheetData sheetId="16"/>
      <sheetData sheetId="17">
        <row r="5">
          <cell r="D5" t="str">
            <v>Retail Tire</v>
          </cell>
        </row>
      </sheetData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 refreshError="1"/>
      <sheetData sheetId="33" refreshError="1"/>
      <sheetData sheetId="34">
        <row r="5">
          <cell r="D5" t="str">
            <v>Retail Tire</v>
          </cell>
        </row>
      </sheetData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rger"/>
      <sheetName val="Performance Graphs"/>
      <sheetName val="Lookup"/>
      <sheetName val="Seasons"/>
      <sheetName val="Control"/>
      <sheetName val="Lists"/>
      <sheetName val="Perspectives_Data"/>
      <sheetName val="6.Reqs Pivot"/>
      <sheetName val="IS"/>
      <sheetName val="Pamida"/>
      <sheetName val="Overview"/>
      <sheetName val="Mults"/>
      <sheetName val="Struc"/>
      <sheetName val="Input"/>
      <sheetName val="OpPage"/>
      <sheetName val="PriceMatrix"/>
      <sheetName val="WACC"/>
      <sheetName val="Co. C"/>
      <sheetName val="#REF"/>
      <sheetName val="Main Menu"/>
      <sheetName val="Instructions"/>
      <sheetName val="Assumptions"/>
      <sheetName val="Profit &amp; Loss"/>
      <sheetName val="DO NOT USE PRINT! Macro Data"/>
      <sheetName val="trasferimenti tra cdc"/>
      <sheetName val="Hoja2"/>
      <sheetName val="O"/>
      <sheetName val="Information"/>
      <sheetName val="trasferimenti_tra_cdc"/>
      <sheetName val="Co__C"/>
      <sheetName val="Main_Menu"/>
      <sheetName val="Profit_&amp;_Loss"/>
      <sheetName val="DO_NOT_USE_PRINT!_Macro_Data"/>
      <sheetName val="401083"/>
      <sheetName val="MERGER10"/>
      <sheetName val="MAIN"/>
      <sheetName val="Owatonna"/>
      <sheetName val="Actual"/>
      <sheetName val="LTN1 Dec"/>
      <sheetName val="Retail-Whole"/>
      <sheetName val="LF Documentation"/>
      <sheetName val="업무분장 "/>
      <sheetName val="공통"/>
      <sheetName val="Pull Down Tables"/>
      <sheetName val="3000PJ"/>
      <sheetName val="Menus"/>
      <sheetName val="Sheet1"/>
      <sheetName val="ref"/>
      <sheetName val="OLD-Mapping_Category"/>
      <sheetName val="Ref-Dropdown Options"/>
      <sheetName val="A"/>
      <sheetName val="trasferimenti_tra_cdc1"/>
      <sheetName val="Co__C1"/>
      <sheetName val="Main_Menu1"/>
      <sheetName val="Profit_&amp;_Loss1"/>
      <sheetName val="DO_NOT_USE_PRINT!_Macro_Data1"/>
      <sheetName val="trasferimenti_tra_cdc2"/>
      <sheetName val="Co__C2"/>
      <sheetName val="Main_Menu2"/>
      <sheetName val="Profit_&amp;_Loss2"/>
      <sheetName val="DO_NOT_USE_PRINT!_Macro_Data2"/>
      <sheetName val="HE Hobbit1"/>
      <sheetName val="Model"/>
      <sheetName val="Deferred's"/>
      <sheetName val="Summary Analysis"/>
      <sheetName val="P1 - ETR"/>
      <sheetName val="B.S."/>
      <sheetName val="Products"/>
      <sheetName val="I.S."/>
      <sheetName val="FA"/>
      <sheetName val="C.F."/>
      <sheetName val="Performance_Graphs"/>
      <sheetName val="6_Reqs_Pivot"/>
      <sheetName val="LTN1_Dec"/>
      <sheetName val="LF_Documentation"/>
      <sheetName val="업무분장_"/>
      <sheetName val="Graph by Product Type"/>
      <sheetName val="SGA Graph"/>
      <sheetName val="Income Summary"/>
      <sheetName val="Balance Summary"/>
      <sheetName val="SGA"/>
      <sheetName val="Subs- Input"/>
      <sheetName val="EDISON-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press"/>
      <sheetName val="Expedited"/>
      <sheetName val="FBA Admin Lookup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ph"/>
      <sheetName val="Summary"/>
      <sheetName val="Units Shipped"/>
      <sheetName val="op plan II"/>
      <sheetName val="2002 Exp"/>
      <sheetName val="P&amp;L Summary"/>
      <sheetName val="ListOfChoice"/>
      <sheetName val="Actuals"/>
      <sheetName val="WorkEst"/>
      <sheetName val="Admin"/>
      <sheetName val="LOV"/>
      <sheetName val="Lists"/>
      <sheetName val="List"/>
      <sheetName val="Lookups"/>
      <sheetName val="Forecast"/>
      <sheetName val="CRITERIA1"/>
      <sheetName val="Total IT"/>
      <sheetName val="data"/>
      <sheetName val="Global COA"/>
      <sheetName val="Data_General"/>
      <sheetName val="CPE"/>
      <sheetName val="IP_DED_QUOTE"/>
      <sheetName val="FORMULA"/>
      <sheetName val="OLD_DATA_PRODUCT_SPEED"/>
      <sheetName val="Data_Product"/>
      <sheetName val="DATA_MAX_SPEED"/>
      <sheetName val="NEW_DATA_PROD_SPEED"/>
      <sheetName val="SPI"/>
      <sheetName val="FX"/>
      <sheetName val="DED_CONFIG"/>
      <sheetName val="PRICE"/>
      <sheetName val="VM"/>
      <sheetName val="TC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7">
          <cell r="D7" t="str">
            <v>Total Channels</v>
          </cell>
        </row>
        <row r="8">
          <cell r="G8" t="str">
            <v>Project</v>
          </cell>
        </row>
        <row r="9">
          <cell r="G9" t="str">
            <v>Total Products</v>
          </cell>
        </row>
        <row r="14">
          <cell r="G14" t="str">
            <v>FY2002</v>
          </cell>
          <cell r="H14" t="str">
            <v>FY2002</v>
          </cell>
          <cell r="I14" t="str">
            <v>FY2002</v>
          </cell>
          <cell r="J14" t="str">
            <v>FY2002</v>
          </cell>
          <cell r="K14" t="str">
            <v>FY2002</v>
          </cell>
          <cell r="L14" t="str">
            <v>FY2002</v>
          </cell>
          <cell r="M14" t="str">
            <v>FY2002</v>
          </cell>
          <cell r="N14" t="str">
            <v>FY2002</v>
          </cell>
          <cell r="O14" t="str">
            <v>FY2002</v>
          </cell>
          <cell r="P14" t="str">
            <v>FY2002</v>
          </cell>
          <cell r="Q14" t="str">
            <v>FY2002</v>
          </cell>
          <cell r="R14" t="str">
            <v>FY2002</v>
          </cell>
        </row>
        <row r="15">
          <cell r="G15" t="str">
            <v>Actuals</v>
          </cell>
          <cell r="H15" t="str">
            <v>Actuals</v>
          </cell>
          <cell r="I15" t="str">
            <v>Actuals</v>
          </cell>
          <cell r="J15" t="str">
            <v>Actuals</v>
          </cell>
          <cell r="K15" t="str">
            <v>Actuals</v>
          </cell>
          <cell r="L15" t="str">
            <v>Actuals</v>
          </cell>
          <cell r="M15" t="str">
            <v>Actuals</v>
          </cell>
          <cell r="N15" t="str">
            <v>Actuals</v>
          </cell>
          <cell r="O15" t="str">
            <v>Actuals</v>
          </cell>
          <cell r="P15" t="str">
            <v>Actuals</v>
          </cell>
          <cell r="Q15" t="str">
            <v>Actuals</v>
          </cell>
          <cell r="R15" t="str">
            <v>Actuals</v>
          </cell>
        </row>
        <row r="16">
          <cell r="G16" t="str">
            <v>Jan</v>
          </cell>
          <cell r="H16" t="str">
            <v>Feb</v>
          </cell>
          <cell r="I16" t="str">
            <v>Mar</v>
          </cell>
          <cell r="J16" t="str">
            <v>Apr</v>
          </cell>
          <cell r="K16" t="str">
            <v>May</v>
          </cell>
          <cell r="L16" t="str">
            <v>Jun</v>
          </cell>
          <cell r="M16" t="str">
            <v>Jul</v>
          </cell>
          <cell r="N16" t="str">
            <v>Aug</v>
          </cell>
          <cell r="O16" t="str">
            <v>Sep</v>
          </cell>
          <cell r="P16" t="str">
            <v>Oct</v>
          </cell>
          <cell r="Q16" t="str">
            <v>Nov</v>
          </cell>
          <cell r="R16" t="str">
            <v>Dec</v>
          </cell>
        </row>
        <row r="17">
          <cell r="D17" t="str">
            <v>7712</v>
          </cell>
          <cell r="E17" t="str">
            <v>US Core Businesses</v>
          </cell>
        </row>
        <row r="18">
          <cell r="C18" t="str">
            <v>Total Locations</v>
          </cell>
          <cell r="D18" t="str">
            <v>7712</v>
          </cell>
          <cell r="E18" t="str">
            <v>US Core Businesses</v>
          </cell>
          <cell r="F18" t="str">
            <v>Total Heads</v>
          </cell>
          <cell r="G18">
            <v>30</v>
          </cell>
          <cell r="H18">
            <v>30</v>
          </cell>
          <cell r="I18">
            <v>28</v>
          </cell>
          <cell r="J18">
            <v>28</v>
          </cell>
          <cell r="K18">
            <v>29</v>
          </cell>
          <cell r="L18">
            <v>28</v>
          </cell>
          <cell r="M18">
            <v>29</v>
          </cell>
          <cell r="N18" t="str">
            <v>0</v>
          </cell>
          <cell r="O18" t="str">
            <v>0</v>
          </cell>
          <cell r="P18" t="str">
            <v>0</v>
          </cell>
          <cell r="Q18" t="str">
            <v>0</v>
          </cell>
          <cell r="R18" t="str">
            <v>0</v>
          </cell>
        </row>
        <row r="19">
          <cell r="C19" t="str">
            <v>Total Locations</v>
          </cell>
          <cell r="D19" t="str">
            <v>7712</v>
          </cell>
          <cell r="E19" t="str">
            <v>US Core Businesses</v>
          </cell>
          <cell r="F19" t="str">
            <v>Regular Heads</v>
          </cell>
          <cell r="G19">
            <v>30</v>
          </cell>
          <cell r="H19">
            <v>30</v>
          </cell>
          <cell r="I19">
            <v>28</v>
          </cell>
          <cell r="J19">
            <v>28</v>
          </cell>
          <cell r="K19">
            <v>29</v>
          </cell>
          <cell r="L19">
            <v>28</v>
          </cell>
          <cell r="M19">
            <v>29</v>
          </cell>
          <cell r="N19" t="str">
            <v>0</v>
          </cell>
          <cell r="O19" t="str">
            <v>0</v>
          </cell>
          <cell r="P19" t="str">
            <v>0</v>
          </cell>
          <cell r="Q19" t="str">
            <v>0</v>
          </cell>
          <cell r="R19" t="str">
            <v>0</v>
          </cell>
        </row>
        <row r="20">
          <cell r="C20" t="str">
            <v>Total Locations</v>
          </cell>
          <cell r="D20" t="str">
            <v>Database Services</v>
          </cell>
          <cell r="E20" t="str">
            <v>US Core Businesses</v>
          </cell>
          <cell r="F20" t="str">
            <v>Agency Temps</v>
          </cell>
          <cell r="G20" t="str">
            <v>0</v>
          </cell>
          <cell r="H20" t="str">
            <v>0</v>
          </cell>
          <cell r="I20" t="str">
            <v>0</v>
          </cell>
          <cell r="J20" t="str">
            <v>0</v>
          </cell>
          <cell r="K20" t="str">
            <v>0</v>
          </cell>
          <cell r="L20" t="str">
            <v>0</v>
          </cell>
          <cell r="M20" t="str">
            <v>0</v>
          </cell>
          <cell r="N20" t="str">
            <v>0</v>
          </cell>
          <cell r="O20" t="str">
            <v>0</v>
          </cell>
          <cell r="P20" t="str">
            <v>0</v>
          </cell>
          <cell r="Q20" t="str">
            <v>0</v>
          </cell>
          <cell r="R20" t="str">
            <v>0</v>
          </cell>
        </row>
        <row r="21">
          <cell r="D21" t="str">
            <v>7712</v>
          </cell>
          <cell r="E21" t="str">
            <v>US Core Businesses</v>
          </cell>
        </row>
        <row r="22">
          <cell r="C22" t="str">
            <v>Total Locations</v>
          </cell>
          <cell r="D22" t="str">
            <v>7712</v>
          </cell>
          <cell r="E22" t="str">
            <v>US Core Businesses</v>
          </cell>
          <cell r="F22" t="str">
            <v>Temporary Employees</v>
          </cell>
          <cell r="G22" t="str">
            <v>0</v>
          </cell>
          <cell r="H22" t="str">
            <v>0</v>
          </cell>
          <cell r="I22" t="str">
            <v>0</v>
          </cell>
          <cell r="J22" t="str">
            <v>0</v>
          </cell>
          <cell r="K22" t="str">
            <v>0</v>
          </cell>
          <cell r="L22" t="str">
            <v>0</v>
          </cell>
          <cell r="M22" t="str">
            <v>0</v>
          </cell>
          <cell r="N22" t="str">
            <v>0</v>
          </cell>
          <cell r="O22" t="str">
            <v>0</v>
          </cell>
          <cell r="P22" t="str">
            <v>0</v>
          </cell>
          <cell r="Q22" t="str">
            <v>0</v>
          </cell>
          <cell r="R22" t="str">
            <v>0</v>
          </cell>
        </row>
        <row r="23">
          <cell r="C23" t="str">
            <v>Total Locations</v>
          </cell>
          <cell r="D23" t="str">
            <v>7712</v>
          </cell>
          <cell r="E23" t="str">
            <v>US Core Businesses</v>
          </cell>
          <cell r="F23" t="str">
            <v>Salaries</v>
          </cell>
          <cell r="G23">
            <v>202767.78</v>
          </cell>
          <cell r="H23">
            <v>211408.11</v>
          </cell>
          <cell r="I23">
            <v>198927.38</v>
          </cell>
          <cell r="J23">
            <v>191424.14</v>
          </cell>
          <cell r="K23">
            <v>184054.39</v>
          </cell>
          <cell r="L23">
            <v>181364.38</v>
          </cell>
          <cell r="M23">
            <v>180916.36</v>
          </cell>
          <cell r="N23" t="str">
            <v>0</v>
          </cell>
          <cell r="O23" t="str">
            <v>0</v>
          </cell>
          <cell r="P23" t="str">
            <v>0</v>
          </cell>
          <cell r="Q23" t="str">
            <v>0</v>
          </cell>
          <cell r="R23" t="str">
            <v>0</v>
          </cell>
        </row>
        <row r="24">
          <cell r="C24" t="str">
            <v>Total Locations</v>
          </cell>
          <cell r="D24" t="str">
            <v>7712</v>
          </cell>
          <cell r="E24" t="str">
            <v>US Core Businesses</v>
          </cell>
          <cell r="F24" t="str">
            <v>Contra - Salary Expense</v>
          </cell>
          <cell r="G24" t="str">
            <v>0</v>
          </cell>
          <cell r="H24" t="str">
            <v>0</v>
          </cell>
          <cell r="I24" t="str">
            <v>0</v>
          </cell>
          <cell r="J24" t="str">
            <v>0</v>
          </cell>
          <cell r="K24" t="str">
            <v>0</v>
          </cell>
          <cell r="L24" t="str">
            <v>0</v>
          </cell>
          <cell r="M24" t="str">
            <v>0</v>
          </cell>
          <cell r="N24" t="str">
            <v>0</v>
          </cell>
          <cell r="O24" t="str">
            <v>0</v>
          </cell>
          <cell r="P24" t="str">
            <v>0</v>
          </cell>
          <cell r="Q24" t="str">
            <v>0</v>
          </cell>
          <cell r="R24" t="str">
            <v>0</v>
          </cell>
        </row>
        <row r="25">
          <cell r="C25" t="str">
            <v>Total Locations</v>
          </cell>
          <cell r="D25" t="str">
            <v>7712</v>
          </cell>
          <cell r="E25" t="str">
            <v>US Core Businesses</v>
          </cell>
          <cell r="F25" t="str">
            <v>Hourly Wages</v>
          </cell>
          <cell r="G25" t="str">
            <v>0</v>
          </cell>
          <cell r="H25" t="str">
            <v>0</v>
          </cell>
          <cell r="I25" t="str">
            <v>0</v>
          </cell>
          <cell r="J25" t="str">
            <v>0</v>
          </cell>
          <cell r="K25" t="str">
            <v>0</v>
          </cell>
          <cell r="L25" t="str">
            <v>0</v>
          </cell>
          <cell r="M25" t="str">
            <v>0</v>
          </cell>
          <cell r="N25" t="str">
            <v>0</v>
          </cell>
          <cell r="O25" t="str">
            <v>0</v>
          </cell>
          <cell r="P25" t="str">
            <v>0</v>
          </cell>
          <cell r="Q25" t="str">
            <v>0</v>
          </cell>
          <cell r="R25" t="str">
            <v>0</v>
          </cell>
        </row>
        <row r="26">
          <cell r="C26" t="str">
            <v>Total Locations</v>
          </cell>
          <cell r="D26" t="str">
            <v>7712</v>
          </cell>
          <cell r="E26" t="str">
            <v>US Core Businesses</v>
          </cell>
          <cell r="F26" t="str">
            <v>Overtime</v>
          </cell>
          <cell r="G26" t="str">
            <v>0</v>
          </cell>
          <cell r="H26" t="str">
            <v>0</v>
          </cell>
          <cell r="I26" t="str">
            <v>0</v>
          </cell>
          <cell r="J26" t="str">
            <v>0</v>
          </cell>
          <cell r="K26" t="str">
            <v>0</v>
          </cell>
          <cell r="L26" t="str">
            <v>0</v>
          </cell>
          <cell r="M26" t="str">
            <v>0</v>
          </cell>
          <cell r="N26" t="str">
            <v>0</v>
          </cell>
          <cell r="O26" t="str">
            <v>0</v>
          </cell>
          <cell r="P26" t="str">
            <v>0</v>
          </cell>
          <cell r="Q26" t="str">
            <v>0</v>
          </cell>
          <cell r="R26" t="str">
            <v>0</v>
          </cell>
        </row>
        <row r="27">
          <cell r="C27" t="str">
            <v>Total Locations</v>
          </cell>
          <cell r="D27" t="str">
            <v>7712</v>
          </cell>
          <cell r="E27" t="str">
            <v>US Core Businesses</v>
          </cell>
          <cell r="F27" t="str">
            <v>Holidays</v>
          </cell>
          <cell r="G27">
            <v>10234.64</v>
          </cell>
          <cell r="H27" t="str">
            <v>0</v>
          </cell>
          <cell r="I27" t="str">
            <v>0</v>
          </cell>
          <cell r="J27" t="str">
            <v>0</v>
          </cell>
          <cell r="K27">
            <v>9530.7900000000009</v>
          </cell>
          <cell r="L27" t="str">
            <v>0</v>
          </cell>
          <cell r="M27">
            <v>9592.31</v>
          </cell>
          <cell r="N27" t="str">
            <v>0</v>
          </cell>
          <cell r="O27" t="str">
            <v>0</v>
          </cell>
          <cell r="P27" t="str">
            <v>0</v>
          </cell>
          <cell r="Q27" t="str">
            <v>0</v>
          </cell>
          <cell r="R27" t="str">
            <v>0</v>
          </cell>
        </row>
        <row r="28">
          <cell r="C28" t="str">
            <v>Total Locations</v>
          </cell>
          <cell r="D28" t="str">
            <v>7712</v>
          </cell>
          <cell r="E28" t="str">
            <v>US Core Businesses</v>
          </cell>
          <cell r="F28" t="str">
            <v>Vacation</v>
          </cell>
          <cell r="G28">
            <v>4752.32</v>
          </cell>
          <cell r="H28">
            <v>3313.81</v>
          </cell>
          <cell r="I28">
            <v>12343.82</v>
          </cell>
          <cell r="J28">
            <v>9815.14</v>
          </cell>
          <cell r="K28">
            <v>8314.66</v>
          </cell>
          <cell r="L28">
            <v>7249.96</v>
          </cell>
          <cell r="M28">
            <v>5611.56</v>
          </cell>
          <cell r="N28" t="str">
            <v>0</v>
          </cell>
          <cell r="O28" t="str">
            <v>0</v>
          </cell>
          <cell r="P28" t="str">
            <v>0</v>
          </cell>
          <cell r="Q28" t="str">
            <v>0</v>
          </cell>
          <cell r="R28" t="str">
            <v>0</v>
          </cell>
        </row>
        <row r="29">
          <cell r="C29" t="str">
            <v>Total Locations</v>
          </cell>
          <cell r="D29" t="str">
            <v>7712</v>
          </cell>
          <cell r="E29" t="str">
            <v>US Core Businesses</v>
          </cell>
          <cell r="F29" t="str">
            <v>Sick Leave</v>
          </cell>
          <cell r="G29">
            <v>315.39</v>
          </cell>
          <cell r="H29">
            <v>307.7</v>
          </cell>
          <cell r="I29">
            <v>384.62</v>
          </cell>
          <cell r="J29">
            <v>5850.1</v>
          </cell>
          <cell r="K29">
            <v>2096.19</v>
          </cell>
          <cell r="L29">
            <v>6030.87</v>
          </cell>
          <cell r="M29">
            <v>1515.41</v>
          </cell>
          <cell r="N29" t="str">
            <v>0</v>
          </cell>
          <cell r="O29" t="str">
            <v>0</v>
          </cell>
          <cell r="P29" t="str">
            <v>0</v>
          </cell>
          <cell r="Q29" t="str">
            <v>0</v>
          </cell>
          <cell r="R29" t="str">
            <v>0</v>
          </cell>
        </row>
        <row r="30">
          <cell r="C30" t="str">
            <v>Total Locations</v>
          </cell>
          <cell r="D30" t="str">
            <v>7712</v>
          </cell>
          <cell r="E30" t="str">
            <v>US Core Businesses</v>
          </cell>
          <cell r="F30" t="str">
            <v>Total Bonuses</v>
          </cell>
          <cell r="G30">
            <v>23509.58</v>
          </cell>
          <cell r="H30">
            <v>28159.43</v>
          </cell>
          <cell r="I30">
            <v>25240.41</v>
          </cell>
          <cell r="J30">
            <v>25539.57</v>
          </cell>
          <cell r="K30">
            <v>24546.5</v>
          </cell>
          <cell r="L30">
            <v>26361.85</v>
          </cell>
          <cell r="M30">
            <v>38160.980000000003</v>
          </cell>
          <cell r="N30" t="str">
            <v>0</v>
          </cell>
          <cell r="O30" t="str">
            <v>0</v>
          </cell>
          <cell r="P30" t="str">
            <v>0</v>
          </cell>
          <cell r="Q30" t="str">
            <v>0</v>
          </cell>
          <cell r="R30" t="str">
            <v>0</v>
          </cell>
        </row>
        <row r="31">
          <cell r="C31" t="str">
            <v>Total Locations</v>
          </cell>
          <cell r="D31" t="str">
            <v>7712</v>
          </cell>
          <cell r="E31" t="str">
            <v>US Core Businesses</v>
          </cell>
          <cell r="F31" t="str">
            <v>Payroll Taxes</v>
          </cell>
          <cell r="G31">
            <v>24076.83</v>
          </cell>
          <cell r="H31">
            <v>19071.13</v>
          </cell>
          <cell r="I31">
            <v>32962.94</v>
          </cell>
          <cell r="J31">
            <v>21573.48</v>
          </cell>
          <cell r="K31">
            <v>34152.86</v>
          </cell>
          <cell r="L31">
            <v>20103.400000000001</v>
          </cell>
          <cell r="M31">
            <v>16929.14</v>
          </cell>
          <cell r="N31" t="str">
            <v>0</v>
          </cell>
          <cell r="O31" t="str">
            <v>0</v>
          </cell>
          <cell r="P31" t="str">
            <v>0</v>
          </cell>
          <cell r="Q31" t="str">
            <v>0</v>
          </cell>
          <cell r="R31" t="str">
            <v>0</v>
          </cell>
        </row>
        <row r="32">
          <cell r="C32" t="str">
            <v>Total Locations</v>
          </cell>
          <cell r="D32" t="str">
            <v>7712</v>
          </cell>
          <cell r="E32" t="str">
            <v>US Core Businesses</v>
          </cell>
          <cell r="F32" t="str">
            <v>Total Medical Benefits</v>
          </cell>
          <cell r="G32">
            <v>9668.5499999999993</v>
          </cell>
          <cell r="H32">
            <v>9582.48</v>
          </cell>
          <cell r="I32">
            <v>9017.3799999999992</v>
          </cell>
          <cell r="J32">
            <v>8857.51</v>
          </cell>
          <cell r="K32">
            <v>11825.32</v>
          </cell>
          <cell r="L32">
            <v>11399.95</v>
          </cell>
          <cell r="M32">
            <v>9501.44</v>
          </cell>
          <cell r="N32" t="str">
            <v>0</v>
          </cell>
          <cell r="O32" t="str">
            <v>0</v>
          </cell>
          <cell r="P32" t="str">
            <v>0</v>
          </cell>
          <cell r="Q32" t="str">
            <v>0</v>
          </cell>
          <cell r="R32" t="str">
            <v>0</v>
          </cell>
        </row>
        <row r="33">
          <cell r="C33" t="str">
            <v>Total Locations</v>
          </cell>
          <cell r="D33" t="str">
            <v>7712</v>
          </cell>
          <cell r="E33" t="str">
            <v>US Core Businesses</v>
          </cell>
          <cell r="F33" t="str">
            <v>Metro Bus Passes</v>
          </cell>
          <cell r="G33">
            <v>1046.1099999999999</v>
          </cell>
          <cell r="H33">
            <v>1057.4000000000001</v>
          </cell>
          <cell r="I33">
            <v>1001.69</v>
          </cell>
          <cell r="J33">
            <v>1012.73</v>
          </cell>
          <cell r="K33">
            <v>1065.7</v>
          </cell>
          <cell r="L33">
            <v>991.17</v>
          </cell>
          <cell r="M33">
            <v>1052.08</v>
          </cell>
          <cell r="N33" t="str">
            <v>0</v>
          </cell>
          <cell r="O33" t="str">
            <v>0</v>
          </cell>
          <cell r="P33" t="str">
            <v>0</v>
          </cell>
          <cell r="Q33" t="str">
            <v>0</v>
          </cell>
          <cell r="R33" t="str">
            <v>0</v>
          </cell>
        </row>
        <row r="34">
          <cell r="C34" t="str">
            <v>Total Locations</v>
          </cell>
          <cell r="D34" t="str">
            <v>7712</v>
          </cell>
          <cell r="E34" t="str">
            <v>US Core Businesses</v>
          </cell>
          <cell r="F34" t="str">
            <v>Employee Relations</v>
          </cell>
          <cell r="G34" t="str">
            <v>0</v>
          </cell>
          <cell r="H34" t="str">
            <v>0</v>
          </cell>
          <cell r="I34" t="str">
            <v>0</v>
          </cell>
          <cell r="J34" t="str">
            <v>0</v>
          </cell>
          <cell r="K34" t="str">
            <v>0</v>
          </cell>
          <cell r="L34" t="str">
            <v>0</v>
          </cell>
          <cell r="M34" t="str">
            <v>0</v>
          </cell>
          <cell r="N34" t="str">
            <v>0</v>
          </cell>
          <cell r="O34" t="str">
            <v>0</v>
          </cell>
          <cell r="P34" t="str">
            <v>0</v>
          </cell>
          <cell r="Q34" t="str">
            <v>0</v>
          </cell>
          <cell r="R34" t="str">
            <v>0</v>
          </cell>
        </row>
        <row r="35">
          <cell r="C35" t="str">
            <v>Total Locations</v>
          </cell>
          <cell r="D35" t="str">
            <v>7712</v>
          </cell>
          <cell r="E35" t="str">
            <v>US Core Businesses</v>
          </cell>
          <cell r="F35" t="str">
            <v>Employee Awards</v>
          </cell>
          <cell r="G35" t="str">
            <v>0</v>
          </cell>
          <cell r="H35" t="str">
            <v>0</v>
          </cell>
          <cell r="I35" t="str">
            <v>0</v>
          </cell>
          <cell r="J35" t="str">
            <v>0</v>
          </cell>
          <cell r="K35" t="str">
            <v>0</v>
          </cell>
          <cell r="L35" t="str">
            <v>0</v>
          </cell>
          <cell r="M35" t="str">
            <v>0</v>
          </cell>
          <cell r="N35" t="str">
            <v>0</v>
          </cell>
          <cell r="O35" t="str">
            <v>0</v>
          </cell>
          <cell r="P35" t="str">
            <v>0</v>
          </cell>
          <cell r="Q35" t="str">
            <v>0</v>
          </cell>
          <cell r="R35" t="str">
            <v>0</v>
          </cell>
        </row>
        <row r="36">
          <cell r="C36" t="str">
            <v>Total Locations</v>
          </cell>
          <cell r="D36" t="str">
            <v>7712</v>
          </cell>
          <cell r="E36" t="str">
            <v>US Core Businesses</v>
          </cell>
          <cell r="F36" t="str">
            <v>Parking Withheld from Payroll</v>
          </cell>
          <cell r="G36" t="str">
            <v>0</v>
          </cell>
          <cell r="H36" t="str">
            <v>0</v>
          </cell>
          <cell r="I36" t="str">
            <v>0</v>
          </cell>
          <cell r="J36" t="str">
            <v>0</v>
          </cell>
          <cell r="K36" t="str">
            <v>0</v>
          </cell>
          <cell r="L36" t="str">
            <v>0</v>
          </cell>
          <cell r="M36" t="str">
            <v>0</v>
          </cell>
          <cell r="N36" t="str">
            <v>0</v>
          </cell>
          <cell r="O36" t="str">
            <v>0</v>
          </cell>
          <cell r="P36" t="str">
            <v>0</v>
          </cell>
          <cell r="Q36" t="str">
            <v>0</v>
          </cell>
          <cell r="R36" t="str">
            <v>0</v>
          </cell>
        </row>
        <row r="37">
          <cell r="D37" t="str">
            <v>7712</v>
          </cell>
          <cell r="E37" t="str">
            <v>US Core Businesses</v>
          </cell>
        </row>
        <row r="38">
          <cell r="C38" t="str">
            <v>Total Locations</v>
          </cell>
          <cell r="D38" t="str">
            <v>7712</v>
          </cell>
          <cell r="E38" t="str">
            <v>US Core Businesses</v>
          </cell>
          <cell r="F38" t="str">
            <v>Training and Education</v>
          </cell>
          <cell r="G38" t="str">
            <v>0</v>
          </cell>
          <cell r="H38" t="str">
            <v>0</v>
          </cell>
          <cell r="I38" t="str">
            <v>0</v>
          </cell>
          <cell r="J38" t="str">
            <v>0</v>
          </cell>
          <cell r="K38" t="str">
            <v>0</v>
          </cell>
          <cell r="L38" t="str">
            <v>0</v>
          </cell>
          <cell r="M38" t="str">
            <v>0</v>
          </cell>
          <cell r="N38" t="str">
            <v>0</v>
          </cell>
          <cell r="O38" t="str">
            <v>0</v>
          </cell>
          <cell r="P38" t="str">
            <v>0</v>
          </cell>
          <cell r="Q38" t="str">
            <v>0</v>
          </cell>
          <cell r="R38" t="str">
            <v>0</v>
          </cell>
        </row>
        <row r="39">
          <cell r="C39" t="str">
            <v>Total Locations</v>
          </cell>
          <cell r="D39" t="str">
            <v>7712</v>
          </cell>
          <cell r="E39" t="str">
            <v>US Core Businesses</v>
          </cell>
          <cell r="F39" t="str">
            <v>New Hire Orientation</v>
          </cell>
          <cell r="G39" t="str">
            <v>0</v>
          </cell>
          <cell r="H39" t="str">
            <v>0</v>
          </cell>
          <cell r="I39" t="str">
            <v>0</v>
          </cell>
          <cell r="J39" t="str">
            <v>0</v>
          </cell>
          <cell r="K39" t="str">
            <v>0</v>
          </cell>
          <cell r="L39" t="str">
            <v>0</v>
          </cell>
          <cell r="M39" t="str">
            <v>0</v>
          </cell>
          <cell r="N39" t="str">
            <v>0</v>
          </cell>
          <cell r="O39" t="str">
            <v>0</v>
          </cell>
          <cell r="P39" t="str">
            <v>0</v>
          </cell>
          <cell r="Q39" t="str">
            <v>0</v>
          </cell>
          <cell r="R39" t="str">
            <v>0</v>
          </cell>
        </row>
        <row r="40">
          <cell r="C40" t="str">
            <v>Total Locations</v>
          </cell>
          <cell r="D40" t="str">
            <v>7712</v>
          </cell>
          <cell r="E40" t="str">
            <v>US Core Businesses</v>
          </cell>
          <cell r="F40" t="str">
            <v>Program Development - Training</v>
          </cell>
          <cell r="G40" t="str">
            <v>0</v>
          </cell>
          <cell r="H40" t="str">
            <v>0</v>
          </cell>
          <cell r="I40" t="str">
            <v>0</v>
          </cell>
          <cell r="J40" t="str">
            <v>0</v>
          </cell>
          <cell r="K40" t="str">
            <v>0</v>
          </cell>
          <cell r="L40" t="str">
            <v>0</v>
          </cell>
          <cell r="M40" t="str">
            <v>0</v>
          </cell>
          <cell r="N40" t="str">
            <v>0</v>
          </cell>
          <cell r="O40" t="str">
            <v>0</v>
          </cell>
          <cell r="P40" t="str">
            <v>0</v>
          </cell>
          <cell r="Q40" t="str">
            <v>0</v>
          </cell>
          <cell r="R40" t="str">
            <v>0</v>
          </cell>
        </row>
        <row r="41">
          <cell r="C41" t="str">
            <v>Total Locations</v>
          </cell>
          <cell r="D41" t="str">
            <v>7712</v>
          </cell>
          <cell r="E41" t="str">
            <v>US Core Businesses</v>
          </cell>
          <cell r="F41" t="str">
            <v>Stock Compensation Charges</v>
          </cell>
          <cell r="G41" t="str">
            <v>0</v>
          </cell>
          <cell r="H41" t="str">
            <v>0</v>
          </cell>
          <cell r="I41" t="str">
            <v>0</v>
          </cell>
          <cell r="J41" t="str">
            <v>0</v>
          </cell>
          <cell r="K41" t="str">
            <v>0</v>
          </cell>
          <cell r="L41" t="str">
            <v>0</v>
          </cell>
          <cell r="M41" t="str">
            <v>0</v>
          </cell>
          <cell r="N41" t="str">
            <v>0</v>
          </cell>
          <cell r="O41" t="str">
            <v>0</v>
          </cell>
          <cell r="P41" t="str">
            <v>0</v>
          </cell>
          <cell r="Q41" t="str">
            <v>0</v>
          </cell>
          <cell r="R41" t="str">
            <v>0</v>
          </cell>
        </row>
        <row r="42">
          <cell r="C42" t="str">
            <v>Total Locations</v>
          </cell>
          <cell r="D42" t="str">
            <v>7712</v>
          </cell>
          <cell r="E42" t="str">
            <v>US Core Businesses</v>
          </cell>
          <cell r="F42" t="str">
            <v>Recruiting</v>
          </cell>
          <cell r="G42" t="str">
            <v>0</v>
          </cell>
          <cell r="H42">
            <v>-9060.1299999999992</v>
          </cell>
          <cell r="I42">
            <v>117.14</v>
          </cell>
          <cell r="J42">
            <v>1014.86</v>
          </cell>
          <cell r="K42">
            <v>581.91999999999996</v>
          </cell>
          <cell r="L42">
            <v>1089.22</v>
          </cell>
          <cell r="M42">
            <v>2434</v>
          </cell>
          <cell r="N42" t="str">
            <v>0</v>
          </cell>
          <cell r="O42" t="str">
            <v>0</v>
          </cell>
          <cell r="P42" t="str">
            <v>0</v>
          </cell>
          <cell r="Q42" t="str">
            <v>0</v>
          </cell>
          <cell r="R42" t="str">
            <v>0</v>
          </cell>
        </row>
        <row r="43">
          <cell r="C43" t="str">
            <v>Total Locations</v>
          </cell>
          <cell r="D43" t="str">
            <v>7712</v>
          </cell>
          <cell r="E43" t="str">
            <v>US Core Businesses</v>
          </cell>
          <cell r="F43" t="str">
            <v>Employee Consulting</v>
          </cell>
          <cell r="G43" t="str">
            <v>0</v>
          </cell>
          <cell r="H43" t="str">
            <v>0</v>
          </cell>
          <cell r="I43" t="str">
            <v>0</v>
          </cell>
          <cell r="J43" t="str">
            <v>0</v>
          </cell>
          <cell r="K43" t="str">
            <v>0</v>
          </cell>
          <cell r="L43" t="str">
            <v>0</v>
          </cell>
          <cell r="M43" t="str">
            <v>0</v>
          </cell>
          <cell r="N43" t="str">
            <v>0</v>
          </cell>
          <cell r="O43" t="str">
            <v>0</v>
          </cell>
          <cell r="P43" t="str">
            <v>0</v>
          </cell>
          <cell r="Q43" t="str">
            <v>0</v>
          </cell>
          <cell r="R43" t="str">
            <v>0</v>
          </cell>
        </row>
        <row r="44">
          <cell r="C44" t="str">
            <v>Total Locations</v>
          </cell>
          <cell r="D44" t="str">
            <v>7712</v>
          </cell>
          <cell r="E44" t="str">
            <v>US Core Businesses</v>
          </cell>
          <cell r="F44" t="str">
            <v>Contra Employee Expenses</v>
          </cell>
          <cell r="G44" t="str">
            <v>0</v>
          </cell>
          <cell r="H44" t="str">
            <v>0</v>
          </cell>
          <cell r="I44" t="str">
            <v>0</v>
          </cell>
          <cell r="J44" t="str">
            <v>0</v>
          </cell>
          <cell r="K44" t="str">
            <v>0</v>
          </cell>
          <cell r="L44" t="str">
            <v>0</v>
          </cell>
          <cell r="M44" t="str">
            <v>0</v>
          </cell>
          <cell r="N44" t="str">
            <v>0</v>
          </cell>
          <cell r="O44" t="str">
            <v>0</v>
          </cell>
          <cell r="P44" t="str">
            <v>0</v>
          </cell>
          <cell r="Q44" t="str">
            <v>0</v>
          </cell>
          <cell r="R44" t="str">
            <v>0</v>
          </cell>
        </row>
        <row r="45">
          <cell r="C45" t="str">
            <v>Total Locations</v>
          </cell>
          <cell r="D45" t="str">
            <v>Database Services</v>
          </cell>
          <cell r="E45" t="str">
            <v>US Core Businesses</v>
          </cell>
          <cell r="F45" t="str">
            <v>Employee Expenses</v>
          </cell>
          <cell r="G45">
            <v>276371.20000000001</v>
          </cell>
          <cell r="H45">
            <v>263839.93</v>
          </cell>
          <cell r="I45">
            <v>279995.38</v>
          </cell>
          <cell r="J45">
            <v>265087.53000000003</v>
          </cell>
          <cell r="K45">
            <v>276168.33</v>
          </cell>
          <cell r="L45">
            <v>254590.8</v>
          </cell>
          <cell r="M45">
            <v>265713.28000000003</v>
          </cell>
          <cell r="N45" t="str">
            <v>0</v>
          </cell>
          <cell r="O45" t="str">
            <v>0</v>
          </cell>
          <cell r="P45" t="str">
            <v>0</v>
          </cell>
          <cell r="Q45" t="str">
            <v>0</v>
          </cell>
          <cell r="R45" t="str">
            <v>0</v>
          </cell>
        </row>
        <row r="46">
          <cell r="D46" t="str">
            <v>7712</v>
          </cell>
          <cell r="E46" t="str">
            <v>US Core Businesses</v>
          </cell>
        </row>
        <row r="47">
          <cell r="C47" t="str">
            <v>Total Locations</v>
          </cell>
          <cell r="D47" t="str">
            <v>7712</v>
          </cell>
          <cell r="E47" t="str">
            <v>US Core Businesses</v>
          </cell>
          <cell r="F47" t="str">
            <v>Building Rent</v>
          </cell>
          <cell r="G47">
            <v>19400.099999999999</v>
          </cell>
          <cell r="H47">
            <v>5900.71</v>
          </cell>
          <cell r="I47">
            <v>11603.87</v>
          </cell>
          <cell r="J47">
            <v>11973.26</v>
          </cell>
          <cell r="K47">
            <v>12142.42</v>
          </cell>
          <cell r="L47">
            <v>10929.76</v>
          </cell>
          <cell r="M47">
            <v>18808.259999999998</v>
          </cell>
          <cell r="N47" t="str">
            <v>0</v>
          </cell>
          <cell r="O47" t="str">
            <v>0</v>
          </cell>
          <cell r="P47" t="str">
            <v>0</v>
          </cell>
          <cell r="Q47" t="str">
            <v>0</v>
          </cell>
          <cell r="R47" t="str">
            <v>0</v>
          </cell>
        </row>
        <row r="48">
          <cell r="C48" t="str">
            <v>Total Locations</v>
          </cell>
          <cell r="D48" t="str">
            <v>7712</v>
          </cell>
          <cell r="E48" t="str">
            <v>US Core Businesses</v>
          </cell>
          <cell r="F48" t="str">
            <v>Utilities</v>
          </cell>
          <cell r="G48">
            <v>144.83000000000001</v>
          </cell>
          <cell r="H48">
            <v>119.78</v>
          </cell>
          <cell r="I48">
            <v>119.53</v>
          </cell>
          <cell r="J48">
            <v>100.34</v>
          </cell>
          <cell r="K48">
            <v>100.22</v>
          </cell>
          <cell r="L48">
            <v>98.69</v>
          </cell>
          <cell r="M48">
            <v>112.76</v>
          </cell>
          <cell r="N48" t="str">
            <v>0</v>
          </cell>
          <cell r="O48" t="str">
            <v>0</v>
          </cell>
          <cell r="P48" t="str">
            <v>0</v>
          </cell>
          <cell r="Q48" t="str">
            <v>0</v>
          </cell>
          <cell r="R48" t="str">
            <v>0</v>
          </cell>
        </row>
        <row r="49">
          <cell r="C49" t="str">
            <v>Total Locations</v>
          </cell>
          <cell r="D49" t="str">
            <v>7712</v>
          </cell>
          <cell r="E49" t="str">
            <v>US Core Businesses</v>
          </cell>
          <cell r="F49" t="str">
            <v>Building Op Ex/CAM</v>
          </cell>
          <cell r="G49">
            <v>5782.38</v>
          </cell>
          <cell r="H49">
            <v>2717.13</v>
          </cell>
          <cell r="I49">
            <v>4051.14</v>
          </cell>
          <cell r="J49">
            <v>3250.72</v>
          </cell>
          <cell r="K49">
            <v>-2900.24</v>
          </cell>
          <cell r="L49">
            <v>3888.76</v>
          </cell>
          <cell r="M49">
            <v>5662.95</v>
          </cell>
          <cell r="N49" t="str">
            <v>0</v>
          </cell>
          <cell r="O49" t="str">
            <v>0</v>
          </cell>
          <cell r="P49" t="str">
            <v>0</v>
          </cell>
          <cell r="Q49" t="str">
            <v>0</v>
          </cell>
          <cell r="R49" t="str">
            <v>0</v>
          </cell>
        </row>
        <row r="50">
          <cell r="C50" t="str">
            <v>Total Locations</v>
          </cell>
          <cell r="D50" t="str">
            <v>7712</v>
          </cell>
          <cell r="E50" t="str">
            <v>US Core Businesses</v>
          </cell>
          <cell r="F50" t="str">
            <v>Janitorial Expense</v>
          </cell>
          <cell r="G50">
            <v>126.13</v>
          </cell>
          <cell r="H50">
            <v>111.82</v>
          </cell>
          <cell r="I50">
            <v>130.63</v>
          </cell>
          <cell r="J50">
            <v>124.82</v>
          </cell>
          <cell r="K50">
            <v>110.38</v>
          </cell>
          <cell r="L50">
            <v>104.85</v>
          </cell>
          <cell r="M50" t="str">
            <v>0</v>
          </cell>
          <cell r="N50" t="str">
            <v>0</v>
          </cell>
          <cell r="O50" t="str">
            <v>0</v>
          </cell>
          <cell r="P50" t="str">
            <v>0</v>
          </cell>
          <cell r="Q50" t="str">
            <v>0</v>
          </cell>
          <cell r="R50" t="str">
            <v>0</v>
          </cell>
        </row>
        <row r="51">
          <cell r="C51" t="str">
            <v>Total Locations</v>
          </cell>
          <cell r="D51" t="str">
            <v>7712</v>
          </cell>
          <cell r="E51" t="str">
            <v>US Core Businesses</v>
          </cell>
          <cell r="F51" t="str">
            <v>Security Expense</v>
          </cell>
          <cell r="G51">
            <v>1618.54</v>
          </cell>
          <cell r="H51">
            <v>2078.13</v>
          </cell>
          <cell r="I51">
            <v>1986.46</v>
          </cell>
          <cell r="J51">
            <v>2494.73</v>
          </cell>
          <cell r="K51">
            <v>1789.35</v>
          </cell>
          <cell r="L51">
            <v>700.7</v>
          </cell>
          <cell r="M51">
            <v>1577.22</v>
          </cell>
          <cell r="N51" t="str">
            <v>0</v>
          </cell>
          <cell r="O51" t="str">
            <v>0</v>
          </cell>
          <cell r="P51" t="str">
            <v>0</v>
          </cell>
          <cell r="Q51" t="str">
            <v>0</v>
          </cell>
          <cell r="R51" t="str">
            <v>0</v>
          </cell>
        </row>
        <row r="52">
          <cell r="C52" t="str">
            <v>Total Locations</v>
          </cell>
          <cell r="D52" t="str">
            <v>7712</v>
          </cell>
          <cell r="E52" t="str">
            <v>US Core Businesses</v>
          </cell>
          <cell r="F52" t="str">
            <v>Repairs</v>
          </cell>
          <cell r="G52">
            <v>-4150.45</v>
          </cell>
          <cell r="H52">
            <v>181.14</v>
          </cell>
          <cell r="I52">
            <v>1304</v>
          </cell>
          <cell r="J52">
            <v>-418.28</v>
          </cell>
          <cell r="K52">
            <v>2532.4899999999998</v>
          </cell>
          <cell r="L52">
            <v>171.87</v>
          </cell>
          <cell r="M52">
            <v>157.88</v>
          </cell>
          <cell r="N52" t="str">
            <v>0</v>
          </cell>
          <cell r="O52" t="str">
            <v>0</v>
          </cell>
          <cell r="P52" t="str">
            <v>0</v>
          </cell>
          <cell r="Q52" t="str">
            <v>0</v>
          </cell>
          <cell r="R52" t="str">
            <v>0</v>
          </cell>
        </row>
        <row r="53">
          <cell r="C53" t="str">
            <v>Total Locations</v>
          </cell>
          <cell r="D53" t="str">
            <v>7712</v>
          </cell>
          <cell r="E53" t="str">
            <v>US Core Businesses</v>
          </cell>
          <cell r="F53" t="str">
            <v>Property Taxes</v>
          </cell>
          <cell r="G53">
            <v>404.68</v>
          </cell>
          <cell r="H53">
            <v>408.31</v>
          </cell>
          <cell r="I53">
            <v>387.27</v>
          </cell>
          <cell r="J53">
            <v>663.46</v>
          </cell>
          <cell r="K53">
            <v>495.71</v>
          </cell>
          <cell r="L53">
            <v>446</v>
          </cell>
          <cell r="M53">
            <v>464.93</v>
          </cell>
          <cell r="N53" t="str">
            <v>0</v>
          </cell>
          <cell r="O53" t="str">
            <v>0</v>
          </cell>
          <cell r="P53" t="str">
            <v>0</v>
          </cell>
          <cell r="Q53" t="str">
            <v>0</v>
          </cell>
          <cell r="R53" t="str">
            <v>0</v>
          </cell>
        </row>
        <row r="54">
          <cell r="D54" t="str">
            <v>7712</v>
          </cell>
          <cell r="E54" t="str">
            <v>US Core Businesses</v>
          </cell>
        </row>
        <row r="55">
          <cell r="C55" t="str">
            <v>Total Locations</v>
          </cell>
          <cell r="D55" t="str">
            <v>7712</v>
          </cell>
          <cell r="E55" t="str">
            <v>US Core Businesses</v>
          </cell>
          <cell r="F55" t="str">
            <v>France Tax on Assets</v>
          </cell>
          <cell r="G55" t="str">
            <v>0</v>
          </cell>
          <cell r="H55" t="str">
            <v>0</v>
          </cell>
          <cell r="I55" t="str">
            <v>0</v>
          </cell>
          <cell r="J55" t="str">
            <v>0</v>
          </cell>
          <cell r="K55" t="str">
            <v>0</v>
          </cell>
          <cell r="L55" t="str">
            <v>0</v>
          </cell>
          <cell r="M55" t="str">
            <v>0</v>
          </cell>
          <cell r="N55" t="str">
            <v>0</v>
          </cell>
          <cell r="O55" t="str">
            <v>0</v>
          </cell>
          <cell r="P55" t="str">
            <v>0</v>
          </cell>
          <cell r="Q55" t="str">
            <v>0</v>
          </cell>
          <cell r="R55" t="str">
            <v>0</v>
          </cell>
        </row>
        <row r="56">
          <cell r="C56" t="str">
            <v>Total Locations</v>
          </cell>
          <cell r="D56" t="str">
            <v>7712</v>
          </cell>
          <cell r="E56" t="str">
            <v>US Core Businesses</v>
          </cell>
          <cell r="F56" t="str">
            <v>Copiers/ Equipment Rental</v>
          </cell>
          <cell r="G56">
            <v>143.85</v>
          </cell>
          <cell r="H56">
            <v>350.29</v>
          </cell>
          <cell r="I56">
            <v>232.37</v>
          </cell>
          <cell r="J56">
            <v>320.73</v>
          </cell>
          <cell r="K56">
            <v>328.21</v>
          </cell>
          <cell r="L56" t="str">
            <v>0</v>
          </cell>
          <cell r="M56">
            <v>638.29999999999995</v>
          </cell>
          <cell r="N56" t="str">
            <v>0</v>
          </cell>
          <cell r="O56" t="str">
            <v>0</v>
          </cell>
          <cell r="P56" t="str">
            <v>0</v>
          </cell>
          <cell r="Q56" t="str">
            <v>0</v>
          </cell>
          <cell r="R56" t="str">
            <v>0</v>
          </cell>
        </row>
        <row r="57">
          <cell r="C57" t="str">
            <v>Total Locations</v>
          </cell>
          <cell r="D57" t="str">
            <v>7712</v>
          </cell>
          <cell r="E57" t="str">
            <v>US Core Businesses</v>
          </cell>
          <cell r="F57" t="str">
            <v>Shuttle Expense</v>
          </cell>
          <cell r="G57">
            <v>306.01</v>
          </cell>
          <cell r="H57">
            <v>264.94</v>
          </cell>
          <cell r="I57">
            <v>310.63</v>
          </cell>
          <cell r="J57">
            <v>316.74</v>
          </cell>
          <cell r="K57">
            <v>256.97000000000003</v>
          </cell>
          <cell r="L57">
            <v>171.39</v>
          </cell>
          <cell r="M57">
            <v>178.66</v>
          </cell>
          <cell r="N57" t="str">
            <v>0</v>
          </cell>
          <cell r="O57" t="str">
            <v>0</v>
          </cell>
          <cell r="P57" t="str">
            <v>0</v>
          </cell>
          <cell r="Q57" t="str">
            <v>0</v>
          </cell>
          <cell r="R57" t="str">
            <v>0</v>
          </cell>
        </row>
        <row r="58">
          <cell r="C58" t="str">
            <v>Total Locations</v>
          </cell>
          <cell r="D58" t="str">
            <v>7712</v>
          </cell>
          <cell r="E58" t="str">
            <v>US Core Businesses</v>
          </cell>
          <cell r="F58" t="str">
            <v>Parking Lot Rent</v>
          </cell>
          <cell r="G58">
            <v>275.31</v>
          </cell>
          <cell r="H58">
            <v>260.79000000000002</v>
          </cell>
          <cell r="I58">
            <v>655.53</v>
          </cell>
          <cell r="J58">
            <v>676.86</v>
          </cell>
          <cell r="K58">
            <v>690.59</v>
          </cell>
          <cell r="L58">
            <v>589.57000000000005</v>
          </cell>
          <cell r="M58">
            <v>772.05</v>
          </cell>
          <cell r="N58" t="str">
            <v>0</v>
          </cell>
          <cell r="O58" t="str">
            <v>0</v>
          </cell>
          <cell r="P58" t="str">
            <v>0</v>
          </cell>
          <cell r="Q58" t="str">
            <v>0</v>
          </cell>
          <cell r="R58" t="str">
            <v>0</v>
          </cell>
        </row>
        <row r="59">
          <cell r="C59" t="str">
            <v>Total Locations</v>
          </cell>
          <cell r="D59" t="str">
            <v>7712</v>
          </cell>
          <cell r="E59" t="str">
            <v>US Core Businesses</v>
          </cell>
          <cell r="F59" t="str">
            <v>Leasehold Depreciation Expense</v>
          </cell>
          <cell r="G59">
            <v>4227.76</v>
          </cell>
          <cell r="H59">
            <v>4265.71</v>
          </cell>
          <cell r="I59">
            <v>4045.91</v>
          </cell>
          <cell r="J59">
            <v>4118.97</v>
          </cell>
          <cell r="K59">
            <v>4177.17</v>
          </cell>
          <cell r="L59">
            <v>3983.35</v>
          </cell>
          <cell r="M59">
            <v>4114.49</v>
          </cell>
          <cell r="N59" t="str">
            <v>0</v>
          </cell>
          <cell r="O59" t="str">
            <v>0</v>
          </cell>
          <cell r="P59" t="str">
            <v>0</v>
          </cell>
          <cell r="Q59" t="str">
            <v>0</v>
          </cell>
          <cell r="R59" t="str">
            <v>0</v>
          </cell>
        </row>
        <row r="60">
          <cell r="C60" t="str">
            <v>Total Locations</v>
          </cell>
          <cell r="D60" t="str">
            <v>7712</v>
          </cell>
          <cell r="E60" t="str">
            <v>US Core Businesses</v>
          </cell>
          <cell r="F60" t="str">
            <v>Leasehold Depreciation Expense - Direct</v>
          </cell>
          <cell r="G60" t="str">
            <v>0</v>
          </cell>
          <cell r="H60" t="str">
            <v>0</v>
          </cell>
          <cell r="I60" t="str">
            <v>0</v>
          </cell>
          <cell r="J60" t="str">
            <v>0</v>
          </cell>
          <cell r="K60" t="str">
            <v>0</v>
          </cell>
          <cell r="L60" t="str">
            <v>0</v>
          </cell>
          <cell r="M60" t="str">
            <v>0</v>
          </cell>
          <cell r="N60" t="str">
            <v>0</v>
          </cell>
          <cell r="O60" t="str">
            <v>0</v>
          </cell>
          <cell r="P60" t="str">
            <v>0</v>
          </cell>
          <cell r="Q60" t="str">
            <v>0</v>
          </cell>
          <cell r="R60" t="str">
            <v>0</v>
          </cell>
        </row>
        <row r="61">
          <cell r="C61" t="str">
            <v>Total Locations</v>
          </cell>
          <cell r="D61" t="str">
            <v>7712</v>
          </cell>
          <cell r="E61" t="str">
            <v>US Core Businesses</v>
          </cell>
          <cell r="F61" t="str">
            <v>Deprec Expense - F&amp;F - Allocated</v>
          </cell>
          <cell r="G61">
            <v>483.21</v>
          </cell>
          <cell r="H61">
            <v>487.55</v>
          </cell>
          <cell r="I61">
            <v>462.42</v>
          </cell>
          <cell r="J61">
            <v>467.27</v>
          </cell>
          <cell r="K61">
            <v>473.87</v>
          </cell>
          <cell r="L61">
            <v>451.03</v>
          </cell>
          <cell r="M61">
            <v>469.08</v>
          </cell>
          <cell r="N61" t="str">
            <v>0</v>
          </cell>
          <cell r="O61" t="str">
            <v>0</v>
          </cell>
          <cell r="P61" t="str">
            <v>0</v>
          </cell>
          <cell r="Q61" t="str">
            <v>0</v>
          </cell>
          <cell r="R61" t="str">
            <v>0</v>
          </cell>
        </row>
        <row r="62">
          <cell r="C62" t="str">
            <v>Total Locations</v>
          </cell>
          <cell r="D62" t="str">
            <v>7712</v>
          </cell>
          <cell r="E62" t="str">
            <v>US Core Businesses</v>
          </cell>
          <cell r="F62" t="str">
            <v>Deprec Expense - F&amp;F - Direct</v>
          </cell>
          <cell r="G62" t="str">
            <v>0</v>
          </cell>
          <cell r="H62" t="str">
            <v>0</v>
          </cell>
          <cell r="I62" t="str">
            <v>0</v>
          </cell>
          <cell r="J62" t="str">
            <v>0</v>
          </cell>
          <cell r="K62" t="str">
            <v>0</v>
          </cell>
          <cell r="L62" t="str">
            <v>0</v>
          </cell>
          <cell r="M62" t="str">
            <v>0</v>
          </cell>
          <cell r="N62" t="str">
            <v>0</v>
          </cell>
          <cell r="O62" t="str">
            <v>0</v>
          </cell>
          <cell r="P62" t="str">
            <v>0</v>
          </cell>
          <cell r="Q62" t="str">
            <v>0</v>
          </cell>
          <cell r="R62" t="str">
            <v>0</v>
          </cell>
        </row>
        <row r="63">
          <cell r="C63" t="str">
            <v>Total Locations</v>
          </cell>
          <cell r="D63" t="str">
            <v>7712</v>
          </cell>
          <cell r="E63" t="str">
            <v>US Core Businesses</v>
          </cell>
          <cell r="F63" t="str">
            <v>Deprec Expense - Equipment - Allocated</v>
          </cell>
          <cell r="G63">
            <v>344.44</v>
          </cell>
          <cell r="H63">
            <v>344.88</v>
          </cell>
          <cell r="I63">
            <v>327.11</v>
          </cell>
          <cell r="J63">
            <v>313.87</v>
          </cell>
          <cell r="K63">
            <v>304.58</v>
          </cell>
          <cell r="L63">
            <v>227.68</v>
          </cell>
          <cell r="M63">
            <v>235.22</v>
          </cell>
          <cell r="N63" t="str">
            <v>0</v>
          </cell>
          <cell r="O63" t="str">
            <v>0</v>
          </cell>
          <cell r="P63" t="str">
            <v>0</v>
          </cell>
          <cell r="Q63" t="str">
            <v>0</v>
          </cell>
          <cell r="R63" t="str">
            <v>0</v>
          </cell>
        </row>
        <row r="64">
          <cell r="C64" t="str">
            <v>Total Locations</v>
          </cell>
          <cell r="D64" t="str">
            <v>7712</v>
          </cell>
          <cell r="E64" t="str">
            <v>US Core Businesses</v>
          </cell>
          <cell r="F64" t="str">
            <v>Deprec Expense - Equipment - Direct</v>
          </cell>
          <cell r="G64">
            <v>68.39</v>
          </cell>
          <cell r="H64">
            <v>68.38</v>
          </cell>
          <cell r="I64" t="str">
            <v>0</v>
          </cell>
          <cell r="J64" t="str">
            <v>0</v>
          </cell>
          <cell r="K64" t="str">
            <v>0</v>
          </cell>
          <cell r="L64" t="str">
            <v>0</v>
          </cell>
          <cell r="M64" t="str">
            <v>0</v>
          </cell>
          <cell r="N64" t="str">
            <v>0</v>
          </cell>
          <cell r="O64" t="str">
            <v>0</v>
          </cell>
          <cell r="P64" t="str">
            <v>0</v>
          </cell>
          <cell r="Q64" t="str">
            <v>0</v>
          </cell>
          <cell r="R64" t="str">
            <v>0</v>
          </cell>
        </row>
        <row r="65">
          <cell r="C65" t="str">
            <v>Total Locations</v>
          </cell>
          <cell r="D65" t="str">
            <v>7712</v>
          </cell>
          <cell r="E65" t="str">
            <v>US Core Businesses</v>
          </cell>
          <cell r="F65" t="str">
            <v>Depreciation Expense - Low Valued Assets</v>
          </cell>
          <cell r="G65" t="str">
            <v>0</v>
          </cell>
          <cell r="H65" t="str">
            <v>0</v>
          </cell>
          <cell r="I65" t="str">
            <v>0</v>
          </cell>
          <cell r="J65" t="str">
            <v>0</v>
          </cell>
          <cell r="K65" t="str">
            <v>0</v>
          </cell>
          <cell r="L65" t="str">
            <v>0</v>
          </cell>
          <cell r="M65" t="str">
            <v>0</v>
          </cell>
          <cell r="N65" t="str">
            <v>0</v>
          </cell>
          <cell r="O65" t="str">
            <v>0</v>
          </cell>
          <cell r="P65" t="str">
            <v>0</v>
          </cell>
          <cell r="Q65" t="str">
            <v>0</v>
          </cell>
          <cell r="R65" t="str">
            <v>0</v>
          </cell>
        </row>
        <row r="66">
          <cell r="C66" t="str">
            <v>Total Locations</v>
          </cell>
          <cell r="D66" t="str">
            <v>7712</v>
          </cell>
          <cell r="E66" t="str">
            <v>US Core Businesses</v>
          </cell>
          <cell r="F66" t="str">
            <v>Deprec Expense - Software</v>
          </cell>
          <cell r="G66" t="str">
            <v>0</v>
          </cell>
          <cell r="H66" t="str">
            <v>0</v>
          </cell>
          <cell r="I66" t="str">
            <v>0</v>
          </cell>
          <cell r="J66" t="str">
            <v>0</v>
          </cell>
          <cell r="K66" t="str">
            <v>0</v>
          </cell>
          <cell r="L66" t="str">
            <v>0</v>
          </cell>
          <cell r="M66" t="str">
            <v>0</v>
          </cell>
          <cell r="N66" t="str">
            <v>0</v>
          </cell>
          <cell r="O66" t="str">
            <v>0</v>
          </cell>
          <cell r="P66" t="str">
            <v>0</v>
          </cell>
          <cell r="Q66" t="str">
            <v>0</v>
          </cell>
          <cell r="R66" t="str">
            <v>0</v>
          </cell>
        </row>
        <row r="67">
          <cell r="C67" t="str">
            <v>Total Locations</v>
          </cell>
          <cell r="D67" t="str">
            <v>7712</v>
          </cell>
          <cell r="E67" t="str">
            <v>US Core Businesses</v>
          </cell>
          <cell r="F67" t="str">
            <v>Deprec Expense - Internal Software Develop Salaries</v>
          </cell>
          <cell r="G67" t="str">
            <v>0</v>
          </cell>
          <cell r="H67" t="str">
            <v>0</v>
          </cell>
          <cell r="I67" t="str">
            <v>0</v>
          </cell>
          <cell r="J67" t="str">
            <v>0</v>
          </cell>
          <cell r="K67" t="str">
            <v>0</v>
          </cell>
          <cell r="L67" t="str">
            <v>0</v>
          </cell>
          <cell r="M67" t="str">
            <v>0</v>
          </cell>
          <cell r="N67" t="str">
            <v>0</v>
          </cell>
          <cell r="O67" t="str">
            <v>0</v>
          </cell>
          <cell r="P67" t="str">
            <v>0</v>
          </cell>
          <cell r="Q67" t="str">
            <v>0</v>
          </cell>
          <cell r="R67" t="str">
            <v>0</v>
          </cell>
        </row>
        <row r="68">
          <cell r="C68" t="str">
            <v>Total Locations</v>
          </cell>
          <cell r="D68" t="str">
            <v>7712</v>
          </cell>
          <cell r="E68" t="str">
            <v>US Core Businesses</v>
          </cell>
          <cell r="F68" t="str">
            <v>Deprec Expense - HC Contingent Assets - Allocated</v>
          </cell>
          <cell r="G68">
            <v>2680.23</v>
          </cell>
          <cell r="H68">
            <v>2694.24</v>
          </cell>
          <cell r="I68">
            <v>896.33</v>
          </cell>
          <cell r="J68">
            <v>576.28</v>
          </cell>
          <cell r="K68">
            <v>564.39</v>
          </cell>
          <cell r="L68">
            <v>372.66</v>
          </cell>
          <cell r="M68">
            <v>387.08</v>
          </cell>
          <cell r="N68" t="str">
            <v>0</v>
          </cell>
          <cell r="O68" t="str">
            <v>0</v>
          </cell>
          <cell r="P68" t="str">
            <v>0</v>
          </cell>
          <cell r="Q68" t="str">
            <v>0</v>
          </cell>
          <cell r="R68" t="str">
            <v>0</v>
          </cell>
        </row>
        <row r="69">
          <cell r="C69" t="str">
            <v>Total Locations</v>
          </cell>
          <cell r="D69" t="str">
            <v>7712</v>
          </cell>
          <cell r="E69" t="str">
            <v>US Core Businesses</v>
          </cell>
          <cell r="F69" t="str">
            <v>Deprec Expense - HC Contingent Assets - Direct</v>
          </cell>
          <cell r="G69" t="str">
            <v>0</v>
          </cell>
          <cell r="H69" t="str">
            <v>0</v>
          </cell>
          <cell r="I69" t="str">
            <v>0</v>
          </cell>
          <cell r="J69" t="str">
            <v>0</v>
          </cell>
          <cell r="K69" t="str">
            <v>0</v>
          </cell>
          <cell r="L69" t="str">
            <v>0</v>
          </cell>
          <cell r="M69" t="str">
            <v>0</v>
          </cell>
          <cell r="N69" t="str">
            <v>0</v>
          </cell>
          <cell r="O69" t="str">
            <v>0</v>
          </cell>
          <cell r="P69" t="str">
            <v>0</v>
          </cell>
          <cell r="Q69" t="str">
            <v>0</v>
          </cell>
          <cell r="R69" t="str">
            <v>0</v>
          </cell>
        </row>
        <row r="70">
          <cell r="C70" t="str">
            <v>Total Locations</v>
          </cell>
          <cell r="D70" t="str">
            <v>7712</v>
          </cell>
          <cell r="E70" t="str">
            <v>US Core Businesses</v>
          </cell>
          <cell r="F70" t="str">
            <v>Deprec Expense - Heavy Equipment</v>
          </cell>
          <cell r="G70" t="str">
            <v>0</v>
          </cell>
          <cell r="H70" t="str">
            <v>0</v>
          </cell>
          <cell r="I70" t="str">
            <v>0</v>
          </cell>
          <cell r="J70" t="str">
            <v>0</v>
          </cell>
          <cell r="K70" t="str">
            <v>0</v>
          </cell>
          <cell r="L70" t="str">
            <v>0</v>
          </cell>
          <cell r="M70" t="str">
            <v>0</v>
          </cell>
          <cell r="N70" t="str">
            <v>0</v>
          </cell>
          <cell r="O70" t="str">
            <v>0</v>
          </cell>
          <cell r="P70" t="str">
            <v>0</v>
          </cell>
          <cell r="Q70" t="str">
            <v>0</v>
          </cell>
          <cell r="R70" t="str">
            <v>0</v>
          </cell>
        </row>
        <row r="71">
          <cell r="C71" t="str">
            <v>Total Locations</v>
          </cell>
          <cell r="D71" t="str">
            <v>7712</v>
          </cell>
          <cell r="E71" t="str">
            <v>US Core Businesses</v>
          </cell>
          <cell r="F71" t="str">
            <v>Deprec Expense - Vehicles</v>
          </cell>
          <cell r="G71">
            <v>30.84</v>
          </cell>
          <cell r="H71">
            <v>31.11</v>
          </cell>
          <cell r="I71">
            <v>29.51</v>
          </cell>
          <cell r="J71">
            <v>20.81</v>
          </cell>
          <cell r="K71">
            <v>21.1</v>
          </cell>
          <cell r="L71">
            <v>20.11</v>
          </cell>
          <cell r="M71">
            <v>20.96</v>
          </cell>
          <cell r="N71" t="str">
            <v>0</v>
          </cell>
          <cell r="O71" t="str">
            <v>0</v>
          </cell>
          <cell r="P71" t="str">
            <v>0</v>
          </cell>
          <cell r="Q71" t="str">
            <v>0</v>
          </cell>
          <cell r="R71" t="str">
            <v>0</v>
          </cell>
        </row>
        <row r="72">
          <cell r="C72" t="str">
            <v>Total Locations</v>
          </cell>
          <cell r="D72" t="str">
            <v>7712</v>
          </cell>
          <cell r="E72" t="str">
            <v>US Core Businesses</v>
          </cell>
          <cell r="F72" t="str">
            <v>Deprec Expense - Technology Infrastructure</v>
          </cell>
          <cell r="G72">
            <v>284697.28999999998</v>
          </cell>
          <cell r="H72">
            <v>183909.84</v>
          </cell>
          <cell r="I72">
            <v>124382.05</v>
          </cell>
          <cell r="J72">
            <v>123373.59</v>
          </cell>
          <cell r="K72">
            <v>83207.64</v>
          </cell>
          <cell r="L72">
            <v>83207.64</v>
          </cell>
          <cell r="M72">
            <v>83207.64</v>
          </cell>
          <cell r="N72" t="str">
            <v>0</v>
          </cell>
          <cell r="O72" t="str">
            <v>0</v>
          </cell>
          <cell r="P72" t="str">
            <v>0</v>
          </cell>
          <cell r="Q72" t="str">
            <v>0</v>
          </cell>
          <cell r="R72" t="str">
            <v>0</v>
          </cell>
        </row>
        <row r="73">
          <cell r="C73" t="str">
            <v>Total Locations</v>
          </cell>
          <cell r="D73" t="str">
            <v>7712</v>
          </cell>
          <cell r="E73" t="str">
            <v>US Core Businesses</v>
          </cell>
          <cell r="F73" t="str">
            <v>Deprec Expense - Low Value Computer Equip - Direct</v>
          </cell>
          <cell r="G73">
            <v>2890.46</v>
          </cell>
          <cell r="H73">
            <v>2890.46</v>
          </cell>
          <cell r="I73">
            <v>2890.46</v>
          </cell>
          <cell r="J73">
            <v>2890.46</v>
          </cell>
          <cell r="K73">
            <v>2890.5</v>
          </cell>
          <cell r="L73">
            <v>2478.33</v>
          </cell>
          <cell r="M73" t="str">
            <v>0</v>
          </cell>
          <cell r="N73" t="str">
            <v>0</v>
          </cell>
          <cell r="O73" t="str">
            <v>0</v>
          </cell>
          <cell r="P73" t="str">
            <v>0</v>
          </cell>
          <cell r="Q73" t="str">
            <v>0</v>
          </cell>
          <cell r="R73" t="str">
            <v>0</v>
          </cell>
        </row>
        <row r="74">
          <cell r="C74" t="str">
            <v>Total Locations</v>
          </cell>
          <cell r="D74" t="str">
            <v>7712</v>
          </cell>
          <cell r="E74" t="str">
            <v>US Core Businesses</v>
          </cell>
          <cell r="F74" t="str">
            <v>Deprec Expense - Capital Lease</v>
          </cell>
          <cell r="G74">
            <v>18897.46</v>
          </cell>
          <cell r="H74" t="str">
            <v>0</v>
          </cell>
          <cell r="I74" t="str">
            <v>0</v>
          </cell>
          <cell r="J74" t="str">
            <v>0</v>
          </cell>
          <cell r="K74" t="str">
            <v>0</v>
          </cell>
          <cell r="L74" t="str">
            <v>0</v>
          </cell>
          <cell r="M74" t="str">
            <v>0</v>
          </cell>
          <cell r="N74" t="str">
            <v>0</v>
          </cell>
          <cell r="O74" t="str">
            <v>0</v>
          </cell>
          <cell r="P74" t="str">
            <v>0</v>
          </cell>
          <cell r="Q74" t="str">
            <v>0</v>
          </cell>
          <cell r="R74" t="str">
            <v>0</v>
          </cell>
        </row>
        <row r="75">
          <cell r="C75" t="str">
            <v>Total Locations</v>
          </cell>
          <cell r="D75" t="str">
            <v>7712</v>
          </cell>
          <cell r="E75" t="str">
            <v>US Core Businesses</v>
          </cell>
          <cell r="F75" t="str">
            <v>Deprec Expense - Low Value Computer Equip - Allocated</v>
          </cell>
          <cell r="G75" t="str">
            <v>0</v>
          </cell>
          <cell r="H75" t="str">
            <v>0</v>
          </cell>
          <cell r="I75" t="str">
            <v>0</v>
          </cell>
          <cell r="J75" t="str">
            <v>0</v>
          </cell>
          <cell r="K75" t="str">
            <v>0</v>
          </cell>
          <cell r="L75" t="str">
            <v>0</v>
          </cell>
          <cell r="M75" t="str">
            <v>0</v>
          </cell>
          <cell r="N75" t="str">
            <v>0</v>
          </cell>
          <cell r="O75" t="str">
            <v>0</v>
          </cell>
          <cell r="P75" t="str">
            <v>0</v>
          </cell>
          <cell r="Q75" t="str">
            <v>0</v>
          </cell>
          <cell r="R75" t="str">
            <v>0</v>
          </cell>
        </row>
        <row r="76">
          <cell r="C76" t="str">
            <v>Total Locations</v>
          </cell>
          <cell r="D76" t="str">
            <v>7712</v>
          </cell>
          <cell r="E76" t="str">
            <v>US Core Businesses</v>
          </cell>
          <cell r="F76" t="str">
            <v>Contra Depreciation</v>
          </cell>
          <cell r="G76" t="str">
            <v>0</v>
          </cell>
          <cell r="H76" t="str">
            <v>0</v>
          </cell>
          <cell r="I76" t="str">
            <v>0</v>
          </cell>
          <cell r="J76" t="str">
            <v>0</v>
          </cell>
          <cell r="K76" t="str">
            <v>0</v>
          </cell>
          <cell r="L76" t="str">
            <v>0</v>
          </cell>
          <cell r="M76" t="str">
            <v>0</v>
          </cell>
          <cell r="N76" t="str">
            <v>0</v>
          </cell>
          <cell r="O76" t="str">
            <v>0</v>
          </cell>
          <cell r="P76" t="str">
            <v>0</v>
          </cell>
          <cell r="Q76" t="str">
            <v>0</v>
          </cell>
          <cell r="R76" t="str">
            <v>0</v>
          </cell>
        </row>
        <row r="77">
          <cell r="C77" t="str">
            <v>Total Locations</v>
          </cell>
          <cell r="D77" t="str">
            <v>7712</v>
          </cell>
          <cell r="E77" t="str">
            <v>US Core Businesses</v>
          </cell>
          <cell r="F77" t="str">
            <v>Operating Leases - Technology Infrastructure</v>
          </cell>
          <cell r="G77">
            <v>45267.839999999997</v>
          </cell>
          <cell r="H77">
            <v>119757.52</v>
          </cell>
          <cell r="I77">
            <v>-27929.89</v>
          </cell>
          <cell r="J77">
            <v>42904.61</v>
          </cell>
          <cell r="K77">
            <v>42904.66</v>
          </cell>
          <cell r="L77">
            <v>14975.03</v>
          </cell>
          <cell r="M77">
            <v>-98282.52</v>
          </cell>
          <cell r="N77" t="str">
            <v>0</v>
          </cell>
          <cell r="O77" t="str">
            <v>0</v>
          </cell>
          <cell r="P77" t="str">
            <v>0</v>
          </cell>
          <cell r="Q77" t="str">
            <v>0</v>
          </cell>
          <cell r="R77" t="str">
            <v>0</v>
          </cell>
        </row>
        <row r="78">
          <cell r="C78" t="str">
            <v>Total Locations</v>
          </cell>
          <cell r="D78" t="str">
            <v>7712</v>
          </cell>
          <cell r="E78" t="str">
            <v>US Core Businesses</v>
          </cell>
          <cell r="F78" t="str">
            <v>Operating Leases - Computer</v>
          </cell>
          <cell r="G78" t="str">
            <v>0</v>
          </cell>
          <cell r="H78" t="str">
            <v>0</v>
          </cell>
          <cell r="I78" t="str">
            <v>0</v>
          </cell>
          <cell r="J78" t="str">
            <v>0</v>
          </cell>
          <cell r="K78" t="str">
            <v>0</v>
          </cell>
          <cell r="L78" t="str">
            <v>0</v>
          </cell>
          <cell r="M78" t="str">
            <v>0</v>
          </cell>
          <cell r="N78" t="str">
            <v>0</v>
          </cell>
          <cell r="O78" t="str">
            <v>0</v>
          </cell>
          <cell r="P78" t="str">
            <v>0</v>
          </cell>
          <cell r="Q78" t="str">
            <v>0</v>
          </cell>
          <cell r="R78" t="str">
            <v>0</v>
          </cell>
        </row>
        <row r="79">
          <cell r="C79" t="str">
            <v>Total Locations</v>
          </cell>
          <cell r="D79" t="str">
            <v>7712</v>
          </cell>
          <cell r="E79" t="str">
            <v>US Core Businesses</v>
          </cell>
          <cell r="F79" t="str">
            <v>Operating Leases - Equipment</v>
          </cell>
          <cell r="G79" t="str">
            <v>0</v>
          </cell>
          <cell r="H79" t="str">
            <v>0</v>
          </cell>
          <cell r="I79" t="str">
            <v>0</v>
          </cell>
          <cell r="J79" t="str">
            <v>0</v>
          </cell>
          <cell r="K79" t="str">
            <v>0</v>
          </cell>
          <cell r="L79" t="str">
            <v>0</v>
          </cell>
          <cell r="M79" t="str">
            <v>0</v>
          </cell>
          <cell r="N79" t="str">
            <v>0</v>
          </cell>
          <cell r="O79" t="str">
            <v>0</v>
          </cell>
          <cell r="P79" t="str">
            <v>0</v>
          </cell>
          <cell r="Q79" t="str">
            <v>0</v>
          </cell>
          <cell r="R79" t="str">
            <v>0</v>
          </cell>
        </row>
        <row r="80">
          <cell r="C80" t="str">
            <v>Total Locations</v>
          </cell>
          <cell r="D80" t="str">
            <v>7712</v>
          </cell>
          <cell r="E80" t="str">
            <v>US Core Businesses</v>
          </cell>
          <cell r="F80" t="str">
            <v>Operating Leases - Telecom</v>
          </cell>
          <cell r="G80" t="str">
            <v>0</v>
          </cell>
          <cell r="H80" t="str">
            <v>0</v>
          </cell>
          <cell r="I80" t="str">
            <v>0</v>
          </cell>
          <cell r="J80" t="str">
            <v>0</v>
          </cell>
          <cell r="K80" t="str">
            <v>0</v>
          </cell>
          <cell r="L80" t="str">
            <v>0</v>
          </cell>
          <cell r="M80" t="str">
            <v>0</v>
          </cell>
          <cell r="N80" t="str">
            <v>0</v>
          </cell>
          <cell r="O80" t="str">
            <v>0</v>
          </cell>
          <cell r="P80" t="str">
            <v>0</v>
          </cell>
          <cell r="Q80" t="str">
            <v>0</v>
          </cell>
          <cell r="R80" t="str">
            <v>0</v>
          </cell>
        </row>
        <row r="81">
          <cell r="C81" t="str">
            <v>Total Locations</v>
          </cell>
          <cell r="D81" t="str">
            <v>7712</v>
          </cell>
          <cell r="E81" t="str">
            <v>US Core Businesses</v>
          </cell>
          <cell r="F81" t="str">
            <v>Gain/Loss on Sale of Fixed Assets (History 4/97 - 12/97)</v>
          </cell>
          <cell r="G81" t="str">
            <v>0</v>
          </cell>
          <cell r="H81" t="str">
            <v>0</v>
          </cell>
          <cell r="I81" t="str">
            <v>0</v>
          </cell>
          <cell r="J81" t="str">
            <v>0</v>
          </cell>
          <cell r="K81" t="str">
            <v>0</v>
          </cell>
          <cell r="L81" t="str">
            <v>0</v>
          </cell>
          <cell r="M81" t="str">
            <v>0</v>
          </cell>
          <cell r="N81" t="str">
            <v>0</v>
          </cell>
          <cell r="O81" t="str">
            <v>0</v>
          </cell>
          <cell r="P81" t="str">
            <v>0</v>
          </cell>
          <cell r="Q81" t="str">
            <v>0</v>
          </cell>
          <cell r="R81" t="str">
            <v>0</v>
          </cell>
        </row>
        <row r="82">
          <cell r="C82" t="str">
            <v>Total Locations</v>
          </cell>
          <cell r="D82" t="str">
            <v>7712</v>
          </cell>
          <cell r="E82" t="str">
            <v>US Core Businesses</v>
          </cell>
          <cell r="F82" t="str">
            <v>Abandoned Leaseholds &amp; Equipment (History 6/97 - 12/97)</v>
          </cell>
          <cell r="G82" t="str">
            <v>0</v>
          </cell>
          <cell r="H82" t="str">
            <v>0</v>
          </cell>
          <cell r="I82" t="str">
            <v>0</v>
          </cell>
          <cell r="J82" t="str">
            <v>0</v>
          </cell>
          <cell r="K82" t="str">
            <v>0</v>
          </cell>
          <cell r="L82" t="str">
            <v>0</v>
          </cell>
          <cell r="M82" t="str">
            <v>0</v>
          </cell>
          <cell r="N82" t="str">
            <v>0</v>
          </cell>
          <cell r="O82" t="str">
            <v>0</v>
          </cell>
          <cell r="P82" t="str">
            <v>0</v>
          </cell>
          <cell r="Q82" t="str">
            <v>0</v>
          </cell>
          <cell r="R82" t="str">
            <v>0</v>
          </cell>
        </row>
        <row r="83">
          <cell r="C83" t="str">
            <v>Total Locations</v>
          </cell>
          <cell r="D83" t="str">
            <v>7712</v>
          </cell>
          <cell r="E83" t="str">
            <v>US Core Businesses</v>
          </cell>
          <cell r="F83" t="str">
            <v>Abandoned Office Leases</v>
          </cell>
          <cell r="G83" t="str">
            <v>0</v>
          </cell>
          <cell r="H83" t="str">
            <v>0</v>
          </cell>
          <cell r="I83" t="str">
            <v>0</v>
          </cell>
          <cell r="J83" t="str">
            <v>0</v>
          </cell>
          <cell r="K83" t="str">
            <v>0</v>
          </cell>
          <cell r="L83" t="str">
            <v>0</v>
          </cell>
          <cell r="M83" t="str">
            <v>0</v>
          </cell>
          <cell r="N83" t="str">
            <v>0</v>
          </cell>
          <cell r="O83" t="str">
            <v>0</v>
          </cell>
          <cell r="P83" t="str">
            <v>0</v>
          </cell>
          <cell r="Q83" t="str">
            <v>0</v>
          </cell>
          <cell r="R83" t="str">
            <v>0</v>
          </cell>
        </row>
        <row r="84">
          <cell r="C84" t="str">
            <v>Total Locations</v>
          </cell>
          <cell r="D84" t="str">
            <v>7712</v>
          </cell>
          <cell r="E84" t="str">
            <v>US Core Businesses</v>
          </cell>
          <cell r="F84" t="str">
            <v>Office Relocation Expense</v>
          </cell>
          <cell r="G84">
            <v>50.44</v>
          </cell>
          <cell r="H84">
            <v>172.14</v>
          </cell>
          <cell r="I84">
            <v>143.13</v>
          </cell>
          <cell r="J84">
            <v>95.88</v>
          </cell>
          <cell r="K84">
            <v>229.32</v>
          </cell>
          <cell r="L84">
            <v>99.62</v>
          </cell>
          <cell r="M84">
            <v>401.33</v>
          </cell>
          <cell r="N84" t="str">
            <v>0</v>
          </cell>
          <cell r="O84" t="str">
            <v>0</v>
          </cell>
          <cell r="P84" t="str">
            <v>0</v>
          </cell>
          <cell r="Q84" t="str">
            <v>0</v>
          </cell>
          <cell r="R84" t="str">
            <v>0</v>
          </cell>
        </row>
        <row r="85">
          <cell r="C85" t="str">
            <v>Total Locations</v>
          </cell>
          <cell r="D85" t="str">
            <v>7712</v>
          </cell>
          <cell r="E85" t="str">
            <v>US Core Businesses</v>
          </cell>
          <cell r="F85" t="str">
            <v>Software Expense</v>
          </cell>
          <cell r="G85">
            <v>11541.36</v>
          </cell>
          <cell r="H85">
            <v>11541.36</v>
          </cell>
          <cell r="I85">
            <v>94353.85</v>
          </cell>
          <cell r="J85">
            <v>37568.14</v>
          </cell>
          <cell r="K85">
            <v>37568.14</v>
          </cell>
          <cell r="L85">
            <v>37568.14</v>
          </cell>
          <cell r="M85">
            <v>37568.14</v>
          </cell>
          <cell r="N85" t="str">
            <v>0</v>
          </cell>
          <cell r="O85" t="str">
            <v>0</v>
          </cell>
          <cell r="P85" t="str">
            <v>0</v>
          </cell>
          <cell r="Q85" t="str">
            <v>0</v>
          </cell>
          <cell r="R85" t="str">
            <v>0</v>
          </cell>
        </row>
        <row r="86">
          <cell r="C86" t="str">
            <v>Total Locations</v>
          </cell>
          <cell r="D86" t="str">
            <v>7712</v>
          </cell>
          <cell r="E86" t="str">
            <v>US Core Businesses</v>
          </cell>
          <cell r="F86" t="str">
            <v>Software Licenses</v>
          </cell>
          <cell r="G86">
            <v>1480.62</v>
          </cell>
          <cell r="H86">
            <v>1494.78</v>
          </cell>
          <cell r="I86">
            <v>1423.71</v>
          </cell>
          <cell r="J86">
            <v>1449.16</v>
          </cell>
          <cell r="K86">
            <v>1465.16</v>
          </cell>
          <cell r="L86">
            <v>1396.71</v>
          </cell>
          <cell r="M86">
            <v>1632.67</v>
          </cell>
          <cell r="N86" t="str">
            <v>0</v>
          </cell>
          <cell r="O86" t="str">
            <v>0</v>
          </cell>
          <cell r="P86" t="str">
            <v>0</v>
          </cell>
          <cell r="Q86" t="str">
            <v>0</v>
          </cell>
          <cell r="R86" t="str">
            <v>0</v>
          </cell>
        </row>
        <row r="87">
          <cell r="C87" t="str">
            <v>Total Locations</v>
          </cell>
          <cell r="D87" t="str">
            <v>7712</v>
          </cell>
          <cell r="E87" t="str">
            <v>US Core Businesses</v>
          </cell>
          <cell r="F87" t="str">
            <v>Software &amp; Hardware Maintenance</v>
          </cell>
          <cell r="G87">
            <v>78858.44</v>
          </cell>
          <cell r="H87">
            <v>75618.84</v>
          </cell>
          <cell r="I87">
            <v>251344.83</v>
          </cell>
          <cell r="J87">
            <v>251735.94</v>
          </cell>
          <cell r="K87">
            <v>170715.71</v>
          </cell>
          <cell r="L87">
            <v>175725.95</v>
          </cell>
          <cell r="M87">
            <v>175725.95</v>
          </cell>
          <cell r="N87" t="str">
            <v>0</v>
          </cell>
          <cell r="O87" t="str">
            <v>0</v>
          </cell>
          <cell r="P87" t="str">
            <v>0</v>
          </cell>
          <cell r="Q87" t="str">
            <v>0</v>
          </cell>
          <cell r="R87" t="str">
            <v>0</v>
          </cell>
        </row>
        <row r="88">
          <cell r="C88" t="str">
            <v>Total Locations</v>
          </cell>
          <cell r="D88" t="str">
            <v>7712</v>
          </cell>
          <cell r="E88" t="str">
            <v>US Core Businesses</v>
          </cell>
          <cell r="F88" t="str">
            <v>Equipment &lt; $2,000 - Direct</v>
          </cell>
          <cell r="G88" t="str">
            <v>0</v>
          </cell>
          <cell r="H88">
            <v>1649.64</v>
          </cell>
          <cell r="I88">
            <v>-1362.41</v>
          </cell>
          <cell r="J88" t="str">
            <v>0</v>
          </cell>
          <cell r="K88" t="str">
            <v>0</v>
          </cell>
          <cell r="L88" t="str">
            <v>0</v>
          </cell>
          <cell r="M88" t="str">
            <v>0</v>
          </cell>
          <cell r="N88" t="str">
            <v>0</v>
          </cell>
          <cell r="O88" t="str">
            <v>0</v>
          </cell>
          <cell r="P88" t="str">
            <v>0</v>
          </cell>
          <cell r="Q88" t="str">
            <v>0</v>
          </cell>
          <cell r="R88" t="str">
            <v>0</v>
          </cell>
        </row>
        <row r="89">
          <cell r="C89" t="str">
            <v>Total Locations</v>
          </cell>
          <cell r="D89" t="str">
            <v>7712</v>
          </cell>
          <cell r="E89" t="str">
            <v>US Core Businesses</v>
          </cell>
          <cell r="F89" t="str">
            <v>IT Equipment &lt; $2000 - Allocated</v>
          </cell>
          <cell r="G89" t="str">
            <v>0</v>
          </cell>
          <cell r="H89" t="str">
            <v>0</v>
          </cell>
          <cell r="I89">
            <v>102.67</v>
          </cell>
          <cell r="J89">
            <v>166.06</v>
          </cell>
          <cell r="K89">
            <v>80.55</v>
          </cell>
          <cell r="L89">
            <v>97.67</v>
          </cell>
          <cell r="M89">
            <v>55.62</v>
          </cell>
          <cell r="N89" t="str">
            <v>0</v>
          </cell>
          <cell r="O89" t="str">
            <v>0</v>
          </cell>
          <cell r="P89" t="str">
            <v>0</v>
          </cell>
          <cell r="Q89" t="str">
            <v>0</v>
          </cell>
          <cell r="R89" t="str">
            <v>0</v>
          </cell>
        </row>
        <row r="90">
          <cell r="C90" t="str">
            <v>Total Locations</v>
          </cell>
          <cell r="D90" t="str">
            <v>7712</v>
          </cell>
          <cell r="E90" t="str">
            <v>US Core Businesses</v>
          </cell>
          <cell r="F90" t="str">
            <v>Equipment &lt; $2,000 - Allocated</v>
          </cell>
          <cell r="G90" t="str">
            <v>0</v>
          </cell>
          <cell r="H90" t="str">
            <v>0</v>
          </cell>
          <cell r="I90">
            <v>63.8</v>
          </cell>
          <cell r="J90">
            <v>5.63</v>
          </cell>
          <cell r="K90" t="str">
            <v>0</v>
          </cell>
          <cell r="L90">
            <v>90.77</v>
          </cell>
          <cell r="M90" t="str">
            <v>0</v>
          </cell>
          <cell r="N90" t="str">
            <v>0</v>
          </cell>
          <cell r="O90" t="str">
            <v>0</v>
          </cell>
          <cell r="P90" t="str">
            <v>0</v>
          </cell>
          <cell r="Q90" t="str">
            <v>0</v>
          </cell>
          <cell r="R90" t="str">
            <v>0</v>
          </cell>
        </row>
        <row r="91">
          <cell r="C91" t="str">
            <v>Total Locations</v>
          </cell>
          <cell r="D91" t="str">
            <v>7712</v>
          </cell>
          <cell r="E91" t="str">
            <v>US Core Businesses</v>
          </cell>
          <cell r="F91" t="str">
            <v>Low Valued Equipment</v>
          </cell>
          <cell r="G91" t="str">
            <v>0</v>
          </cell>
          <cell r="H91" t="str">
            <v>0</v>
          </cell>
          <cell r="I91" t="str">
            <v>0</v>
          </cell>
          <cell r="J91" t="str">
            <v>0</v>
          </cell>
          <cell r="K91" t="str">
            <v>0</v>
          </cell>
          <cell r="L91" t="str">
            <v>0</v>
          </cell>
          <cell r="M91" t="str">
            <v>0</v>
          </cell>
          <cell r="N91" t="str">
            <v>0</v>
          </cell>
          <cell r="O91" t="str">
            <v>0</v>
          </cell>
          <cell r="P91" t="str">
            <v>0</v>
          </cell>
          <cell r="Q91" t="str">
            <v>0</v>
          </cell>
          <cell r="R91" t="str">
            <v>0</v>
          </cell>
        </row>
        <row r="92">
          <cell r="C92" t="str">
            <v>Total Locations</v>
          </cell>
          <cell r="D92" t="str">
            <v>7712</v>
          </cell>
          <cell r="E92" t="str">
            <v>US Core Businesses</v>
          </cell>
          <cell r="F92" t="str">
            <v>Equipment Rental</v>
          </cell>
          <cell r="G92" t="str">
            <v>0</v>
          </cell>
          <cell r="H92" t="str">
            <v>0</v>
          </cell>
          <cell r="I92" t="str">
            <v>0</v>
          </cell>
          <cell r="J92" t="str">
            <v>0</v>
          </cell>
          <cell r="K92" t="str">
            <v>0</v>
          </cell>
          <cell r="L92" t="str">
            <v>0</v>
          </cell>
          <cell r="M92" t="str">
            <v>0</v>
          </cell>
          <cell r="N92" t="str">
            <v>0</v>
          </cell>
          <cell r="O92" t="str">
            <v>0</v>
          </cell>
          <cell r="P92" t="str">
            <v>0</v>
          </cell>
          <cell r="Q92" t="str">
            <v>0</v>
          </cell>
          <cell r="R92" t="str">
            <v>0</v>
          </cell>
        </row>
        <row r="93">
          <cell r="C93" t="str">
            <v>Total Locations</v>
          </cell>
          <cell r="D93" t="str">
            <v>7712</v>
          </cell>
          <cell r="E93" t="str">
            <v>US Core Businesses</v>
          </cell>
          <cell r="F93" t="str">
            <v>Maintenance Supplies</v>
          </cell>
          <cell r="G93" t="str">
            <v>0</v>
          </cell>
          <cell r="H93" t="str">
            <v>0</v>
          </cell>
          <cell r="I93" t="str">
            <v>0</v>
          </cell>
          <cell r="J93" t="str">
            <v>0</v>
          </cell>
          <cell r="K93" t="str">
            <v>0</v>
          </cell>
          <cell r="L93" t="str">
            <v>0</v>
          </cell>
          <cell r="M93" t="str">
            <v>0</v>
          </cell>
          <cell r="N93" t="str">
            <v>0</v>
          </cell>
          <cell r="O93" t="str">
            <v>0</v>
          </cell>
          <cell r="P93" t="str">
            <v>0</v>
          </cell>
          <cell r="Q93" t="str">
            <v>0</v>
          </cell>
          <cell r="R93" t="str">
            <v>0</v>
          </cell>
        </row>
        <row r="94">
          <cell r="C94" t="str">
            <v>Total Locations</v>
          </cell>
          <cell r="D94" t="str">
            <v>7712</v>
          </cell>
          <cell r="E94" t="str">
            <v>US Core Businesses</v>
          </cell>
          <cell r="F94" t="str">
            <v>LEC Charges - Voice</v>
          </cell>
          <cell r="G94">
            <v>1257.93</v>
          </cell>
          <cell r="H94">
            <v>97.23</v>
          </cell>
          <cell r="I94">
            <v>702.46</v>
          </cell>
          <cell r="J94">
            <v>271.58</v>
          </cell>
          <cell r="K94">
            <v>341.89</v>
          </cell>
          <cell r="L94">
            <v>997.22</v>
          </cell>
          <cell r="M94">
            <v>349.19</v>
          </cell>
          <cell r="N94" t="str">
            <v>0</v>
          </cell>
          <cell r="O94" t="str">
            <v>0</v>
          </cell>
          <cell r="P94" t="str">
            <v>0</v>
          </cell>
          <cell r="Q94" t="str">
            <v>0</v>
          </cell>
          <cell r="R94" t="str">
            <v>0</v>
          </cell>
        </row>
        <row r="95">
          <cell r="C95" t="str">
            <v>Total Locations</v>
          </cell>
          <cell r="D95" t="str">
            <v>7712</v>
          </cell>
          <cell r="E95" t="str">
            <v>US Core Businesses</v>
          </cell>
          <cell r="F95" t="str">
            <v>Telephone - Dial-up 800 Service</v>
          </cell>
          <cell r="G95">
            <v>1234.21</v>
          </cell>
          <cell r="H95">
            <v>623.57000000000005</v>
          </cell>
          <cell r="I95">
            <v>1180.6600000000001</v>
          </cell>
          <cell r="J95">
            <v>-108.05</v>
          </cell>
          <cell r="K95">
            <v>167.78</v>
          </cell>
          <cell r="L95">
            <v>572.29</v>
          </cell>
          <cell r="M95">
            <v>401.77</v>
          </cell>
          <cell r="N95" t="str">
            <v>0</v>
          </cell>
          <cell r="O95" t="str">
            <v>0</v>
          </cell>
          <cell r="P95" t="str">
            <v>0</v>
          </cell>
          <cell r="Q95" t="str">
            <v>0</v>
          </cell>
          <cell r="R95" t="str">
            <v>0</v>
          </cell>
        </row>
        <row r="96">
          <cell r="C96" t="str">
            <v>Total Locations</v>
          </cell>
          <cell r="D96" t="str">
            <v>7712</v>
          </cell>
          <cell r="E96" t="str">
            <v>US Core Businesses</v>
          </cell>
          <cell r="F96" t="str">
            <v>Telephone - Dial-up Hub Service</v>
          </cell>
          <cell r="G96" t="str">
            <v>0</v>
          </cell>
          <cell r="H96" t="str">
            <v>0</v>
          </cell>
          <cell r="I96">
            <v>58.19</v>
          </cell>
          <cell r="J96" t="str">
            <v>0</v>
          </cell>
          <cell r="K96" t="str">
            <v>0</v>
          </cell>
          <cell r="L96" t="str">
            <v>0</v>
          </cell>
          <cell r="M96" t="str">
            <v>0</v>
          </cell>
          <cell r="N96" t="str">
            <v>0</v>
          </cell>
          <cell r="O96" t="str">
            <v>0</v>
          </cell>
          <cell r="P96" t="str">
            <v>0</v>
          </cell>
          <cell r="Q96" t="str">
            <v>0</v>
          </cell>
          <cell r="R96" t="str">
            <v>0</v>
          </cell>
        </row>
        <row r="97">
          <cell r="C97" t="str">
            <v>Total Locations</v>
          </cell>
          <cell r="D97" t="str">
            <v>7712</v>
          </cell>
          <cell r="E97" t="str">
            <v>US Core Businesses</v>
          </cell>
          <cell r="F97" t="str">
            <v>Telephone - Long Distance</v>
          </cell>
          <cell r="G97">
            <v>843.66</v>
          </cell>
          <cell r="H97">
            <v>245.75</v>
          </cell>
          <cell r="I97">
            <v>411.29</v>
          </cell>
          <cell r="J97">
            <v>931.59</v>
          </cell>
          <cell r="K97">
            <v>121.06</v>
          </cell>
          <cell r="L97">
            <v>473.81</v>
          </cell>
          <cell r="M97">
            <v>450.07</v>
          </cell>
          <cell r="N97" t="str">
            <v>0</v>
          </cell>
          <cell r="O97" t="str">
            <v>0</v>
          </cell>
          <cell r="P97" t="str">
            <v>0</v>
          </cell>
          <cell r="Q97" t="str">
            <v>0</v>
          </cell>
          <cell r="R97" t="str">
            <v>0</v>
          </cell>
        </row>
        <row r="98">
          <cell r="C98" t="str">
            <v>Total Locations</v>
          </cell>
          <cell r="D98" t="str">
            <v>7712</v>
          </cell>
          <cell r="E98" t="str">
            <v>US Core Businesses</v>
          </cell>
          <cell r="F98" t="str">
            <v>Telephone - Pagers</v>
          </cell>
          <cell r="G98">
            <v>213.98</v>
          </cell>
          <cell r="H98">
            <v>117.45</v>
          </cell>
          <cell r="I98">
            <v>188.52</v>
          </cell>
          <cell r="J98">
            <v>145.86000000000001</v>
          </cell>
          <cell r="K98">
            <v>166.98</v>
          </cell>
          <cell r="L98">
            <v>186.44</v>
          </cell>
          <cell r="M98">
            <v>196.79</v>
          </cell>
          <cell r="N98" t="str">
            <v>0</v>
          </cell>
          <cell r="O98" t="str">
            <v>0</v>
          </cell>
          <cell r="P98" t="str">
            <v>0</v>
          </cell>
          <cell r="Q98" t="str">
            <v>0</v>
          </cell>
          <cell r="R98" t="str">
            <v>0</v>
          </cell>
        </row>
        <row r="99">
          <cell r="C99" t="str">
            <v>Total Locations</v>
          </cell>
          <cell r="D99" t="str">
            <v>7712</v>
          </cell>
          <cell r="E99" t="str">
            <v>US Core Businesses</v>
          </cell>
          <cell r="F99" t="str">
            <v>Telephone - Direct</v>
          </cell>
          <cell r="G99">
            <v>477.2</v>
          </cell>
          <cell r="H99">
            <v>318.66000000000003</v>
          </cell>
          <cell r="I99">
            <v>128.77000000000001</v>
          </cell>
          <cell r="J99">
            <v>917.45</v>
          </cell>
          <cell r="K99">
            <v>693.33</v>
          </cell>
          <cell r="L99">
            <v>1772.34</v>
          </cell>
          <cell r="M99">
            <v>1269.71</v>
          </cell>
          <cell r="N99" t="str">
            <v>0</v>
          </cell>
          <cell r="O99" t="str">
            <v>0</v>
          </cell>
          <cell r="P99" t="str">
            <v>0</v>
          </cell>
          <cell r="Q99" t="str">
            <v>0</v>
          </cell>
          <cell r="R99" t="str">
            <v>0</v>
          </cell>
        </row>
        <row r="100">
          <cell r="C100" t="str">
            <v>Total Locations</v>
          </cell>
          <cell r="D100" t="str">
            <v>7712</v>
          </cell>
          <cell r="E100" t="str">
            <v>US Core Businesses</v>
          </cell>
          <cell r="F100" t="str">
            <v>800 # Charges</v>
          </cell>
          <cell r="G100" t="str">
            <v>0</v>
          </cell>
          <cell r="H100" t="str">
            <v>0</v>
          </cell>
          <cell r="I100" t="str">
            <v>0</v>
          </cell>
          <cell r="J100" t="str">
            <v>0</v>
          </cell>
          <cell r="K100" t="str">
            <v>0</v>
          </cell>
          <cell r="L100" t="str">
            <v>0</v>
          </cell>
          <cell r="M100" t="str">
            <v>0</v>
          </cell>
          <cell r="N100" t="str">
            <v>0</v>
          </cell>
          <cell r="O100" t="str">
            <v>0</v>
          </cell>
          <cell r="P100" t="str">
            <v>0</v>
          </cell>
          <cell r="Q100" t="str">
            <v>0</v>
          </cell>
          <cell r="R100" t="str">
            <v>0</v>
          </cell>
        </row>
        <row r="101">
          <cell r="C101" t="str">
            <v>Total Locations</v>
          </cell>
          <cell r="D101" t="str">
            <v>7712</v>
          </cell>
          <cell r="E101" t="str">
            <v>US Core Businesses</v>
          </cell>
          <cell r="F101" t="str">
            <v>Audio &amp; Video Conferencing</v>
          </cell>
          <cell r="G101">
            <v>540.53</v>
          </cell>
          <cell r="H101">
            <v>448.64</v>
          </cell>
          <cell r="I101">
            <v>268.25</v>
          </cell>
          <cell r="J101">
            <v>416.2</v>
          </cell>
          <cell r="K101">
            <v>463.95</v>
          </cell>
          <cell r="L101">
            <v>395.6</v>
          </cell>
          <cell r="M101">
            <v>419.57</v>
          </cell>
          <cell r="N101" t="str">
            <v>0</v>
          </cell>
          <cell r="O101" t="str">
            <v>0</v>
          </cell>
          <cell r="P101" t="str">
            <v>0</v>
          </cell>
          <cell r="Q101" t="str">
            <v>0</v>
          </cell>
          <cell r="R101" t="str">
            <v>0</v>
          </cell>
        </row>
        <row r="102">
          <cell r="C102" t="str">
            <v>Total Locations</v>
          </cell>
          <cell r="D102" t="str">
            <v>7712</v>
          </cell>
          <cell r="E102" t="str">
            <v>US Core Businesses</v>
          </cell>
          <cell r="F102" t="str">
            <v>Cellular Service</v>
          </cell>
          <cell r="G102">
            <v>847.66</v>
          </cell>
          <cell r="H102">
            <v>507.39</v>
          </cell>
          <cell r="I102">
            <v>241.35</v>
          </cell>
          <cell r="J102">
            <v>410.86</v>
          </cell>
          <cell r="K102">
            <v>55.13</v>
          </cell>
          <cell r="L102">
            <v>163.66999999999999</v>
          </cell>
          <cell r="M102">
            <v>260.89</v>
          </cell>
          <cell r="N102" t="str">
            <v>0</v>
          </cell>
          <cell r="O102" t="str">
            <v>0</v>
          </cell>
          <cell r="P102" t="str">
            <v>0</v>
          </cell>
          <cell r="Q102" t="str">
            <v>0</v>
          </cell>
          <cell r="R102" t="str">
            <v>0</v>
          </cell>
        </row>
        <row r="103">
          <cell r="C103" t="str">
            <v>Total Locations</v>
          </cell>
          <cell r="D103" t="str">
            <v>7712</v>
          </cell>
          <cell r="E103" t="str">
            <v>US Core Businesses</v>
          </cell>
          <cell r="F103" t="str">
            <v>Special Telecom Events</v>
          </cell>
          <cell r="G103" t="str">
            <v>0</v>
          </cell>
          <cell r="H103" t="str">
            <v>0</v>
          </cell>
          <cell r="I103" t="str">
            <v>0</v>
          </cell>
          <cell r="J103" t="str">
            <v>0</v>
          </cell>
          <cell r="K103" t="str">
            <v>0</v>
          </cell>
          <cell r="L103" t="str">
            <v>0</v>
          </cell>
          <cell r="M103" t="str">
            <v>0</v>
          </cell>
          <cell r="N103" t="str">
            <v>0</v>
          </cell>
          <cell r="O103" t="str">
            <v>0</v>
          </cell>
          <cell r="P103" t="str">
            <v>0</v>
          </cell>
          <cell r="Q103" t="str">
            <v>0</v>
          </cell>
          <cell r="R103" t="str">
            <v>0</v>
          </cell>
        </row>
        <row r="104">
          <cell r="C104" t="str">
            <v>Total Locations</v>
          </cell>
          <cell r="D104" t="str">
            <v>7712</v>
          </cell>
          <cell r="E104" t="str">
            <v>US Core Businesses</v>
          </cell>
          <cell r="F104" t="str">
            <v>Internet Service Provider Charges</v>
          </cell>
          <cell r="G104" t="str">
            <v>0</v>
          </cell>
          <cell r="H104" t="str">
            <v>0</v>
          </cell>
          <cell r="I104" t="str">
            <v>0</v>
          </cell>
          <cell r="J104" t="str">
            <v>0</v>
          </cell>
          <cell r="K104" t="str">
            <v>0</v>
          </cell>
          <cell r="L104" t="str">
            <v>0</v>
          </cell>
          <cell r="M104" t="str">
            <v>0</v>
          </cell>
          <cell r="N104" t="str">
            <v>0</v>
          </cell>
          <cell r="O104" t="str">
            <v>0</v>
          </cell>
          <cell r="P104" t="str">
            <v>0</v>
          </cell>
          <cell r="Q104" t="str">
            <v>0</v>
          </cell>
          <cell r="R104" t="str">
            <v>0</v>
          </cell>
        </row>
        <row r="105">
          <cell r="C105" t="str">
            <v>Total Locations</v>
          </cell>
          <cell r="D105" t="str">
            <v>7712</v>
          </cell>
          <cell r="E105" t="str">
            <v>US Core Businesses</v>
          </cell>
          <cell r="F105" t="str">
            <v>LEC Charges - Data</v>
          </cell>
          <cell r="G105" t="str">
            <v>0</v>
          </cell>
          <cell r="H105" t="str">
            <v>0</v>
          </cell>
          <cell r="I105" t="str">
            <v>0</v>
          </cell>
          <cell r="J105" t="str">
            <v>0</v>
          </cell>
          <cell r="K105" t="str">
            <v>0</v>
          </cell>
          <cell r="L105" t="str">
            <v>0</v>
          </cell>
          <cell r="M105" t="str">
            <v>0</v>
          </cell>
          <cell r="N105" t="str">
            <v>0</v>
          </cell>
          <cell r="O105" t="str">
            <v>0</v>
          </cell>
          <cell r="P105" t="str">
            <v>0</v>
          </cell>
          <cell r="Q105" t="str">
            <v>0</v>
          </cell>
          <cell r="R105" t="str">
            <v>0</v>
          </cell>
        </row>
        <row r="106">
          <cell r="C106" t="str">
            <v>Total Locations</v>
          </cell>
          <cell r="D106" t="str">
            <v>7712</v>
          </cell>
          <cell r="E106" t="str">
            <v>US Core Businesses</v>
          </cell>
          <cell r="F106" t="str">
            <v>IXC Charges - Data</v>
          </cell>
          <cell r="G106" t="str">
            <v>0</v>
          </cell>
          <cell r="H106" t="str">
            <v>0</v>
          </cell>
          <cell r="I106" t="str">
            <v>0</v>
          </cell>
          <cell r="J106" t="str">
            <v>0</v>
          </cell>
          <cell r="K106" t="str">
            <v>0</v>
          </cell>
          <cell r="L106" t="str">
            <v>0</v>
          </cell>
          <cell r="M106" t="str">
            <v>0</v>
          </cell>
          <cell r="N106" t="str">
            <v>0</v>
          </cell>
          <cell r="O106" t="str">
            <v>0</v>
          </cell>
          <cell r="P106" t="str">
            <v>0</v>
          </cell>
          <cell r="Q106" t="str">
            <v>0</v>
          </cell>
          <cell r="R106" t="str">
            <v>0</v>
          </cell>
        </row>
        <row r="107">
          <cell r="C107" t="str">
            <v>Total Locations</v>
          </cell>
          <cell r="D107" t="str">
            <v>7712</v>
          </cell>
          <cell r="E107" t="str">
            <v>US Core Businesses</v>
          </cell>
          <cell r="F107" t="str">
            <v>IXC Charges - Voice</v>
          </cell>
          <cell r="G107" t="str">
            <v>0</v>
          </cell>
          <cell r="H107" t="str">
            <v>0</v>
          </cell>
          <cell r="I107" t="str">
            <v>0</v>
          </cell>
          <cell r="J107" t="str">
            <v>0</v>
          </cell>
          <cell r="K107" t="str">
            <v>0</v>
          </cell>
          <cell r="L107" t="str">
            <v>0</v>
          </cell>
          <cell r="M107" t="str">
            <v>0</v>
          </cell>
          <cell r="N107" t="str">
            <v>0</v>
          </cell>
          <cell r="O107" t="str">
            <v>0</v>
          </cell>
          <cell r="P107" t="str">
            <v>0</v>
          </cell>
          <cell r="Q107" t="str">
            <v>0</v>
          </cell>
          <cell r="R107" t="str">
            <v>0</v>
          </cell>
        </row>
        <row r="108">
          <cell r="C108" t="str">
            <v>Total Locations</v>
          </cell>
          <cell r="D108" t="str">
            <v>7712</v>
          </cell>
          <cell r="E108" t="str">
            <v>US Core Businesses</v>
          </cell>
          <cell r="F108" t="str">
            <v>Office Supplies - Allocated</v>
          </cell>
          <cell r="G108">
            <v>590.92999999999995</v>
          </cell>
          <cell r="H108">
            <v>292.02</v>
          </cell>
          <cell r="I108">
            <v>1247.06</v>
          </cell>
          <cell r="J108">
            <v>586.11</v>
          </cell>
          <cell r="K108">
            <v>204.47</v>
          </cell>
          <cell r="L108">
            <v>269.14999999999998</v>
          </cell>
          <cell r="M108">
            <v>352.65</v>
          </cell>
          <cell r="N108" t="str">
            <v>0</v>
          </cell>
          <cell r="O108" t="str">
            <v>0</v>
          </cell>
          <cell r="P108" t="str">
            <v>0</v>
          </cell>
          <cell r="Q108" t="str">
            <v>0</v>
          </cell>
          <cell r="R108" t="str">
            <v>0</v>
          </cell>
        </row>
        <row r="109">
          <cell r="C109" t="str">
            <v>Total Locations</v>
          </cell>
          <cell r="D109" t="str">
            <v>7712</v>
          </cell>
          <cell r="E109" t="str">
            <v>US Core Businesses</v>
          </cell>
          <cell r="F109" t="str">
            <v>Office Supplies - Direct</v>
          </cell>
          <cell r="G109">
            <v>32.659999999999997</v>
          </cell>
          <cell r="H109">
            <v>45.69</v>
          </cell>
          <cell r="I109">
            <v>14.53</v>
          </cell>
          <cell r="J109" t="str">
            <v>0</v>
          </cell>
          <cell r="K109">
            <v>20.37</v>
          </cell>
          <cell r="L109">
            <v>12.77</v>
          </cell>
          <cell r="M109">
            <v>161.31</v>
          </cell>
          <cell r="N109" t="str">
            <v>0</v>
          </cell>
          <cell r="O109" t="str">
            <v>0</v>
          </cell>
          <cell r="P109" t="str">
            <v>0</v>
          </cell>
          <cell r="Q109" t="str">
            <v>0</v>
          </cell>
          <cell r="R109" t="str">
            <v>0</v>
          </cell>
        </row>
        <row r="110">
          <cell r="C110" t="str">
            <v>Total Locations</v>
          </cell>
          <cell r="D110" t="str">
            <v>7712</v>
          </cell>
          <cell r="E110" t="str">
            <v>US Core Businesses</v>
          </cell>
          <cell r="F110" t="str">
            <v>Warehouse Supplies</v>
          </cell>
          <cell r="G110" t="str">
            <v>0</v>
          </cell>
          <cell r="H110" t="str">
            <v>0</v>
          </cell>
          <cell r="I110" t="str">
            <v>0</v>
          </cell>
          <cell r="J110" t="str">
            <v>0</v>
          </cell>
          <cell r="K110" t="str">
            <v>0</v>
          </cell>
          <cell r="L110" t="str">
            <v>0</v>
          </cell>
          <cell r="M110" t="str">
            <v>0</v>
          </cell>
          <cell r="N110" t="str">
            <v>0</v>
          </cell>
          <cell r="O110" t="str">
            <v>0</v>
          </cell>
          <cell r="P110" t="str">
            <v>0</v>
          </cell>
          <cell r="Q110" t="str">
            <v>0</v>
          </cell>
          <cell r="R110" t="str">
            <v>0</v>
          </cell>
        </row>
        <row r="111">
          <cell r="C111" t="str">
            <v>Total Locations</v>
          </cell>
          <cell r="D111" t="str">
            <v>7712</v>
          </cell>
          <cell r="E111" t="str">
            <v>US Core Businesses</v>
          </cell>
          <cell r="F111" t="str">
            <v>Safety Supplies</v>
          </cell>
          <cell r="G111" t="str">
            <v>0</v>
          </cell>
          <cell r="H111" t="str">
            <v>0</v>
          </cell>
          <cell r="I111" t="str">
            <v>0</v>
          </cell>
          <cell r="J111" t="str">
            <v>0</v>
          </cell>
          <cell r="K111" t="str">
            <v>0</v>
          </cell>
          <cell r="L111" t="str">
            <v>0</v>
          </cell>
          <cell r="M111" t="str">
            <v>0</v>
          </cell>
          <cell r="N111" t="str">
            <v>0</v>
          </cell>
          <cell r="O111" t="str">
            <v>0</v>
          </cell>
          <cell r="P111" t="str">
            <v>0</v>
          </cell>
          <cell r="Q111" t="str">
            <v>0</v>
          </cell>
          <cell r="R111" t="str">
            <v>0</v>
          </cell>
        </row>
        <row r="112">
          <cell r="C112" t="str">
            <v>Total Locations</v>
          </cell>
          <cell r="D112" t="str">
            <v>7712</v>
          </cell>
          <cell r="E112" t="str">
            <v>US Core Businesses</v>
          </cell>
          <cell r="F112" t="str">
            <v>Postage - US Postmaster</v>
          </cell>
          <cell r="G112">
            <v>675.11</v>
          </cell>
          <cell r="H112">
            <v>30.75</v>
          </cell>
          <cell r="I112">
            <v>283.83</v>
          </cell>
          <cell r="J112">
            <v>-0.25</v>
          </cell>
          <cell r="K112">
            <v>380.95</v>
          </cell>
          <cell r="L112">
            <v>286.54000000000002</v>
          </cell>
          <cell r="M112" t="str">
            <v>0</v>
          </cell>
          <cell r="N112" t="str">
            <v>0</v>
          </cell>
          <cell r="O112" t="str">
            <v>0</v>
          </cell>
          <cell r="P112" t="str">
            <v>0</v>
          </cell>
          <cell r="Q112" t="str">
            <v>0</v>
          </cell>
          <cell r="R112" t="str">
            <v>0</v>
          </cell>
        </row>
        <row r="113">
          <cell r="C113" t="str">
            <v>Total Locations</v>
          </cell>
          <cell r="D113" t="str">
            <v>7712</v>
          </cell>
          <cell r="E113" t="str">
            <v>US Core Businesses</v>
          </cell>
          <cell r="F113" t="str">
            <v>Fed-Ex Charges</v>
          </cell>
          <cell r="G113" t="str">
            <v>0</v>
          </cell>
          <cell r="H113" t="str">
            <v>0</v>
          </cell>
          <cell r="I113" t="str">
            <v>0</v>
          </cell>
          <cell r="J113" t="str">
            <v>0</v>
          </cell>
          <cell r="K113" t="str">
            <v>0</v>
          </cell>
          <cell r="L113" t="str">
            <v>0</v>
          </cell>
          <cell r="M113" t="str">
            <v>0</v>
          </cell>
          <cell r="N113" t="str">
            <v>0</v>
          </cell>
          <cell r="O113" t="str">
            <v>0</v>
          </cell>
          <cell r="P113" t="str">
            <v>0</v>
          </cell>
          <cell r="Q113" t="str">
            <v>0</v>
          </cell>
          <cell r="R113" t="str">
            <v>0</v>
          </cell>
        </row>
        <row r="114">
          <cell r="C114" t="str">
            <v>Total Locations</v>
          </cell>
          <cell r="D114" t="str">
            <v>7712</v>
          </cell>
          <cell r="E114" t="str">
            <v>US Core Businesses</v>
          </cell>
          <cell r="F114" t="str">
            <v>UPS Charges</v>
          </cell>
          <cell r="G114" t="str">
            <v>0</v>
          </cell>
          <cell r="H114" t="str">
            <v>0</v>
          </cell>
          <cell r="I114" t="str">
            <v>0</v>
          </cell>
          <cell r="J114">
            <v>470.26</v>
          </cell>
          <cell r="K114" t="str">
            <v>0</v>
          </cell>
          <cell r="L114" t="str">
            <v>0</v>
          </cell>
          <cell r="M114" t="str">
            <v>0</v>
          </cell>
          <cell r="N114" t="str">
            <v>0</v>
          </cell>
          <cell r="O114" t="str">
            <v>0</v>
          </cell>
          <cell r="P114" t="str">
            <v>0</v>
          </cell>
          <cell r="Q114" t="str">
            <v>0</v>
          </cell>
          <cell r="R114" t="str">
            <v>0</v>
          </cell>
        </row>
        <row r="115">
          <cell r="C115" t="str">
            <v>Total Locations</v>
          </cell>
          <cell r="D115" t="str">
            <v>7712</v>
          </cell>
          <cell r="E115" t="str">
            <v>US Core Businesses</v>
          </cell>
          <cell r="F115" t="str">
            <v>Courier Charges</v>
          </cell>
          <cell r="G115">
            <v>16.03</v>
          </cell>
          <cell r="H115">
            <v>31.52</v>
          </cell>
          <cell r="I115">
            <v>53.54</v>
          </cell>
          <cell r="J115">
            <v>31.48</v>
          </cell>
          <cell r="K115">
            <v>31.81</v>
          </cell>
          <cell r="L115" t="str">
            <v>0</v>
          </cell>
          <cell r="M115">
            <v>38.18</v>
          </cell>
          <cell r="N115" t="str">
            <v>0</v>
          </cell>
          <cell r="O115" t="str">
            <v>0</v>
          </cell>
          <cell r="P115" t="str">
            <v>0</v>
          </cell>
          <cell r="Q115" t="str">
            <v>0</v>
          </cell>
          <cell r="R115" t="str">
            <v>0</v>
          </cell>
        </row>
        <row r="116">
          <cell r="C116" t="str">
            <v>Total Locations</v>
          </cell>
          <cell r="D116" t="str">
            <v>7712</v>
          </cell>
          <cell r="E116" t="str">
            <v>US Core Businesses</v>
          </cell>
          <cell r="F116" t="str">
            <v>Freight Non-Inventory</v>
          </cell>
          <cell r="G116">
            <v>117.82</v>
          </cell>
          <cell r="H116">
            <v>98.04</v>
          </cell>
          <cell r="I116">
            <v>123.33</v>
          </cell>
          <cell r="J116">
            <v>109.68</v>
          </cell>
          <cell r="K116">
            <v>109.7</v>
          </cell>
          <cell r="L116">
            <v>71.69</v>
          </cell>
          <cell r="M116">
            <v>80.75</v>
          </cell>
          <cell r="N116" t="str">
            <v>0</v>
          </cell>
          <cell r="O116" t="str">
            <v>0</v>
          </cell>
          <cell r="P116" t="str">
            <v>0</v>
          </cell>
          <cell r="Q116" t="str">
            <v>0</v>
          </cell>
          <cell r="R116" t="str">
            <v>0</v>
          </cell>
        </row>
        <row r="117">
          <cell r="C117" t="str">
            <v>Total Locations</v>
          </cell>
          <cell r="D117" t="str">
            <v>7712</v>
          </cell>
          <cell r="E117" t="str">
            <v>US Core Businesses</v>
          </cell>
          <cell r="F117" t="str">
            <v>Taxes &amp; Licenses</v>
          </cell>
          <cell r="G117" t="str">
            <v>0</v>
          </cell>
          <cell r="H117" t="str">
            <v>0</v>
          </cell>
          <cell r="I117" t="str">
            <v>0</v>
          </cell>
          <cell r="J117" t="str">
            <v>0</v>
          </cell>
          <cell r="K117" t="str">
            <v>0</v>
          </cell>
          <cell r="L117" t="str">
            <v>0</v>
          </cell>
          <cell r="M117" t="str">
            <v>0</v>
          </cell>
          <cell r="N117" t="str">
            <v>0</v>
          </cell>
          <cell r="O117" t="str">
            <v>0</v>
          </cell>
          <cell r="P117" t="str">
            <v>0</v>
          </cell>
          <cell r="Q117" t="str">
            <v>0</v>
          </cell>
          <cell r="R117" t="str">
            <v>0</v>
          </cell>
        </row>
        <row r="118">
          <cell r="C118" t="str">
            <v>Total Locations</v>
          </cell>
          <cell r="D118" t="str">
            <v>7712</v>
          </cell>
          <cell r="E118" t="str">
            <v>US Core Businesses</v>
          </cell>
          <cell r="F118" t="str">
            <v>Commercial Insurance Expense</v>
          </cell>
          <cell r="G118">
            <v>1756.72</v>
          </cell>
          <cell r="H118">
            <v>2322.79</v>
          </cell>
          <cell r="I118">
            <v>935.83</v>
          </cell>
          <cell r="J118">
            <v>1126.0899999999999</v>
          </cell>
          <cell r="K118">
            <v>1528.18</v>
          </cell>
          <cell r="L118">
            <v>816.66</v>
          </cell>
          <cell r="M118">
            <v>461.3</v>
          </cell>
          <cell r="N118" t="str">
            <v>0</v>
          </cell>
          <cell r="O118" t="str">
            <v>0</v>
          </cell>
          <cell r="P118" t="str">
            <v>0</v>
          </cell>
          <cell r="Q118" t="str">
            <v>0</v>
          </cell>
          <cell r="R118" t="str">
            <v>0</v>
          </cell>
        </row>
        <row r="119">
          <cell r="C119" t="str">
            <v>Total Locations</v>
          </cell>
          <cell r="D119" t="str">
            <v>7712</v>
          </cell>
          <cell r="E119" t="str">
            <v>US Core Businesses</v>
          </cell>
          <cell r="F119" t="str">
            <v>D&amp;O Insurance Expense</v>
          </cell>
          <cell r="G119" t="str">
            <v>0</v>
          </cell>
          <cell r="H119" t="str">
            <v>0</v>
          </cell>
          <cell r="I119" t="str">
            <v>0</v>
          </cell>
          <cell r="J119" t="str">
            <v>0</v>
          </cell>
          <cell r="K119" t="str">
            <v>0</v>
          </cell>
          <cell r="L119" t="str">
            <v>0</v>
          </cell>
          <cell r="M119" t="str">
            <v>0</v>
          </cell>
          <cell r="N119" t="str">
            <v>0</v>
          </cell>
          <cell r="O119" t="str">
            <v>0</v>
          </cell>
          <cell r="P119" t="str">
            <v>0</v>
          </cell>
          <cell r="Q119" t="str">
            <v>0</v>
          </cell>
          <cell r="R119" t="str">
            <v>0</v>
          </cell>
        </row>
        <row r="120">
          <cell r="C120" t="str">
            <v>Total Locations</v>
          </cell>
          <cell r="D120" t="str">
            <v>7712</v>
          </cell>
          <cell r="E120" t="str">
            <v>US Core Businesses</v>
          </cell>
          <cell r="F120" t="str">
            <v>Bank and Other Charges</v>
          </cell>
          <cell r="G120" t="str">
            <v>0</v>
          </cell>
          <cell r="H120" t="str">
            <v>0</v>
          </cell>
          <cell r="I120" t="str">
            <v>0</v>
          </cell>
          <cell r="J120" t="str">
            <v>0</v>
          </cell>
          <cell r="K120" t="str">
            <v>0</v>
          </cell>
          <cell r="L120" t="str">
            <v>0</v>
          </cell>
          <cell r="M120" t="str">
            <v>0</v>
          </cell>
          <cell r="N120" t="str">
            <v>0</v>
          </cell>
          <cell r="O120" t="str">
            <v>0</v>
          </cell>
          <cell r="P120" t="str">
            <v>0</v>
          </cell>
          <cell r="Q120" t="str">
            <v>0</v>
          </cell>
          <cell r="R120" t="str">
            <v>0</v>
          </cell>
        </row>
        <row r="121">
          <cell r="C121" t="str">
            <v>Total Locations</v>
          </cell>
          <cell r="D121" t="str">
            <v>7712</v>
          </cell>
          <cell r="E121" t="str">
            <v>US Core Businesses</v>
          </cell>
          <cell r="F121" t="str">
            <v>Bad Debt Expenses</v>
          </cell>
          <cell r="G121" t="str">
            <v>0</v>
          </cell>
          <cell r="H121" t="str">
            <v>0</v>
          </cell>
          <cell r="I121" t="str">
            <v>0</v>
          </cell>
          <cell r="J121" t="str">
            <v>0</v>
          </cell>
          <cell r="K121" t="str">
            <v>0</v>
          </cell>
          <cell r="L121" t="str">
            <v>0</v>
          </cell>
          <cell r="M121" t="str">
            <v>0</v>
          </cell>
          <cell r="N121" t="str">
            <v>0</v>
          </cell>
          <cell r="O121" t="str">
            <v>0</v>
          </cell>
          <cell r="P121" t="str">
            <v>0</v>
          </cell>
          <cell r="Q121" t="str">
            <v>0</v>
          </cell>
          <cell r="R121" t="str">
            <v>0</v>
          </cell>
        </row>
        <row r="122">
          <cell r="C122" t="str">
            <v>Total Locations</v>
          </cell>
          <cell r="D122" t="str">
            <v>7712</v>
          </cell>
          <cell r="E122" t="str">
            <v>US Core Businesses</v>
          </cell>
          <cell r="F122" t="str">
            <v>Lodging</v>
          </cell>
          <cell r="G122">
            <v>1299.51</v>
          </cell>
          <cell r="H122" t="str">
            <v>0</v>
          </cell>
          <cell r="I122" t="str">
            <v>0</v>
          </cell>
          <cell r="J122" t="str">
            <v>0</v>
          </cell>
          <cell r="K122" t="str">
            <v>0</v>
          </cell>
          <cell r="L122">
            <v>2105.36</v>
          </cell>
          <cell r="M122" t="str">
            <v>0</v>
          </cell>
          <cell r="N122" t="str">
            <v>0</v>
          </cell>
          <cell r="O122" t="str">
            <v>0</v>
          </cell>
          <cell r="P122" t="str">
            <v>0</v>
          </cell>
          <cell r="Q122" t="str">
            <v>0</v>
          </cell>
          <cell r="R122" t="str">
            <v>0</v>
          </cell>
        </row>
        <row r="123">
          <cell r="C123" t="str">
            <v>Total Locations</v>
          </cell>
          <cell r="D123" t="str">
            <v>7712</v>
          </cell>
          <cell r="E123" t="str">
            <v>US Core Businesses</v>
          </cell>
          <cell r="F123" t="str">
            <v>Airfare</v>
          </cell>
          <cell r="G123">
            <v>328.1</v>
          </cell>
          <cell r="H123" t="str">
            <v>0</v>
          </cell>
          <cell r="I123" t="str">
            <v>0</v>
          </cell>
          <cell r="J123">
            <v>158</v>
          </cell>
          <cell r="K123">
            <v>536.5</v>
          </cell>
          <cell r="L123">
            <v>291</v>
          </cell>
          <cell r="M123" t="str">
            <v>0</v>
          </cell>
          <cell r="N123" t="str">
            <v>0</v>
          </cell>
          <cell r="O123" t="str">
            <v>0</v>
          </cell>
          <cell r="P123" t="str">
            <v>0</v>
          </cell>
          <cell r="Q123" t="str">
            <v>0</v>
          </cell>
          <cell r="R123" t="str">
            <v>0</v>
          </cell>
        </row>
        <row r="124">
          <cell r="C124" t="str">
            <v>Total Locations</v>
          </cell>
          <cell r="D124" t="str">
            <v>7712</v>
          </cell>
          <cell r="E124" t="str">
            <v>US Core Businesses</v>
          </cell>
          <cell r="F124" t="str">
            <v>Car Rental</v>
          </cell>
          <cell r="G124" t="str">
            <v>0</v>
          </cell>
          <cell r="H124">
            <v>231.08</v>
          </cell>
          <cell r="I124" t="str">
            <v>0</v>
          </cell>
          <cell r="J124" t="str">
            <v>0</v>
          </cell>
          <cell r="K124" t="str">
            <v>0</v>
          </cell>
          <cell r="L124">
            <v>306.29000000000002</v>
          </cell>
          <cell r="M124">
            <v>387.42</v>
          </cell>
          <cell r="N124" t="str">
            <v>0</v>
          </cell>
          <cell r="O124" t="str">
            <v>0</v>
          </cell>
          <cell r="P124" t="str">
            <v>0</v>
          </cell>
          <cell r="Q124" t="str">
            <v>0</v>
          </cell>
          <cell r="R124" t="str">
            <v>0</v>
          </cell>
        </row>
        <row r="125">
          <cell r="C125" t="str">
            <v>Total Locations</v>
          </cell>
          <cell r="D125" t="str">
            <v>7712</v>
          </cell>
          <cell r="E125" t="str">
            <v>US Core Businesses</v>
          </cell>
          <cell r="F125" t="str">
            <v>Transportation Expense</v>
          </cell>
          <cell r="G125">
            <v>705</v>
          </cell>
          <cell r="H125">
            <v>705</v>
          </cell>
          <cell r="I125">
            <v>866</v>
          </cell>
          <cell r="J125">
            <v>950</v>
          </cell>
          <cell r="K125">
            <v>240</v>
          </cell>
          <cell r="L125">
            <v>1040</v>
          </cell>
          <cell r="M125">
            <v>305</v>
          </cell>
          <cell r="N125" t="str">
            <v>0</v>
          </cell>
          <cell r="O125" t="str">
            <v>0</v>
          </cell>
          <cell r="P125" t="str">
            <v>0</v>
          </cell>
          <cell r="Q125" t="str">
            <v>0</v>
          </cell>
          <cell r="R125" t="str">
            <v>0</v>
          </cell>
        </row>
        <row r="126">
          <cell r="C126" t="str">
            <v>Total Locations</v>
          </cell>
          <cell r="D126" t="str">
            <v>7712</v>
          </cell>
          <cell r="E126" t="str">
            <v>US Core Businesses</v>
          </cell>
          <cell r="F126" t="str">
            <v>Mileage</v>
          </cell>
          <cell r="G126" t="str">
            <v>0</v>
          </cell>
          <cell r="H126" t="str">
            <v>0</v>
          </cell>
          <cell r="I126" t="str">
            <v>0</v>
          </cell>
          <cell r="J126" t="str">
            <v>0</v>
          </cell>
          <cell r="K126" t="str">
            <v>0</v>
          </cell>
          <cell r="L126" t="str">
            <v>0</v>
          </cell>
          <cell r="M126" t="str">
            <v>0</v>
          </cell>
          <cell r="N126" t="str">
            <v>0</v>
          </cell>
          <cell r="O126" t="str">
            <v>0</v>
          </cell>
          <cell r="P126" t="str">
            <v>0</v>
          </cell>
          <cell r="Q126" t="str">
            <v>0</v>
          </cell>
          <cell r="R126" t="str">
            <v>0</v>
          </cell>
        </row>
        <row r="127">
          <cell r="C127" t="str">
            <v>Total Locations</v>
          </cell>
          <cell r="D127" t="str">
            <v>7712</v>
          </cell>
          <cell r="E127" t="str">
            <v>US Core Businesses</v>
          </cell>
          <cell r="F127" t="str">
            <v>Meals &amp; Entertainment</v>
          </cell>
          <cell r="G127">
            <v>359.97</v>
          </cell>
          <cell r="H127" t="str">
            <v>0</v>
          </cell>
          <cell r="I127" t="str">
            <v>0</v>
          </cell>
          <cell r="J127">
            <v>58</v>
          </cell>
          <cell r="K127">
            <v>24.25</v>
          </cell>
          <cell r="L127">
            <v>95</v>
          </cell>
          <cell r="M127" t="str">
            <v>0</v>
          </cell>
          <cell r="N127" t="str">
            <v>0</v>
          </cell>
          <cell r="O127" t="str">
            <v>0</v>
          </cell>
          <cell r="P127" t="str">
            <v>0</v>
          </cell>
          <cell r="Q127" t="str">
            <v>0</v>
          </cell>
          <cell r="R127" t="str">
            <v>0</v>
          </cell>
        </row>
        <row r="128">
          <cell r="C128" t="str">
            <v>Total Locations</v>
          </cell>
          <cell r="D128" t="str">
            <v>7712</v>
          </cell>
          <cell r="E128" t="str">
            <v>US Core Businesses</v>
          </cell>
          <cell r="F128" t="str">
            <v>Travel Expenses 0%</v>
          </cell>
          <cell r="G128" t="str">
            <v>0</v>
          </cell>
          <cell r="H128" t="str">
            <v>0</v>
          </cell>
          <cell r="I128" t="str">
            <v>0</v>
          </cell>
          <cell r="J128" t="str">
            <v>0</v>
          </cell>
          <cell r="K128" t="str">
            <v>0</v>
          </cell>
          <cell r="L128" t="str">
            <v>0</v>
          </cell>
          <cell r="M128" t="str">
            <v>0</v>
          </cell>
          <cell r="N128" t="str">
            <v>0</v>
          </cell>
          <cell r="O128" t="str">
            <v>0</v>
          </cell>
          <cell r="P128" t="str">
            <v>0</v>
          </cell>
          <cell r="Q128" t="str">
            <v>0</v>
          </cell>
          <cell r="R128" t="str">
            <v>0</v>
          </cell>
        </row>
        <row r="129">
          <cell r="C129" t="str">
            <v>Total Locations</v>
          </cell>
          <cell r="D129" t="str">
            <v>7712</v>
          </cell>
          <cell r="E129" t="str">
            <v>US Core Businesses</v>
          </cell>
          <cell r="F129" t="str">
            <v>Travel Expenses 7%</v>
          </cell>
          <cell r="G129" t="str">
            <v>0</v>
          </cell>
          <cell r="H129" t="str">
            <v>0</v>
          </cell>
          <cell r="I129" t="str">
            <v>0</v>
          </cell>
          <cell r="J129" t="str">
            <v>0</v>
          </cell>
          <cell r="K129" t="str">
            <v>0</v>
          </cell>
          <cell r="L129" t="str">
            <v>0</v>
          </cell>
          <cell r="M129" t="str">
            <v>0</v>
          </cell>
          <cell r="N129" t="str">
            <v>0</v>
          </cell>
          <cell r="O129" t="str">
            <v>0</v>
          </cell>
          <cell r="P129" t="str">
            <v>0</v>
          </cell>
          <cell r="Q129" t="str">
            <v>0</v>
          </cell>
          <cell r="R129" t="str">
            <v>0</v>
          </cell>
        </row>
        <row r="130">
          <cell r="C130" t="str">
            <v>Total Locations</v>
          </cell>
          <cell r="D130" t="str">
            <v>7712</v>
          </cell>
          <cell r="E130" t="str">
            <v>US Core Businesses</v>
          </cell>
          <cell r="F130" t="str">
            <v>Travel Expenses 15 - 16%</v>
          </cell>
          <cell r="G130" t="str">
            <v>0</v>
          </cell>
          <cell r="H130" t="str">
            <v>0</v>
          </cell>
          <cell r="I130" t="str">
            <v>0</v>
          </cell>
          <cell r="J130" t="str">
            <v>0</v>
          </cell>
          <cell r="K130" t="str">
            <v>0</v>
          </cell>
          <cell r="L130" t="str">
            <v>0</v>
          </cell>
          <cell r="M130" t="str">
            <v>0</v>
          </cell>
          <cell r="N130" t="str">
            <v>0</v>
          </cell>
          <cell r="O130" t="str">
            <v>0</v>
          </cell>
          <cell r="P130" t="str">
            <v>0</v>
          </cell>
          <cell r="Q130" t="str">
            <v>0</v>
          </cell>
          <cell r="R130" t="str">
            <v>0</v>
          </cell>
        </row>
        <row r="131">
          <cell r="C131" t="str">
            <v>Total Locations</v>
          </cell>
          <cell r="D131" t="str">
            <v>7712</v>
          </cell>
          <cell r="E131" t="str">
            <v>US Core Businesses</v>
          </cell>
          <cell r="F131" t="str">
            <v>Travel Expenses 12.3%/13.1%</v>
          </cell>
          <cell r="G131" t="str">
            <v>0</v>
          </cell>
          <cell r="H131" t="str">
            <v>0</v>
          </cell>
          <cell r="I131" t="str">
            <v>0</v>
          </cell>
          <cell r="J131" t="str">
            <v>0</v>
          </cell>
          <cell r="K131" t="str">
            <v>0</v>
          </cell>
          <cell r="L131" t="str">
            <v>0</v>
          </cell>
          <cell r="M131" t="str">
            <v>0</v>
          </cell>
          <cell r="N131" t="str">
            <v>0</v>
          </cell>
          <cell r="O131" t="str">
            <v>0</v>
          </cell>
          <cell r="P131" t="str">
            <v>0</v>
          </cell>
          <cell r="Q131" t="str">
            <v>0</v>
          </cell>
          <cell r="R131" t="str">
            <v>0</v>
          </cell>
        </row>
        <row r="132">
          <cell r="C132" t="str">
            <v>Total Locations</v>
          </cell>
          <cell r="D132" t="str">
            <v>7712</v>
          </cell>
          <cell r="E132" t="str">
            <v>US Core Businesses</v>
          </cell>
          <cell r="F132" t="str">
            <v>International Away Team - Foreign Use Only</v>
          </cell>
          <cell r="G132" t="str">
            <v>0</v>
          </cell>
          <cell r="H132" t="str">
            <v>0</v>
          </cell>
          <cell r="I132" t="str">
            <v>0</v>
          </cell>
          <cell r="J132" t="str">
            <v>0</v>
          </cell>
          <cell r="K132" t="str">
            <v>0</v>
          </cell>
          <cell r="L132" t="str">
            <v>0</v>
          </cell>
          <cell r="M132" t="str">
            <v>0</v>
          </cell>
          <cell r="N132" t="str">
            <v>0</v>
          </cell>
          <cell r="O132" t="str">
            <v>0</v>
          </cell>
          <cell r="P132" t="str">
            <v>0</v>
          </cell>
          <cell r="Q132" t="str">
            <v>0</v>
          </cell>
          <cell r="R132" t="str">
            <v>0</v>
          </cell>
        </row>
        <row r="133">
          <cell r="C133" t="str">
            <v>Total Locations</v>
          </cell>
          <cell r="D133" t="str">
            <v>7712</v>
          </cell>
          <cell r="E133" t="str">
            <v>US Core Businesses</v>
          </cell>
          <cell r="F133" t="str">
            <v>International Away Team - US Use Only</v>
          </cell>
          <cell r="G133" t="str">
            <v>0</v>
          </cell>
          <cell r="H133" t="str">
            <v>0</v>
          </cell>
          <cell r="I133" t="str">
            <v>0</v>
          </cell>
          <cell r="J133" t="str">
            <v>0</v>
          </cell>
          <cell r="K133" t="str">
            <v>0</v>
          </cell>
          <cell r="L133" t="str">
            <v>0</v>
          </cell>
          <cell r="M133" t="str">
            <v>0</v>
          </cell>
          <cell r="N133" t="str">
            <v>0</v>
          </cell>
          <cell r="O133" t="str">
            <v>0</v>
          </cell>
          <cell r="P133" t="str">
            <v>0</v>
          </cell>
          <cell r="Q133" t="str">
            <v>0</v>
          </cell>
          <cell r="R133" t="str">
            <v>0</v>
          </cell>
        </row>
        <row r="134">
          <cell r="C134" t="str">
            <v>Total Locations</v>
          </cell>
          <cell r="D134" t="str">
            <v>7712</v>
          </cell>
          <cell r="E134" t="str">
            <v>US Core Businesses</v>
          </cell>
          <cell r="F134" t="str">
            <v>Other Travel Expenses</v>
          </cell>
          <cell r="G134" t="str">
            <v>0</v>
          </cell>
          <cell r="H134">
            <v>100</v>
          </cell>
          <cell r="I134" t="str">
            <v>0</v>
          </cell>
          <cell r="J134" t="str">
            <v>0</v>
          </cell>
          <cell r="K134" t="str">
            <v>0</v>
          </cell>
          <cell r="L134">
            <v>369</v>
          </cell>
          <cell r="M134">
            <v>500</v>
          </cell>
          <cell r="N134" t="str">
            <v>0</v>
          </cell>
          <cell r="O134" t="str">
            <v>0</v>
          </cell>
          <cell r="P134" t="str">
            <v>0</v>
          </cell>
          <cell r="Q134" t="str">
            <v>0</v>
          </cell>
          <cell r="R134" t="str">
            <v>0</v>
          </cell>
        </row>
        <row r="135">
          <cell r="C135" t="str">
            <v>Total Locations</v>
          </cell>
          <cell r="D135" t="str">
            <v>7712</v>
          </cell>
          <cell r="E135" t="str">
            <v>US Core Businesses</v>
          </cell>
          <cell r="F135" t="str">
            <v>Legal Fees</v>
          </cell>
          <cell r="G135" t="str">
            <v>0</v>
          </cell>
          <cell r="H135">
            <v>2100</v>
          </cell>
          <cell r="I135" t="str">
            <v>0</v>
          </cell>
          <cell r="J135" t="str">
            <v>0</v>
          </cell>
          <cell r="K135" t="str">
            <v>0</v>
          </cell>
          <cell r="L135">
            <v>2850</v>
          </cell>
          <cell r="M135" t="str">
            <v>0</v>
          </cell>
          <cell r="N135" t="str">
            <v>0</v>
          </cell>
          <cell r="O135" t="str">
            <v>0</v>
          </cell>
          <cell r="P135" t="str">
            <v>0</v>
          </cell>
          <cell r="Q135" t="str">
            <v>0</v>
          </cell>
          <cell r="R135" t="str">
            <v>0</v>
          </cell>
        </row>
        <row r="136">
          <cell r="C136" t="str">
            <v>Total Locations</v>
          </cell>
          <cell r="D136" t="str">
            <v>7712</v>
          </cell>
          <cell r="E136" t="str">
            <v>US Core Businesses</v>
          </cell>
          <cell r="F136" t="str">
            <v>Public Company Charges</v>
          </cell>
          <cell r="G136" t="str">
            <v>0</v>
          </cell>
          <cell r="H136" t="str">
            <v>0</v>
          </cell>
          <cell r="I136" t="str">
            <v>0</v>
          </cell>
          <cell r="J136" t="str">
            <v>0</v>
          </cell>
          <cell r="K136" t="str">
            <v>0</v>
          </cell>
          <cell r="L136" t="str">
            <v>0</v>
          </cell>
          <cell r="M136" t="str">
            <v>0</v>
          </cell>
          <cell r="N136" t="str">
            <v>0</v>
          </cell>
          <cell r="O136" t="str">
            <v>0</v>
          </cell>
          <cell r="P136" t="str">
            <v>0</v>
          </cell>
          <cell r="Q136" t="str">
            <v>0</v>
          </cell>
          <cell r="R136" t="str">
            <v>0</v>
          </cell>
        </row>
        <row r="137">
          <cell r="C137" t="str">
            <v>Total Locations</v>
          </cell>
          <cell r="D137" t="str">
            <v>7712</v>
          </cell>
          <cell r="E137" t="str">
            <v>US Core Businesses</v>
          </cell>
          <cell r="F137" t="str">
            <v>Professional Consulting</v>
          </cell>
          <cell r="G137" t="str">
            <v>0</v>
          </cell>
          <cell r="H137" t="str">
            <v>0</v>
          </cell>
          <cell r="I137" t="str">
            <v>0</v>
          </cell>
          <cell r="J137" t="str">
            <v>0</v>
          </cell>
          <cell r="K137" t="str">
            <v>0</v>
          </cell>
          <cell r="L137" t="str">
            <v>0</v>
          </cell>
          <cell r="M137" t="str">
            <v>0</v>
          </cell>
          <cell r="N137" t="str">
            <v>0</v>
          </cell>
          <cell r="O137" t="str">
            <v>0</v>
          </cell>
          <cell r="P137" t="str">
            <v>0</v>
          </cell>
          <cell r="Q137" t="str">
            <v>0</v>
          </cell>
          <cell r="R137" t="str">
            <v>0</v>
          </cell>
        </row>
        <row r="138">
          <cell r="C138" t="str">
            <v>Total Locations</v>
          </cell>
          <cell r="D138" t="str">
            <v>7712</v>
          </cell>
          <cell r="E138" t="str">
            <v>US Core Businesses</v>
          </cell>
          <cell r="F138" t="str">
            <v>Outside Services</v>
          </cell>
          <cell r="G138" t="str">
            <v>0</v>
          </cell>
          <cell r="H138" t="str">
            <v>0</v>
          </cell>
          <cell r="I138" t="str">
            <v>0</v>
          </cell>
          <cell r="J138" t="str">
            <v>0</v>
          </cell>
          <cell r="K138" t="str">
            <v>0</v>
          </cell>
          <cell r="L138" t="str">
            <v>0</v>
          </cell>
          <cell r="M138" t="str">
            <v>0</v>
          </cell>
          <cell r="N138" t="str">
            <v>0</v>
          </cell>
          <cell r="O138" t="str">
            <v>0</v>
          </cell>
          <cell r="P138" t="str">
            <v>0</v>
          </cell>
          <cell r="Q138" t="str">
            <v>0</v>
          </cell>
          <cell r="R138" t="str">
            <v>0</v>
          </cell>
        </row>
        <row r="139">
          <cell r="C139" t="str">
            <v>Total Locations</v>
          </cell>
          <cell r="D139" t="str">
            <v>7712</v>
          </cell>
          <cell r="E139" t="str">
            <v>US Core Businesses</v>
          </cell>
          <cell r="F139" t="str">
            <v>Accounting Fees</v>
          </cell>
          <cell r="G139" t="str">
            <v>0</v>
          </cell>
          <cell r="H139" t="str">
            <v>0</v>
          </cell>
          <cell r="I139" t="str">
            <v>0</v>
          </cell>
          <cell r="J139" t="str">
            <v>0</v>
          </cell>
          <cell r="K139" t="str">
            <v>0</v>
          </cell>
          <cell r="L139" t="str">
            <v>0</v>
          </cell>
          <cell r="M139" t="str">
            <v>0</v>
          </cell>
          <cell r="N139" t="str">
            <v>0</v>
          </cell>
          <cell r="O139" t="str">
            <v>0</v>
          </cell>
          <cell r="P139" t="str">
            <v>0</v>
          </cell>
          <cell r="Q139" t="str">
            <v>0</v>
          </cell>
          <cell r="R139" t="str">
            <v>0</v>
          </cell>
        </row>
        <row r="140">
          <cell r="C140" t="str">
            <v>Total Locations</v>
          </cell>
          <cell r="D140" t="str">
            <v>7712</v>
          </cell>
          <cell r="E140" t="str">
            <v>US Core Businesses</v>
          </cell>
          <cell r="F140" t="str">
            <v>HR - Fees</v>
          </cell>
          <cell r="G140" t="str">
            <v>0</v>
          </cell>
          <cell r="H140" t="str">
            <v>0</v>
          </cell>
          <cell r="I140" t="str">
            <v>0</v>
          </cell>
          <cell r="J140" t="str">
            <v>0</v>
          </cell>
          <cell r="K140" t="str">
            <v>0</v>
          </cell>
          <cell r="L140" t="str">
            <v>0</v>
          </cell>
          <cell r="M140" t="str">
            <v>0</v>
          </cell>
          <cell r="N140" t="str">
            <v>0</v>
          </cell>
          <cell r="O140" t="str">
            <v>0</v>
          </cell>
          <cell r="P140" t="str">
            <v>0</v>
          </cell>
          <cell r="Q140" t="str">
            <v>0</v>
          </cell>
          <cell r="R140" t="str">
            <v>0</v>
          </cell>
        </row>
        <row r="141">
          <cell r="C141" t="str">
            <v>Total Locations</v>
          </cell>
          <cell r="D141" t="str">
            <v>7712</v>
          </cell>
          <cell r="E141" t="str">
            <v>US Core Businesses</v>
          </cell>
          <cell r="F141" t="str">
            <v>Special Projects</v>
          </cell>
          <cell r="G141" t="str">
            <v>0</v>
          </cell>
          <cell r="H141" t="str">
            <v>0</v>
          </cell>
          <cell r="I141" t="str">
            <v>0</v>
          </cell>
          <cell r="J141" t="str">
            <v>0</v>
          </cell>
          <cell r="K141" t="str">
            <v>0</v>
          </cell>
          <cell r="L141" t="str">
            <v>0</v>
          </cell>
          <cell r="M141" t="str">
            <v>0</v>
          </cell>
          <cell r="N141" t="str">
            <v>0</v>
          </cell>
          <cell r="O141" t="str">
            <v>0</v>
          </cell>
          <cell r="P141" t="str">
            <v>0</v>
          </cell>
          <cell r="Q141" t="str">
            <v>0</v>
          </cell>
          <cell r="R141" t="str">
            <v>0</v>
          </cell>
        </row>
        <row r="142">
          <cell r="C142" t="str">
            <v>Total Locations</v>
          </cell>
          <cell r="D142" t="str">
            <v>7712</v>
          </cell>
          <cell r="E142" t="str">
            <v>US Core Businesses</v>
          </cell>
          <cell r="F142" t="str">
            <v>Other Administrative Expenses</v>
          </cell>
          <cell r="G142" t="str">
            <v>0</v>
          </cell>
          <cell r="H142" t="str">
            <v>0</v>
          </cell>
          <cell r="I142" t="str">
            <v>0</v>
          </cell>
          <cell r="J142" t="str">
            <v>0</v>
          </cell>
          <cell r="K142" t="str">
            <v>0</v>
          </cell>
          <cell r="L142" t="str">
            <v>0</v>
          </cell>
          <cell r="M142" t="str">
            <v>0</v>
          </cell>
          <cell r="N142" t="str">
            <v>0</v>
          </cell>
          <cell r="O142" t="str">
            <v>0</v>
          </cell>
          <cell r="P142" t="str">
            <v>0</v>
          </cell>
          <cell r="Q142" t="str">
            <v>0</v>
          </cell>
          <cell r="R142" t="str">
            <v>0</v>
          </cell>
        </row>
        <row r="143">
          <cell r="C143" t="str">
            <v>Total Locations</v>
          </cell>
          <cell r="D143" t="str">
            <v>7712</v>
          </cell>
          <cell r="E143" t="str">
            <v>US Core Businesses</v>
          </cell>
          <cell r="F143" t="str">
            <v>Contra Administrative Expenses</v>
          </cell>
          <cell r="G143" t="str">
            <v>0</v>
          </cell>
          <cell r="H143" t="str">
            <v>0</v>
          </cell>
          <cell r="I143" t="str">
            <v>0</v>
          </cell>
          <cell r="J143" t="str">
            <v>0</v>
          </cell>
          <cell r="K143" t="str">
            <v>0</v>
          </cell>
          <cell r="L143" t="str">
            <v>0</v>
          </cell>
          <cell r="M143" t="str">
            <v>0</v>
          </cell>
          <cell r="N143" t="str">
            <v>0</v>
          </cell>
          <cell r="O143" t="str">
            <v>0</v>
          </cell>
          <cell r="P143" t="str">
            <v>0</v>
          </cell>
          <cell r="Q143" t="str">
            <v>0</v>
          </cell>
          <cell r="R143" t="str">
            <v>0</v>
          </cell>
        </row>
        <row r="144">
          <cell r="C144" t="str">
            <v>Total Locations</v>
          </cell>
          <cell r="D144" t="str">
            <v>Database Services</v>
          </cell>
          <cell r="E144" t="str">
            <v>US Core Businesses</v>
          </cell>
          <cell r="F144" t="str">
            <v>Administrative Expenses</v>
          </cell>
          <cell r="G144">
            <v>489263.28</v>
          </cell>
          <cell r="H144">
            <v>425696.43</v>
          </cell>
          <cell r="I144">
            <v>479441.43</v>
          </cell>
          <cell r="J144">
            <v>493196.2</v>
          </cell>
          <cell r="K144">
            <v>364651.94</v>
          </cell>
          <cell r="L144">
            <v>351487.07</v>
          </cell>
          <cell r="M144">
            <v>240857.54</v>
          </cell>
          <cell r="N144" t="str">
            <v>0</v>
          </cell>
          <cell r="O144" t="str">
            <v>0</v>
          </cell>
          <cell r="P144" t="str">
            <v>0</v>
          </cell>
          <cell r="Q144" t="str">
            <v>0</v>
          </cell>
          <cell r="R144" t="str">
            <v>0</v>
          </cell>
        </row>
        <row r="146">
          <cell r="C146" t="str">
            <v>Total Locations</v>
          </cell>
          <cell r="D146" t="str">
            <v>All Cost Centers</v>
          </cell>
          <cell r="E146" t="str">
            <v>Total US</v>
          </cell>
          <cell r="F146" t="str">
            <v>Units Shipped</v>
          </cell>
          <cell r="G146" t="str">
            <v>0</v>
          </cell>
          <cell r="H146" t="str">
            <v>0</v>
          </cell>
          <cell r="I146" t="str">
            <v>0</v>
          </cell>
          <cell r="J146" t="str">
            <v>0</v>
          </cell>
          <cell r="K146" t="str">
            <v>0</v>
          </cell>
          <cell r="L146" t="str">
            <v>0</v>
          </cell>
          <cell r="M146" t="str">
            <v>0</v>
          </cell>
          <cell r="N146" t="str">
            <v>0</v>
          </cell>
          <cell r="O146" t="str">
            <v>0</v>
          </cell>
          <cell r="P146" t="str">
            <v>0</v>
          </cell>
          <cell r="Q146" t="str">
            <v>0</v>
          </cell>
          <cell r="R146" t="str">
            <v>0</v>
          </cell>
        </row>
        <row r="147">
          <cell r="D147" t="str">
            <v>7712</v>
          </cell>
          <cell r="E147" t="str">
            <v>US Core Businesses</v>
          </cell>
        </row>
      </sheetData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dmin"/>
      <sheetName val="Other Fixed"/>
      <sheetName val="Other Fixed Emg"/>
      <sheetName val="Other Variables"/>
      <sheetName val="Other Variables Emg"/>
      <sheetName val="CN"/>
      <sheetName val="Assumptions"/>
      <sheetName val="Summary"/>
      <sheetName val="OP per RMB"/>
      <sheetName val="Sheet1"/>
      <sheetName val="Input"/>
      <sheetName val="TTL"/>
      <sheetName val="CE"/>
      <sheetName val="OHL"/>
      <sheetName val="Cons"/>
      <sheetName val="GL--&gt;"/>
      <sheetName val="Books"/>
      <sheetName val="Wireless"/>
      <sheetName val="Camera"/>
      <sheetName val="MI"/>
      <sheetName val="ME"/>
      <sheetName val="Office"/>
      <sheetName val="Kitchen"/>
      <sheetName val="Sports"/>
      <sheetName val="HI"/>
      <sheetName val="Toy"/>
      <sheetName val="Home"/>
      <sheetName val="Auto"/>
      <sheetName val="Baby"/>
      <sheetName val="Wine"/>
      <sheetName val="Grocery"/>
      <sheetName val="HPC"/>
      <sheetName val="ATS 2017 OP2_01.0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3">
          <cell r="E3">
            <v>275000</v>
          </cell>
        </row>
      </sheetData>
      <sheetData sheetId="11">
        <row r="7">
          <cell r="AQ7">
            <v>2726574.5200000005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finition"/>
      <sheetName val="Home page-old"/>
      <sheetName val="Home page-New June"/>
      <sheetName val="Hero placement"/>
      <sheetName val="Pages"/>
    </sheetNames>
    <sheetDataSet>
      <sheetData sheetId="0">
        <row r="3">
          <cell r="B3" t="str">
            <v>Purpose</v>
          </cell>
          <cell r="C3" t="str">
            <v>Category</v>
          </cell>
        </row>
        <row r="4">
          <cell r="B4" t="str">
            <v>Branding</v>
          </cell>
          <cell r="C4" t="str">
            <v>Seller Story</v>
          </cell>
        </row>
        <row r="5">
          <cell r="B5">
            <v>0</v>
          </cell>
          <cell r="C5" t="str">
            <v>News</v>
          </cell>
        </row>
        <row r="6">
          <cell r="B6">
            <v>0</v>
          </cell>
          <cell r="C6" t="str">
            <v>Editorial</v>
          </cell>
        </row>
        <row r="7">
          <cell r="B7">
            <v>0</v>
          </cell>
          <cell r="C7" t="str">
            <v>Others</v>
          </cell>
        </row>
        <row r="8">
          <cell r="B8" t="str">
            <v>Seller_Success</v>
          </cell>
          <cell r="C8" t="str">
            <v>Feature/Program Education</v>
          </cell>
        </row>
        <row r="9">
          <cell r="B9">
            <v>0</v>
          </cell>
          <cell r="C9" t="str">
            <v>Policy</v>
          </cell>
        </row>
        <row r="10">
          <cell r="B10">
            <v>0</v>
          </cell>
          <cell r="C10" t="str">
            <v>Selection Guidance</v>
          </cell>
        </row>
        <row r="11">
          <cell r="B11">
            <v>0</v>
          </cell>
          <cell r="C11" t="str">
            <v>Selling Tips</v>
          </cell>
        </row>
        <row r="12">
          <cell r="B12">
            <v>0</v>
          </cell>
          <cell r="C12" t="str">
            <v>VoS</v>
          </cell>
        </row>
        <row r="13">
          <cell r="B13" t="str">
            <v>Event</v>
          </cell>
          <cell r="C13" t="str">
            <v>MKT Event</v>
          </cell>
        </row>
        <row r="14">
          <cell r="B14">
            <v>0</v>
          </cell>
          <cell r="C14" t="str">
            <v>RD/SOD/Other Event</v>
          </cell>
        </row>
        <row r="15">
          <cell r="B15">
            <v>0</v>
          </cell>
          <cell r="C15" t="str">
            <v>Live Broadcast</v>
          </cell>
        </row>
        <row r="16">
          <cell r="B16" t="str">
            <v>Leads_Gen</v>
          </cell>
          <cell r="C16" t="str">
            <v>New Seller Recruitment</v>
          </cell>
        </row>
        <row r="17">
          <cell r="B17">
            <v>0</v>
          </cell>
          <cell r="C17" t="str">
            <v>Feature/Program Adoption</v>
          </cell>
        </row>
        <row r="18">
          <cell r="B18">
            <v>0</v>
          </cell>
          <cell r="C18" t="str">
            <v>Existing Seller Cross-launch</v>
          </cell>
        </row>
        <row r="19">
          <cell r="B19" t="str">
            <v>Others</v>
          </cell>
          <cell r="C19" t="str">
            <v>Others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C ID"/>
      <sheetName val="Sep Fcst"/>
      <sheetName val="New April Fcst"/>
      <sheetName val="Headcount"/>
      <sheetName val="foxz"/>
      <sheetName val="Act5050"/>
      <sheetName val="Maintenence"/>
      <sheetName val="Input data"/>
      <sheetName val="2002 Exp"/>
      <sheetName val="Performance Graphs"/>
      <sheetName val="Reconciliation Total"/>
      <sheetName val="Marketing Summary"/>
      <sheetName val="Index"/>
      <sheetName val="GM Essbase"/>
      <sheetName val="Revenue Essbase"/>
      <sheetName val="GM Dec"/>
      <sheetName val="Trend DE"/>
      <sheetName val="Parameters"/>
      <sheetName val="Macro Registry"/>
      <sheetName val="2002EmpExpEss"/>
      <sheetName val=""/>
      <sheetName val="DATA"/>
      <sheetName val="ItemNo.List"/>
      <sheetName val="Sheet2"/>
      <sheetName val="CC_ID1"/>
      <sheetName val="Sep_Fcst1"/>
      <sheetName val="New_April_Fcst1"/>
      <sheetName val="Input_data1"/>
      <sheetName val="2002_Exp1"/>
      <sheetName val="Reconciliation_Total1"/>
      <sheetName val="Marketing_Summary1"/>
      <sheetName val="Trend_DE1"/>
      <sheetName val="GM_Essbase1"/>
      <sheetName val="Revenue_Essbase1"/>
      <sheetName val="GM_Dec1"/>
      <sheetName val="Performance_Graphs1"/>
      <sheetName val="Macro_Registry1"/>
      <sheetName val="CC_ID"/>
      <sheetName val="Sep_Fcst"/>
      <sheetName val="New_April_Fcst"/>
      <sheetName val="Input_data"/>
      <sheetName val="2002_Exp"/>
      <sheetName val="Reconciliation_Total"/>
      <sheetName val="Marketing_Summary"/>
      <sheetName val="Trend_DE"/>
      <sheetName val="GM_Essbase"/>
      <sheetName val="Revenue_Essbase"/>
      <sheetName val="GM_Dec"/>
      <sheetName val="Performance_Graphs"/>
      <sheetName val="Macro_Registry"/>
      <sheetName val="CC_ID2"/>
      <sheetName val="Sep_Fcst2"/>
      <sheetName val="New_April_Fcst2"/>
      <sheetName val="Input_data2"/>
      <sheetName val="2002_Exp2"/>
      <sheetName val="Reconciliation_Total2"/>
      <sheetName val="Marketing_Summary2"/>
      <sheetName val="Trend_DE2"/>
      <sheetName val="GM_Essbase2"/>
      <sheetName val="Revenue_Essbase2"/>
      <sheetName val="GM_Dec2"/>
      <sheetName val="Performance_Graphs2"/>
      <sheetName val="Macro_Registry2"/>
      <sheetName val="CC_ID3"/>
      <sheetName val="Sep_Fcst3"/>
      <sheetName val="New_April_Fcst3"/>
      <sheetName val="Input_data3"/>
      <sheetName val="2002_Exp3"/>
      <sheetName val="Reconciliation_Total3"/>
      <sheetName val="Marketing_Summary3"/>
      <sheetName val="Trend_DE3"/>
      <sheetName val="GM_Essbase3"/>
      <sheetName val="Revenue_Essbase3"/>
      <sheetName val="GM_Dec3"/>
      <sheetName val="Performance_Graphs3"/>
      <sheetName val="Macro_Registry3"/>
      <sheetName val="CC_ID4"/>
      <sheetName val="Sep_Fcst4"/>
      <sheetName val="New_April_Fcst4"/>
      <sheetName val="Input_data4"/>
      <sheetName val="2002_Exp4"/>
      <sheetName val="Reconciliation_Total4"/>
      <sheetName val="Marketing_Summary4"/>
      <sheetName val="Trend_DE4"/>
      <sheetName val="GM_Essbase4"/>
      <sheetName val="Revenue_Essbase4"/>
      <sheetName val="GM_Dec4"/>
      <sheetName val="Performance_Graphs4"/>
      <sheetName val="Macro_Registry4"/>
      <sheetName val="Control"/>
      <sheetName val="Lookup"/>
      <sheetName val="ATS_Managed"/>
      <sheetName val="Non_ATS_Managed"/>
      <sheetName val="Toy Daily output"/>
      <sheetName val="Ref"/>
      <sheetName val="AMZN Order Blend"/>
      <sheetName val="BOOKS Revenue"/>
      <sheetName val="AMZN Sessions"/>
      <sheetName val="%_Benchmark"/>
      <sheetName val="VOL_&amp;_HOURS"/>
      <sheetName val="%_PLAN"/>
      <sheetName val="Variable_Costs"/>
      <sheetName val="Table"/>
      <sheetName val="Iva Acred Pag´02´08"/>
      <sheetName val="TC"/>
      <sheetName val="BASE DE DONNEES"/>
      <sheetName val="Summary"/>
      <sheetName val="DOCKET"/>
    </sheetNames>
    <sheetDataSet>
      <sheetData sheetId="0" refreshError="1">
        <row r="1">
          <cell r="B1" t="str">
            <v>Website Software</v>
          </cell>
        </row>
        <row r="2">
          <cell r="B2" t="str">
            <v>7100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>
        <row r="1">
          <cell r="B1" t="str">
            <v>Website Software</v>
          </cell>
        </row>
      </sheetData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 refreshError="1"/>
      <sheetData sheetId="107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ller distribution"/>
      <sheetName val="NS Launches_Alltime"/>
      <sheetName val="3P GMS YTD MS"/>
      <sheetName val="CC ID"/>
      <sheetName val="2002 Exp"/>
      <sheetName val="S-1 CF-EXT"/>
      <sheetName val="Input"/>
      <sheetName val="IS_Consolidating"/>
    </sheetNames>
    <sheetDataSet>
      <sheetData sheetId="0">
        <row r="5">
          <cell r="C5" t="str">
            <v>$5M+</v>
          </cell>
        </row>
      </sheetData>
      <sheetData sheetId="1" refreshError="1"/>
      <sheetData sheetId="2">
        <row r="2">
          <cell r="E2">
            <v>14835829.9</v>
          </cell>
          <cell r="Z2" t="str">
            <v>Legacy</v>
          </cell>
          <cell r="AA2" t="str">
            <v>$5M+</v>
          </cell>
          <cell r="AB2" t="str">
            <v>2010 or before</v>
          </cell>
        </row>
        <row r="3">
          <cell r="E3">
            <v>7248186.54</v>
          </cell>
          <cell r="Z3" t="str">
            <v>Legacy</v>
          </cell>
          <cell r="AA3" t="str">
            <v>$5M+</v>
          </cell>
          <cell r="AB3" t="str">
            <v>2010 or before</v>
          </cell>
        </row>
        <row r="4">
          <cell r="E4">
            <v>6816905.0800000001</v>
          </cell>
          <cell r="Z4" t="str">
            <v>Legacy</v>
          </cell>
          <cell r="AA4" t="str">
            <v>$5M+</v>
          </cell>
          <cell r="AB4" t="str">
            <v>2010 or before</v>
          </cell>
        </row>
        <row r="5">
          <cell r="E5">
            <v>6684904.4400000004</v>
          </cell>
          <cell r="Z5" t="str">
            <v>Legacy</v>
          </cell>
          <cell r="AA5" t="str">
            <v>$5M+</v>
          </cell>
          <cell r="AB5" t="str">
            <v>2010 or before</v>
          </cell>
        </row>
        <row r="6">
          <cell r="E6">
            <v>6561963.9800000004</v>
          </cell>
          <cell r="Z6" t="str">
            <v>Legacy</v>
          </cell>
          <cell r="AA6" t="str">
            <v>$5M+</v>
          </cell>
          <cell r="AB6" t="str">
            <v>2010 or before</v>
          </cell>
        </row>
        <row r="7">
          <cell r="E7">
            <v>6237447.5899999999</v>
          </cell>
          <cell r="Z7" t="str">
            <v>Strategic</v>
          </cell>
          <cell r="AA7" t="str">
            <v>$5M+</v>
          </cell>
          <cell r="AB7">
            <v>2011</v>
          </cell>
        </row>
        <row r="8">
          <cell r="E8">
            <v>6171351.6699999999</v>
          </cell>
          <cell r="Z8" t="str">
            <v>Legacy</v>
          </cell>
          <cell r="AA8" t="str">
            <v>$5M+</v>
          </cell>
          <cell r="AB8" t="str">
            <v>2010 or before</v>
          </cell>
        </row>
        <row r="9">
          <cell r="E9">
            <v>6057910.5999999996</v>
          </cell>
          <cell r="Z9" t="str">
            <v>Legacy</v>
          </cell>
          <cell r="AA9" t="str">
            <v>$5M+</v>
          </cell>
          <cell r="AB9" t="str">
            <v>2010 or before</v>
          </cell>
        </row>
        <row r="10">
          <cell r="E10">
            <v>5982393.4100000001</v>
          </cell>
          <cell r="Z10" t="str">
            <v>Legacy</v>
          </cell>
          <cell r="AA10" t="str">
            <v>$5M+</v>
          </cell>
          <cell r="AB10" t="str">
            <v>2010 or before</v>
          </cell>
        </row>
        <row r="11">
          <cell r="E11">
            <v>5980883.3300000001</v>
          </cell>
          <cell r="Z11" t="str">
            <v>Legacy</v>
          </cell>
          <cell r="AA11" t="str">
            <v>$5M+</v>
          </cell>
          <cell r="AB11" t="str">
            <v>2010 or before</v>
          </cell>
        </row>
        <row r="12">
          <cell r="E12">
            <v>5937976.1500000004</v>
          </cell>
          <cell r="Z12" t="str">
            <v>Legacy</v>
          </cell>
          <cell r="AA12" t="str">
            <v>$5M+</v>
          </cell>
          <cell r="AB12" t="str">
            <v>2010 or before</v>
          </cell>
        </row>
        <row r="13">
          <cell r="E13">
            <v>5744435.7199999997</v>
          </cell>
          <cell r="Z13" t="str">
            <v>Strategic</v>
          </cell>
          <cell r="AA13" t="str">
            <v>$5M+</v>
          </cell>
          <cell r="AB13">
            <v>2011</v>
          </cell>
        </row>
        <row r="14">
          <cell r="E14">
            <v>5484061.0700000003</v>
          </cell>
          <cell r="Z14" t="str">
            <v>Legacy</v>
          </cell>
          <cell r="AA14" t="str">
            <v>$5M+</v>
          </cell>
          <cell r="AB14" t="str">
            <v>2010 or before</v>
          </cell>
        </row>
        <row r="15">
          <cell r="E15">
            <v>5280917.82</v>
          </cell>
          <cell r="Z15" t="str">
            <v>Legacy</v>
          </cell>
          <cell r="AA15" t="str">
            <v>$5M+</v>
          </cell>
          <cell r="AB15" t="str">
            <v>2010 or before</v>
          </cell>
        </row>
        <row r="16">
          <cell r="E16">
            <v>5222066.84</v>
          </cell>
          <cell r="Z16" t="str">
            <v>Legacy</v>
          </cell>
          <cell r="AA16" t="str">
            <v>$5M+</v>
          </cell>
          <cell r="AB16" t="str">
            <v>2010 or before</v>
          </cell>
        </row>
        <row r="17">
          <cell r="E17">
            <v>4668448.46</v>
          </cell>
          <cell r="Z17" t="str">
            <v>Legacy</v>
          </cell>
          <cell r="AA17" t="str">
            <v>$1M-$5M</v>
          </cell>
          <cell r="AB17" t="str">
            <v>2010 or before</v>
          </cell>
        </row>
        <row r="18">
          <cell r="E18">
            <v>4589032.9800000004</v>
          </cell>
          <cell r="Z18" t="str">
            <v>Legacy</v>
          </cell>
          <cell r="AA18" t="str">
            <v>$1M-$5M</v>
          </cell>
          <cell r="AB18" t="str">
            <v>2010 or before</v>
          </cell>
        </row>
        <row r="19">
          <cell r="E19">
            <v>4494113.7</v>
          </cell>
          <cell r="Z19" t="str">
            <v>Legacy</v>
          </cell>
          <cell r="AA19" t="str">
            <v>$1M-$5M</v>
          </cell>
          <cell r="AB19" t="str">
            <v>2010 or before</v>
          </cell>
        </row>
        <row r="20">
          <cell r="E20">
            <v>4471215</v>
          </cell>
          <cell r="Z20" t="str">
            <v>Legacy</v>
          </cell>
          <cell r="AA20" t="str">
            <v>$1M-$5M</v>
          </cell>
          <cell r="AB20" t="str">
            <v>2010 or before</v>
          </cell>
        </row>
        <row r="21">
          <cell r="E21">
            <v>4293424.6399999997</v>
          </cell>
          <cell r="Z21" t="str">
            <v>Ungating</v>
          </cell>
          <cell r="AA21" t="str">
            <v>$1M-$5M</v>
          </cell>
          <cell r="AB21">
            <v>2011</v>
          </cell>
        </row>
        <row r="22">
          <cell r="E22">
            <v>4248191.3899999997</v>
          </cell>
          <cell r="Z22" t="str">
            <v>Strategic</v>
          </cell>
          <cell r="AA22" t="str">
            <v>$1M-$5M</v>
          </cell>
          <cell r="AB22">
            <v>2011</v>
          </cell>
        </row>
        <row r="23">
          <cell r="E23">
            <v>4209830.7300000004</v>
          </cell>
          <cell r="Z23" t="str">
            <v>Legacy</v>
          </cell>
          <cell r="AA23" t="str">
            <v>$1M-$5M</v>
          </cell>
          <cell r="AB23" t="str">
            <v>2010 or before</v>
          </cell>
        </row>
        <row r="24">
          <cell r="E24">
            <v>4173299.47</v>
          </cell>
          <cell r="Z24" t="str">
            <v>Legacy</v>
          </cell>
          <cell r="AA24" t="str">
            <v>$1M-$5M</v>
          </cell>
          <cell r="AB24" t="str">
            <v>2010 or before</v>
          </cell>
        </row>
        <row r="25">
          <cell r="E25">
            <v>3927042.45</v>
          </cell>
          <cell r="Z25" t="str">
            <v>Legacy</v>
          </cell>
          <cell r="AA25" t="str">
            <v>$1M-$5M</v>
          </cell>
          <cell r="AB25" t="str">
            <v>2010 or before</v>
          </cell>
        </row>
        <row r="26">
          <cell r="E26">
            <v>3893254.78</v>
          </cell>
          <cell r="Z26" t="str">
            <v>Legacy</v>
          </cell>
          <cell r="AA26" t="str">
            <v>$1M-$5M</v>
          </cell>
          <cell r="AB26" t="str">
            <v>2010 or before</v>
          </cell>
        </row>
        <row r="27">
          <cell r="E27">
            <v>3865701</v>
          </cell>
          <cell r="Z27" t="str">
            <v>Strategic</v>
          </cell>
          <cell r="AA27" t="str">
            <v>$1M-$5M</v>
          </cell>
          <cell r="AB27">
            <v>2011</v>
          </cell>
        </row>
        <row r="28">
          <cell r="E28">
            <v>3838598.65</v>
          </cell>
          <cell r="Z28" t="str">
            <v>Legacy</v>
          </cell>
          <cell r="AA28" t="str">
            <v>$1M-$5M</v>
          </cell>
          <cell r="AB28" t="str">
            <v>2010 or before</v>
          </cell>
        </row>
        <row r="29">
          <cell r="E29">
            <v>3735097.21</v>
          </cell>
          <cell r="Z29" t="str">
            <v>Legacy</v>
          </cell>
          <cell r="AA29" t="str">
            <v>$1M-$5M</v>
          </cell>
          <cell r="AB29" t="str">
            <v>2010 or before</v>
          </cell>
        </row>
        <row r="30">
          <cell r="E30">
            <v>3536340.9</v>
          </cell>
          <cell r="Z30" t="str">
            <v>Legacy</v>
          </cell>
          <cell r="AA30" t="str">
            <v>$1M-$5M</v>
          </cell>
          <cell r="AB30" t="str">
            <v>2010 or before</v>
          </cell>
        </row>
        <row r="31">
          <cell r="E31">
            <v>3527979.03</v>
          </cell>
          <cell r="Z31" t="str">
            <v>Legacy</v>
          </cell>
          <cell r="AA31" t="str">
            <v>$1M-$5M</v>
          </cell>
          <cell r="AB31" t="str">
            <v>2010 or before</v>
          </cell>
        </row>
        <row r="32">
          <cell r="E32">
            <v>3494637.76</v>
          </cell>
          <cell r="Z32" t="str">
            <v>Legacy</v>
          </cell>
          <cell r="AA32" t="str">
            <v>$1M-$5M</v>
          </cell>
          <cell r="AB32" t="str">
            <v>2010 or before</v>
          </cell>
        </row>
        <row r="33">
          <cell r="E33">
            <v>3479796.32</v>
          </cell>
          <cell r="Z33" t="str">
            <v>Legacy</v>
          </cell>
          <cell r="AA33" t="str">
            <v>$1M-$5M</v>
          </cell>
          <cell r="AB33" t="str">
            <v>2010 or before</v>
          </cell>
        </row>
        <row r="34">
          <cell r="E34">
            <v>3405013.45</v>
          </cell>
          <cell r="Z34" t="str">
            <v>Legacy</v>
          </cell>
          <cell r="AA34" t="str">
            <v>$1M-$5M</v>
          </cell>
          <cell r="AB34" t="str">
            <v>2010 or before</v>
          </cell>
        </row>
        <row r="35">
          <cell r="E35">
            <v>3314153.75</v>
          </cell>
          <cell r="Z35" t="str">
            <v>Legacy</v>
          </cell>
          <cell r="AA35" t="str">
            <v>$1M-$5M</v>
          </cell>
          <cell r="AB35" t="str">
            <v>2010 or before</v>
          </cell>
        </row>
        <row r="36">
          <cell r="E36">
            <v>3280410.29</v>
          </cell>
          <cell r="Z36" t="str">
            <v>Legacy</v>
          </cell>
          <cell r="AA36" t="str">
            <v>$1M-$5M</v>
          </cell>
          <cell r="AB36" t="str">
            <v>2010 or before</v>
          </cell>
        </row>
        <row r="37">
          <cell r="E37">
            <v>3218437.44</v>
          </cell>
          <cell r="Z37" t="str">
            <v>Legacy</v>
          </cell>
          <cell r="AA37" t="str">
            <v>$1M-$5M</v>
          </cell>
          <cell r="AB37" t="str">
            <v>2010 or before</v>
          </cell>
        </row>
        <row r="38">
          <cell r="E38">
            <v>3153410.05</v>
          </cell>
          <cell r="Z38" t="str">
            <v>Legacy</v>
          </cell>
          <cell r="AA38" t="str">
            <v>$1M-$5M</v>
          </cell>
          <cell r="AB38" t="str">
            <v>2010 or before</v>
          </cell>
        </row>
        <row r="39">
          <cell r="E39">
            <v>3080728.35</v>
          </cell>
          <cell r="Z39" t="str">
            <v>Legacy</v>
          </cell>
          <cell r="AA39" t="str">
            <v>$1M-$5M</v>
          </cell>
          <cell r="AB39" t="str">
            <v>2010 or before</v>
          </cell>
        </row>
        <row r="40">
          <cell r="E40">
            <v>3059627.26</v>
          </cell>
          <cell r="Z40" t="str">
            <v>Strategic</v>
          </cell>
          <cell r="AA40" t="str">
            <v>$1M-$5M</v>
          </cell>
          <cell r="AB40">
            <v>2012</v>
          </cell>
        </row>
        <row r="41">
          <cell r="E41">
            <v>2991900.74</v>
          </cell>
          <cell r="Z41" t="str">
            <v>Legacy</v>
          </cell>
          <cell r="AA41" t="str">
            <v>$1M-$5M</v>
          </cell>
          <cell r="AB41" t="str">
            <v>2010 or before</v>
          </cell>
        </row>
        <row r="42">
          <cell r="E42">
            <v>2986674.5</v>
          </cell>
          <cell r="Z42" t="str">
            <v>Legacy</v>
          </cell>
          <cell r="AA42" t="str">
            <v>$1M-$5M</v>
          </cell>
          <cell r="AB42" t="str">
            <v>2010 or before</v>
          </cell>
        </row>
        <row r="43">
          <cell r="E43">
            <v>2918266.97</v>
          </cell>
          <cell r="Z43" t="str">
            <v>Legacy</v>
          </cell>
          <cell r="AA43" t="str">
            <v>$1M-$5M</v>
          </cell>
          <cell r="AB43" t="str">
            <v>2010 or before</v>
          </cell>
        </row>
        <row r="44">
          <cell r="E44">
            <v>2905482.51</v>
          </cell>
          <cell r="Z44" t="str">
            <v>Legacy</v>
          </cell>
          <cell r="AA44" t="str">
            <v>$1M-$5M</v>
          </cell>
          <cell r="AB44" t="str">
            <v>2010 or before</v>
          </cell>
        </row>
        <row r="45">
          <cell r="E45">
            <v>2900475.6</v>
          </cell>
          <cell r="Z45" t="str">
            <v>Legacy</v>
          </cell>
          <cell r="AA45" t="str">
            <v>$1M-$5M</v>
          </cell>
          <cell r="AB45" t="str">
            <v>2010 or before</v>
          </cell>
        </row>
        <row r="46">
          <cell r="E46">
            <v>2888823.64</v>
          </cell>
          <cell r="Z46" t="str">
            <v>Legacy</v>
          </cell>
          <cell r="AA46" t="str">
            <v>$1M-$5M</v>
          </cell>
          <cell r="AB46" t="str">
            <v>2010 or before</v>
          </cell>
        </row>
        <row r="47">
          <cell r="E47">
            <v>2830520.59</v>
          </cell>
          <cell r="Z47" t="str">
            <v>Legacy</v>
          </cell>
          <cell r="AA47" t="str">
            <v>$1M-$5M</v>
          </cell>
          <cell r="AB47" t="str">
            <v>2010 or before</v>
          </cell>
        </row>
        <row r="48">
          <cell r="E48">
            <v>2804888.68</v>
          </cell>
          <cell r="Z48" t="str">
            <v>Legacy</v>
          </cell>
          <cell r="AA48" t="str">
            <v>$1M-$5M</v>
          </cell>
          <cell r="AB48" t="str">
            <v>2010 or before</v>
          </cell>
        </row>
        <row r="49">
          <cell r="E49">
            <v>2778686.06</v>
          </cell>
          <cell r="Z49" t="str">
            <v>Legacy</v>
          </cell>
          <cell r="AA49" t="str">
            <v>$1M-$5M</v>
          </cell>
          <cell r="AB49" t="str">
            <v>2010 or before</v>
          </cell>
        </row>
        <row r="50">
          <cell r="E50">
            <v>2762755.11</v>
          </cell>
          <cell r="Z50" t="str">
            <v>Legacy</v>
          </cell>
          <cell r="AA50" t="str">
            <v>$1M-$5M</v>
          </cell>
          <cell r="AB50" t="str">
            <v>2010 or before</v>
          </cell>
        </row>
        <row r="51">
          <cell r="E51">
            <v>2726927.12</v>
          </cell>
          <cell r="Z51" t="str">
            <v>Legacy</v>
          </cell>
          <cell r="AA51" t="str">
            <v>$1M-$5M</v>
          </cell>
          <cell r="AB51" t="str">
            <v>2010 or before</v>
          </cell>
        </row>
        <row r="52">
          <cell r="E52">
            <v>2680359.27</v>
          </cell>
          <cell r="Z52" t="str">
            <v>Legacy</v>
          </cell>
          <cell r="AA52" t="str">
            <v>$1M-$5M</v>
          </cell>
          <cell r="AB52" t="str">
            <v>2010 or before</v>
          </cell>
        </row>
        <row r="53">
          <cell r="E53">
            <v>2679174.67</v>
          </cell>
          <cell r="Z53" t="str">
            <v>Legacy</v>
          </cell>
          <cell r="AA53" t="str">
            <v>$1M-$5M</v>
          </cell>
          <cell r="AB53" t="str">
            <v>2010 or before</v>
          </cell>
        </row>
        <row r="54">
          <cell r="E54">
            <v>2671758.63</v>
          </cell>
          <cell r="Z54" t="str">
            <v>Legacy</v>
          </cell>
          <cell r="AA54" t="str">
            <v>$1M-$5M</v>
          </cell>
          <cell r="AB54" t="str">
            <v>2010 or before</v>
          </cell>
        </row>
        <row r="55">
          <cell r="E55">
            <v>2550006.73</v>
          </cell>
          <cell r="Z55" t="str">
            <v>Legacy</v>
          </cell>
          <cell r="AA55" t="str">
            <v>$1M-$5M</v>
          </cell>
          <cell r="AB55" t="str">
            <v>2010 or before</v>
          </cell>
        </row>
        <row r="56">
          <cell r="E56">
            <v>2525908.39</v>
          </cell>
          <cell r="Z56" t="str">
            <v>Legacy</v>
          </cell>
          <cell r="AA56" t="str">
            <v>$1M-$5M</v>
          </cell>
          <cell r="AB56" t="str">
            <v>2010 or before</v>
          </cell>
        </row>
        <row r="57">
          <cell r="E57">
            <v>2504990.5099999998</v>
          </cell>
          <cell r="Z57" t="str">
            <v>Legacy</v>
          </cell>
          <cell r="AA57" t="str">
            <v>$1M-$5M</v>
          </cell>
          <cell r="AB57" t="str">
            <v>2010 or before</v>
          </cell>
        </row>
        <row r="58">
          <cell r="E58">
            <v>2498299.1</v>
          </cell>
          <cell r="Z58" t="str">
            <v>Legacy</v>
          </cell>
          <cell r="AA58" t="str">
            <v>$1M-$5M</v>
          </cell>
          <cell r="AB58" t="str">
            <v>2010 or before</v>
          </cell>
        </row>
        <row r="59">
          <cell r="E59">
            <v>2491447.92</v>
          </cell>
          <cell r="Z59" t="str">
            <v>Legacy</v>
          </cell>
          <cell r="AA59" t="str">
            <v>$1M-$5M</v>
          </cell>
          <cell r="AB59" t="str">
            <v>2010 or before</v>
          </cell>
        </row>
        <row r="60">
          <cell r="E60">
            <v>2465053.65</v>
          </cell>
          <cell r="Z60" t="str">
            <v>Legacy</v>
          </cell>
          <cell r="AA60" t="str">
            <v>$1M-$5M</v>
          </cell>
          <cell r="AB60" t="str">
            <v>2010 or before</v>
          </cell>
        </row>
        <row r="61">
          <cell r="E61">
            <v>2462842.1800000002</v>
          </cell>
          <cell r="Z61" t="str">
            <v>Legacy</v>
          </cell>
          <cell r="AA61" t="str">
            <v>$1M-$5M</v>
          </cell>
          <cell r="AB61" t="str">
            <v>2010 or before</v>
          </cell>
        </row>
        <row r="62">
          <cell r="E62">
            <v>2451042.2200000002</v>
          </cell>
          <cell r="Z62" t="str">
            <v>Legacy</v>
          </cell>
          <cell r="AA62" t="str">
            <v>$1M-$5M</v>
          </cell>
          <cell r="AB62" t="str">
            <v>2010 or before</v>
          </cell>
        </row>
        <row r="63">
          <cell r="E63">
            <v>2441031.41</v>
          </cell>
          <cell r="Z63" t="str">
            <v>Legacy</v>
          </cell>
          <cell r="AA63" t="str">
            <v>$1M-$5M</v>
          </cell>
          <cell r="AB63" t="str">
            <v>2010 or before</v>
          </cell>
        </row>
        <row r="64">
          <cell r="E64">
            <v>2336843.75</v>
          </cell>
          <cell r="Z64" t="str">
            <v>Legacy</v>
          </cell>
          <cell r="AA64" t="str">
            <v>$1M-$5M</v>
          </cell>
          <cell r="AB64" t="str">
            <v>2010 or before</v>
          </cell>
        </row>
        <row r="65">
          <cell r="E65">
            <v>2318015.7799999998</v>
          </cell>
          <cell r="Z65" t="str">
            <v>Legacy</v>
          </cell>
          <cell r="AA65" t="str">
            <v>$1M-$5M</v>
          </cell>
          <cell r="AB65" t="str">
            <v>2010 or before</v>
          </cell>
        </row>
        <row r="66">
          <cell r="E66">
            <v>2312414.33</v>
          </cell>
          <cell r="Z66" t="str">
            <v>Legacy</v>
          </cell>
          <cell r="AA66" t="str">
            <v>$1M-$5M</v>
          </cell>
          <cell r="AB66" t="str">
            <v>2010 or before</v>
          </cell>
        </row>
        <row r="67">
          <cell r="E67">
            <v>2311559.2599999998</v>
          </cell>
          <cell r="Z67" t="str">
            <v>Legacy</v>
          </cell>
          <cell r="AA67" t="str">
            <v>$1M-$5M</v>
          </cell>
          <cell r="AB67" t="str">
            <v>2010 or before</v>
          </cell>
        </row>
        <row r="68">
          <cell r="E68">
            <v>2286246.16</v>
          </cell>
          <cell r="Z68" t="str">
            <v>Legacy</v>
          </cell>
          <cell r="AA68" t="str">
            <v>$1M-$5M</v>
          </cell>
          <cell r="AB68" t="str">
            <v>2010 or before</v>
          </cell>
        </row>
        <row r="69">
          <cell r="E69">
            <v>2160543.39</v>
          </cell>
          <cell r="Z69" t="str">
            <v>Ungating</v>
          </cell>
          <cell r="AA69" t="str">
            <v>$1M-$5M</v>
          </cell>
          <cell r="AB69">
            <v>2011</v>
          </cell>
        </row>
        <row r="70">
          <cell r="E70">
            <v>2104145.36</v>
          </cell>
          <cell r="Z70" t="str">
            <v>Legacy</v>
          </cell>
          <cell r="AA70" t="str">
            <v>$1M-$5M</v>
          </cell>
          <cell r="AB70" t="str">
            <v>2010 or before</v>
          </cell>
        </row>
        <row r="71">
          <cell r="E71">
            <v>2050404.5</v>
          </cell>
          <cell r="Z71" t="str">
            <v>Legacy</v>
          </cell>
          <cell r="AA71" t="str">
            <v>$1M-$5M</v>
          </cell>
          <cell r="AB71" t="str">
            <v>2010 or before</v>
          </cell>
        </row>
        <row r="72">
          <cell r="E72">
            <v>2027007.55</v>
          </cell>
          <cell r="Z72" t="str">
            <v>Legacy</v>
          </cell>
          <cell r="AA72" t="str">
            <v>$1M-$5M</v>
          </cell>
          <cell r="AB72" t="str">
            <v>2010 or before</v>
          </cell>
        </row>
        <row r="73">
          <cell r="E73">
            <v>2020078.95</v>
          </cell>
          <cell r="Z73" t="str">
            <v>Legacy</v>
          </cell>
          <cell r="AA73" t="str">
            <v>$1M-$5M</v>
          </cell>
          <cell r="AB73" t="str">
            <v>2010 or before</v>
          </cell>
        </row>
        <row r="74">
          <cell r="E74">
            <v>2006080.54</v>
          </cell>
          <cell r="Z74" t="str">
            <v>Legacy</v>
          </cell>
          <cell r="AA74" t="str">
            <v>$1M-$5M</v>
          </cell>
          <cell r="AB74" t="str">
            <v>2010 or before</v>
          </cell>
        </row>
        <row r="75">
          <cell r="E75">
            <v>1970861.68</v>
          </cell>
          <cell r="Z75" t="str">
            <v>Legacy</v>
          </cell>
          <cell r="AA75" t="str">
            <v>$1M-$5M</v>
          </cell>
          <cell r="AB75" t="str">
            <v>2010 or before</v>
          </cell>
        </row>
        <row r="76">
          <cell r="E76">
            <v>1947016.68</v>
          </cell>
          <cell r="Z76" t="str">
            <v>Legacy</v>
          </cell>
          <cell r="AA76" t="str">
            <v>$1M-$5M</v>
          </cell>
          <cell r="AB76" t="str">
            <v>2010 or before</v>
          </cell>
        </row>
        <row r="77">
          <cell r="E77">
            <v>1932967.45</v>
          </cell>
          <cell r="Z77" t="str">
            <v>Legacy</v>
          </cell>
          <cell r="AA77" t="str">
            <v>$1M-$5M</v>
          </cell>
          <cell r="AB77" t="str">
            <v>2010 or before</v>
          </cell>
        </row>
        <row r="78">
          <cell r="E78">
            <v>1923731.17</v>
          </cell>
          <cell r="Z78" t="str">
            <v>Legacy</v>
          </cell>
          <cell r="AA78" t="str">
            <v>$1M-$5M</v>
          </cell>
          <cell r="AB78" t="str">
            <v>2010 or before</v>
          </cell>
        </row>
        <row r="79">
          <cell r="E79">
            <v>1923520.01</v>
          </cell>
          <cell r="Z79" t="str">
            <v>Legacy</v>
          </cell>
          <cell r="AA79" t="str">
            <v>$1M-$5M</v>
          </cell>
          <cell r="AB79" t="str">
            <v>2010 or before</v>
          </cell>
        </row>
        <row r="80">
          <cell r="E80">
            <v>1912832.39</v>
          </cell>
          <cell r="Z80" t="str">
            <v>Ungating</v>
          </cell>
          <cell r="AA80" t="str">
            <v>$1M-$5M</v>
          </cell>
          <cell r="AB80">
            <v>2011</v>
          </cell>
        </row>
        <row r="81">
          <cell r="E81">
            <v>1878777.67</v>
          </cell>
          <cell r="Z81" t="str">
            <v>Legacy</v>
          </cell>
          <cell r="AA81" t="str">
            <v>$1M-$5M</v>
          </cell>
          <cell r="AB81" t="str">
            <v>2010 or before</v>
          </cell>
        </row>
        <row r="82">
          <cell r="E82">
            <v>1850225.7</v>
          </cell>
          <cell r="Z82" t="str">
            <v>Legacy</v>
          </cell>
          <cell r="AA82" t="str">
            <v>$1M-$5M</v>
          </cell>
          <cell r="AB82" t="str">
            <v>2010 or before</v>
          </cell>
        </row>
        <row r="83">
          <cell r="E83">
            <v>1842887.41</v>
          </cell>
          <cell r="Z83" t="str">
            <v>Legacy</v>
          </cell>
          <cell r="AA83" t="str">
            <v>$1M-$5M</v>
          </cell>
          <cell r="AB83" t="str">
            <v>2010 or before</v>
          </cell>
        </row>
        <row r="84">
          <cell r="E84">
            <v>1835295.79</v>
          </cell>
          <cell r="Z84" t="str">
            <v>Legacy</v>
          </cell>
          <cell r="AA84" t="str">
            <v>$1M-$5M</v>
          </cell>
          <cell r="AB84" t="str">
            <v>2010 or before</v>
          </cell>
        </row>
        <row r="85">
          <cell r="E85">
            <v>1811889.04</v>
          </cell>
          <cell r="Z85" t="str">
            <v>Legacy</v>
          </cell>
          <cell r="AA85" t="str">
            <v>$1M-$5M</v>
          </cell>
          <cell r="AB85" t="str">
            <v>2010 or before</v>
          </cell>
        </row>
        <row r="86">
          <cell r="E86">
            <v>1807994.82</v>
          </cell>
          <cell r="Z86" t="str">
            <v>Legacy</v>
          </cell>
          <cell r="AA86" t="str">
            <v>$1M-$5M</v>
          </cell>
          <cell r="AB86" t="str">
            <v>2010 or before</v>
          </cell>
        </row>
        <row r="87">
          <cell r="E87">
            <v>1805288.21</v>
          </cell>
          <cell r="Z87" t="str">
            <v>Legacy</v>
          </cell>
          <cell r="AA87" t="str">
            <v>$1M-$5M</v>
          </cell>
          <cell r="AB87" t="str">
            <v>2010 or before</v>
          </cell>
        </row>
        <row r="88">
          <cell r="E88">
            <v>1799341.87</v>
          </cell>
          <cell r="Z88" t="str">
            <v>Legacy</v>
          </cell>
          <cell r="AA88" t="str">
            <v>$1M-$5M</v>
          </cell>
          <cell r="AB88" t="str">
            <v>2010 or before</v>
          </cell>
        </row>
        <row r="89">
          <cell r="E89">
            <v>1779257.49</v>
          </cell>
          <cell r="Z89" t="str">
            <v>Legacy</v>
          </cell>
          <cell r="AA89" t="str">
            <v>$1M-$5M</v>
          </cell>
          <cell r="AB89" t="str">
            <v>2010 or before</v>
          </cell>
        </row>
        <row r="90">
          <cell r="E90">
            <v>1733749.65</v>
          </cell>
          <cell r="Z90" t="str">
            <v>Legacy</v>
          </cell>
          <cell r="AA90" t="str">
            <v>$1M-$5M</v>
          </cell>
          <cell r="AB90" t="str">
            <v>2010 or before</v>
          </cell>
        </row>
        <row r="91">
          <cell r="E91">
            <v>1722943.63</v>
          </cell>
          <cell r="Z91" t="str">
            <v>Legacy</v>
          </cell>
          <cell r="AA91" t="str">
            <v>$1M-$5M</v>
          </cell>
          <cell r="AB91" t="str">
            <v>2010 or before</v>
          </cell>
        </row>
        <row r="92">
          <cell r="E92">
            <v>1719605.76</v>
          </cell>
          <cell r="Z92" t="str">
            <v>Legacy</v>
          </cell>
          <cell r="AA92" t="str">
            <v>$1M-$5M</v>
          </cell>
          <cell r="AB92" t="str">
            <v>2010 or before</v>
          </cell>
        </row>
        <row r="93">
          <cell r="E93">
            <v>1718881.95</v>
          </cell>
          <cell r="Z93" t="str">
            <v>Legacy</v>
          </cell>
          <cell r="AA93" t="str">
            <v>$1M-$5M</v>
          </cell>
          <cell r="AB93" t="str">
            <v>2010 or before</v>
          </cell>
        </row>
        <row r="94">
          <cell r="E94">
            <v>1697771.84</v>
          </cell>
          <cell r="Z94" t="str">
            <v>Legacy</v>
          </cell>
          <cell r="AA94" t="str">
            <v>$1M-$5M</v>
          </cell>
          <cell r="AB94" t="str">
            <v>2010 or before</v>
          </cell>
        </row>
        <row r="95">
          <cell r="E95">
            <v>1690034.8</v>
          </cell>
          <cell r="Z95" t="str">
            <v>Legacy</v>
          </cell>
          <cell r="AA95" t="str">
            <v>$1M-$5M</v>
          </cell>
          <cell r="AB95" t="str">
            <v>2010 or before</v>
          </cell>
        </row>
        <row r="96">
          <cell r="E96">
            <v>1679050.45</v>
          </cell>
          <cell r="Z96" t="str">
            <v>Legacy</v>
          </cell>
          <cell r="AA96" t="str">
            <v>$1M-$5M</v>
          </cell>
          <cell r="AB96" t="str">
            <v>2010 or before</v>
          </cell>
        </row>
        <row r="97">
          <cell r="E97">
            <v>1648826.41</v>
          </cell>
          <cell r="Z97" t="str">
            <v>Legacy</v>
          </cell>
          <cell r="AA97" t="str">
            <v>$1M-$5M</v>
          </cell>
          <cell r="AB97" t="str">
            <v>2010 or before</v>
          </cell>
        </row>
        <row r="98">
          <cell r="E98">
            <v>1639797.52</v>
          </cell>
          <cell r="Z98" t="str">
            <v>Legacy</v>
          </cell>
          <cell r="AA98" t="str">
            <v>$1M-$5M</v>
          </cell>
          <cell r="AB98" t="str">
            <v>2010 or before</v>
          </cell>
        </row>
        <row r="99">
          <cell r="E99">
            <v>1625301.3</v>
          </cell>
          <cell r="Z99" t="str">
            <v>Legacy</v>
          </cell>
          <cell r="AA99" t="str">
            <v>$1M-$5M</v>
          </cell>
          <cell r="AB99" t="str">
            <v>2010 or before</v>
          </cell>
        </row>
        <row r="100">
          <cell r="E100">
            <v>1618726.35</v>
          </cell>
          <cell r="Z100" t="str">
            <v>Ungating</v>
          </cell>
          <cell r="AA100" t="str">
            <v>$1M-$5M</v>
          </cell>
          <cell r="AB100">
            <v>2011</v>
          </cell>
        </row>
        <row r="101">
          <cell r="E101">
            <v>1580820.68</v>
          </cell>
          <cell r="Z101" t="str">
            <v>Legacy</v>
          </cell>
          <cell r="AA101" t="str">
            <v>$1M-$5M</v>
          </cell>
          <cell r="AB101" t="str">
            <v>2010 or before</v>
          </cell>
        </row>
        <row r="102">
          <cell r="E102">
            <v>1579041.24</v>
          </cell>
          <cell r="Z102" t="str">
            <v>Legacy</v>
          </cell>
          <cell r="AA102" t="str">
            <v>$1M-$5M</v>
          </cell>
          <cell r="AB102" t="str">
            <v>2010 or before</v>
          </cell>
        </row>
        <row r="103">
          <cell r="E103">
            <v>1577368.15</v>
          </cell>
          <cell r="Z103" t="str">
            <v>Legacy</v>
          </cell>
          <cell r="AA103" t="str">
            <v>$1M-$5M</v>
          </cell>
          <cell r="AB103" t="str">
            <v>2010 or before</v>
          </cell>
        </row>
        <row r="104">
          <cell r="E104">
            <v>1568292.42</v>
          </cell>
          <cell r="Z104" t="str">
            <v>Legacy</v>
          </cell>
          <cell r="AA104" t="str">
            <v>$1M-$5M</v>
          </cell>
          <cell r="AB104" t="str">
            <v>2010 or before</v>
          </cell>
        </row>
        <row r="105">
          <cell r="E105">
            <v>1562617.94</v>
          </cell>
          <cell r="Z105" t="str">
            <v>Legacy</v>
          </cell>
          <cell r="AA105" t="str">
            <v>$1M-$5M</v>
          </cell>
          <cell r="AB105" t="str">
            <v>2010 or before</v>
          </cell>
        </row>
        <row r="106">
          <cell r="E106">
            <v>1535190.46</v>
          </cell>
          <cell r="Z106" t="str">
            <v>Legacy</v>
          </cell>
          <cell r="AA106" t="str">
            <v>$1M-$5M</v>
          </cell>
          <cell r="AB106" t="str">
            <v>2010 or before</v>
          </cell>
        </row>
        <row r="107">
          <cell r="E107">
            <v>1524211.82</v>
          </cell>
          <cell r="Z107" t="str">
            <v>Legacy</v>
          </cell>
          <cell r="AA107" t="str">
            <v>$1M-$5M</v>
          </cell>
          <cell r="AB107" t="str">
            <v>2010 or before</v>
          </cell>
        </row>
        <row r="108">
          <cell r="E108">
            <v>1514916.39</v>
          </cell>
          <cell r="Z108" t="str">
            <v>Ungating</v>
          </cell>
          <cell r="AA108" t="str">
            <v>$1M-$5M</v>
          </cell>
          <cell r="AB108">
            <v>2011</v>
          </cell>
        </row>
        <row r="109">
          <cell r="E109">
            <v>1512805.4</v>
          </cell>
          <cell r="Z109" t="str">
            <v>Legacy</v>
          </cell>
          <cell r="AA109" t="str">
            <v>$1M-$5M</v>
          </cell>
          <cell r="AB109" t="str">
            <v>2010 or before</v>
          </cell>
        </row>
        <row r="110">
          <cell r="E110">
            <v>1512372</v>
          </cell>
          <cell r="Z110" t="str">
            <v>Legacy</v>
          </cell>
          <cell r="AA110" t="str">
            <v>$1M-$5M</v>
          </cell>
          <cell r="AB110" t="str">
            <v>2010 or before</v>
          </cell>
        </row>
        <row r="111">
          <cell r="E111">
            <v>1478350.08</v>
          </cell>
          <cell r="Z111" t="str">
            <v>Ungating</v>
          </cell>
          <cell r="AA111" t="str">
            <v>$1M-$5M</v>
          </cell>
          <cell r="AB111">
            <v>2011</v>
          </cell>
        </row>
        <row r="112">
          <cell r="E112">
            <v>1441830.36</v>
          </cell>
          <cell r="Z112" t="str">
            <v>Legacy</v>
          </cell>
          <cell r="AA112" t="str">
            <v>$1M-$5M</v>
          </cell>
          <cell r="AB112" t="str">
            <v>2010 or before</v>
          </cell>
        </row>
        <row r="113">
          <cell r="E113">
            <v>1416494.19</v>
          </cell>
          <cell r="Z113" t="str">
            <v>Legacy</v>
          </cell>
          <cell r="AA113" t="str">
            <v>$1M-$5M</v>
          </cell>
          <cell r="AB113" t="str">
            <v>2010 or before</v>
          </cell>
        </row>
        <row r="114">
          <cell r="E114">
            <v>1388102.92</v>
          </cell>
          <cell r="Z114" t="str">
            <v>Legacy</v>
          </cell>
          <cell r="AA114" t="str">
            <v>$1M-$5M</v>
          </cell>
          <cell r="AB114" t="str">
            <v>2010 or before</v>
          </cell>
        </row>
        <row r="115">
          <cell r="E115">
            <v>1369323.19</v>
          </cell>
          <cell r="Z115" t="str">
            <v>Ungating</v>
          </cell>
          <cell r="AA115" t="str">
            <v>$1M-$5M</v>
          </cell>
          <cell r="AB115">
            <v>2012</v>
          </cell>
        </row>
        <row r="116">
          <cell r="E116">
            <v>1365002.29</v>
          </cell>
          <cell r="Z116" t="str">
            <v>Legacy</v>
          </cell>
          <cell r="AA116" t="str">
            <v>$1M-$5M</v>
          </cell>
          <cell r="AB116" t="str">
            <v>2010 or before</v>
          </cell>
        </row>
        <row r="117">
          <cell r="E117">
            <v>1359710.56</v>
          </cell>
          <cell r="Z117" t="str">
            <v>Legacy</v>
          </cell>
          <cell r="AA117" t="str">
            <v>$1M-$5M</v>
          </cell>
          <cell r="AB117" t="str">
            <v>2010 or before</v>
          </cell>
        </row>
        <row r="118">
          <cell r="E118">
            <v>1359415.02</v>
          </cell>
          <cell r="Z118" t="str">
            <v>Ungating</v>
          </cell>
          <cell r="AA118" t="str">
            <v>$1M-$5M</v>
          </cell>
          <cell r="AB118">
            <v>2011</v>
          </cell>
        </row>
        <row r="119">
          <cell r="E119">
            <v>1355783.74</v>
          </cell>
          <cell r="Z119" t="str">
            <v>Legacy</v>
          </cell>
          <cell r="AA119" t="str">
            <v>$1M-$5M</v>
          </cell>
          <cell r="AB119" t="str">
            <v>2010 or before</v>
          </cell>
        </row>
        <row r="120">
          <cell r="E120">
            <v>1354431.6</v>
          </cell>
          <cell r="Z120" t="str">
            <v>Legacy</v>
          </cell>
          <cell r="AA120" t="str">
            <v>$1M-$5M</v>
          </cell>
          <cell r="AB120" t="str">
            <v>2010 or before</v>
          </cell>
        </row>
        <row r="121">
          <cell r="E121">
            <v>1350086.54</v>
          </cell>
          <cell r="Z121" t="str">
            <v>Legacy</v>
          </cell>
          <cell r="AA121" t="str">
            <v>$1M-$5M</v>
          </cell>
          <cell r="AB121" t="str">
            <v>2010 or before</v>
          </cell>
        </row>
        <row r="122">
          <cell r="E122">
            <v>1326540.77</v>
          </cell>
          <cell r="Z122" t="str">
            <v>Inbound</v>
          </cell>
          <cell r="AA122" t="str">
            <v>$1M-$5M</v>
          </cell>
          <cell r="AB122">
            <v>2011</v>
          </cell>
        </row>
        <row r="123">
          <cell r="E123">
            <v>1324375.72</v>
          </cell>
          <cell r="Z123" t="str">
            <v>Legacy</v>
          </cell>
          <cell r="AA123" t="str">
            <v>$1M-$5M</v>
          </cell>
          <cell r="AB123" t="str">
            <v>2010 or before</v>
          </cell>
        </row>
        <row r="124">
          <cell r="E124">
            <v>1322695.18</v>
          </cell>
          <cell r="Z124" t="str">
            <v>Legacy</v>
          </cell>
          <cell r="AA124" t="str">
            <v>$1M-$5M</v>
          </cell>
          <cell r="AB124" t="str">
            <v>2010 or before</v>
          </cell>
        </row>
        <row r="125">
          <cell r="E125">
            <v>1322335.57</v>
          </cell>
          <cell r="Z125" t="str">
            <v>Legacy</v>
          </cell>
          <cell r="AA125" t="str">
            <v>$1M-$5M</v>
          </cell>
          <cell r="AB125" t="str">
            <v>2010 or before</v>
          </cell>
        </row>
        <row r="126">
          <cell r="E126">
            <v>1319128.69</v>
          </cell>
          <cell r="Z126" t="str">
            <v>Legacy</v>
          </cell>
          <cell r="AA126" t="str">
            <v>$1M-$5M</v>
          </cell>
          <cell r="AB126" t="str">
            <v>2010 or before</v>
          </cell>
        </row>
        <row r="127">
          <cell r="E127">
            <v>1311200.47</v>
          </cell>
          <cell r="Z127" t="str">
            <v>Legacy</v>
          </cell>
          <cell r="AA127" t="str">
            <v>$1M-$5M</v>
          </cell>
          <cell r="AB127" t="str">
            <v>2010 or before</v>
          </cell>
        </row>
        <row r="128">
          <cell r="E128">
            <v>1305441.8</v>
          </cell>
          <cell r="Z128" t="str">
            <v>Legacy</v>
          </cell>
          <cell r="AA128" t="str">
            <v>$1M-$5M</v>
          </cell>
          <cell r="AB128" t="str">
            <v>2010 or before</v>
          </cell>
        </row>
        <row r="129">
          <cell r="E129">
            <v>1304925.97</v>
          </cell>
          <cell r="Z129" t="str">
            <v>Legacy</v>
          </cell>
          <cell r="AA129" t="str">
            <v>$1M-$5M</v>
          </cell>
          <cell r="AB129" t="str">
            <v>2010 or before</v>
          </cell>
        </row>
        <row r="130">
          <cell r="E130">
            <v>1299711.1100000001</v>
          </cell>
          <cell r="Z130" t="str">
            <v>Legacy</v>
          </cell>
          <cell r="AA130" t="str">
            <v>$1M-$5M</v>
          </cell>
          <cell r="AB130" t="str">
            <v>2010 or before</v>
          </cell>
        </row>
        <row r="131">
          <cell r="E131">
            <v>1285459.23</v>
          </cell>
          <cell r="Z131" t="str">
            <v>Legacy</v>
          </cell>
          <cell r="AA131" t="str">
            <v>$1M-$5M</v>
          </cell>
          <cell r="AB131" t="str">
            <v>2010 or before</v>
          </cell>
        </row>
        <row r="132">
          <cell r="E132">
            <v>1263331.07</v>
          </cell>
          <cell r="Z132" t="str">
            <v>Legacy</v>
          </cell>
          <cell r="AA132" t="str">
            <v>$1M-$5M</v>
          </cell>
          <cell r="AB132" t="str">
            <v>2010 or before</v>
          </cell>
        </row>
        <row r="133">
          <cell r="E133">
            <v>1254890.03</v>
          </cell>
          <cell r="Z133" t="str">
            <v>Legacy</v>
          </cell>
          <cell r="AA133" t="str">
            <v>$1M-$5M</v>
          </cell>
          <cell r="AB133" t="str">
            <v>2010 or before</v>
          </cell>
        </row>
        <row r="134">
          <cell r="E134">
            <v>1251325.42</v>
          </cell>
          <cell r="Z134" t="str">
            <v>Legacy</v>
          </cell>
          <cell r="AA134" t="str">
            <v>$1M-$5M</v>
          </cell>
          <cell r="AB134" t="str">
            <v>2010 or before</v>
          </cell>
        </row>
        <row r="135">
          <cell r="E135">
            <v>1242422.31</v>
          </cell>
          <cell r="Z135" t="str">
            <v>Legacy</v>
          </cell>
          <cell r="AA135" t="str">
            <v>$1M-$5M</v>
          </cell>
          <cell r="AB135" t="str">
            <v>2010 or before</v>
          </cell>
        </row>
        <row r="136">
          <cell r="E136">
            <v>1239771.17</v>
          </cell>
          <cell r="Z136" t="str">
            <v>Legacy</v>
          </cell>
          <cell r="AA136" t="str">
            <v>$1M-$5M</v>
          </cell>
          <cell r="AB136" t="str">
            <v>2010 or before</v>
          </cell>
        </row>
        <row r="137">
          <cell r="E137">
            <v>1234981.42</v>
          </cell>
          <cell r="Z137" t="str">
            <v>Legacy</v>
          </cell>
          <cell r="AA137" t="str">
            <v>$1M-$5M</v>
          </cell>
          <cell r="AB137" t="str">
            <v>2010 or before</v>
          </cell>
        </row>
        <row r="138">
          <cell r="E138">
            <v>1232430.68</v>
          </cell>
          <cell r="Z138" t="str">
            <v>Legacy</v>
          </cell>
          <cell r="AA138" t="str">
            <v>$1M-$5M</v>
          </cell>
          <cell r="AB138" t="str">
            <v>2010 or before</v>
          </cell>
        </row>
        <row r="139">
          <cell r="E139">
            <v>1229359.01</v>
          </cell>
          <cell r="Z139" t="str">
            <v>Legacy</v>
          </cell>
          <cell r="AA139" t="str">
            <v>$1M-$5M</v>
          </cell>
          <cell r="AB139" t="str">
            <v>2010 or before</v>
          </cell>
        </row>
        <row r="140">
          <cell r="E140">
            <v>1224429.19</v>
          </cell>
          <cell r="Z140" t="str">
            <v>Legacy</v>
          </cell>
          <cell r="AA140" t="str">
            <v>$1M-$5M</v>
          </cell>
          <cell r="AB140" t="str">
            <v>2010 or before</v>
          </cell>
        </row>
        <row r="141">
          <cell r="E141">
            <v>1192893.3</v>
          </cell>
          <cell r="Z141" t="str">
            <v>Legacy</v>
          </cell>
          <cell r="AA141" t="str">
            <v>$1M-$5M</v>
          </cell>
          <cell r="AB141" t="str">
            <v>2010 or before</v>
          </cell>
        </row>
        <row r="142">
          <cell r="E142">
            <v>1183661.3500000001</v>
          </cell>
          <cell r="Z142" t="str">
            <v>Legacy</v>
          </cell>
          <cell r="AA142" t="str">
            <v>$1M-$5M</v>
          </cell>
          <cell r="AB142" t="str">
            <v>2010 or before</v>
          </cell>
        </row>
        <row r="143">
          <cell r="E143">
            <v>1169779.76</v>
          </cell>
          <cell r="Z143" t="str">
            <v>Legacy</v>
          </cell>
          <cell r="AA143" t="str">
            <v>$1M-$5M</v>
          </cell>
          <cell r="AB143" t="str">
            <v>2010 or before</v>
          </cell>
        </row>
        <row r="144">
          <cell r="E144">
            <v>1165103.1499999999</v>
          </cell>
          <cell r="Z144" t="str">
            <v>Legacy</v>
          </cell>
          <cell r="AA144" t="str">
            <v>$1M-$5M</v>
          </cell>
          <cell r="AB144" t="str">
            <v>2010 or before</v>
          </cell>
        </row>
        <row r="145">
          <cell r="E145">
            <v>1152695.9099999999</v>
          </cell>
          <cell r="Z145" t="str">
            <v>Legacy</v>
          </cell>
          <cell r="AA145" t="str">
            <v>$1M-$5M</v>
          </cell>
          <cell r="AB145" t="str">
            <v>2010 or before</v>
          </cell>
        </row>
        <row r="146">
          <cell r="E146">
            <v>1081524.5</v>
          </cell>
          <cell r="Z146" t="str">
            <v>Legacy</v>
          </cell>
          <cell r="AA146" t="str">
            <v>$1M-$5M</v>
          </cell>
          <cell r="AB146" t="str">
            <v>2010 or before</v>
          </cell>
        </row>
        <row r="147">
          <cell r="E147">
            <v>1080153.8999999999</v>
          </cell>
          <cell r="Z147" t="str">
            <v>Legacy</v>
          </cell>
          <cell r="AA147" t="str">
            <v>$1M-$5M</v>
          </cell>
          <cell r="AB147" t="str">
            <v>2010 or before</v>
          </cell>
        </row>
        <row r="148">
          <cell r="E148">
            <v>1079922.99</v>
          </cell>
          <cell r="Z148" t="str">
            <v>Legacy</v>
          </cell>
          <cell r="AA148" t="str">
            <v>$1M-$5M</v>
          </cell>
          <cell r="AB148" t="str">
            <v>2010 or before</v>
          </cell>
        </row>
        <row r="149">
          <cell r="E149">
            <v>1075230.92</v>
          </cell>
          <cell r="Z149" t="str">
            <v>Legacy</v>
          </cell>
          <cell r="AA149" t="str">
            <v>$1M-$5M</v>
          </cell>
          <cell r="AB149" t="str">
            <v>2010 or before</v>
          </cell>
        </row>
        <row r="150">
          <cell r="E150">
            <v>1074491.6100000001</v>
          </cell>
          <cell r="Z150" t="str">
            <v>Legacy</v>
          </cell>
          <cell r="AA150" t="str">
            <v>$1M-$5M</v>
          </cell>
          <cell r="AB150" t="str">
            <v>2010 or before</v>
          </cell>
        </row>
        <row r="151">
          <cell r="E151">
            <v>1062125.07</v>
          </cell>
          <cell r="Z151" t="str">
            <v>Legacy</v>
          </cell>
          <cell r="AA151" t="str">
            <v>$1M-$5M</v>
          </cell>
          <cell r="AB151" t="str">
            <v>2010 or before</v>
          </cell>
        </row>
        <row r="152">
          <cell r="E152">
            <v>1061385.94</v>
          </cell>
          <cell r="Z152" t="str">
            <v>Legacy</v>
          </cell>
          <cell r="AA152" t="str">
            <v>$1M-$5M</v>
          </cell>
          <cell r="AB152" t="str">
            <v>2010 or before</v>
          </cell>
        </row>
        <row r="153">
          <cell r="E153">
            <v>1060809.55</v>
          </cell>
          <cell r="Z153" t="str">
            <v>Strategic</v>
          </cell>
          <cell r="AA153" t="str">
            <v>$1M-$5M</v>
          </cell>
          <cell r="AB153">
            <v>2012</v>
          </cell>
        </row>
        <row r="154">
          <cell r="E154">
            <v>1047256.84</v>
          </cell>
          <cell r="Z154" t="str">
            <v>Inbound</v>
          </cell>
          <cell r="AA154" t="str">
            <v>$1M-$5M</v>
          </cell>
          <cell r="AB154">
            <v>2011</v>
          </cell>
        </row>
        <row r="155">
          <cell r="E155">
            <v>1043312.98</v>
          </cell>
          <cell r="Z155" t="str">
            <v>Legacy</v>
          </cell>
          <cell r="AA155" t="str">
            <v>$1M-$5M</v>
          </cell>
          <cell r="AB155" t="str">
            <v>2010 or before</v>
          </cell>
        </row>
        <row r="156">
          <cell r="E156">
            <v>1041162.75</v>
          </cell>
          <cell r="Z156" t="str">
            <v>Strategic</v>
          </cell>
          <cell r="AA156" t="str">
            <v>$1M-$5M</v>
          </cell>
          <cell r="AB156">
            <v>2011</v>
          </cell>
        </row>
        <row r="157">
          <cell r="E157">
            <v>1031716.29</v>
          </cell>
          <cell r="Z157" t="str">
            <v>Legacy</v>
          </cell>
          <cell r="AA157" t="str">
            <v>$1M-$5M</v>
          </cell>
          <cell r="AB157" t="str">
            <v>2010 or before</v>
          </cell>
        </row>
        <row r="158">
          <cell r="E158">
            <v>1017466.06</v>
          </cell>
          <cell r="Z158" t="str">
            <v>Ungating</v>
          </cell>
          <cell r="AA158" t="str">
            <v>$1M-$5M</v>
          </cell>
          <cell r="AB158">
            <v>2011</v>
          </cell>
        </row>
        <row r="159">
          <cell r="E159">
            <v>1014522.9</v>
          </cell>
          <cell r="Z159" t="str">
            <v>Legacy</v>
          </cell>
          <cell r="AA159" t="str">
            <v>$1M-$5M</v>
          </cell>
          <cell r="AB159" t="str">
            <v>2010 or before</v>
          </cell>
        </row>
        <row r="160">
          <cell r="E160">
            <v>1012167.88</v>
          </cell>
          <cell r="Z160" t="str">
            <v>Legacy</v>
          </cell>
          <cell r="AA160" t="str">
            <v>$1M-$5M</v>
          </cell>
          <cell r="AB160" t="str">
            <v>2010 or before</v>
          </cell>
        </row>
        <row r="161">
          <cell r="E161">
            <v>1006107.47</v>
          </cell>
          <cell r="Z161" t="str">
            <v>Legacy</v>
          </cell>
          <cell r="AA161" t="str">
            <v>$1M-$5M</v>
          </cell>
          <cell r="AB161" t="str">
            <v>2010 or before</v>
          </cell>
        </row>
        <row r="162">
          <cell r="E162">
            <v>1004249.71</v>
          </cell>
          <cell r="Z162" t="str">
            <v>Legacy</v>
          </cell>
          <cell r="AA162" t="str">
            <v>$1M-$5M</v>
          </cell>
          <cell r="AB162" t="str">
            <v>2010 or before</v>
          </cell>
        </row>
        <row r="163">
          <cell r="E163">
            <v>1002296.81</v>
          </cell>
          <cell r="Z163" t="str">
            <v>Legacy</v>
          </cell>
          <cell r="AA163" t="str">
            <v>$1M-$5M</v>
          </cell>
          <cell r="AB163" t="str">
            <v>2010 or before</v>
          </cell>
        </row>
        <row r="164">
          <cell r="E164">
            <v>998447.17</v>
          </cell>
          <cell r="Z164" t="str">
            <v>Legacy</v>
          </cell>
          <cell r="AA164" t="str">
            <v>$500K-1M</v>
          </cell>
          <cell r="AB164" t="str">
            <v>2010 or before</v>
          </cell>
        </row>
        <row r="165">
          <cell r="E165">
            <v>994971.43</v>
          </cell>
          <cell r="Z165" t="str">
            <v>Legacy</v>
          </cell>
          <cell r="AA165" t="str">
            <v>$500K-1M</v>
          </cell>
          <cell r="AB165" t="str">
            <v>2010 or before</v>
          </cell>
        </row>
        <row r="166">
          <cell r="E166">
            <v>993663.25</v>
          </cell>
          <cell r="Z166" t="str">
            <v>Legacy</v>
          </cell>
          <cell r="AA166" t="str">
            <v>$500K-1M</v>
          </cell>
          <cell r="AB166" t="str">
            <v>2010 or before</v>
          </cell>
        </row>
        <row r="167">
          <cell r="E167">
            <v>989452.91</v>
          </cell>
          <cell r="Z167" t="str">
            <v>Legacy</v>
          </cell>
          <cell r="AA167" t="str">
            <v>$500K-1M</v>
          </cell>
          <cell r="AB167" t="str">
            <v>2010 or before</v>
          </cell>
        </row>
        <row r="168">
          <cell r="E168">
            <v>983647.34</v>
          </cell>
          <cell r="Z168" t="str">
            <v>Legacy</v>
          </cell>
          <cell r="AA168" t="str">
            <v>$500K-1M</v>
          </cell>
          <cell r="AB168" t="str">
            <v>2010 or before</v>
          </cell>
        </row>
        <row r="169">
          <cell r="E169">
            <v>976899.26</v>
          </cell>
          <cell r="Z169" t="str">
            <v>Legacy</v>
          </cell>
          <cell r="AA169" t="str">
            <v>$500K-1M</v>
          </cell>
          <cell r="AB169" t="str">
            <v>2010 or before</v>
          </cell>
        </row>
        <row r="170">
          <cell r="E170">
            <v>958024.75</v>
          </cell>
          <cell r="Z170" t="str">
            <v>Legacy</v>
          </cell>
          <cell r="AA170" t="str">
            <v>$500K-1M</v>
          </cell>
          <cell r="AB170" t="str">
            <v>2010 or before</v>
          </cell>
        </row>
        <row r="171">
          <cell r="E171">
            <v>953706.38</v>
          </cell>
          <cell r="Z171" t="str">
            <v>Legacy</v>
          </cell>
          <cell r="AA171" t="str">
            <v>$500K-1M</v>
          </cell>
          <cell r="AB171" t="str">
            <v>2010 or before</v>
          </cell>
        </row>
        <row r="172">
          <cell r="E172">
            <v>940132.34</v>
          </cell>
          <cell r="Z172" t="str">
            <v>Legacy</v>
          </cell>
          <cell r="AA172" t="str">
            <v>$500K-1M</v>
          </cell>
          <cell r="AB172" t="str">
            <v>2010 or before</v>
          </cell>
        </row>
        <row r="173">
          <cell r="E173">
            <v>939833.86</v>
          </cell>
          <cell r="Z173" t="str">
            <v>Legacy</v>
          </cell>
          <cell r="AA173" t="str">
            <v>$500K-1M</v>
          </cell>
          <cell r="AB173" t="str">
            <v>2010 or before</v>
          </cell>
        </row>
        <row r="174">
          <cell r="E174">
            <v>935348.93</v>
          </cell>
          <cell r="Z174" t="str">
            <v>Legacy</v>
          </cell>
          <cell r="AA174" t="str">
            <v>$500K-1M</v>
          </cell>
          <cell r="AB174" t="str">
            <v>2010 or before</v>
          </cell>
        </row>
        <row r="175">
          <cell r="E175">
            <v>892391.96</v>
          </cell>
          <cell r="Z175" t="str">
            <v>Strategic</v>
          </cell>
          <cell r="AA175" t="str">
            <v>$500K-1M</v>
          </cell>
          <cell r="AB175">
            <v>2011</v>
          </cell>
        </row>
        <row r="176">
          <cell r="E176">
            <v>891567.78</v>
          </cell>
          <cell r="Z176" t="str">
            <v>Legacy</v>
          </cell>
          <cell r="AA176" t="str">
            <v>$500K-1M</v>
          </cell>
          <cell r="AB176" t="str">
            <v>2010 or before</v>
          </cell>
        </row>
        <row r="177">
          <cell r="E177">
            <v>889828.41</v>
          </cell>
          <cell r="Z177" t="str">
            <v>Legacy</v>
          </cell>
          <cell r="AA177" t="str">
            <v>$500K-1M</v>
          </cell>
          <cell r="AB177" t="str">
            <v>2010 or before</v>
          </cell>
        </row>
        <row r="178">
          <cell r="E178">
            <v>889219.69</v>
          </cell>
          <cell r="Z178" t="str">
            <v>Legacy</v>
          </cell>
          <cell r="AA178" t="str">
            <v>$500K-1M</v>
          </cell>
          <cell r="AB178" t="str">
            <v>2010 or before</v>
          </cell>
        </row>
        <row r="179">
          <cell r="E179">
            <v>887905.78</v>
          </cell>
          <cell r="Z179" t="str">
            <v>Inbound</v>
          </cell>
          <cell r="AA179" t="str">
            <v>$500K-1M</v>
          </cell>
          <cell r="AB179">
            <v>2012</v>
          </cell>
        </row>
        <row r="180">
          <cell r="E180">
            <v>885449.65</v>
          </cell>
          <cell r="Z180" t="str">
            <v>Legacy</v>
          </cell>
          <cell r="AA180" t="str">
            <v>$500K-1M</v>
          </cell>
          <cell r="AB180">
            <v>2011</v>
          </cell>
        </row>
        <row r="181">
          <cell r="E181">
            <v>880961.42</v>
          </cell>
          <cell r="Z181" t="str">
            <v>Inbound</v>
          </cell>
          <cell r="AA181" t="str">
            <v>$500K-1M</v>
          </cell>
          <cell r="AB181">
            <v>2012</v>
          </cell>
        </row>
        <row r="182">
          <cell r="E182">
            <v>880671.44</v>
          </cell>
          <cell r="Z182" t="str">
            <v>Inbound</v>
          </cell>
          <cell r="AA182" t="str">
            <v>$500K-1M</v>
          </cell>
          <cell r="AB182">
            <v>2012</v>
          </cell>
        </row>
        <row r="183">
          <cell r="E183">
            <v>876768.99</v>
          </cell>
          <cell r="Z183" t="str">
            <v>Legacy</v>
          </cell>
          <cell r="AA183" t="str">
            <v>$500K-1M</v>
          </cell>
          <cell r="AB183" t="str">
            <v>2010 or before</v>
          </cell>
        </row>
        <row r="184">
          <cell r="E184">
            <v>870365.63</v>
          </cell>
          <cell r="Z184" t="str">
            <v>Legacy</v>
          </cell>
          <cell r="AA184" t="str">
            <v>$500K-1M</v>
          </cell>
          <cell r="AB184" t="str">
            <v>2010 or before</v>
          </cell>
        </row>
        <row r="185">
          <cell r="E185">
            <v>862754.54</v>
          </cell>
          <cell r="Z185" t="str">
            <v>Ungating</v>
          </cell>
          <cell r="AA185" t="str">
            <v>$500K-1M</v>
          </cell>
          <cell r="AB185">
            <v>2011</v>
          </cell>
        </row>
        <row r="186">
          <cell r="E186">
            <v>861492.81</v>
          </cell>
          <cell r="Z186" t="str">
            <v>Legacy</v>
          </cell>
          <cell r="AA186" t="str">
            <v>$500K-1M</v>
          </cell>
          <cell r="AB186" t="str">
            <v>2010 or before</v>
          </cell>
        </row>
        <row r="187">
          <cell r="E187">
            <v>856837.38</v>
          </cell>
          <cell r="Z187" t="str">
            <v>Legacy</v>
          </cell>
          <cell r="AA187" t="str">
            <v>$500K-1M</v>
          </cell>
          <cell r="AB187" t="str">
            <v>2010 or before</v>
          </cell>
        </row>
        <row r="188">
          <cell r="E188">
            <v>850917.09</v>
          </cell>
          <cell r="Z188" t="str">
            <v>Ungating</v>
          </cell>
          <cell r="AA188" t="str">
            <v>$500K-1M</v>
          </cell>
          <cell r="AB188">
            <v>2011</v>
          </cell>
        </row>
        <row r="189">
          <cell r="E189">
            <v>849972.31</v>
          </cell>
          <cell r="Z189" t="str">
            <v>Ungating</v>
          </cell>
          <cell r="AA189" t="str">
            <v>$500K-1M</v>
          </cell>
          <cell r="AB189">
            <v>2011</v>
          </cell>
        </row>
        <row r="190">
          <cell r="E190">
            <v>843678.35</v>
          </cell>
          <cell r="Z190" t="str">
            <v>Legacy</v>
          </cell>
          <cell r="AA190" t="str">
            <v>$500K-1M</v>
          </cell>
          <cell r="AB190" t="str">
            <v>2010 or before</v>
          </cell>
        </row>
        <row r="191">
          <cell r="E191">
            <v>842946.4</v>
          </cell>
          <cell r="Z191" t="str">
            <v>Strategic</v>
          </cell>
          <cell r="AA191" t="str">
            <v>$500K-1M</v>
          </cell>
          <cell r="AB191">
            <v>2011</v>
          </cell>
        </row>
        <row r="192">
          <cell r="E192">
            <v>838211.35</v>
          </cell>
          <cell r="Z192" t="str">
            <v>Legacy</v>
          </cell>
          <cell r="AA192" t="str">
            <v>$500K-1M</v>
          </cell>
          <cell r="AB192" t="str">
            <v>2010 or before</v>
          </cell>
        </row>
        <row r="193">
          <cell r="E193">
            <v>836675.6</v>
          </cell>
          <cell r="Z193" t="str">
            <v>Legacy</v>
          </cell>
          <cell r="AA193" t="str">
            <v>$500K-1M</v>
          </cell>
          <cell r="AB193" t="str">
            <v>2010 or before</v>
          </cell>
        </row>
        <row r="194">
          <cell r="E194">
            <v>832531.63</v>
          </cell>
          <cell r="Z194" t="str">
            <v>Legacy</v>
          </cell>
          <cell r="AA194" t="str">
            <v>$500K-1M</v>
          </cell>
          <cell r="AB194" t="str">
            <v>2010 or before</v>
          </cell>
        </row>
        <row r="195">
          <cell r="E195">
            <v>830761.62</v>
          </cell>
          <cell r="Z195" t="str">
            <v>Legacy</v>
          </cell>
          <cell r="AA195" t="str">
            <v>$500K-1M</v>
          </cell>
          <cell r="AB195" t="str">
            <v>2010 or before</v>
          </cell>
        </row>
        <row r="196">
          <cell r="E196">
            <v>827834.38</v>
          </cell>
          <cell r="Z196" t="str">
            <v>Legacy</v>
          </cell>
          <cell r="AA196" t="str">
            <v>$500K-1M</v>
          </cell>
          <cell r="AB196" t="str">
            <v>2010 or before</v>
          </cell>
        </row>
        <row r="197">
          <cell r="E197">
            <v>824100.21</v>
          </cell>
          <cell r="Z197" t="str">
            <v>Strategic</v>
          </cell>
          <cell r="AA197" t="str">
            <v>$500K-1M</v>
          </cell>
          <cell r="AB197">
            <v>2011</v>
          </cell>
        </row>
        <row r="198">
          <cell r="E198">
            <v>818606.64</v>
          </cell>
          <cell r="Z198" t="str">
            <v>Legacy</v>
          </cell>
          <cell r="AA198" t="str">
            <v>$500K-1M</v>
          </cell>
          <cell r="AB198" t="str">
            <v>2010 or before</v>
          </cell>
        </row>
        <row r="199">
          <cell r="E199">
            <v>816882.89</v>
          </cell>
          <cell r="Z199" t="str">
            <v>Legacy</v>
          </cell>
          <cell r="AA199" t="str">
            <v>$500K-1M</v>
          </cell>
          <cell r="AB199" t="str">
            <v>2010 or before</v>
          </cell>
        </row>
        <row r="200">
          <cell r="E200">
            <v>810377.42</v>
          </cell>
          <cell r="Z200" t="str">
            <v>Legacy</v>
          </cell>
          <cell r="AA200" t="str">
            <v>$500K-1M</v>
          </cell>
          <cell r="AB200" t="str">
            <v>2010 or before</v>
          </cell>
        </row>
        <row r="201">
          <cell r="E201">
            <v>806651.14</v>
          </cell>
          <cell r="Z201" t="str">
            <v>Legacy</v>
          </cell>
          <cell r="AA201" t="str">
            <v>$500K-1M</v>
          </cell>
          <cell r="AB201" t="str">
            <v>2010 or before</v>
          </cell>
        </row>
        <row r="202">
          <cell r="E202">
            <v>801213.51</v>
          </cell>
          <cell r="Z202" t="str">
            <v>Inbound</v>
          </cell>
          <cell r="AA202" t="str">
            <v>$500K-1M</v>
          </cell>
          <cell r="AB202">
            <v>2011</v>
          </cell>
        </row>
        <row r="203">
          <cell r="E203">
            <v>800025</v>
          </cell>
          <cell r="Z203" t="str">
            <v>Legacy</v>
          </cell>
          <cell r="AA203" t="str">
            <v>$500K-1M</v>
          </cell>
          <cell r="AB203" t="str">
            <v>2010 or before</v>
          </cell>
        </row>
        <row r="204">
          <cell r="E204">
            <v>799241.26</v>
          </cell>
          <cell r="Z204" t="str">
            <v>Inbound</v>
          </cell>
          <cell r="AA204" t="str">
            <v>$500K-1M</v>
          </cell>
          <cell r="AB204">
            <v>2012</v>
          </cell>
        </row>
        <row r="205">
          <cell r="E205">
            <v>797057.6</v>
          </cell>
          <cell r="Z205" t="str">
            <v>Legacy</v>
          </cell>
          <cell r="AA205" t="str">
            <v>$500K-1M</v>
          </cell>
          <cell r="AB205" t="str">
            <v>2010 or before</v>
          </cell>
        </row>
        <row r="206">
          <cell r="E206">
            <v>795698.57</v>
          </cell>
          <cell r="Z206" t="str">
            <v>Legacy</v>
          </cell>
          <cell r="AA206" t="str">
            <v>$500K-1M</v>
          </cell>
          <cell r="AB206" t="str">
            <v>2010 or before</v>
          </cell>
        </row>
        <row r="207">
          <cell r="E207">
            <v>795362.33</v>
          </cell>
          <cell r="Z207" t="str">
            <v>Legacy</v>
          </cell>
          <cell r="AA207" t="str">
            <v>$500K-1M</v>
          </cell>
          <cell r="AB207" t="str">
            <v>2010 or before</v>
          </cell>
        </row>
        <row r="208">
          <cell r="E208">
            <v>787869.46</v>
          </cell>
          <cell r="Z208" t="str">
            <v>Legacy</v>
          </cell>
          <cell r="AA208" t="str">
            <v>$500K-1M</v>
          </cell>
          <cell r="AB208" t="str">
            <v>2010 or before</v>
          </cell>
        </row>
        <row r="209">
          <cell r="E209">
            <v>787725.67</v>
          </cell>
          <cell r="Z209" t="str">
            <v>Legacy</v>
          </cell>
          <cell r="AA209" t="str">
            <v>$500K-1M</v>
          </cell>
          <cell r="AB209" t="str">
            <v>2010 or before</v>
          </cell>
        </row>
        <row r="210">
          <cell r="E210">
            <v>783367.21</v>
          </cell>
          <cell r="Z210" t="str">
            <v>Legacy</v>
          </cell>
          <cell r="AA210" t="str">
            <v>$500K-1M</v>
          </cell>
          <cell r="AB210" t="str">
            <v>2010 or before</v>
          </cell>
        </row>
        <row r="211">
          <cell r="E211">
            <v>776323.24</v>
          </cell>
          <cell r="Z211" t="str">
            <v>Legacy</v>
          </cell>
          <cell r="AA211" t="str">
            <v>$500K-1M</v>
          </cell>
          <cell r="AB211" t="str">
            <v>2010 or before</v>
          </cell>
        </row>
        <row r="212">
          <cell r="E212">
            <v>776319.79</v>
          </cell>
          <cell r="Z212" t="str">
            <v>Ungating</v>
          </cell>
          <cell r="AA212" t="str">
            <v>$500K-1M</v>
          </cell>
          <cell r="AB212">
            <v>2012</v>
          </cell>
        </row>
        <row r="213">
          <cell r="E213">
            <v>775391.36</v>
          </cell>
          <cell r="Z213" t="str">
            <v>Legacy</v>
          </cell>
          <cell r="AA213" t="str">
            <v>$500K-1M</v>
          </cell>
          <cell r="AB213" t="str">
            <v>2010 or before</v>
          </cell>
        </row>
        <row r="214">
          <cell r="E214">
            <v>774845.07</v>
          </cell>
          <cell r="Z214" t="str">
            <v>Legacy</v>
          </cell>
          <cell r="AA214" t="str">
            <v>$500K-1M</v>
          </cell>
          <cell r="AB214" t="str">
            <v>2010 or before</v>
          </cell>
        </row>
        <row r="215">
          <cell r="E215">
            <v>770631.43</v>
          </cell>
          <cell r="Z215" t="str">
            <v>Legacy</v>
          </cell>
          <cell r="AA215" t="str">
            <v>$500K-1M</v>
          </cell>
          <cell r="AB215" t="str">
            <v>2010 or before</v>
          </cell>
        </row>
        <row r="216">
          <cell r="E216">
            <v>769785.12</v>
          </cell>
          <cell r="Z216" t="str">
            <v>Legacy</v>
          </cell>
          <cell r="AA216" t="str">
            <v>$500K-1M</v>
          </cell>
          <cell r="AB216" t="str">
            <v>2010 or before</v>
          </cell>
        </row>
        <row r="217">
          <cell r="E217">
            <v>761745.75</v>
          </cell>
          <cell r="Z217" t="str">
            <v>Legacy</v>
          </cell>
          <cell r="AA217" t="str">
            <v>$500K-1M</v>
          </cell>
          <cell r="AB217" t="str">
            <v>2010 or before</v>
          </cell>
        </row>
        <row r="218">
          <cell r="E218">
            <v>759558.71</v>
          </cell>
          <cell r="Z218" t="str">
            <v>Legacy</v>
          </cell>
          <cell r="AA218" t="str">
            <v>$500K-1M</v>
          </cell>
          <cell r="AB218" t="str">
            <v>2010 or before</v>
          </cell>
        </row>
        <row r="219">
          <cell r="E219">
            <v>753074.89</v>
          </cell>
          <cell r="Z219" t="str">
            <v>Legacy</v>
          </cell>
          <cell r="AA219" t="str">
            <v>$500K-1M</v>
          </cell>
          <cell r="AB219" t="str">
            <v>2010 or before</v>
          </cell>
        </row>
        <row r="220">
          <cell r="E220">
            <v>749547.33</v>
          </cell>
          <cell r="Z220" t="str">
            <v>Ungating</v>
          </cell>
          <cell r="AA220" t="str">
            <v>$500K-1M</v>
          </cell>
          <cell r="AB220">
            <v>2011</v>
          </cell>
        </row>
        <row r="221">
          <cell r="E221">
            <v>745110.42</v>
          </cell>
          <cell r="Z221" t="str">
            <v>Legacy</v>
          </cell>
          <cell r="AA221" t="str">
            <v>$500K-1M</v>
          </cell>
          <cell r="AB221" t="str">
            <v>2010 or before</v>
          </cell>
        </row>
        <row r="222">
          <cell r="E222">
            <v>744936.09</v>
          </cell>
          <cell r="Z222" t="str">
            <v>Legacy</v>
          </cell>
          <cell r="AA222" t="str">
            <v>$500K-1M</v>
          </cell>
          <cell r="AB222" t="str">
            <v>2010 or before</v>
          </cell>
        </row>
        <row r="223">
          <cell r="E223">
            <v>739756.9</v>
          </cell>
          <cell r="Z223" t="str">
            <v>Legacy</v>
          </cell>
          <cell r="AA223" t="str">
            <v>$500K-1M</v>
          </cell>
          <cell r="AB223" t="str">
            <v>2010 or before</v>
          </cell>
        </row>
        <row r="224">
          <cell r="E224">
            <v>738587.03</v>
          </cell>
          <cell r="Z224" t="str">
            <v>Legacy</v>
          </cell>
          <cell r="AA224" t="str">
            <v>$500K-1M</v>
          </cell>
          <cell r="AB224" t="str">
            <v>2010 or before</v>
          </cell>
        </row>
        <row r="225">
          <cell r="E225">
            <v>735833.39</v>
          </cell>
          <cell r="Z225" t="str">
            <v>Legacy</v>
          </cell>
          <cell r="AA225" t="str">
            <v>$500K-1M</v>
          </cell>
          <cell r="AB225" t="str">
            <v>2010 or before</v>
          </cell>
        </row>
        <row r="226">
          <cell r="E226">
            <v>734164.36</v>
          </cell>
          <cell r="Z226" t="str">
            <v>Ungating</v>
          </cell>
          <cell r="AA226" t="str">
            <v>$500K-1M</v>
          </cell>
          <cell r="AB226">
            <v>2012</v>
          </cell>
        </row>
        <row r="227">
          <cell r="E227">
            <v>732850.74</v>
          </cell>
          <cell r="Z227" t="str">
            <v>Legacy</v>
          </cell>
          <cell r="AA227" t="str">
            <v>$500K-1M</v>
          </cell>
          <cell r="AB227" t="str">
            <v>2010 or before</v>
          </cell>
        </row>
        <row r="228">
          <cell r="E228">
            <v>731839.43</v>
          </cell>
          <cell r="Z228" t="str">
            <v>Legacy</v>
          </cell>
          <cell r="AA228" t="str">
            <v>$500K-1M</v>
          </cell>
          <cell r="AB228" t="str">
            <v>2010 or before</v>
          </cell>
        </row>
        <row r="229">
          <cell r="E229">
            <v>730835.61</v>
          </cell>
          <cell r="Z229" t="str">
            <v>Strategic</v>
          </cell>
          <cell r="AA229" t="str">
            <v>$500K-1M</v>
          </cell>
          <cell r="AB229">
            <v>2011</v>
          </cell>
        </row>
        <row r="230">
          <cell r="E230">
            <v>729162.08</v>
          </cell>
          <cell r="Z230" t="str">
            <v>Legacy</v>
          </cell>
          <cell r="AA230" t="str">
            <v>$500K-1M</v>
          </cell>
          <cell r="AB230" t="str">
            <v>2010 or before</v>
          </cell>
        </row>
        <row r="231">
          <cell r="E231">
            <v>722131.49</v>
          </cell>
          <cell r="Z231" t="str">
            <v>Legacy</v>
          </cell>
          <cell r="AA231" t="str">
            <v>$500K-1M</v>
          </cell>
          <cell r="AB231" t="str">
            <v>2010 or before</v>
          </cell>
        </row>
        <row r="232">
          <cell r="E232">
            <v>717792.98</v>
          </cell>
          <cell r="Z232" t="str">
            <v>Legacy</v>
          </cell>
          <cell r="AA232" t="str">
            <v>$500K-1M</v>
          </cell>
          <cell r="AB232" t="str">
            <v>2010 or before</v>
          </cell>
        </row>
        <row r="233">
          <cell r="E233">
            <v>716825.24</v>
          </cell>
          <cell r="Z233" t="str">
            <v>Legacy</v>
          </cell>
          <cell r="AA233" t="str">
            <v>$500K-1M</v>
          </cell>
          <cell r="AB233" t="str">
            <v>2010 or before</v>
          </cell>
        </row>
        <row r="234">
          <cell r="E234">
            <v>703661.29</v>
          </cell>
          <cell r="Z234" t="str">
            <v>Legacy</v>
          </cell>
          <cell r="AA234" t="str">
            <v>$500K-1M</v>
          </cell>
          <cell r="AB234" t="str">
            <v>2010 or before</v>
          </cell>
        </row>
        <row r="235">
          <cell r="E235">
            <v>699026.58</v>
          </cell>
          <cell r="Z235" t="str">
            <v>Legacy</v>
          </cell>
          <cell r="AA235" t="str">
            <v>$500K-1M</v>
          </cell>
          <cell r="AB235" t="str">
            <v>2010 or before</v>
          </cell>
        </row>
        <row r="236">
          <cell r="E236">
            <v>698992.73</v>
          </cell>
          <cell r="Z236" t="str">
            <v>Legacy</v>
          </cell>
          <cell r="AA236" t="str">
            <v>$500K-1M</v>
          </cell>
          <cell r="AB236" t="str">
            <v>2010 or before</v>
          </cell>
        </row>
        <row r="237">
          <cell r="E237">
            <v>698979.57</v>
          </cell>
          <cell r="Z237" t="str">
            <v>Legacy</v>
          </cell>
          <cell r="AA237" t="str">
            <v>$500K-1M</v>
          </cell>
          <cell r="AB237" t="str">
            <v>2010 or before</v>
          </cell>
        </row>
        <row r="238">
          <cell r="E238">
            <v>698047.02</v>
          </cell>
          <cell r="Z238" t="str">
            <v>Legacy</v>
          </cell>
          <cell r="AA238" t="str">
            <v>$500K-1M</v>
          </cell>
          <cell r="AB238" t="str">
            <v>2010 or before</v>
          </cell>
        </row>
        <row r="239">
          <cell r="E239">
            <v>697206.2</v>
          </cell>
          <cell r="Z239" t="str">
            <v>Legacy</v>
          </cell>
          <cell r="AA239" t="str">
            <v>$500K-1M</v>
          </cell>
          <cell r="AB239" t="str">
            <v>2010 or before</v>
          </cell>
        </row>
        <row r="240">
          <cell r="E240">
            <v>693706.91</v>
          </cell>
          <cell r="Z240" t="str">
            <v>Inbound</v>
          </cell>
          <cell r="AA240" t="str">
            <v>$500K-1M</v>
          </cell>
          <cell r="AB240">
            <v>2012</v>
          </cell>
        </row>
        <row r="241">
          <cell r="E241">
            <v>688473.11</v>
          </cell>
          <cell r="Z241" t="str">
            <v>Legacy</v>
          </cell>
          <cell r="AA241" t="str">
            <v>$500K-1M</v>
          </cell>
          <cell r="AB241" t="str">
            <v>2010 or before</v>
          </cell>
        </row>
        <row r="242">
          <cell r="E242">
            <v>685028.61</v>
          </cell>
          <cell r="Z242" t="str">
            <v>Legacy</v>
          </cell>
          <cell r="AA242" t="str">
            <v>$500K-1M</v>
          </cell>
          <cell r="AB242" t="str">
            <v>2010 or before</v>
          </cell>
        </row>
        <row r="243">
          <cell r="E243">
            <v>675781.89</v>
          </cell>
          <cell r="Z243" t="str">
            <v>Legacy</v>
          </cell>
          <cell r="AA243" t="str">
            <v>$500K-1M</v>
          </cell>
          <cell r="AB243" t="str">
            <v>2010 or before</v>
          </cell>
        </row>
        <row r="244">
          <cell r="E244">
            <v>675413.15</v>
          </cell>
          <cell r="Z244" t="str">
            <v>Legacy</v>
          </cell>
          <cell r="AA244" t="str">
            <v>$500K-1M</v>
          </cell>
          <cell r="AB244" t="str">
            <v>2010 or before</v>
          </cell>
        </row>
        <row r="245">
          <cell r="E245">
            <v>666761.43999999994</v>
          </cell>
          <cell r="Z245" t="str">
            <v>Legacy</v>
          </cell>
          <cell r="AA245" t="str">
            <v>$500K-1M</v>
          </cell>
          <cell r="AB245">
            <v>2011</v>
          </cell>
        </row>
        <row r="246">
          <cell r="E246">
            <v>666399.34</v>
          </cell>
          <cell r="Z246" t="str">
            <v>Legacy</v>
          </cell>
          <cell r="AA246" t="str">
            <v>$500K-1M</v>
          </cell>
          <cell r="AB246" t="str">
            <v>2010 or before</v>
          </cell>
        </row>
        <row r="247">
          <cell r="E247">
            <v>664574.11</v>
          </cell>
          <cell r="Z247" t="str">
            <v>Legacy</v>
          </cell>
          <cell r="AA247" t="str">
            <v>$500K-1M</v>
          </cell>
          <cell r="AB247" t="str">
            <v>2010 or before</v>
          </cell>
        </row>
        <row r="248">
          <cell r="E248">
            <v>661621.64</v>
          </cell>
          <cell r="Z248" t="str">
            <v>Legacy</v>
          </cell>
          <cell r="AA248" t="str">
            <v>$500K-1M</v>
          </cell>
          <cell r="AB248" t="str">
            <v>2010 or before</v>
          </cell>
        </row>
        <row r="249">
          <cell r="E249">
            <v>658530.52</v>
          </cell>
          <cell r="Z249" t="str">
            <v>Ungating</v>
          </cell>
          <cell r="AA249" t="str">
            <v>$500K-1M</v>
          </cell>
          <cell r="AB249">
            <v>2011</v>
          </cell>
        </row>
        <row r="250">
          <cell r="E250">
            <v>655971.82999999996</v>
          </cell>
          <cell r="Z250" t="str">
            <v>Legacy</v>
          </cell>
          <cell r="AA250" t="str">
            <v>$500K-1M</v>
          </cell>
          <cell r="AB250" t="str">
            <v>2010 or before</v>
          </cell>
        </row>
        <row r="251">
          <cell r="E251">
            <v>654784.51</v>
          </cell>
          <cell r="Z251" t="str">
            <v>Legacy</v>
          </cell>
          <cell r="AA251" t="str">
            <v>$500K-1M</v>
          </cell>
          <cell r="AB251" t="str">
            <v>2010 or before</v>
          </cell>
        </row>
        <row r="252">
          <cell r="E252">
            <v>652086.22</v>
          </cell>
          <cell r="Z252" t="str">
            <v>Legacy</v>
          </cell>
          <cell r="AA252" t="str">
            <v>$500K-1M</v>
          </cell>
          <cell r="AB252" t="str">
            <v>2010 or before</v>
          </cell>
        </row>
        <row r="253">
          <cell r="E253">
            <v>649491.98</v>
          </cell>
          <cell r="Z253" t="str">
            <v>Legacy</v>
          </cell>
          <cell r="AA253" t="str">
            <v>$500K-1M</v>
          </cell>
          <cell r="AB253" t="str">
            <v>2010 or before</v>
          </cell>
        </row>
        <row r="254">
          <cell r="E254">
            <v>646862.44999999995</v>
          </cell>
          <cell r="Z254" t="str">
            <v>Inbound</v>
          </cell>
          <cell r="AA254" t="str">
            <v>$500K-1M</v>
          </cell>
          <cell r="AB254">
            <v>2011</v>
          </cell>
        </row>
        <row r="255">
          <cell r="E255">
            <v>645230.57999999996</v>
          </cell>
          <cell r="Z255" t="str">
            <v>Legacy</v>
          </cell>
          <cell r="AA255" t="str">
            <v>$500K-1M</v>
          </cell>
          <cell r="AB255" t="str">
            <v>2010 or before</v>
          </cell>
        </row>
        <row r="256">
          <cell r="E256">
            <v>640581.53</v>
          </cell>
          <cell r="Z256" t="str">
            <v>Ungating</v>
          </cell>
          <cell r="AA256" t="str">
            <v>$500K-1M</v>
          </cell>
          <cell r="AB256">
            <v>2011</v>
          </cell>
        </row>
        <row r="257">
          <cell r="E257">
            <v>639852.98</v>
          </cell>
          <cell r="Z257" t="str">
            <v>Legacy</v>
          </cell>
          <cell r="AA257" t="str">
            <v>$500K-1M</v>
          </cell>
          <cell r="AB257" t="str">
            <v>2010 or before</v>
          </cell>
        </row>
        <row r="258">
          <cell r="E258">
            <v>638171.27</v>
          </cell>
          <cell r="Z258" t="str">
            <v>Legacy</v>
          </cell>
          <cell r="AA258" t="str">
            <v>$500K-1M</v>
          </cell>
          <cell r="AB258" t="str">
            <v>2010 or before</v>
          </cell>
        </row>
        <row r="259">
          <cell r="E259">
            <v>636418.09</v>
          </cell>
          <cell r="Z259" t="str">
            <v>Legacy</v>
          </cell>
          <cell r="AA259" t="str">
            <v>$500K-1M</v>
          </cell>
          <cell r="AB259" t="str">
            <v>2010 or before</v>
          </cell>
        </row>
        <row r="260">
          <cell r="E260">
            <v>635569.39</v>
          </cell>
          <cell r="Z260" t="str">
            <v>Legacy</v>
          </cell>
          <cell r="AA260" t="str">
            <v>$500K-1M</v>
          </cell>
          <cell r="AB260" t="str">
            <v>2010 or before</v>
          </cell>
        </row>
        <row r="261">
          <cell r="E261">
            <v>630007.82999999996</v>
          </cell>
          <cell r="Z261" t="str">
            <v>Legacy</v>
          </cell>
          <cell r="AA261" t="str">
            <v>$500K-1M</v>
          </cell>
          <cell r="AB261" t="str">
            <v>2010 or before</v>
          </cell>
        </row>
        <row r="262">
          <cell r="E262">
            <v>626629.11</v>
          </cell>
          <cell r="Z262" t="str">
            <v>Legacy</v>
          </cell>
          <cell r="AA262" t="str">
            <v>$500K-1M</v>
          </cell>
          <cell r="AB262" t="str">
            <v>2010 or before</v>
          </cell>
        </row>
        <row r="263">
          <cell r="E263">
            <v>623378.55000000005</v>
          </cell>
          <cell r="Z263" t="str">
            <v>Legacy</v>
          </cell>
          <cell r="AA263" t="str">
            <v>$500K-1M</v>
          </cell>
          <cell r="AB263" t="str">
            <v>2010 or before</v>
          </cell>
        </row>
        <row r="264">
          <cell r="E264">
            <v>622096.67000000004</v>
          </cell>
          <cell r="Z264" t="str">
            <v>Inbound</v>
          </cell>
          <cell r="AA264" t="str">
            <v>$500K-1M</v>
          </cell>
          <cell r="AB264">
            <v>2011</v>
          </cell>
        </row>
        <row r="265">
          <cell r="E265">
            <v>615087.67000000004</v>
          </cell>
          <cell r="Z265" t="str">
            <v>Legacy</v>
          </cell>
          <cell r="AA265" t="str">
            <v>$500K-1M</v>
          </cell>
          <cell r="AB265" t="str">
            <v>2010 or before</v>
          </cell>
        </row>
        <row r="266">
          <cell r="E266">
            <v>613123.80000000005</v>
          </cell>
          <cell r="Z266" t="str">
            <v>Legacy</v>
          </cell>
          <cell r="AA266" t="str">
            <v>$500K-1M</v>
          </cell>
          <cell r="AB266" t="str">
            <v>2010 or before</v>
          </cell>
        </row>
        <row r="267">
          <cell r="E267">
            <v>611334.73</v>
          </cell>
          <cell r="Z267" t="str">
            <v>Legacy</v>
          </cell>
          <cell r="AA267" t="str">
            <v>$500K-1M</v>
          </cell>
          <cell r="AB267" t="str">
            <v>2010 or before</v>
          </cell>
        </row>
        <row r="268">
          <cell r="E268">
            <v>607130.68999999994</v>
          </cell>
          <cell r="Z268" t="str">
            <v>Strategic</v>
          </cell>
          <cell r="AA268" t="str">
            <v>$500K-1M</v>
          </cell>
          <cell r="AB268">
            <v>2011</v>
          </cell>
        </row>
        <row r="269">
          <cell r="E269">
            <v>604916.09</v>
          </cell>
          <cell r="Z269" t="str">
            <v>Strategic</v>
          </cell>
          <cell r="AA269" t="str">
            <v>$500K-1M</v>
          </cell>
          <cell r="AB269">
            <v>2012</v>
          </cell>
        </row>
        <row r="270">
          <cell r="E270">
            <v>604459.31000000006</v>
          </cell>
          <cell r="Z270" t="str">
            <v>Ungating</v>
          </cell>
          <cell r="AA270" t="str">
            <v>$500K-1M</v>
          </cell>
          <cell r="AB270">
            <v>2011</v>
          </cell>
        </row>
        <row r="271">
          <cell r="E271">
            <v>603253.64</v>
          </cell>
          <cell r="Z271" t="str">
            <v>Legacy</v>
          </cell>
          <cell r="AA271" t="str">
            <v>$500K-1M</v>
          </cell>
          <cell r="AB271" t="str">
            <v>2010 or before</v>
          </cell>
        </row>
        <row r="272">
          <cell r="E272">
            <v>601493.5</v>
          </cell>
          <cell r="Z272" t="str">
            <v>Legacy</v>
          </cell>
          <cell r="AA272" t="str">
            <v>$500K-1M</v>
          </cell>
          <cell r="AB272" t="str">
            <v>2010 or before</v>
          </cell>
        </row>
        <row r="273">
          <cell r="E273">
            <v>594588.98</v>
          </cell>
          <cell r="Z273" t="str">
            <v>Legacy</v>
          </cell>
          <cell r="AA273" t="str">
            <v>$500K-1M</v>
          </cell>
          <cell r="AB273" t="str">
            <v>2010 or before</v>
          </cell>
        </row>
        <row r="274">
          <cell r="E274">
            <v>592608.84</v>
          </cell>
          <cell r="Z274" t="str">
            <v>Legacy</v>
          </cell>
          <cell r="AA274" t="str">
            <v>$500K-1M</v>
          </cell>
          <cell r="AB274" t="str">
            <v>2010 or before</v>
          </cell>
        </row>
        <row r="275">
          <cell r="E275">
            <v>591176.17000000004</v>
          </cell>
          <cell r="Z275" t="str">
            <v>Legacy</v>
          </cell>
          <cell r="AA275" t="str">
            <v>$500K-1M</v>
          </cell>
          <cell r="AB275" t="str">
            <v>2010 or before</v>
          </cell>
        </row>
        <row r="276">
          <cell r="E276">
            <v>588863.72</v>
          </cell>
          <cell r="Z276" t="str">
            <v>Legacy</v>
          </cell>
          <cell r="AA276" t="str">
            <v>$500K-1M</v>
          </cell>
          <cell r="AB276" t="str">
            <v>2010 or before</v>
          </cell>
        </row>
        <row r="277">
          <cell r="E277">
            <v>587647.18000000005</v>
          </cell>
          <cell r="Z277" t="str">
            <v>Ungating</v>
          </cell>
          <cell r="AA277" t="str">
            <v>$500K-1M</v>
          </cell>
          <cell r="AB277">
            <v>2012</v>
          </cell>
        </row>
        <row r="278">
          <cell r="E278">
            <v>587421.37</v>
          </cell>
          <cell r="Z278" t="str">
            <v>Legacy</v>
          </cell>
          <cell r="AA278" t="str">
            <v>$500K-1M</v>
          </cell>
          <cell r="AB278" t="str">
            <v>2010 or before</v>
          </cell>
        </row>
        <row r="279">
          <cell r="E279">
            <v>585456.84</v>
          </cell>
          <cell r="Z279" t="str">
            <v>Legacy</v>
          </cell>
          <cell r="AA279" t="str">
            <v>$500K-1M</v>
          </cell>
          <cell r="AB279" t="str">
            <v>2010 or before</v>
          </cell>
        </row>
        <row r="280">
          <cell r="E280">
            <v>585425.49</v>
          </cell>
          <cell r="Z280" t="str">
            <v>Legacy</v>
          </cell>
          <cell r="AA280" t="str">
            <v>$500K-1M</v>
          </cell>
          <cell r="AB280" t="str">
            <v>2010 or before</v>
          </cell>
        </row>
        <row r="281">
          <cell r="E281">
            <v>581163.09</v>
          </cell>
          <cell r="Z281" t="str">
            <v>Legacy</v>
          </cell>
          <cell r="AA281" t="str">
            <v>$500K-1M</v>
          </cell>
          <cell r="AB281" t="str">
            <v>2010 or before</v>
          </cell>
        </row>
        <row r="282">
          <cell r="E282">
            <v>578333.22</v>
          </cell>
          <cell r="Z282" t="str">
            <v>Legacy</v>
          </cell>
          <cell r="AA282" t="str">
            <v>$500K-1M</v>
          </cell>
          <cell r="AB282" t="str">
            <v>2010 or before</v>
          </cell>
        </row>
        <row r="283">
          <cell r="E283">
            <v>576223.81999999995</v>
          </cell>
          <cell r="Z283" t="str">
            <v>Global</v>
          </cell>
          <cell r="AA283" t="str">
            <v>$500K-1M</v>
          </cell>
          <cell r="AB283">
            <v>2012</v>
          </cell>
        </row>
        <row r="284">
          <cell r="E284">
            <v>573457.03</v>
          </cell>
          <cell r="Z284" t="str">
            <v>Legacy</v>
          </cell>
          <cell r="AA284" t="str">
            <v>$500K-1M</v>
          </cell>
          <cell r="AB284" t="str">
            <v>2010 or before</v>
          </cell>
        </row>
        <row r="285">
          <cell r="E285">
            <v>570405.71</v>
          </cell>
          <cell r="Z285" t="str">
            <v>Legacy</v>
          </cell>
          <cell r="AA285" t="str">
            <v>$500K-1M</v>
          </cell>
          <cell r="AB285" t="str">
            <v>2010 or before</v>
          </cell>
        </row>
        <row r="286">
          <cell r="E286">
            <v>566487.42000000004</v>
          </cell>
          <cell r="Z286" t="str">
            <v>Strategic</v>
          </cell>
          <cell r="AA286" t="str">
            <v>$500K-1M</v>
          </cell>
          <cell r="AB286">
            <v>2011</v>
          </cell>
        </row>
        <row r="287">
          <cell r="E287">
            <v>561140.44999999995</v>
          </cell>
          <cell r="Z287" t="str">
            <v>Legacy</v>
          </cell>
          <cell r="AA287" t="str">
            <v>$500K-1M</v>
          </cell>
          <cell r="AB287" t="str">
            <v>2010 or before</v>
          </cell>
        </row>
        <row r="288">
          <cell r="E288">
            <v>561081.69999999995</v>
          </cell>
          <cell r="Z288" t="str">
            <v>Legacy</v>
          </cell>
          <cell r="AA288" t="str">
            <v>$500K-1M</v>
          </cell>
          <cell r="AB288" t="str">
            <v>2010 or before</v>
          </cell>
        </row>
        <row r="289">
          <cell r="E289">
            <v>556007.96</v>
          </cell>
          <cell r="Z289" t="str">
            <v>Inbound</v>
          </cell>
          <cell r="AA289" t="str">
            <v>$500K-1M</v>
          </cell>
          <cell r="AB289">
            <v>2012</v>
          </cell>
        </row>
        <row r="290">
          <cell r="E290">
            <v>553704.27</v>
          </cell>
          <cell r="Z290" t="str">
            <v>Legacy</v>
          </cell>
          <cell r="AA290" t="str">
            <v>$500K-1M</v>
          </cell>
          <cell r="AB290" t="str">
            <v>2010 or before</v>
          </cell>
        </row>
        <row r="291">
          <cell r="E291">
            <v>552699.74</v>
          </cell>
          <cell r="Z291" t="str">
            <v>Legacy</v>
          </cell>
          <cell r="AA291" t="str">
            <v>$500K-1M</v>
          </cell>
          <cell r="AB291" t="str">
            <v>2010 or before</v>
          </cell>
        </row>
        <row r="292">
          <cell r="E292">
            <v>551426.67000000004</v>
          </cell>
          <cell r="Z292" t="str">
            <v>Legacy</v>
          </cell>
          <cell r="AA292" t="str">
            <v>$500K-1M</v>
          </cell>
          <cell r="AB292" t="str">
            <v>2010 or before</v>
          </cell>
        </row>
        <row r="293">
          <cell r="E293">
            <v>550769.32999999996</v>
          </cell>
          <cell r="Z293" t="str">
            <v>Legacy</v>
          </cell>
          <cell r="AA293" t="str">
            <v>$500K-1M</v>
          </cell>
          <cell r="AB293" t="str">
            <v>2010 or before</v>
          </cell>
        </row>
        <row r="294">
          <cell r="E294">
            <v>550239.86</v>
          </cell>
          <cell r="Z294" t="str">
            <v>Ungating</v>
          </cell>
          <cell r="AA294" t="str">
            <v>$500K-1M</v>
          </cell>
          <cell r="AB294">
            <v>2012</v>
          </cell>
        </row>
        <row r="295">
          <cell r="E295">
            <v>545259.18999999994</v>
          </cell>
          <cell r="Z295" t="str">
            <v>Inbound</v>
          </cell>
          <cell r="AA295" t="str">
            <v>$500K-1M</v>
          </cell>
          <cell r="AB295">
            <v>2011</v>
          </cell>
        </row>
        <row r="296">
          <cell r="E296">
            <v>535545.23</v>
          </cell>
          <cell r="Z296" t="str">
            <v>Legacy</v>
          </cell>
          <cell r="AA296" t="str">
            <v>$500K-1M</v>
          </cell>
          <cell r="AB296" t="str">
            <v>2010 or before</v>
          </cell>
        </row>
        <row r="297">
          <cell r="E297">
            <v>535423.49</v>
          </cell>
          <cell r="Z297" t="str">
            <v>Legacy</v>
          </cell>
          <cell r="AA297" t="str">
            <v>$500K-1M</v>
          </cell>
          <cell r="AB297" t="str">
            <v>2010 or before</v>
          </cell>
        </row>
        <row r="298">
          <cell r="E298">
            <v>532816.62</v>
          </cell>
          <cell r="Z298" t="str">
            <v>Legacy</v>
          </cell>
          <cell r="AA298" t="str">
            <v>$500K-1M</v>
          </cell>
          <cell r="AB298" t="str">
            <v>2010 or before</v>
          </cell>
        </row>
        <row r="299">
          <cell r="E299">
            <v>532627.19999999995</v>
          </cell>
          <cell r="Z299" t="str">
            <v>Legacy</v>
          </cell>
          <cell r="AA299" t="str">
            <v>$500K-1M</v>
          </cell>
          <cell r="AB299" t="str">
            <v>2010 or before</v>
          </cell>
        </row>
        <row r="300">
          <cell r="E300">
            <v>531320.15</v>
          </cell>
          <cell r="Z300" t="str">
            <v>Inbound</v>
          </cell>
          <cell r="AA300" t="str">
            <v>$500K-1M</v>
          </cell>
          <cell r="AB300">
            <v>2012</v>
          </cell>
        </row>
        <row r="301">
          <cell r="E301">
            <v>531300.64</v>
          </cell>
          <cell r="Z301" t="str">
            <v>Legacy</v>
          </cell>
          <cell r="AA301" t="str">
            <v>$500K-1M</v>
          </cell>
          <cell r="AB301" t="str">
            <v>2010 or before</v>
          </cell>
        </row>
        <row r="302">
          <cell r="E302">
            <v>528242.65</v>
          </cell>
          <cell r="Z302" t="str">
            <v>Ungating</v>
          </cell>
          <cell r="AA302" t="str">
            <v>$500K-1M</v>
          </cell>
          <cell r="AB302">
            <v>2012</v>
          </cell>
        </row>
        <row r="303">
          <cell r="E303">
            <v>525833.15</v>
          </cell>
          <cell r="Z303" t="str">
            <v>Legacy</v>
          </cell>
          <cell r="AA303" t="str">
            <v>$500K-1M</v>
          </cell>
          <cell r="AB303" t="str">
            <v>2010 or before</v>
          </cell>
        </row>
        <row r="304">
          <cell r="E304">
            <v>525813.05000000005</v>
          </cell>
          <cell r="Z304" t="str">
            <v>Legacy</v>
          </cell>
          <cell r="AA304" t="str">
            <v>$500K-1M</v>
          </cell>
          <cell r="AB304" t="str">
            <v>2010 or before</v>
          </cell>
        </row>
        <row r="305">
          <cell r="E305">
            <v>524377.94999999995</v>
          </cell>
          <cell r="Z305" t="str">
            <v>Ungating</v>
          </cell>
          <cell r="AA305" t="str">
            <v>$500K-1M</v>
          </cell>
          <cell r="AB305">
            <v>2011</v>
          </cell>
        </row>
        <row r="306">
          <cell r="E306">
            <v>523497.32</v>
          </cell>
          <cell r="Z306" t="str">
            <v>Legacy</v>
          </cell>
          <cell r="AA306" t="str">
            <v>$500K-1M</v>
          </cell>
          <cell r="AB306" t="str">
            <v>2010 or before</v>
          </cell>
        </row>
        <row r="307">
          <cell r="E307">
            <v>516772.84</v>
          </cell>
          <cell r="Z307" t="str">
            <v>Legacy</v>
          </cell>
          <cell r="AA307" t="str">
            <v>$500K-1M</v>
          </cell>
          <cell r="AB307" t="str">
            <v>2010 or before</v>
          </cell>
        </row>
        <row r="308">
          <cell r="E308">
            <v>514483.34</v>
          </cell>
          <cell r="Z308" t="str">
            <v>Inbound</v>
          </cell>
          <cell r="AA308" t="str">
            <v>$500K-1M</v>
          </cell>
          <cell r="AB308">
            <v>2011</v>
          </cell>
        </row>
        <row r="309">
          <cell r="E309">
            <v>511937.17</v>
          </cell>
          <cell r="Z309" t="str">
            <v>Legacy</v>
          </cell>
          <cell r="AA309" t="str">
            <v>$500K-1M</v>
          </cell>
          <cell r="AB309" t="str">
            <v>2010 or before</v>
          </cell>
        </row>
        <row r="310">
          <cell r="E310">
            <v>509996.9</v>
          </cell>
          <cell r="Z310" t="str">
            <v>Legacy</v>
          </cell>
          <cell r="AA310" t="str">
            <v>$500K-1M</v>
          </cell>
          <cell r="AB310" t="str">
            <v>2010 or before</v>
          </cell>
        </row>
        <row r="311">
          <cell r="E311">
            <v>507023.95</v>
          </cell>
          <cell r="Z311" t="str">
            <v>Ungating</v>
          </cell>
          <cell r="AA311" t="str">
            <v>$500K-1M</v>
          </cell>
          <cell r="AB311">
            <v>2012</v>
          </cell>
        </row>
        <row r="312">
          <cell r="E312">
            <v>503412.8</v>
          </cell>
          <cell r="Z312" t="str">
            <v>Strategic</v>
          </cell>
          <cell r="AA312" t="str">
            <v>$500K-1M</v>
          </cell>
          <cell r="AB312">
            <v>2012</v>
          </cell>
        </row>
        <row r="313">
          <cell r="E313">
            <v>502976.62</v>
          </cell>
          <cell r="Z313" t="str">
            <v>Legacy</v>
          </cell>
          <cell r="AA313" t="str">
            <v>$500K-1M</v>
          </cell>
          <cell r="AB313" t="str">
            <v>2010 or before</v>
          </cell>
        </row>
        <row r="314">
          <cell r="E314">
            <v>501929.84</v>
          </cell>
          <cell r="Z314" t="str">
            <v>Legacy</v>
          </cell>
          <cell r="AA314" t="str">
            <v>$500K-1M</v>
          </cell>
          <cell r="AB314" t="str">
            <v>2010 or before</v>
          </cell>
        </row>
        <row r="315">
          <cell r="E315">
            <v>500993.75</v>
          </cell>
          <cell r="Z315" t="str">
            <v>Legacy</v>
          </cell>
          <cell r="AA315" t="str">
            <v>$500K-1M</v>
          </cell>
          <cell r="AB315" t="str">
            <v>2010 or before</v>
          </cell>
        </row>
        <row r="316">
          <cell r="E316">
            <v>500607.3</v>
          </cell>
          <cell r="Z316" t="str">
            <v>Legacy</v>
          </cell>
          <cell r="AA316" t="str">
            <v>$500K-1M</v>
          </cell>
          <cell r="AB316" t="str">
            <v>2010 or before</v>
          </cell>
        </row>
        <row r="317">
          <cell r="E317">
            <v>497602.45</v>
          </cell>
          <cell r="Z317" t="str">
            <v>Legacy</v>
          </cell>
          <cell r="AA317" t="str">
            <v>$100K-$500K</v>
          </cell>
          <cell r="AB317" t="str">
            <v>2010 or before</v>
          </cell>
        </row>
        <row r="318">
          <cell r="E318">
            <v>496661.38</v>
          </cell>
          <cell r="Z318" t="str">
            <v>Legacy</v>
          </cell>
          <cell r="AA318" t="str">
            <v>$100K-$500K</v>
          </cell>
          <cell r="AB318" t="str">
            <v>2010 or before</v>
          </cell>
        </row>
        <row r="319">
          <cell r="E319">
            <v>496520.82</v>
          </cell>
          <cell r="Z319" t="str">
            <v>Inbound</v>
          </cell>
          <cell r="AA319" t="str">
            <v>$100K-$500K</v>
          </cell>
          <cell r="AB319">
            <v>2012</v>
          </cell>
        </row>
        <row r="320">
          <cell r="E320">
            <v>495285.96</v>
          </cell>
          <cell r="Z320" t="str">
            <v>Inbound</v>
          </cell>
          <cell r="AA320" t="str">
            <v>$100K-$500K</v>
          </cell>
          <cell r="AB320">
            <v>2011</v>
          </cell>
        </row>
        <row r="321">
          <cell r="E321">
            <v>492991.37</v>
          </cell>
          <cell r="Z321" t="str">
            <v>Legacy</v>
          </cell>
          <cell r="AA321" t="str">
            <v>$100K-$500K</v>
          </cell>
          <cell r="AB321" t="str">
            <v>2010 or before</v>
          </cell>
        </row>
        <row r="322">
          <cell r="E322">
            <v>486803.36</v>
          </cell>
          <cell r="Z322" t="str">
            <v>Inbound</v>
          </cell>
          <cell r="AA322" t="str">
            <v>$100K-$500K</v>
          </cell>
          <cell r="AB322">
            <v>2011</v>
          </cell>
        </row>
        <row r="323">
          <cell r="E323">
            <v>486289.5</v>
          </cell>
          <cell r="Z323" t="str">
            <v>Legacy</v>
          </cell>
          <cell r="AA323" t="str">
            <v>$100K-$500K</v>
          </cell>
          <cell r="AB323" t="str">
            <v>2010 or before</v>
          </cell>
        </row>
        <row r="324">
          <cell r="E324">
            <v>483742.29</v>
          </cell>
          <cell r="Z324" t="str">
            <v>Legacy</v>
          </cell>
          <cell r="AA324" t="str">
            <v>$100K-$500K</v>
          </cell>
          <cell r="AB324" t="str">
            <v>2010 or before</v>
          </cell>
        </row>
        <row r="325">
          <cell r="E325">
            <v>483655.37</v>
          </cell>
          <cell r="Z325" t="str">
            <v>Legacy</v>
          </cell>
          <cell r="AA325" t="str">
            <v>$100K-$500K</v>
          </cell>
          <cell r="AB325" t="str">
            <v>2010 or before</v>
          </cell>
        </row>
        <row r="326">
          <cell r="E326">
            <v>478798.16</v>
          </cell>
          <cell r="Z326" t="str">
            <v>Legacy</v>
          </cell>
          <cell r="AA326" t="str">
            <v>$100K-$500K</v>
          </cell>
          <cell r="AB326" t="str">
            <v>2010 or before</v>
          </cell>
        </row>
        <row r="327">
          <cell r="E327">
            <v>477925.84</v>
          </cell>
          <cell r="Z327" t="str">
            <v>Strategic</v>
          </cell>
          <cell r="AA327" t="str">
            <v>$100K-$500K</v>
          </cell>
          <cell r="AB327">
            <v>2011</v>
          </cell>
        </row>
        <row r="328">
          <cell r="E328">
            <v>475894.9</v>
          </cell>
          <cell r="Z328" t="str">
            <v>Legacy</v>
          </cell>
          <cell r="AA328" t="str">
            <v>$100K-$500K</v>
          </cell>
          <cell r="AB328" t="str">
            <v>2010 or before</v>
          </cell>
        </row>
        <row r="329">
          <cell r="E329">
            <v>470156.6</v>
          </cell>
          <cell r="Z329" t="str">
            <v>Ungating</v>
          </cell>
          <cell r="AA329" t="str">
            <v>$100K-$500K</v>
          </cell>
          <cell r="AB329">
            <v>2011</v>
          </cell>
        </row>
        <row r="330">
          <cell r="E330">
            <v>468225.16</v>
          </cell>
          <cell r="Z330" t="str">
            <v>Inbound</v>
          </cell>
          <cell r="AA330" t="str">
            <v>$100K-$500K</v>
          </cell>
          <cell r="AB330">
            <v>2012</v>
          </cell>
        </row>
        <row r="331">
          <cell r="E331">
            <v>466415.49</v>
          </cell>
          <cell r="Z331" t="str">
            <v>Inbound</v>
          </cell>
          <cell r="AA331" t="str">
            <v>$100K-$500K</v>
          </cell>
          <cell r="AB331">
            <v>2011</v>
          </cell>
        </row>
        <row r="332">
          <cell r="E332">
            <v>457889.6</v>
          </cell>
          <cell r="Z332" t="str">
            <v>Legacy</v>
          </cell>
          <cell r="AA332" t="str">
            <v>$100K-$500K</v>
          </cell>
          <cell r="AB332" t="str">
            <v>2010 or before</v>
          </cell>
        </row>
        <row r="333">
          <cell r="E333">
            <v>456836.18</v>
          </cell>
          <cell r="Z333" t="str">
            <v>Legacy</v>
          </cell>
          <cell r="AA333" t="str">
            <v>$100K-$500K</v>
          </cell>
          <cell r="AB333" t="str">
            <v>2010 or before</v>
          </cell>
        </row>
        <row r="334">
          <cell r="E334">
            <v>456771.76</v>
          </cell>
          <cell r="Z334" t="str">
            <v>Legacy</v>
          </cell>
          <cell r="AA334" t="str">
            <v>$100K-$500K</v>
          </cell>
          <cell r="AB334" t="str">
            <v>2010 or before</v>
          </cell>
        </row>
        <row r="335">
          <cell r="E335">
            <v>454720.33</v>
          </cell>
          <cell r="Z335" t="str">
            <v>Legacy</v>
          </cell>
          <cell r="AA335" t="str">
            <v>$100K-$500K</v>
          </cell>
          <cell r="AB335" t="str">
            <v>2010 or before</v>
          </cell>
        </row>
        <row r="336">
          <cell r="E336">
            <v>454112.03</v>
          </cell>
          <cell r="Z336" t="str">
            <v>Legacy</v>
          </cell>
          <cell r="AA336" t="str">
            <v>$100K-$500K</v>
          </cell>
          <cell r="AB336" t="str">
            <v>2010 or before</v>
          </cell>
        </row>
        <row r="337">
          <cell r="E337">
            <v>451108.29</v>
          </cell>
          <cell r="Z337" t="str">
            <v>Global</v>
          </cell>
          <cell r="AA337" t="str">
            <v>$100K-$500K</v>
          </cell>
          <cell r="AB337">
            <v>2012</v>
          </cell>
        </row>
        <row r="338">
          <cell r="E338">
            <v>450885.26</v>
          </cell>
          <cell r="Z338" t="str">
            <v>Legacy</v>
          </cell>
          <cell r="AA338" t="str">
            <v>$100K-$500K</v>
          </cell>
          <cell r="AB338" t="str">
            <v>2010 or before</v>
          </cell>
        </row>
        <row r="339">
          <cell r="E339">
            <v>448146.54</v>
          </cell>
          <cell r="Z339" t="str">
            <v>Legacy</v>
          </cell>
          <cell r="AA339" t="str">
            <v>$100K-$500K</v>
          </cell>
          <cell r="AB339" t="str">
            <v>2010 or before</v>
          </cell>
        </row>
        <row r="340">
          <cell r="E340">
            <v>446881.75</v>
          </cell>
          <cell r="Z340" t="str">
            <v>Legacy</v>
          </cell>
          <cell r="AA340" t="str">
            <v>$100K-$500K</v>
          </cell>
          <cell r="AB340" t="str">
            <v>2010 or before</v>
          </cell>
        </row>
        <row r="341">
          <cell r="E341">
            <v>446837.51</v>
          </cell>
          <cell r="Z341" t="str">
            <v>Legacy</v>
          </cell>
          <cell r="AA341" t="str">
            <v>$100K-$500K</v>
          </cell>
          <cell r="AB341" t="str">
            <v>2010 or before</v>
          </cell>
        </row>
        <row r="342">
          <cell r="E342">
            <v>446432.18</v>
          </cell>
          <cell r="Z342" t="str">
            <v>Strategic</v>
          </cell>
          <cell r="AA342" t="str">
            <v>$100K-$500K</v>
          </cell>
          <cell r="AB342">
            <v>2011</v>
          </cell>
        </row>
        <row r="343">
          <cell r="E343">
            <v>443251.24</v>
          </cell>
          <cell r="Z343" t="str">
            <v>Ungating</v>
          </cell>
          <cell r="AA343" t="str">
            <v>$100K-$500K</v>
          </cell>
          <cell r="AB343">
            <v>2011</v>
          </cell>
        </row>
        <row r="344">
          <cell r="E344">
            <v>440079.95</v>
          </cell>
          <cell r="Z344" t="str">
            <v>Legacy</v>
          </cell>
          <cell r="AA344" t="str">
            <v>$100K-$500K</v>
          </cell>
          <cell r="AB344" t="str">
            <v>2010 or before</v>
          </cell>
        </row>
        <row r="345">
          <cell r="E345">
            <v>438228.82</v>
          </cell>
          <cell r="Z345" t="str">
            <v>Legacy</v>
          </cell>
          <cell r="AA345" t="str">
            <v>$100K-$500K</v>
          </cell>
          <cell r="AB345" t="str">
            <v>2010 or before</v>
          </cell>
        </row>
        <row r="346">
          <cell r="E346">
            <v>436969.65</v>
          </cell>
          <cell r="Z346" t="str">
            <v>Legacy</v>
          </cell>
          <cell r="AA346" t="str">
            <v>$100K-$500K</v>
          </cell>
          <cell r="AB346" t="str">
            <v>2010 or before</v>
          </cell>
        </row>
        <row r="347">
          <cell r="E347">
            <v>435817.77</v>
          </cell>
          <cell r="Z347" t="str">
            <v>Legacy</v>
          </cell>
          <cell r="AA347" t="str">
            <v>$100K-$500K</v>
          </cell>
          <cell r="AB347" t="str">
            <v>2010 or before</v>
          </cell>
        </row>
        <row r="348">
          <cell r="E348">
            <v>435556.77</v>
          </cell>
          <cell r="Z348" t="str">
            <v>Ungating</v>
          </cell>
          <cell r="AA348" t="str">
            <v>$100K-$500K</v>
          </cell>
          <cell r="AB348">
            <v>2012</v>
          </cell>
        </row>
        <row r="349">
          <cell r="E349">
            <v>435003.05</v>
          </cell>
          <cell r="Z349" t="str">
            <v>Legacy</v>
          </cell>
          <cell r="AA349" t="str">
            <v>$100K-$500K</v>
          </cell>
          <cell r="AB349" t="str">
            <v>2010 or before</v>
          </cell>
        </row>
        <row r="350">
          <cell r="E350">
            <v>433547.92</v>
          </cell>
          <cell r="Z350" t="str">
            <v>Inbound</v>
          </cell>
          <cell r="AA350" t="str">
            <v>$100K-$500K</v>
          </cell>
          <cell r="AB350">
            <v>2012</v>
          </cell>
        </row>
        <row r="351">
          <cell r="E351">
            <v>433217.97</v>
          </cell>
          <cell r="Z351" t="str">
            <v>Legacy</v>
          </cell>
          <cell r="AA351" t="str">
            <v>$100K-$500K</v>
          </cell>
          <cell r="AB351" t="str">
            <v>2010 or before</v>
          </cell>
        </row>
        <row r="352">
          <cell r="E352">
            <v>431489.9</v>
          </cell>
          <cell r="Z352" t="str">
            <v>Ungating</v>
          </cell>
          <cell r="AA352" t="str">
            <v>$100K-$500K</v>
          </cell>
          <cell r="AB352">
            <v>2011</v>
          </cell>
        </row>
        <row r="353">
          <cell r="E353">
            <v>428157.38</v>
          </cell>
          <cell r="Z353" t="str">
            <v>Ungating</v>
          </cell>
          <cell r="AA353" t="str">
            <v>$100K-$500K</v>
          </cell>
          <cell r="AB353">
            <v>2012</v>
          </cell>
        </row>
        <row r="354">
          <cell r="E354">
            <v>427983.93</v>
          </cell>
          <cell r="Z354" t="str">
            <v>Legacy</v>
          </cell>
          <cell r="AA354" t="str">
            <v>$100K-$500K</v>
          </cell>
          <cell r="AB354" t="str">
            <v>2010 or before</v>
          </cell>
        </row>
        <row r="355">
          <cell r="E355">
            <v>427753.23</v>
          </cell>
          <cell r="Z355" t="str">
            <v>Ungating</v>
          </cell>
          <cell r="AA355" t="str">
            <v>$100K-$500K</v>
          </cell>
          <cell r="AB355">
            <v>2012</v>
          </cell>
        </row>
        <row r="356">
          <cell r="E356">
            <v>426896.41</v>
          </cell>
          <cell r="Z356" t="str">
            <v>Legacy</v>
          </cell>
          <cell r="AA356" t="str">
            <v>$100K-$500K</v>
          </cell>
          <cell r="AB356" t="str">
            <v>2010 or before</v>
          </cell>
        </row>
        <row r="357">
          <cell r="E357">
            <v>425966.04</v>
          </cell>
          <cell r="Z357" t="str">
            <v>Inbound</v>
          </cell>
          <cell r="AA357" t="str">
            <v>$100K-$500K</v>
          </cell>
          <cell r="AB357">
            <v>2011</v>
          </cell>
        </row>
        <row r="358">
          <cell r="E358">
            <v>425686.76</v>
          </cell>
          <cell r="Z358" t="str">
            <v>Legacy</v>
          </cell>
          <cell r="AA358" t="str">
            <v>$100K-$500K</v>
          </cell>
          <cell r="AB358" t="str">
            <v>2010 or before</v>
          </cell>
        </row>
        <row r="359">
          <cell r="E359">
            <v>424270.69</v>
          </cell>
          <cell r="Z359" t="str">
            <v>Legacy</v>
          </cell>
          <cell r="AA359" t="str">
            <v>$100K-$500K</v>
          </cell>
          <cell r="AB359" t="str">
            <v>2010 or before</v>
          </cell>
        </row>
        <row r="360">
          <cell r="E360">
            <v>423614.73</v>
          </cell>
          <cell r="Z360" t="str">
            <v>Legacy</v>
          </cell>
          <cell r="AA360" t="str">
            <v>$100K-$500K</v>
          </cell>
          <cell r="AB360" t="str">
            <v>2010 or before</v>
          </cell>
        </row>
        <row r="361">
          <cell r="E361">
            <v>422279.34</v>
          </cell>
          <cell r="Z361" t="str">
            <v>Legacy</v>
          </cell>
          <cell r="AA361" t="str">
            <v>$100K-$500K</v>
          </cell>
          <cell r="AB361" t="str">
            <v>2010 or before</v>
          </cell>
        </row>
        <row r="362">
          <cell r="E362">
            <v>421821.44</v>
          </cell>
          <cell r="Z362" t="str">
            <v>Strategic</v>
          </cell>
          <cell r="AA362" t="str">
            <v>$100K-$500K</v>
          </cell>
          <cell r="AB362">
            <v>2011</v>
          </cell>
        </row>
        <row r="363">
          <cell r="E363">
            <v>421105.08</v>
          </cell>
          <cell r="Z363" t="str">
            <v>Legacy</v>
          </cell>
          <cell r="AA363" t="str">
            <v>$100K-$500K</v>
          </cell>
          <cell r="AB363">
            <v>2011</v>
          </cell>
        </row>
        <row r="364">
          <cell r="E364">
            <v>420659.38</v>
          </cell>
          <cell r="Z364" t="str">
            <v>Legacy</v>
          </cell>
          <cell r="AA364" t="str">
            <v>$100K-$500K</v>
          </cell>
          <cell r="AB364" t="str">
            <v>2010 or before</v>
          </cell>
        </row>
        <row r="365">
          <cell r="E365">
            <v>420545.79</v>
          </cell>
          <cell r="Z365" t="str">
            <v>Legacy</v>
          </cell>
          <cell r="AA365" t="str">
            <v>$100K-$500K</v>
          </cell>
          <cell r="AB365" t="str">
            <v>2010 or before</v>
          </cell>
        </row>
        <row r="366">
          <cell r="E366">
            <v>419562.44</v>
          </cell>
          <cell r="Z366" t="str">
            <v>Legacy</v>
          </cell>
          <cell r="AA366" t="str">
            <v>$100K-$500K</v>
          </cell>
          <cell r="AB366" t="str">
            <v>2010 or before</v>
          </cell>
        </row>
        <row r="367">
          <cell r="E367">
            <v>419198.78</v>
          </cell>
          <cell r="Z367" t="str">
            <v>Legacy</v>
          </cell>
          <cell r="AA367" t="str">
            <v>$100K-$500K</v>
          </cell>
          <cell r="AB367" t="str">
            <v>2010 or before</v>
          </cell>
        </row>
        <row r="368">
          <cell r="E368">
            <v>417651.92</v>
          </cell>
          <cell r="Z368" t="str">
            <v>Legacy</v>
          </cell>
          <cell r="AA368" t="str">
            <v>$100K-$500K</v>
          </cell>
          <cell r="AB368" t="str">
            <v>2010 or before</v>
          </cell>
        </row>
        <row r="369">
          <cell r="E369">
            <v>417636.02</v>
          </cell>
          <cell r="Z369" t="str">
            <v>Legacy</v>
          </cell>
          <cell r="AA369" t="str">
            <v>$100K-$500K</v>
          </cell>
          <cell r="AB369" t="str">
            <v>2010 or before</v>
          </cell>
        </row>
        <row r="370">
          <cell r="E370">
            <v>416627.71</v>
          </cell>
          <cell r="Z370" t="str">
            <v>Ungating</v>
          </cell>
          <cell r="AA370" t="str">
            <v>$100K-$500K</v>
          </cell>
          <cell r="AB370">
            <v>2011</v>
          </cell>
        </row>
        <row r="371">
          <cell r="E371">
            <v>414739.52</v>
          </cell>
          <cell r="Z371" t="str">
            <v>Legacy</v>
          </cell>
          <cell r="AA371" t="str">
            <v>$100K-$500K</v>
          </cell>
          <cell r="AB371" t="str">
            <v>2010 or before</v>
          </cell>
        </row>
        <row r="372">
          <cell r="E372">
            <v>413440.74</v>
          </cell>
          <cell r="Z372" t="str">
            <v>Strategic</v>
          </cell>
          <cell r="AA372" t="str">
            <v>$100K-$500K</v>
          </cell>
          <cell r="AB372">
            <v>2012</v>
          </cell>
        </row>
        <row r="373">
          <cell r="E373">
            <v>412390.05</v>
          </cell>
          <cell r="Z373" t="str">
            <v>Legacy</v>
          </cell>
          <cell r="AA373" t="str">
            <v>$100K-$500K</v>
          </cell>
          <cell r="AB373" t="str">
            <v>2010 or before</v>
          </cell>
        </row>
        <row r="374">
          <cell r="E374">
            <v>410670.88</v>
          </cell>
          <cell r="Z374" t="str">
            <v>Legacy</v>
          </cell>
          <cell r="AA374" t="str">
            <v>$100K-$500K</v>
          </cell>
          <cell r="AB374" t="str">
            <v>2010 or before</v>
          </cell>
        </row>
        <row r="375">
          <cell r="E375">
            <v>410570.91</v>
          </cell>
          <cell r="Z375" t="str">
            <v>Legacy</v>
          </cell>
          <cell r="AA375" t="str">
            <v>$100K-$500K</v>
          </cell>
          <cell r="AB375" t="str">
            <v>2010 or before</v>
          </cell>
        </row>
        <row r="376">
          <cell r="E376">
            <v>408999.86</v>
          </cell>
          <cell r="Z376" t="str">
            <v>Ungating</v>
          </cell>
          <cell r="AA376" t="str">
            <v>$100K-$500K</v>
          </cell>
          <cell r="AB376">
            <v>2012</v>
          </cell>
        </row>
        <row r="377">
          <cell r="E377">
            <v>404831.54</v>
          </cell>
          <cell r="Z377" t="str">
            <v>Legacy</v>
          </cell>
          <cell r="AA377" t="str">
            <v>$100K-$500K</v>
          </cell>
          <cell r="AB377" t="str">
            <v>2010 or before</v>
          </cell>
        </row>
        <row r="378">
          <cell r="E378">
            <v>399540.66</v>
          </cell>
          <cell r="Z378" t="str">
            <v>Legacy</v>
          </cell>
          <cell r="AA378" t="str">
            <v>$100K-$500K</v>
          </cell>
          <cell r="AB378" t="str">
            <v>2010 or before</v>
          </cell>
        </row>
        <row r="379">
          <cell r="E379">
            <v>399479.35</v>
          </cell>
          <cell r="Z379" t="str">
            <v>Legacy</v>
          </cell>
          <cell r="AA379" t="str">
            <v>$100K-$500K</v>
          </cell>
          <cell r="AB379" t="str">
            <v>2010 or before</v>
          </cell>
        </row>
        <row r="380">
          <cell r="E380">
            <v>396999.67</v>
          </cell>
          <cell r="Z380" t="str">
            <v>Ungating</v>
          </cell>
          <cell r="AA380" t="str">
            <v>$100K-$500K</v>
          </cell>
          <cell r="AB380">
            <v>2012</v>
          </cell>
        </row>
        <row r="381">
          <cell r="E381">
            <v>396451.38</v>
          </cell>
          <cell r="Z381" t="str">
            <v>Inbound</v>
          </cell>
          <cell r="AA381" t="str">
            <v>$100K-$500K</v>
          </cell>
          <cell r="AB381">
            <v>2012</v>
          </cell>
        </row>
        <row r="382">
          <cell r="E382">
            <v>394526.73</v>
          </cell>
          <cell r="Z382" t="str">
            <v>Legacy</v>
          </cell>
          <cell r="AA382" t="str">
            <v>$100K-$500K</v>
          </cell>
          <cell r="AB382" t="str">
            <v>2010 or before</v>
          </cell>
        </row>
        <row r="383">
          <cell r="E383">
            <v>392901.73</v>
          </cell>
          <cell r="Z383" t="str">
            <v>Legacy</v>
          </cell>
          <cell r="AA383" t="str">
            <v>$100K-$500K</v>
          </cell>
          <cell r="AB383" t="str">
            <v>2010 or before</v>
          </cell>
        </row>
        <row r="384">
          <cell r="E384">
            <v>392716.78</v>
          </cell>
          <cell r="Z384" t="str">
            <v>Legacy</v>
          </cell>
          <cell r="AA384" t="str">
            <v>$100K-$500K</v>
          </cell>
          <cell r="AB384" t="str">
            <v>2010 or before</v>
          </cell>
        </row>
        <row r="385">
          <cell r="E385">
            <v>388802.27</v>
          </cell>
          <cell r="Z385" t="str">
            <v>Legacy</v>
          </cell>
          <cell r="AA385" t="str">
            <v>$100K-$500K</v>
          </cell>
          <cell r="AB385" t="str">
            <v>2010 or before</v>
          </cell>
        </row>
        <row r="386">
          <cell r="E386">
            <v>386454.12</v>
          </cell>
          <cell r="Z386" t="str">
            <v>Legacy</v>
          </cell>
          <cell r="AA386" t="str">
            <v>$100K-$500K</v>
          </cell>
          <cell r="AB386" t="str">
            <v>2010 or before</v>
          </cell>
        </row>
        <row r="387">
          <cell r="E387">
            <v>385742.8</v>
          </cell>
          <cell r="Z387" t="str">
            <v>Inbound</v>
          </cell>
          <cell r="AA387" t="str">
            <v>$100K-$500K</v>
          </cell>
          <cell r="AB387">
            <v>2011</v>
          </cell>
        </row>
        <row r="388">
          <cell r="E388">
            <v>384890.67</v>
          </cell>
          <cell r="Z388" t="str">
            <v>Legacy</v>
          </cell>
          <cell r="AA388" t="str">
            <v>$100K-$500K</v>
          </cell>
          <cell r="AB388" t="str">
            <v>2010 or before</v>
          </cell>
        </row>
        <row r="389">
          <cell r="E389">
            <v>384581.33</v>
          </cell>
          <cell r="Z389" t="str">
            <v>Legacy</v>
          </cell>
          <cell r="AA389" t="str">
            <v>$100K-$500K</v>
          </cell>
          <cell r="AB389" t="str">
            <v>2010 or before</v>
          </cell>
        </row>
        <row r="390">
          <cell r="E390">
            <v>379631.11</v>
          </cell>
          <cell r="Z390" t="str">
            <v>Legacy</v>
          </cell>
          <cell r="AA390" t="str">
            <v>$100K-$500K</v>
          </cell>
          <cell r="AB390" t="str">
            <v>2010 or before</v>
          </cell>
        </row>
        <row r="391">
          <cell r="E391">
            <v>378721.69</v>
          </cell>
          <cell r="Z391" t="str">
            <v>Inbound</v>
          </cell>
          <cell r="AA391" t="str">
            <v>$100K-$500K</v>
          </cell>
          <cell r="AB391">
            <v>2012</v>
          </cell>
        </row>
        <row r="392">
          <cell r="E392">
            <v>378255.48</v>
          </cell>
          <cell r="Z392" t="str">
            <v>Legacy</v>
          </cell>
          <cell r="AA392" t="str">
            <v>$100K-$500K</v>
          </cell>
          <cell r="AB392" t="str">
            <v>2010 or before</v>
          </cell>
        </row>
        <row r="393">
          <cell r="E393">
            <v>377699.29</v>
          </cell>
          <cell r="Z393" t="str">
            <v>Ungating</v>
          </cell>
          <cell r="AA393" t="str">
            <v>$100K-$500K</v>
          </cell>
          <cell r="AB393">
            <v>2011</v>
          </cell>
        </row>
        <row r="394">
          <cell r="E394">
            <v>377568.25</v>
          </cell>
          <cell r="Z394" t="str">
            <v>Legacy</v>
          </cell>
          <cell r="AA394" t="str">
            <v>$100K-$500K</v>
          </cell>
          <cell r="AB394" t="str">
            <v>2010 or before</v>
          </cell>
        </row>
        <row r="395">
          <cell r="E395">
            <v>375744.51</v>
          </cell>
          <cell r="Z395" t="str">
            <v>Legacy</v>
          </cell>
          <cell r="AA395" t="str">
            <v>$100K-$500K</v>
          </cell>
          <cell r="AB395" t="str">
            <v>2010 or before</v>
          </cell>
        </row>
        <row r="396">
          <cell r="E396">
            <v>373403.31</v>
          </cell>
          <cell r="Z396" t="str">
            <v>Ungating</v>
          </cell>
          <cell r="AA396" t="str">
            <v>$100K-$500K</v>
          </cell>
          <cell r="AB396">
            <v>2011</v>
          </cell>
        </row>
        <row r="397">
          <cell r="E397">
            <v>370233.63</v>
          </cell>
          <cell r="Z397" t="str">
            <v>Strategic</v>
          </cell>
          <cell r="AA397" t="str">
            <v>$100K-$500K</v>
          </cell>
          <cell r="AB397">
            <v>2011</v>
          </cell>
        </row>
        <row r="398">
          <cell r="E398">
            <v>370220.56</v>
          </cell>
          <cell r="Z398" t="str">
            <v>Legacy</v>
          </cell>
          <cell r="AA398" t="str">
            <v>$100K-$500K</v>
          </cell>
          <cell r="AB398" t="str">
            <v>2010 or before</v>
          </cell>
        </row>
        <row r="399">
          <cell r="E399">
            <v>369409.29</v>
          </cell>
          <cell r="Z399" t="str">
            <v>Inbound</v>
          </cell>
          <cell r="AA399" t="str">
            <v>$100K-$500K</v>
          </cell>
          <cell r="AB399">
            <v>2011</v>
          </cell>
        </row>
        <row r="400">
          <cell r="E400">
            <v>369239.27</v>
          </cell>
          <cell r="Z400" t="str">
            <v>Ungating</v>
          </cell>
          <cell r="AA400" t="str">
            <v>$100K-$500K</v>
          </cell>
          <cell r="AB400">
            <v>2011</v>
          </cell>
        </row>
        <row r="401">
          <cell r="E401">
            <v>367999.46</v>
          </cell>
          <cell r="Z401" t="str">
            <v>Ungating</v>
          </cell>
          <cell r="AA401" t="str">
            <v>$100K-$500K</v>
          </cell>
          <cell r="AB401">
            <v>2012</v>
          </cell>
        </row>
        <row r="402">
          <cell r="E402">
            <v>365839.29</v>
          </cell>
          <cell r="Z402" t="str">
            <v>Legacy</v>
          </cell>
          <cell r="AA402" t="str">
            <v>$100K-$500K</v>
          </cell>
          <cell r="AB402" t="str">
            <v>2010 or before</v>
          </cell>
        </row>
        <row r="403">
          <cell r="E403">
            <v>364617.57</v>
          </cell>
          <cell r="Z403" t="str">
            <v>Legacy</v>
          </cell>
          <cell r="AA403" t="str">
            <v>$100K-$500K</v>
          </cell>
          <cell r="AB403" t="str">
            <v>2010 or before</v>
          </cell>
        </row>
        <row r="404">
          <cell r="E404">
            <v>363666.58</v>
          </cell>
          <cell r="Z404" t="str">
            <v>Legacy</v>
          </cell>
          <cell r="AA404" t="str">
            <v>$100K-$500K</v>
          </cell>
          <cell r="AB404" t="str">
            <v>2010 or before</v>
          </cell>
        </row>
        <row r="405">
          <cell r="E405">
            <v>363360.43</v>
          </cell>
          <cell r="Z405" t="str">
            <v>Ungating</v>
          </cell>
          <cell r="AA405" t="str">
            <v>$100K-$500K</v>
          </cell>
          <cell r="AB405">
            <v>2012</v>
          </cell>
        </row>
        <row r="406">
          <cell r="E406">
            <v>362305.35</v>
          </cell>
          <cell r="Z406" t="str">
            <v>Legacy</v>
          </cell>
          <cell r="AA406" t="str">
            <v>$100K-$500K</v>
          </cell>
          <cell r="AB406" t="str">
            <v>2010 or before</v>
          </cell>
        </row>
        <row r="407">
          <cell r="E407">
            <v>362067.67</v>
          </cell>
          <cell r="Z407" t="str">
            <v>Legacy</v>
          </cell>
          <cell r="AA407" t="str">
            <v>$100K-$500K</v>
          </cell>
          <cell r="AB407" t="str">
            <v>2010 or before</v>
          </cell>
        </row>
        <row r="408">
          <cell r="E408">
            <v>360635.55</v>
          </cell>
          <cell r="Z408" t="str">
            <v>Legacy</v>
          </cell>
          <cell r="AA408" t="str">
            <v>$100K-$500K</v>
          </cell>
          <cell r="AB408" t="str">
            <v>2010 or before</v>
          </cell>
        </row>
        <row r="409">
          <cell r="E409">
            <v>359907.35</v>
          </cell>
          <cell r="Z409" t="str">
            <v>Inbound</v>
          </cell>
          <cell r="AA409" t="str">
            <v>$100K-$500K</v>
          </cell>
          <cell r="AB409">
            <v>2011</v>
          </cell>
        </row>
        <row r="410">
          <cell r="E410">
            <v>358946.4</v>
          </cell>
          <cell r="Z410" t="str">
            <v>Legacy</v>
          </cell>
          <cell r="AA410" t="str">
            <v>$100K-$500K</v>
          </cell>
          <cell r="AB410">
            <v>2011</v>
          </cell>
        </row>
        <row r="411">
          <cell r="E411">
            <v>358686.49</v>
          </cell>
          <cell r="Z411" t="str">
            <v>Legacy</v>
          </cell>
          <cell r="AA411" t="str">
            <v>$100K-$500K</v>
          </cell>
          <cell r="AB411" t="str">
            <v>2010 or before</v>
          </cell>
        </row>
        <row r="412">
          <cell r="E412">
            <v>357285.35</v>
          </cell>
          <cell r="Z412" t="str">
            <v>Legacy</v>
          </cell>
          <cell r="AA412" t="str">
            <v>$100K-$500K</v>
          </cell>
          <cell r="AB412" t="str">
            <v>2010 or before</v>
          </cell>
        </row>
        <row r="413">
          <cell r="E413">
            <v>357162.21</v>
          </cell>
          <cell r="Z413" t="str">
            <v>Legacy</v>
          </cell>
          <cell r="AA413" t="str">
            <v>$100K-$500K</v>
          </cell>
          <cell r="AB413" t="str">
            <v>2010 or before</v>
          </cell>
        </row>
        <row r="414">
          <cell r="E414">
            <v>356728.87</v>
          </cell>
          <cell r="Z414" t="str">
            <v>Legacy</v>
          </cell>
          <cell r="AA414" t="str">
            <v>$100K-$500K</v>
          </cell>
          <cell r="AB414" t="str">
            <v>2010 or before</v>
          </cell>
        </row>
        <row r="415">
          <cell r="E415">
            <v>355596.7</v>
          </cell>
          <cell r="Z415" t="str">
            <v>Legacy</v>
          </cell>
          <cell r="AA415" t="str">
            <v>$100K-$500K</v>
          </cell>
          <cell r="AB415" t="str">
            <v>2010 or before</v>
          </cell>
        </row>
        <row r="416">
          <cell r="E416">
            <v>355239.61</v>
          </cell>
          <cell r="Z416" t="str">
            <v>Ungating</v>
          </cell>
          <cell r="AA416" t="str">
            <v>$100K-$500K</v>
          </cell>
          <cell r="AB416">
            <v>2012</v>
          </cell>
        </row>
        <row r="417">
          <cell r="E417">
            <v>354302.39</v>
          </cell>
          <cell r="Z417" t="str">
            <v>Strategic</v>
          </cell>
          <cell r="AA417" t="str">
            <v>$100K-$500K</v>
          </cell>
          <cell r="AB417">
            <v>2011</v>
          </cell>
        </row>
        <row r="418">
          <cell r="E418">
            <v>352530.71</v>
          </cell>
          <cell r="Z418" t="str">
            <v>Legacy</v>
          </cell>
          <cell r="AA418" t="str">
            <v>$100K-$500K</v>
          </cell>
          <cell r="AB418" t="str">
            <v>2010 or before</v>
          </cell>
        </row>
        <row r="419">
          <cell r="E419">
            <v>350033.88</v>
          </cell>
          <cell r="Z419" t="str">
            <v>Legacy</v>
          </cell>
          <cell r="AA419" t="str">
            <v>$100K-$500K</v>
          </cell>
          <cell r="AB419" t="str">
            <v>2010 or before</v>
          </cell>
        </row>
        <row r="420">
          <cell r="E420">
            <v>348476.15999999997</v>
          </cell>
          <cell r="Z420" t="str">
            <v>Ungating</v>
          </cell>
          <cell r="AA420" t="str">
            <v>$100K-$500K</v>
          </cell>
          <cell r="AB420">
            <v>2012</v>
          </cell>
        </row>
        <row r="421">
          <cell r="E421">
            <v>348033.11</v>
          </cell>
          <cell r="Z421" t="str">
            <v>Legacy</v>
          </cell>
          <cell r="AA421" t="str">
            <v>$100K-$500K</v>
          </cell>
          <cell r="AB421" t="str">
            <v>2010 or before</v>
          </cell>
        </row>
        <row r="422">
          <cell r="E422">
            <v>347901.17</v>
          </cell>
          <cell r="Z422" t="str">
            <v>Legacy</v>
          </cell>
          <cell r="AA422" t="str">
            <v>$100K-$500K</v>
          </cell>
          <cell r="AB422" t="str">
            <v>2010 or before</v>
          </cell>
        </row>
        <row r="423">
          <cell r="E423">
            <v>346552.98</v>
          </cell>
          <cell r="Z423" t="str">
            <v>Legacy</v>
          </cell>
          <cell r="AA423" t="str">
            <v>$100K-$500K</v>
          </cell>
          <cell r="AB423" t="str">
            <v>2010 or before</v>
          </cell>
        </row>
        <row r="424">
          <cell r="E424">
            <v>345642.58</v>
          </cell>
          <cell r="Z424" t="str">
            <v>Legacy</v>
          </cell>
          <cell r="AA424" t="str">
            <v>$100K-$500K</v>
          </cell>
          <cell r="AB424" t="str">
            <v>2010 or before</v>
          </cell>
        </row>
        <row r="425">
          <cell r="E425">
            <v>344508.75</v>
          </cell>
          <cell r="Z425" t="str">
            <v>Legacy</v>
          </cell>
          <cell r="AA425" t="str">
            <v>$100K-$500K</v>
          </cell>
          <cell r="AB425" t="str">
            <v>2010 or before</v>
          </cell>
        </row>
        <row r="426">
          <cell r="E426">
            <v>344307.43</v>
          </cell>
          <cell r="Z426" t="str">
            <v>Legacy</v>
          </cell>
          <cell r="AA426" t="str">
            <v>$100K-$500K</v>
          </cell>
          <cell r="AB426" t="str">
            <v>2010 or before</v>
          </cell>
        </row>
        <row r="427">
          <cell r="E427">
            <v>341290.67</v>
          </cell>
          <cell r="Z427" t="str">
            <v>Legacy</v>
          </cell>
          <cell r="AA427" t="str">
            <v>$100K-$500K</v>
          </cell>
          <cell r="AB427" t="str">
            <v>2010 or before</v>
          </cell>
        </row>
        <row r="428">
          <cell r="E428">
            <v>340789.56</v>
          </cell>
          <cell r="Z428" t="str">
            <v>Legacy</v>
          </cell>
          <cell r="AA428" t="str">
            <v>$100K-$500K</v>
          </cell>
          <cell r="AB428" t="str">
            <v>2010 or before</v>
          </cell>
        </row>
        <row r="429">
          <cell r="E429">
            <v>340129.96</v>
          </cell>
          <cell r="Z429" t="str">
            <v>Legacy</v>
          </cell>
          <cell r="AA429" t="str">
            <v>$100K-$500K</v>
          </cell>
          <cell r="AB429">
            <v>2011</v>
          </cell>
        </row>
        <row r="430">
          <cell r="E430">
            <v>339100.66</v>
          </cell>
          <cell r="Z430" t="str">
            <v>Legacy</v>
          </cell>
          <cell r="AA430" t="str">
            <v>$100K-$500K</v>
          </cell>
          <cell r="AB430" t="str">
            <v>2010 or before</v>
          </cell>
        </row>
        <row r="431">
          <cell r="E431">
            <v>338888.1</v>
          </cell>
          <cell r="Z431" t="str">
            <v>Legacy</v>
          </cell>
          <cell r="AA431" t="str">
            <v>$100K-$500K</v>
          </cell>
          <cell r="AB431" t="str">
            <v>2010 or before</v>
          </cell>
        </row>
        <row r="432">
          <cell r="E432">
            <v>335798.39</v>
          </cell>
          <cell r="Z432" t="str">
            <v>Legacy</v>
          </cell>
          <cell r="AA432" t="str">
            <v>$100K-$500K</v>
          </cell>
          <cell r="AB432" t="str">
            <v>2010 or before</v>
          </cell>
        </row>
        <row r="433">
          <cell r="E433">
            <v>333007.96999999997</v>
          </cell>
          <cell r="Z433" t="str">
            <v>Ungating</v>
          </cell>
          <cell r="AA433" t="str">
            <v>$100K-$500K</v>
          </cell>
          <cell r="AB433">
            <v>2012</v>
          </cell>
        </row>
        <row r="434">
          <cell r="E434">
            <v>332475.28000000003</v>
          </cell>
          <cell r="Z434" t="str">
            <v>Legacy</v>
          </cell>
          <cell r="AA434" t="str">
            <v>$100K-$500K</v>
          </cell>
          <cell r="AB434" t="str">
            <v>2010 or before</v>
          </cell>
        </row>
        <row r="435">
          <cell r="E435">
            <v>332386.3</v>
          </cell>
          <cell r="Z435" t="str">
            <v>Legacy</v>
          </cell>
          <cell r="AA435" t="str">
            <v>$100K-$500K</v>
          </cell>
          <cell r="AB435" t="str">
            <v>2010 or before</v>
          </cell>
        </row>
        <row r="436">
          <cell r="E436">
            <v>330283.78999999998</v>
          </cell>
          <cell r="Z436" t="str">
            <v>Legacy</v>
          </cell>
          <cell r="AA436" t="str">
            <v>$100K-$500K</v>
          </cell>
          <cell r="AB436" t="str">
            <v>2010 or before</v>
          </cell>
        </row>
        <row r="437">
          <cell r="E437">
            <v>329763.53999999998</v>
          </cell>
          <cell r="Z437" t="str">
            <v>Global</v>
          </cell>
          <cell r="AA437" t="str">
            <v>$100K-$500K</v>
          </cell>
          <cell r="AB437">
            <v>2011</v>
          </cell>
        </row>
        <row r="438">
          <cell r="E438">
            <v>329083.34999999998</v>
          </cell>
          <cell r="Z438" t="str">
            <v>Legacy</v>
          </cell>
          <cell r="AA438" t="str">
            <v>$100K-$500K</v>
          </cell>
          <cell r="AB438" t="str">
            <v>2010 or before</v>
          </cell>
        </row>
        <row r="439">
          <cell r="E439">
            <v>326555.90000000002</v>
          </cell>
          <cell r="Z439" t="str">
            <v>Inbound</v>
          </cell>
          <cell r="AA439" t="str">
            <v>$100K-$500K</v>
          </cell>
          <cell r="AB439">
            <v>2012</v>
          </cell>
        </row>
        <row r="440">
          <cell r="E440">
            <v>325633.65000000002</v>
          </cell>
          <cell r="Z440" t="str">
            <v>Legacy</v>
          </cell>
          <cell r="AA440" t="str">
            <v>$100K-$500K</v>
          </cell>
          <cell r="AB440" t="str">
            <v>2010 or before</v>
          </cell>
        </row>
        <row r="441">
          <cell r="E441">
            <v>325374.61</v>
          </cell>
          <cell r="Z441" t="str">
            <v>Legacy</v>
          </cell>
          <cell r="AA441" t="str">
            <v>$100K-$500K</v>
          </cell>
          <cell r="AB441" t="str">
            <v>2010 or before</v>
          </cell>
        </row>
        <row r="442">
          <cell r="E442">
            <v>325030.34999999998</v>
          </cell>
          <cell r="Z442" t="str">
            <v>Legacy</v>
          </cell>
          <cell r="AA442" t="str">
            <v>$100K-$500K</v>
          </cell>
          <cell r="AB442" t="str">
            <v>2010 or before</v>
          </cell>
        </row>
        <row r="443">
          <cell r="E443">
            <v>325024.45</v>
          </cell>
          <cell r="Z443" t="str">
            <v>Strategic</v>
          </cell>
          <cell r="AA443" t="str">
            <v>$100K-$500K</v>
          </cell>
          <cell r="AB443">
            <v>2011</v>
          </cell>
        </row>
        <row r="444">
          <cell r="E444">
            <v>324979.49</v>
          </cell>
          <cell r="Z444" t="str">
            <v>Legacy</v>
          </cell>
          <cell r="AA444" t="str">
            <v>$100K-$500K</v>
          </cell>
          <cell r="AB444" t="str">
            <v>2010 or before</v>
          </cell>
        </row>
        <row r="445">
          <cell r="E445">
            <v>322288.59000000003</v>
          </cell>
          <cell r="Z445" t="str">
            <v>Global</v>
          </cell>
          <cell r="AA445" t="str">
            <v>$100K-$500K</v>
          </cell>
          <cell r="AB445">
            <v>2012</v>
          </cell>
        </row>
        <row r="446">
          <cell r="E446">
            <v>321663.53000000003</v>
          </cell>
          <cell r="Z446" t="str">
            <v>Inbound</v>
          </cell>
          <cell r="AA446" t="str">
            <v>$100K-$500K</v>
          </cell>
          <cell r="AB446">
            <v>2012</v>
          </cell>
        </row>
        <row r="447">
          <cell r="E447">
            <v>321366.53000000003</v>
          </cell>
          <cell r="Z447" t="str">
            <v>Legacy</v>
          </cell>
          <cell r="AA447" t="str">
            <v>$100K-$500K</v>
          </cell>
          <cell r="AB447" t="str">
            <v>2010 or before</v>
          </cell>
        </row>
        <row r="448">
          <cell r="E448">
            <v>318880.98</v>
          </cell>
          <cell r="Z448" t="str">
            <v>Ungating</v>
          </cell>
          <cell r="AA448" t="str">
            <v>$100K-$500K</v>
          </cell>
          <cell r="AB448">
            <v>2011</v>
          </cell>
        </row>
        <row r="449">
          <cell r="E449">
            <v>318767.65999999997</v>
          </cell>
          <cell r="Z449" t="str">
            <v>Legacy</v>
          </cell>
          <cell r="AA449" t="str">
            <v>$100K-$500K</v>
          </cell>
          <cell r="AB449" t="str">
            <v>2010 or before</v>
          </cell>
        </row>
        <row r="450">
          <cell r="E450">
            <v>318278.68</v>
          </cell>
          <cell r="Z450" t="str">
            <v>Strategic</v>
          </cell>
          <cell r="AA450" t="str">
            <v>$100K-$500K</v>
          </cell>
          <cell r="AB450">
            <v>2012</v>
          </cell>
        </row>
        <row r="451">
          <cell r="E451">
            <v>316850.62</v>
          </cell>
          <cell r="Z451" t="str">
            <v>Legacy</v>
          </cell>
          <cell r="AA451" t="str">
            <v>$100K-$500K</v>
          </cell>
          <cell r="AB451" t="str">
            <v>2010 or before</v>
          </cell>
        </row>
        <row r="452">
          <cell r="E452">
            <v>316744.90000000002</v>
          </cell>
          <cell r="Z452" t="str">
            <v>Inbound</v>
          </cell>
          <cell r="AA452" t="str">
            <v>$100K-$500K</v>
          </cell>
          <cell r="AB452">
            <v>2011</v>
          </cell>
        </row>
        <row r="453">
          <cell r="E453">
            <v>316552.07</v>
          </cell>
          <cell r="Z453" t="str">
            <v>Legacy</v>
          </cell>
          <cell r="AA453" t="str">
            <v>$100K-$500K</v>
          </cell>
          <cell r="AB453" t="str">
            <v>2010 or before</v>
          </cell>
        </row>
        <row r="454">
          <cell r="E454">
            <v>315975.42</v>
          </cell>
          <cell r="Z454" t="str">
            <v>Legacy</v>
          </cell>
          <cell r="AA454" t="str">
            <v>$100K-$500K</v>
          </cell>
          <cell r="AB454" t="str">
            <v>2010 or before</v>
          </cell>
        </row>
        <row r="455">
          <cell r="E455">
            <v>315055.34000000003</v>
          </cell>
          <cell r="Z455" t="str">
            <v>Legacy</v>
          </cell>
          <cell r="AA455" t="str">
            <v>$100K-$500K</v>
          </cell>
          <cell r="AB455" t="str">
            <v>2010 or before</v>
          </cell>
        </row>
        <row r="456">
          <cell r="E456">
            <v>314693.48</v>
          </cell>
          <cell r="Z456" t="str">
            <v>Inbound</v>
          </cell>
          <cell r="AA456" t="str">
            <v>$100K-$500K</v>
          </cell>
          <cell r="AB456">
            <v>2012</v>
          </cell>
        </row>
        <row r="457">
          <cell r="E457">
            <v>314547.84999999998</v>
          </cell>
          <cell r="Z457" t="str">
            <v>Legacy</v>
          </cell>
          <cell r="AA457" t="str">
            <v>$100K-$500K</v>
          </cell>
          <cell r="AB457" t="str">
            <v>2010 or before</v>
          </cell>
        </row>
        <row r="458">
          <cell r="E458">
            <v>314200.37</v>
          </cell>
          <cell r="Z458" t="str">
            <v>Legacy</v>
          </cell>
          <cell r="AA458" t="str">
            <v>$100K-$500K</v>
          </cell>
          <cell r="AB458" t="str">
            <v>2010 or before</v>
          </cell>
        </row>
        <row r="459">
          <cell r="E459">
            <v>312036.51</v>
          </cell>
          <cell r="Z459" t="str">
            <v>Legacy</v>
          </cell>
          <cell r="AA459" t="str">
            <v>$100K-$500K</v>
          </cell>
          <cell r="AB459" t="str">
            <v>2010 or before</v>
          </cell>
        </row>
        <row r="460">
          <cell r="E460">
            <v>311686.45</v>
          </cell>
          <cell r="Z460" t="str">
            <v>Legacy</v>
          </cell>
          <cell r="AA460" t="str">
            <v>$100K-$500K</v>
          </cell>
          <cell r="AB460" t="str">
            <v>2010 or before</v>
          </cell>
        </row>
        <row r="461">
          <cell r="E461">
            <v>310245.03999999998</v>
          </cell>
          <cell r="Z461" t="str">
            <v>Legacy</v>
          </cell>
          <cell r="AA461" t="str">
            <v>$100K-$500K</v>
          </cell>
          <cell r="AB461" t="str">
            <v>2010 or before</v>
          </cell>
        </row>
        <row r="462">
          <cell r="E462">
            <v>310081.89</v>
          </cell>
          <cell r="Z462" t="str">
            <v>Ungating</v>
          </cell>
          <cell r="AA462" t="str">
            <v>$100K-$500K</v>
          </cell>
          <cell r="AB462">
            <v>2011</v>
          </cell>
        </row>
        <row r="463">
          <cell r="E463">
            <v>308681.55</v>
          </cell>
          <cell r="Z463" t="str">
            <v>Legacy</v>
          </cell>
          <cell r="AA463" t="str">
            <v>$100K-$500K</v>
          </cell>
          <cell r="AB463" t="str">
            <v>2010 or before</v>
          </cell>
        </row>
        <row r="464">
          <cell r="E464">
            <v>308526.17</v>
          </cell>
          <cell r="Z464" t="str">
            <v>Legacy</v>
          </cell>
          <cell r="AA464" t="str">
            <v>$100K-$500K</v>
          </cell>
          <cell r="AB464" t="str">
            <v>2010 or before</v>
          </cell>
        </row>
        <row r="465">
          <cell r="E465">
            <v>308204.84000000003</v>
          </cell>
          <cell r="Z465" t="str">
            <v>Legacy</v>
          </cell>
          <cell r="AA465" t="str">
            <v>$100K-$500K</v>
          </cell>
          <cell r="AB465" t="str">
            <v>2010 or before</v>
          </cell>
        </row>
        <row r="466">
          <cell r="E466">
            <v>308155.78999999998</v>
          </cell>
          <cell r="Z466" t="str">
            <v>Legacy</v>
          </cell>
          <cell r="AA466" t="str">
            <v>$100K-$500K</v>
          </cell>
          <cell r="AB466" t="str">
            <v>2010 or before</v>
          </cell>
        </row>
        <row r="467">
          <cell r="E467">
            <v>307049.13</v>
          </cell>
          <cell r="Z467" t="str">
            <v>Global</v>
          </cell>
          <cell r="AA467" t="str">
            <v>$100K-$500K</v>
          </cell>
          <cell r="AB467">
            <v>2012</v>
          </cell>
        </row>
        <row r="468">
          <cell r="E468">
            <v>306586.59000000003</v>
          </cell>
          <cell r="Z468" t="str">
            <v>Legacy</v>
          </cell>
          <cell r="AA468" t="str">
            <v>$100K-$500K</v>
          </cell>
          <cell r="AB468" t="str">
            <v>2010 or before</v>
          </cell>
        </row>
        <row r="469">
          <cell r="E469">
            <v>305889.65000000002</v>
          </cell>
          <cell r="Z469" t="str">
            <v>Legacy</v>
          </cell>
          <cell r="AA469" t="str">
            <v>$100K-$500K</v>
          </cell>
          <cell r="AB469" t="str">
            <v>2010 or before</v>
          </cell>
        </row>
        <row r="470">
          <cell r="E470">
            <v>304220.52</v>
          </cell>
          <cell r="Z470" t="str">
            <v>Legacy</v>
          </cell>
          <cell r="AA470" t="str">
            <v>$100K-$500K</v>
          </cell>
          <cell r="AB470" t="str">
            <v>2010 or before</v>
          </cell>
        </row>
        <row r="471">
          <cell r="E471">
            <v>303710.27</v>
          </cell>
          <cell r="Z471" t="str">
            <v>Ungating</v>
          </cell>
          <cell r="AA471" t="str">
            <v>$100K-$500K</v>
          </cell>
          <cell r="AB471">
            <v>2012</v>
          </cell>
        </row>
        <row r="472">
          <cell r="E472">
            <v>302112.95</v>
          </cell>
          <cell r="Z472" t="str">
            <v>Ungating</v>
          </cell>
          <cell r="AA472" t="str">
            <v>$100K-$500K</v>
          </cell>
          <cell r="AB472">
            <v>2012</v>
          </cell>
        </row>
        <row r="473">
          <cell r="E473">
            <v>301265.62</v>
          </cell>
          <cell r="Z473" t="str">
            <v>Legacy</v>
          </cell>
          <cell r="AA473" t="str">
            <v>$100K-$500K</v>
          </cell>
          <cell r="AB473" t="str">
            <v>2010 or before</v>
          </cell>
        </row>
        <row r="474">
          <cell r="E474">
            <v>300993.26</v>
          </cell>
          <cell r="Z474" t="str">
            <v>Legacy</v>
          </cell>
          <cell r="AA474" t="str">
            <v>$100K-$500K</v>
          </cell>
          <cell r="AB474" t="str">
            <v>2010 or before</v>
          </cell>
        </row>
        <row r="475">
          <cell r="E475">
            <v>300378.2</v>
          </cell>
          <cell r="Z475" t="str">
            <v>Legacy</v>
          </cell>
          <cell r="AA475" t="str">
            <v>$100K-$500K</v>
          </cell>
          <cell r="AB475" t="str">
            <v>2010 or before</v>
          </cell>
        </row>
        <row r="476">
          <cell r="E476">
            <v>300357.21000000002</v>
          </cell>
          <cell r="Z476" t="str">
            <v>Legacy</v>
          </cell>
          <cell r="AA476" t="str">
            <v>$100K-$500K</v>
          </cell>
          <cell r="AB476" t="str">
            <v>2010 or before</v>
          </cell>
        </row>
        <row r="477">
          <cell r="E477">
            <v>299901.69</v>
          </cell>
          <cell r="Z477" t="str">
            <v>Legacy</v>
          </cell>
          <cell r="AA477" t="str">
            <v>$100K-$500K</v>
          </cell>
          <cell r="AB477" t="str">
            <v>2010 or before</v>
          </cell>
        </row>
        <row r="478">
          <cell r="E478">
            <v>299792.15000000002</v>
          </cell>
          <cell r="Z478" t="str">
            <v>Legacy</v>
          </cell>
          <cell r="AA478" t="str">
            <v>$100K-$500K</v>
          </cell>
          <cell r="AB478" t="str">
            <v>2010 or before</v>
          </cell>
        </row>
        <row r="479">
          <cell r="E479">
            <v>299200.93</v>
          </cell>
          <cell r="Z479" t="str">
            <v>Ungating</v>
          </cell>
          <cell r="AA479" t="str">
            <v>$100K-$500K</v>
          </cell>
          <cell r="AB479">
            <v>2011</v>
          </cell>
        </row>
        <row r="480">
          <cell r="E480">
            <v>299190.92</v>
          </cell>
          <cell r="Z480" t="str">
            <v>Legacy</v>
          </cell>
          <cell r="AA480" t="str">
            <v>$100K-$500K</v>
          </cell>
          <cell r="AB480" t="str">
            <v>2010 or before</v>
          </cell>
        </row>
        <row r="481">
          <cell r="E481">
            <v>297992.65000000002</v>
          </cell>
          <cell r="Z481" t="str">
            <v>Legacy</v>
          </cell>
          <cell r="AA481" t="str">
            <v>$100K-$500K</v>
          </cell>
          <cell r="AB481" t="str">
            <v>2010 or before</v>
          </cell>
        </row>
        <row r="482">
          <cell r="E482">
            <v>297650.95</v>
          </cell>
          <cell r="Z482" t="str">
            <v>Ungating</v>
          </cell>
          <cell r="AA482" t="str">
            <v>$100K-$500K</v>
          </cell>
          <cell r="AB482">
            <v>2011</v>
          </cell>
        </row>
        <row r="483">
          <cell r="E483">
            <v>296348.81</v>
          </cell>
          <cell r="Z483" t="str">
            <v>Legacy</v>
          </cell>
          <cell r="AA483" t="str">
            <v>$100K-$500K</v>
          </cell>
          <cell r="AB483" t="str">
            <v>2010 or before</v>
          </cell>
        </row>
        <row r="484">
          <cell r="E484">
            <v>295806.31</v>
          </cell>
          <cell r="Z484" t="str">
            <v>Legacy</v>
          </cell>
          <cell r="AA484" t="str">
            <v>$100K-$500K</v>
          </cell>
          <cell r="AB484" t="str">
            <v>2010 or before</v>
          </cell>
        </row>
        <row r="485">
          <cell r="E485">
            <v>295673.73</v>
          </cell>
          <cell r="Z485" t="str">
            <v>Ungating</v>
          </cell>
          <cell r="AA485" t="str">
            <v>$100K-$500K</v>
          </cell>
          <cell r="AB485">
            <v>2012</v>
          </cell>
        </row>
        <row r="486">
          <cell r="E486">
            <v>293705.77</v>
          </cell>
          <cell r="Z486" t="str">
            <v>Legacy</v>
          </cell>
          <cell r="AA486" t="str">
            <v>$100K-$500K</v>
          </cell>
          <cell r="AB486" t="str">
            <v>2010 or before</v>
          </cell>
        </row>
        <row r="487">
          <cell r="E487">
            <v>293048.53000000003</v>
          </cell>
          <cell r="Z487" t="str">
            <v>Legacy</v>
          </cell>
          <cell r="AA487" t="str">
            <v>$100K-$500K</v>
          </cell>
          <cell r="AB487" t="str">
            <v>2010 or before</v>
          </cell>
        </row>
        <row r="488">
          <cell r="E488">
            <v>292704.62</v>
          </cell>
          <cell r="Z488" t="str">
            <v>Ungating</v>
          </cell>
          <cell r="AA488" t="str">
            <v>$100K-$500K</v>
          </cell>
          <cell r="AB488">
            <v>2012</v>
          </cell>
        </row>
        <row r="489">
          <cell r="E489">
            <v>291721.52</v>
          </cell>
          <cell r="Z489" t="str">
            <v>Inbound</v>
          </cell>
          <cell r="AA489" t="str">
            <v>$100K-$500K</v>
          </cell>
          <cell r="AB489">
            <v>2011</v>
          </cell>
        </row>
        <row r="490">
          <cell r="E490">
            <v>291689.14</v>
          </cell>
          <cell r="Z490" t="str">
            <v>Legacy</v>
          </cell>
          <cell r="AA490" t="str">
            <v>$100K-$500K</v>
          </cell>
          <cell r="AB490" t="str">
            <v>2010 or before</v>
          </cell>
        </row>
        <row r="491">
          <cell r="E491">
            <v>291598.26</v>
          </cell>
          <cell r="Z491" t="str">
            <v>Legacy</v>
          </cell>
          <cell r="AA491" t="str">
            <v>$100K-$500K</v>
          </cell>
          <cell r="AB491" t="str">
            <v>2010 or before</v>
          </cell>
        </row>
        <row r="492">
          <cell r="E492">
            <v>291377.49</v>
          </cell>
          <cell r="Z492" t="str">
            <v>Legacy</v>
          </cell>
          <cell r="AA492" t="str">
            <v>$100K-$500K</v>
          </cell>
          <cell r="AB492" t="str">
            <v>2010 or before</v>
          </cell>
        </row>
        <row r="493">
          <cell r="E493">
            <v>290591.5</v>
          </cell>
          <cell r="Z493" t="str">
            <v>Inbound</v>
          </cell>
          <cell r="AA493" t="str">
            <v>$100K-$500K</v>
          </cell>
          <cell r="AB493">
            <v>2012</v>
          </cell>
        </row>
        <row r="494">
          <cell r="E494">
            <v>290251.09000000003</v>
          </cell>
          <cell r="Z494" t="str">
            <v>Legacy</v>
          </cell>
          <cell r="AA494" t="str">
            <v>$100K-$500K</v>
          </cell>
          <cell r="AB494" t="str">
            <v>2010 or before</v>
          </cell>
        </row>
        <row r="495">
          <cell r="E495">
            <v>289886.13</v>
          </cell>
          <cell r="Z495" t="str">
            <v>Legacy</v>
          </cell>
          <cell r="AA495" t="str">
            <v>$100K-$500K</v>
          </cell>
          <cell r="AB495" t="str">
            <v>2010 or before</v>
          </cell>
        </row>
        <row r="496">
          <cell r="E496">
            <v>289706.05</v>
          </cell>
          <cell r="Z496" t="str">
            <v>Strategic</v>
          </cell>
          <cell r="AA496" t="str">
            <v>$100K-$500K</v>
          </cell>
          <cell r="AB496">
            <v>2011</v>
          </cell>
        </row>
        <row r="497">
          <cell r="E497">
            <v>289313.56</v>
          </cell>
          <cell r="Z497" t="str">
            <v>Legacy</v>
          </cell>
          <cell r="AA497" t="str">
            <v>$100K-$500K</v>
          </cell>
          <cell r="AB497" t="str">
            <v>2010 or before</v>
          </cell>
        </row>
        <row r="498">
          <cell r="E498">
            <v>288487.11</v>
          </cell>
          <cell r="Z498" t="str">
            <v>Legacy</v>
          </cell>
          <cell r="AA498" t="str">
            <v>$100K-$500K</v>
          </cell>
          <cell r="AB498" t="str">
            <v>2010 or before</v>
          </cell>
        </row>
        <row r="499">
          <cell r="E499">
            <v>288240.26</v>
          </cell>
          <cell r="Z499" t="str">
            <v>Legacy</v>
          </cell>
          <cell r="AA499" t="str">
            <v>$100K-$500K</v>
          </cell>
          <cell r="AB499" t="str">
            <v>2010 or before</v>
          </cell>
        </row>
        <row r="500">
          <cell r="E500">
            <v>287672.75</v>
          </cell>
          <cell r="Z500" t="str">
            <v>Ungating</v>
          </cell>
          <cell r="AA500" t="str">
            <v>$100K-$500K</v>
          </cell>
          <cell r="AB500">
            <v>2012</v>
          </cell>
        </row>
        <row r="501">
          <cell r="E501">
            <v>286486.62</v>
          </cell>
          <cell r="Z501" t="str">
            <v>Ungating</v>
          </cell>
          <cell r="AA501" t="str">
            <v>$100K-$500K</v>
          </cell>
          <cell r="AB501">
            <v>2011</v>
          </cell>
        </row>
        <row r="502">
          <cell r="E502">
            <v>285410.34999999998</v>
          </cell>
          <cell r="Z502" t="str">
            <v>Legacy</v>
          </cell>
          <cell r="AA502" t="str">
            <v>$100K-$500K</v>
          </cell>
          <cell r="AB502" t="str">
            <v>2010 or before</v>
          </cell>
        </row>
        <row r="503">
          <cell r="E503">
            <v>284534.7</v>
          </cell>
          <cell r="Z503" t="str">
            <v>Inbound</v>
          </cell>
          <cell r="AA503" t="str">
            <v>$100K-$500K</v>
          </cell>
          <cell r="AB503">
            <v>2012</v>
          </cell>
        </row>
        <row r="504">
          <cell r="E504">
            <v>283567.03000000003</v>
          </cell>
          <cell r="Z504" t="str">
            <v>Ungating</v>
          </cell>
          <cell r="AA504" t="str">
            <v>$100K-$500K</v>
          </cell>
          <cell r="AB504">
            <v>2011</v>
          </cell>
        </row>
        <row r="505">
          <cell r="E505">
            <v>283317.38</v>
          </cell>
          <cell r="Z505" t="str">
            <v>Legacy</v>
          </cell>
          <cell r="AA505" t="str">
            <v>$100K-$500K</v>
          </cell>
          <cell r="AB505" t="str">
            <v>2010 or before</v>
          </cell>
        </row>
        <row r="506">
          <cell r="E506">
            <v>281069.96999999997</v>
          </cell>
          <cell r="Z506" t="str">
            <v>Legacy</v>
          </cell>
          <cell r="AA506" t="str">
            <v>$100K-$500K</v>
          </cell>
          <cell r="AB506" t="str">
            <v>2010 or before</v>
          </cell>
        </row>
        <row r="507">
          <cell r="E507">
            <v>280969.71000000002</v>
          </cell>
          <cell r="Z507" t="str">
            <v>Legacy</v>
          </cell>
          <cell r="AA507" t="str">
            <v>$100K-$500K</v>
          </cell>
          <cell r="AB507" t="str">
            <v>2010 or before</v>
          </cell>
        </row>
        <row r="508">
          <cell r="E508">
            <v>280837.62</v>
          </cell>
          <cell r="Z508" t="str">
            <v>Legacy</v>
          </cell>
          <cell r="AA508" t="str">
            <v>$100K-$500K</v>
          </cell>
          <cell r="AB508" t="str">
            <v>2010 or before</v>
          </cell>
        </row>
        <row r="509">
          <cell r="E509">
            <v>280281.45</v>
          </cell>
          <cell r="Z509" t="str">
            <v>Legacy</v>
          </cell>
          <cell r="AA509" t="str">
            <v>$100K-$500K</v>
          </cell>
          <cell r="AB509" t="str">
            <v>2010 or before</v>
          </cell>
        </row>
        <row r="510">
          <cell r="E510">
            <v>280117.78000000003</v>
          </cell>
          <cell r="Z510" t="str">
            <v>Ungating</v>
          </cell>
          <cell r="AA510" t="str">
            <v>$100K-$500K</v>
          </cell>
          <cell r="AB510">
            <v>2012</v>
          </cell>
        </row>
        <row r="511">
          <cell r="E511">
            <v>279909.71999999997</v>
          </cell>
          <cell r="Z511" t="str">
            <v>Legacy</v>
          </cell>
          <cell r="AA511" t="str">
            <v>$100K-$500K</v>
          </cell>
          <cell r="AB511" t="str">
            <v>2010 or before</v>
          </cell>
        </row>
        <row r="512">
          <cell r="E512">
            <v>279229.84999999998</v>
          </cell>
          <cell r="Z512" t="str">
            <v>Inbound</v>
          </cell>
          <cell r="AA512" t="str">
            <v>$100K-$500K</v>
          </cell>
          <cell r="AB512">
            <v>2011</v>
          </cell>
        </row>
        <row r="513">
          <cell r="E513">
            <v>279156.14</v>
          </cell>
          <cell r="Z513" t="str">
            <v>Strategic</v>
          </cell>
          <cell r="AA513" t="str">
            <v>$100K-$500K</v>
          </cell>
          <cell r="AB513">
            <v>2012</v>
          </cell>
        </row>
        <row r="514">
          <cell r="E514">
            <v>277455.34000000003</v>
          </cell>
          <cell r="Z514" t="str">
            <v>Legacy</v>
          </cell>
          <cell r="AA514" t="str">
            <v>$100K-$500K</v>
          </cell>
          <cell r="AB514" t="str">
            <v>2010 or before</v>
          </cell>
        </row>
        <row r="515">
          <cell r="E515">
            <v>276526.88</v>
          </cell>
          <cell r="Z515" t="str">
            <v>Legacy</v>
          </cell>
          <cell r="AA515" t="str">
            <v>$100K-$500K</v>
          </cell>
          <cell r="AB515" t="str">
            <v>2010 or before</v>
          </cell>
        </row>
        <row r="516">
          <cell r="E516">
            <v>275855.09000000003</v>
          </cell>
          <cell r="Z516" t="str">
            <v>Legacy</v>
          </cell>
          <cell r="AA516" t="str">
            <v>$100K-$500K</v>
          </cell>
          <cell r="AB516" t="str">
            <v>2010 or before</v>
          </cell>
        </row>
        <row r="517">
          <cell r="E517">
            <v>274309.63</v>
          </cell>
          <cell r="Z517" t="str">
            <v>Inbound</v>
          </cell>
          <cell r="AA517" t="str">
            <v>$100K-$500K</v>
          </cell>
          <cell r="AB517">
            <v>2012</v>
          </cell>
        </row>
        <row r="518">
          <cell r="E518">
            <v>273943.32</v>
          </cell>
          <cell r="Z518" t="str">
            <v>Legacy</v>
          </cell>
          <cell r="AA518" t="str">
            <v>$100K-$500K</v>
          </cell>
          <cell r="AB518" t="str">
            <v>2010 or before</v>
          </cell>
        </row>
        <row r="519">
          <cell r="E519">
            <v>272123.42</v>
          </cell>
          <cell r="Z519" t="str">
            <v>Legacy</v>
          </cell>
          <cell r="AA519" t="str">
            <v>$100K-$500K</v>
          </cell>
          <cell r="AB519" t="str">
            <v>2010 or before</v>
          </cell>
        </row>
        <row r="520">
          <cell r="E520">
            <v>272120.40000000002</v>
          </cell>
          <cell r="Z520" t="str">
            <v>Legacy</v>
          </cell>
          <cell r="AA520" t="str">
            <v>$100K-$500K</v>
          </cell>
          <cell r="AB520" t="str">
            <v>2010 or before</v>
          </cell>
        </row>
        <row r="521">
          <cell r="E521">
            <v>270730.40000000002</v>
          </cell>
          <cell r="Z521" t="str">
            <v>Legacy</v>
          </cell>
          <cell r="AA521" t="str">
            <v>$100K-$500K</v>
          </cell>
          <cell r="AB521" t="str">
            <v>2010 or before</v>
          </cell>
        </row>
        <row r="522">
          <cell r="E522">
            <v>269956.23</v>
          </cell>
          <cell r="Z522" t="str">
            <v>Legacy</v>
          </cell>
          <cell r="AA522" t="str">
            <v>$100K-$500K</v>
          </cell>
          <cell r="AB522" t="str">
            <v>2010 or before</v>
          </cell>
        </row>
        <row r="523">
          <cell r="E523">
            <v>268129.15000000002</v>
          </cell>
          <cell r="Z523" t="str">
            <v>Inbound</v>
          </cell>
          <cell r="AA523" t="str">
            <v>$100K-$500K</v>
          </cell>
          <cell r="AB523">
            <v>2011</v>
          </cell>
        </row>
        <row r="524">
          <cell r="E524">
            <v>267596.71999999997</v>
          </cell>
          <cell r="Z524" t="str">
            <v>Legacy</v>
          </cell>
          <cell r="AA524" t="str">
            <v>$100K-$500K</v>
          </cell>
          <cell r="AB524" t="str">
            <v>2010 or before</v>
          </cell>
        </row>
        <row r="525">
          <cell r="E525">
            <v>265007.17</v>
          </cell>
          <cell r="Z525" t="str">
            <v>Legacy</v>
          </cell>
          <cell r="AA525" t="str">
            <v>$100K-$500K</v>
          </cell>
          <cell r="AB525" t="str">
            <v>2010 or before</v>
          </cell>
        </row>
        <row r="526">
          <cell r="E526">
            <v>263599.2</v>
          </cell>
          <cell r="Z526" t="str">
            <v>Legacy</v>
          </cell>
          <cell r="AA526" t="str">
            <v>$100K-$500K</v>
          </cell>
          <cell r="AB526" t="str">
            <v>2010 or before</v>
          </cell>
        </row>
        <row r="527">
          <cell r="E527">
            <v>263359.53000000003</v>
          </cell>
          <cell r="Z527" t="str">
            <v>Legacy</v>
          </cell>
          <cell r="AA527" t="str">
            <v>$100K-$500K</v>
          </cell>
          <cell r="AB527" t="str">
            <v>2010 or before</v>
          </cell>
        </row>
        <row r="528">
          <cell r="E528">
            <v>262653.11</v>
          </cell>
          <cell r="Z528" t="str">
            <v>Inbound</v>
          </cell>
          <cell r="AA528" t="str">
            <v>$100K-$500K</v>
          </cell>
          <cell r="AB528">
            <v>2012</v>
          </cell>
        </row>
        <row r="529">
          <cell r="E529">
            <v>261655.1</v>
          </cell>
          <cell r="Z529" t="str">
            <v>Legacy</v>
          </cell>
          <cell r="AA529" t="str">
            <v>$100K-$500K</v>
          </cell>
          <cell r="AB529" t="str">
            <v>2010 or before</v>
          </cell>
        </row>
        <row r="530">
          <cell r="E530">
            <v>261543</v>
          </cell>
          <cell r="Z530" t="str">
            <v>Legacy</v>
          </cell>
          <cell r="AA530" t="str">
            <v>$100K-$500K</v>
          </cell>
          <cell r="AB530" t="str">
            <v>2010 or before</v>
          </cell>
        </row>
        <row r="531">
          <cell r="E531">
            <v>261410.02</v>
          </cell>
          <cell r="Z531" t="str">
            <v>Legacy</v>
          </cell>
          <cell r="AA531" t="str">
            <v>$100K-$500K</v>
          </cell>
          <cell r="AB531" t="str">
            <v>2010 or before</v>
          </cell>
        </row>
        <row r="532">
          <cell r="E532">
            <v>260986.84</v>
          </cell>
          <cell r="Z532" t="str">
            <v>Legacy</v>
          </cell>
          <cell r="AA532" t="str">
            <v>$100K-$500K</v>
          </cell>
          <cell r="AB532" t="str">
            <v>2010 or before</v>
          </cell>
        </row>
        <row r="533">
          <cell r="E533">
            <v>260812.79999999999</v>
          </cell>
          <cell r="Z533" t="str">
            <v>Legacy</v>
          </cell>
          <cell r="AA533" t="str">
            <v>$100K-$500K</v>
          </cell>
          <cell r="AB533" t="str">
            <v>2010 or before</v>
          </cell>
        </row>
        <row r="534">
          <cell r="E534">
            <v>259652.65</v>
          </cell>
          <cell r="Z534" t="str">
            <v>Legacy</v>
          </cell>
          <cell r="AA534" t="str">
            <v>$100K-$500K</v>
          </cell>
          <cell r="AB534" t="str">
            <v>2010 or before</v>
          </cell>
        </row>
        <row r="535">
          <cell r="E535">
            <v>259150.58</v>
          </cell>
          <cell r="Z535" t="str">
            <v>Legacy</v>
          </cell>
          <cell r="AA535" t="str">
            <v>$100K-$500K</v>
          </cell>
          <cell r="AB535" t="str">
            <v>2010 or before</v>
          </cell>
        </row>
        <row r="536">
          <cell r="E536">
            <v>257799.78</v>
          </cell>
          <cell r="Z536" t="str">
            <v>Legacy</v>
          </cell>
          <cell r="AA536" t="str">
            <v>$100K-$500K</v>
          </cell>
          <cell r="AB536" t="str">
            <v>2010 or before</v>
          </cell>
        </row>
        <row r="537">
          <cell r="E537">
            <v>256157.68</v>
          </cell>
          <cell r="Z537" t="str">
            <v>Inbound</v>
          </cell>
          <cell r="AA537" t="str">
            <v>$100K-$500K</v>
          </cell>
          <cell r="AB537">
            <v>2012</v>
          </cell>
        </row>
        <row r="538">
          <cell r="E538">
            <v>255653.86</v>
          </cell>
          <cell r="Z538" t="str">
            <v>Inbound</v>
          </cell>
          <cell r="AA538" t="str">
            <v>$100K-$500K</v>
          </cell>
          <cell r="AB538">
            <v>2012</v>
          </cell>
        </row>
        <row r="539">
          <cell r="E539">
            <v>255446.75</v>
          </cell>
          <cell r="Z539" t="str">
            <v>Legacy</v>
          </cell>
          <cell r="AA539" t="str">
            <v>$100K-$500K</v>
          </cell>
          <cell r="AB539" t="str">
            <v>2010 or before</v>
          </cell>
        </row>
        <row r="540">
          <cell r="E540">
            <v>254770.63</v>
          </cell>
          <cell r="Z540" t="str">
            <v>Legacy</v>
          </cell>
          <cell r="AA540" t="str">
            <v>$100K-$500K</v>
          </cell>
          <cell r="AB540" t="str">
            <v>2010 or before</v>
          </cell>
        </row>
        <row r="541">
          <cell r="E541">
            <v>254702.48</v>
          </cell>
          <cell r="Z541" t="str">
            <v>Legacy</v>
          </cell>
          <cell r="AA541" t="str">
            <v>$100K-$500K</v>
          </cell>
          <cell r="AB541" t="str">
            <v>2010 or before</v>
          </cell>
        </row>
        <row r="542">
          <cell r="E542">
            <v>254084.85</v>
          </cell>
          <cell r="Z542" t="str">
            <v>Legacy</v>
          </cell>
          <cell r="AA542" t="str">
            <v>$100K-$500K</v>
          </cell>
          <cell r="AB542" t="str">
            <v>2010 or before</v>
          </cell>
        </row>
        <row r="543">
          <cell r="E543">
            <v>253089.57</v>
          </cell>
          <cell r="Z543" t="str">
            <v>Legacy</v>
          </cell>
          <cell r="AA543" t="str">
            <v>$100K-$500K</v>
          </cell>
          <cell r="AB543" t="str">
            <v>2010 or before</v>
          </cell>
        </row>
        <row r="544">
          <cell r="E544">
            <v>252676.26</v>
          </cell>
          <cell r="Z544" t="str">
            <v>Legacy</v>
          </cell>
          <cell r="AA544" t="str">
            <v>$100K-$500K</v>
          </cell>
          <cell r="AB544" t="str">
            <v>2010 or before</v>
          </cell>
        </row>
        <row r="545">
          <cell r="E545">
            <v>251587.86</v>
          </cell>
          <cell r="Z545" t="str">
            <v>Legacy</v>
          </cell>
          <cell r="AA545" t="str">
            <v>$100K-$500K</v>
          </cell>
          <cell r="AB545" t="str">
            <v>2010 or before</v>
          </cell>
        </row>
        <row r="546">
          <cell r="E546">
            <v>249218.02</v>
          </cell>
          <cell r="Z546" t="str">
            <v>Legacy</v>
          </cell>
          <cell r="AA546" t="str">
            <v>$100K-$500K</v>
          </cell>
          <cell r="AB546" t="str">
            <v>2010 or before</v>
          </cell>
        </row>
        <row r="547">
          <cell r="E547">
            <v>249076.99</v>
          </cell>
          <cell r="Z547" t="str">
            <v>Ungating</v>
          </cell>
          <cell r="AA547" t="str">
            <v>$100K-$500K</v>
          </cell>
          <cell r="AB547">
            <v>2012</v>
          </cell>
        </row>
        <row r="548">
          <cell r="E548">
            <v>248899.59</v>
          </cell>
          <cell r="Z548" t="str">
            <v>Ungating</v>
          </cell>
          <cell r="AA548" t="str">
            <v>$100K-$500K</v>
          </cell>
          <cell r="AB548">
            <v>2011</v>
          </cell>
        </row>
        <row r="549">
          <cell r="E549">
            <v>248429.22</v>
          </cell>
          <cell r="Z549" t="str">
            <v>Legacy</v>
          </cell>
          <cell r="AA549" t="str">
            <v>$100K-$500K</v>
          </cell>
          <cell r="AB549" t="str">
            <v>2010 or before</v>
          </cell>
        </row>
        <row r="550">
          <cell r="E550">
            <v>248012.68</v>
          </cell>
          <cell r="Z550" t="str">
            <v>Legacy</v>
          </cell>
          <cell r="AA550" t="str">
            <v>$100K-$500K</v>
          </cell>
          <cell r="AB550" t="str">
            <v>2010 or before</v>
          </cell>
        </row>
        <row r="551">
          <cell r="E551">
            <v>246404.13</v>
          </cell>
          <cell r="Z551" t="str">
            <v>Legacy</v>
          </cell>
          <cell r="AA551" t="str">
            <v>$100K-$500K</v>
          </cell>
          <cell r="AB551" t="str">
            <v>2010 or before</v>
          </cell>
        </row>
        <row r="552">
          <cell r="E552">
            <v>246074.51</v>
          </cell>
          <cell r="Z552" t="str">
            <v>Outbound</v>
          </cell>
          <cell r="AA552" t="str">
            <v>$100K-$500K</v>
          </cell>
          <cell r="AB552">
            <v>2012</v>
          </cell>
        </row>
        <row r="553">
          <cell r="E553">
            <v>244067.54</v>
          </cell>
          <cell r="Z553" t="str">
            <v>Ungating</v>
          </cell>
          <cell r="AA553" t="str">
            <v>$100K-$500K</v>
          </cell>
          <cell r="AB553">
            <v>2011</v>
          </cell>
        </row>
        <row r="554">
          <cell r="E554">
            <v>242057.85</v>
          </cell>
          <cell r="Z554" t="str">
            <v>Ungating</v>
          </cell>
          <cell r="AA554" t="str">
            <v>$100K-$500K</v>
          </cell>
          <cell r="AB554">
            <v>2012</v>
          </cell>
        </row>
        <row r="555">
          <cell r="E555">
            <v>240690.93</v>
          </cell>
          <cell r="Z555" t="str">
            <v>Inbound</v>
          </cell>
          <cell r="AA555" t="str">
            <v>$100K-$500K</v>
          </cell>
          <cell r="AB555">
            <v>2011</v>
          </cell>
        </row>
        <row r="556">
          <cell r="E556">
            <v>239117.69</v>
          </cell>
          <cell r="Z556" t="str">
            <v>Legacy</v>
          </cell>
          <cell r="AA556" t="str">
            <v>$100K-$500K</v>
          </cell>
          <cell r="AB556" t="str">
            <v>2010 or before</v>
          </cell>
        </row>
        <row r="557">
          <cell r="E557">
            <v>239026.45</v>
          </cell>
          <cell r="Z557" t="str">
            <v>Legacy</v>
          </cell>
          <cell r="AA557" t="str">
            <v>$100K-$500K</v>
          </cell>
          <cell r="AB557" t="str">
            <v>2010 or before</v>
          </cell>
        </row>
        <row r="558">
          <cell r="E558">
            <v>237486.57</v>
          </cell>
          <cell r="Z558" t="str">
            <v>Legacy</v>
          </cell>
          <cell r="AA558" t="str">
            <v>$100K-$500K</v>
          </cell>
          <cell r="AB558" t="str">
            <v>2010 or before</v>
          </cell>
        </row>
        <row r="559">
          <cell r="E559">
            <v>235447</v>
          </cell>
          <cell r="Z559" t="str">
            <v>Legacy</v>
          </cell>
          <cell r="AA559" t="str">
            <v>$100K-$500K</v>
          </cell>
          <cell r="AB559" t="str">
            <v>2010 or before</v>
          </cell>
        </row>
        <row r="560">
          <cell r="E560">
            <v>234124.25</v>
          </cell>
          <cell r="Z560" t="str">
            <v>Legacy</v>
          </cell>
          <cell r="AA560" t="str">
            <v>$100K-$500K</v>
          </cell>
          <cell r="AB560" t="str">
            <v>2010 or before</v>
          </cell>
        </row>
        <row r="561">
          <cell r="E561">
            <v>233878.49</v>
          </cell>
          <cell r="Z561" t="str">
            <v>Legacy</v>
          </cell>
          <cell r="AA561" t="str">
            <v>$100K-$500K</v>
          </cell>
          <cell r="AB561">
            <v>2011</v>
          </cell>
        </row>
        <row r="562">
          <cell r="E562">
            <v>233214.99</v>
          </cell>
          <cell r="Z562" t="str">
            <v>Legacy</v>
          </cell>
          <cell r="AA562" t="str">
            <v>$100K-$500K</v>
          </cell>
          <cell r="AB562" t="str">
            <v>2010 or before</v>
          </cell>
        </row>
        <row r="563">
          <cell r="E563">
            <v>233061.32</v>
          </cell>
          <cell r="Z563" t="str">
            <v>Legacy</v>
          </cell>
          <cell r="AA563" t="str">
            <v>$100K-$500K</v>
          </cell>
          <cell r="AB563" t="str">
            <v>2010 or before</v>
          </cell>
        </row>
        <row r="564">
          <cell r="E564">
            <v>231789.1</v>
          </cell>
          <cell r="Z564" t="str">
            <v>Legacy</v>
          </cell>
          <cell r="AA564" t="str">
            <v>$100K-$500K</v>
          </cell>
          <cell r="AB564" t="str">
            <v>2010 or before</v>
          </cell>
        </row>
        <row r="565">
          <cell r="E565">
            <v>231311.7</v>
          </cell>
          <cell r="Z565" t="str">
            <v>Legacy</v>
          </cell>
          <cell r="AA565" t="str">
            <v>$100K-$500K</v>
          </cell>
          <cell r="AB565" t="str">
            <v>2010 or before</v>
          </cell>
        </row>
        <row r="566">
          <cell r="E566">
            <v>230068.18</v>
          </cell>
          <cell r="Z566" t="str">
            <v>Legacy</v>
          </cell>
          <cell r="AA566" t="str">
            <v>$100K-$500K</v>
          </cell>
          <cell r="AB566" t="str">
            <v>2010 or before</v>
          </cell>
        </row>
        <row r="567">
          <cell r="E567">
            <v>230058.79</v>
          </cell>
          <cell r="Z567" t="str">
            <v>Legacy</v>
          </cell>
          <cell r="AA567" t="str">
            <v>$100K-$500K</v>
          </cell>
          <cell r="AB567">
            <v>2012</v>
          </cell>
        </row>
        <row r="568">
          <cell r="E568">
            <v>229851.51999999999</v>
          </cell>
          <cell r="Z568" t="str">
            <v>Legacy</v>
          </cell>
          <cell r="AA568" t="str">
            <v>$100K-$500K</v>
          </cell>
          <cell r="AB568" t="str">
            <v>2010 or before</v>
          </cell>
        </row>
        <row r="569">
          <cell r="E569">
            <v>229747.62</v>
          </cell>
          <cell r="Z569" t="str">
            <v>Ungating</v>
          </cell>
          <cell r="AA569" t="str">
            <v>$100K-$500K</v>
          </cell>
          <cell r="AB569">
            <v>2012</v>
          </cell>
        </row>
        <row r="570">
          <cell r="E570">
            <v>229720.6</v>
          </cell>
          <cell r="Z570" t="str">
            <v>Legacy</v>
          </cell>
          <cell r="AA570" t="str">
            <v>$100K-$500K</v>
          </cell>
          <cell r="AB570" t="str">
            <v>2010 or before</v>
          </cell>
        </row>
        <row r="571">
          <cell r="E571">
            <v>229553.69</v>
          </cell>
          <cell r="Z571" t="str">
            <v>Ungating</v>
          </cell>
          <cell r="AA571" t="str">
            <v>$100K-$500K</v>
          </cell>
          <cell r="AB571">
            <v>2011</v>
          </cell>
        </row>
        <row r="572">
          <cell r="E572">
            <v>229160.02</v>
          </cell>
          <cell r="Z572" t="str">
            <v>Legacy</v>
          </cell>
          <cell r="AA572" t="str">
            <v>$100K-$500K</v>
          </cell>
          <cell r="AB572" t="str">
            <v>2010 or before</v>
          </cell>
        </row>
        <row r="573">
          <cell r="E573">
            <v>229031.05</v>
          </cell>
          <cell r="Z573" t="str">
            <v>Legacy</v>
          </cell>
          <cell r="AA573" t="str">
            <v>$100K-$500K</v>
          </cell>
          <cell r="AB573" t="str">
            <v>2010 or before</v>
          </cell>
        </row>
        <row r="574">
          <cell r="E574">
            <v>228975.76</v>
          </cell>
          <cell r="Z574" t="str">
            <v>Legacy</v>
          </cell>
          <cell r="AA574" t="str">
            <v>$100K-$500K</v>
          </cell>
          <cell r="AB574" t="str">
            <v>2010 or before</v>
          </cell>
        </row>
        <row r="575">
          <cell r="E575">
            <v>228684.81</v>
          </cell>
          <cell r="Z575" t="str">
            <v>Legacy</v>
          </cell>
          <cell r="AA575" t="str">
            <v>$100K-$500K</v>
          </cell>
          <cell r="AB575" t="str">
            <v>2010 or before</v>
          </cell>
        </row>
        <row r="576">
          <cell r="E576">
            <v>228280.71</v>
          </cell>
          <cell r="Z576" t="str">
            <v>Legacy</v>
          </cell>
          <cell r="AA576" t="str">
            <v>$100K-$500K</v>
          </cell>
          <cell r="AB576" t="str">
            <v>2010 or before</v>
          </cell>
        </row>
        <row r="577">
          <cell r="E577">
            <v>228250.43</v>
          </cell>
          <cell r="Z577" t="str">
            <v>Inbound</v>
          </cell>
          <cell r="AA577" t="str">
            <v>$100K-$500K</v>
          </cell>
          <cell r="AB577">
            <v>2011</v>
          </cell>
        </row>
        <row r="578">
          <cell r="E578">
            <v>226927.09</v>
          </cell>
          <cell r="Z578" t="str">
            <v>Inbound</v>
          </cell>
          <cell r="AA578" t="str">
            <v>$100K-$500K</v>
          </cell>
          <cell r="AB578">
            <v>2011</v>
          </cell>
        </row>
        <row r="579">
          <cell r="E579">
            <v>226696.41</v>
          </cell>
          <cell r="Z579" t="str">
            <v>Ungating</v>
          </cell>
          <cell r="AA579" t="str">
            <v>$100K-$500K</v>
          </cell>
          <cell r="AB579">
            <v>2012</v>
          </cell>
        </row>
        <row r="580">
          <cell r="E580">
            <v>225796.88</v>
          </cell>
          <cell r="Z580" t="str">
            <v>Ungating</v>
          </cell>
          <cell r="AA580" t="str">
            <v>$100K-$500K</v>
          </cell>
          <cell r="AB580">
            <v>2011</v>
          </cell>
        </row>
        <row r="581">
          <cell r="E581">
            <v>223646.42</v>
          </cell>
          <cell r="Z581" t="str">
            <v>Strategic</v>
          </cell>
          <cell r="AA581" t="str">
            <v>$100K-$500K</v>
          </cell>
          <cell r="AB581">
            <v>2011</v>
          </cell>
        </row>
        <row r="582">
          <cell r="E582">
            <v>223410.78</v>
          </cell>
          <cell r="Z582" t="str">
            <v>Global</v>
          </cell>
          <cell r="AA582" t="str">
            <v>$100K-$500K</v>
          </cell>
          <cell r="AB582">
            <v>2011</v>
          </cell>
        </row>
        <row r="583">
          <cell r="E583">
            <v>223121.6</v>
          </cell>
          <cell r="Z583" t="str">
            <v>Global</v>
          </cell>
          <cell r="AA583" t="str">
            <v>$100K-$500K</v>
          </cell>
          <cell r="AB583">
            <v>2012</v>
          </cell>
        </row>
        <row r="584">
          <cell r="E584">
            <v>223094.37</v>
          </cell>
          <cell r="Z584" t="str">
            <v>Legacy</v>
          </cell>
          <cell r="AA584" t="str">
            <v>$100K-$500K</v>
          </cell>
          <cell r="AB584" t="str">
            <v>2010 or before</v>
          </cell>
        </row>
        <row r="585">
          <cell r="E585">
            <v>222718.27</v>
          </cell>
          <cell r="Z585" t="str">
            <v>Inbound</v>
          </cell>
          <cell r="AA585" t="str">
            <v>$100K-$500K</v>
          </cell>
          <cell r="AB585">
            <v>2012</v>
          </cell>
        </row>
        <row r="586">
          <cell r="E586">
            <v>220887.61</v>
          </cell>
          <cell r="Z586" t="str">
            <v>Legacy</v>
          </cell>
          <cell r="AA586" t="str">
            <v>$100K-$500K</v>
          </cell>
          <cell r="AB586" t="str">
            <v>2010 or before</v>
          </cell>
        </row>
        <row r="587">
          <cell r="E587">
            <v>220034.35</v>
          </cell>
          <cell r="Z587" t="str">
            <v>Legacy</v>
          </cell>
          <cell r="AA587" t="str">
            <v>$100K-$500K</v>
          </cell>
          <cell r="AB587" t="str">
            <v>2010 or before</v>
          </cell>
        </row>
        <row r="588">
          <cell r="E588">
            <v>219821.6</v>
          </cell>
          <cell r="Z588" t="str">
            <v>Legacy</v>
          </cell>
          <cell r="AA588" t="str">
            <v>$100K-$500K</v>
          </cell>
          <cell r="AB588" t="str">
            <v>2010 or before</v>
          </cell>
        </row>
        <row r="589">
          <cell r="E589">
            <v>219175.99</v>
          </cell>
          <cell r="Z589" t="str">
            <v>Legacy</v>
          </cell>
          <cell r="AA589" t="str">
            <v>$100K-$500K</v>
          </cell>
          <cell r="AB589">
            <v>2011</v>
          </cell>
        </row>
        <row r="590">
          <cell r="E590">
            <v>217038.37</v>
          </cell>
          <cell r="Z590" t="str">
            <v>Ungating</v>
          </cell>
          <cell r="AA590" t="str">
            <v>$100K-$500K</v>
          </cell>
          <cell r="AB590">
            <v>2011</v>
          </cell>
        </row>
        <row r="591">
          <cell r="E591">
            <v>216127.58</v>
          </cell>
          <cell r="Z591" t="str">
            <v>Inbound</v>
          </cell>
          <cell r="AA591" t="str">
            <v>$100K-$500K</v>
          </cell>
          <cell r="AB591">
            <v>2012</v>
          </cell>
        </row>
        <row r="592">
          <cell r="E592">
            <v>215904.96</v>
          </cell>
          <cell r="Z592" t="str">
            <v>Inbound</v>
          </cell>
          <cell r="AA592" t="str">
            <v>$100K-$500K</v>
          </cell>
          <cell r="AB592">
            <v>2012</v>
          </cell>
        </row>
        <row r="593">
          <cell r="E593">
            <v>214905.17</v>
          </cell>
          <cell r="Z593" t="str">
            <v>Ungating</v>
          </cell>
          <cell r="AA593" t="str">
            <v>$100K-$500K</v>
          </cell>
          <cell r="AB593">
            <v>2012</v>
          </cell>
        </row>
        <row r="594">
          <cell r="E594">
            <v>211655.12</v>
          </cell>
          <cell r="Z594" t="str">
            <v>Legacy</v>
          </cell>
          <cell r="AA594" t="str">
            <v>$100K-$500K</v>
          </cell>
          <cell r="AB594" t="str">
            <v>2010 or before</v>
          </cell>
        </row>
        <row r="595">
          <cell r="E595">
            <v>211237.34</v>
          </cell>
          <cell r="Z595" t="str">
            <v>Legacy</v>
          </cell>
          <cell r="AA595" t="str">
            <v>$100K-$500K</v>
          </cell>
          <cell r="AB595" t="str">
            <v>2010 or before</v>
          </cell>
        </row>
        <row r="596">
          <cell r="E596">
            <v>211219.06</v>
          </cell>
          <cell r="Z596" t="str">
            <v>Legacy</v>
          </cell>
          <cell r="AA596" t="str">
            <v>$100K-$500K</v>
          </cell>
          <cell r="AB596" t="str">
            <v>2010 or before</v>
          </cell>
        </row>
        <row r="597">
          <cell r="E597">
            <v>211054.95</v>
          </cell>
          <cell r="Z597" t="str">
            <v>Ungating</v>
          </cell>
          <cell r="AA597" t="str">
            <v>$100K-$500K</v>
          </cell>
          <cell r="AB597">
            <v>2011</v>
          </cell>
        </row>
        <row r="598">
          <cell r="E598">
            <v>210549.16</v>
          </cell>
          <cell r="Z598" t="str">
            <v>Legacy</v>
          </cell>
          <cell r="AA598" t="str">
            <v>$100K-$500K</v>
          </cell>
          <cell r="AB598" t="str">
            <v>2010 or before</v>
          </cell>
        </row>
        <row r="599">
          <cell r="E599">
            <v>210444.44</v>
          </cell>
          <cell r="Z599" t="str">
            <v>Legacy</v>
          </cell>
          <cell r="AA599" t="str">
            <v>$100K-$500K</v>
          </cell>
          <cell r="AB599" t="str">
            <v>2010 or before</v>
          </cell>
        </row>
        <row r="600">
          <cell r="E600">
            <v>209738.73</v>
          </cell>
          <cell r="Z600" t="str">
            <v>Inbound</v>
          </cell>
          <cell r="AA600" t="str">
            <v>$100K-$500K</v>
          </cell>
          <cell r="AB600">
            <v>2012</v>
          </cell>
        </row>
        <row r="601">
          <cell r="E601">
            <v>209277.18</v>
          </cell>
          <cell r="Z601" t="str">
            <v>Ungating</v>
          </cell>
          <cell r="AA601" t="str">
            <v>$100K-$500K</v>
          </cell>
          <cell r="AB601">
            <v>2011</v>
          </cell>
        </row>
        <row r="602">
          <cell r="E602">
            <v>208582.41</v>
          </cell>
          <cell r="Z602" t="str">
            <v>Inbound</v>
          </cell>
          <cell r="AA602" t="str">
            <v>$100K-$500K</v>
          </cell>
          <cell r="AB602">
            <v>2012</v>
          </cell>
        </row>
        <row r="603">
          <cell r="E603">
            <v>208116.92</v>
          </cell>
          <cell r="Z603" t="str">
            <v>Ungating</v>
          </cell>
          <cell r="AA603" t="str">
            <v>$100K-$500K</v>
          </cell>
          <cell r="AB603">
            <v>2011</v>
          </cell>
        </row>
        <row r="604">
          <cell r="E604">
            <v>207684.92</v>
          </cell>
          <cell r="Z604" t="str">
            <v>Legacy</v>
          </cell>
          <cell r="AA604" t="str">
            <v>$100K-$500K</v>
          </cell>
          <cell r="AB604">
            <v>2011</v>
          </cell>
        </row>
        <row r="605">
          <cell r="E605">
            <v>207657.62</v>
          </cell>
          <cell r="Z605" t="str">
            <v>Legacy</v>
          </cell>
          <cell r="AA605" t="str">
            <v>$100K-$500K</v>
          </cell>
          <cell r="AB605" t="str">
            <v>2010 or before</v>
          </cell>
        </row>
        <row r="606">
          <cell r="E606">
            <v>206201.61</v>
          </cell>
          <cell r="Z606" t="str">
            <v>Legacy</v>
          </cell>
          <cell r="AA606" t="str">
            <v>$100K-$500K</v>
          </cell>
          <cell r="AB606" t="str">
            <v>2010 or before</v>
          </cell>
        </row>
        <row r="607">
          <cell r="E607">
            <v>205720.34</v>
          </cell>
          <cell r="Z607" t="str">
            <v>Legacy</v>
          </cell>
          <cell r="AA607" t="str">
            <v>$100K-$500K</v>
          </cell>
          <cell r="AB607" t="str">
            <v>2010 or before</v>
          </cell>
        </row>
        <row r="608">
          <cell r="E608">
            <v>205388</v>
          </cell>
          <cell r="Z608" t="str">
            <v>Legacy</v>
          </cell>
          <cell r="AA608" t="str">
            <v>$100K-$500K</v>
          </cell>
          <cell r="AB608" t="str">
            <v>2010 or before</v>
          </cell>
        </row>
        <row r="609">
          <cell r="E609">
            <v>204945.61</v>
          </cell>
          <cell r="Z609" t="str">
            <v>Legacy</v>
          </cell>
          <cell r="AA609" t="str">
            <v>$100K-$500K</v>
          </cell>
          <cell r="AB609" t="str">
            <v>2010 or before</v>
          </cell>
        </row>
        <row r="610">
          <cell r="E610">
            <v>204787.92</v>
          </cell>
          <cell r="Z610" t="str">
            <v>Legacy</v>
          </cell>
          <cell r="AA610" t="str">
            <v>$100K-$500K</v>
          </cell>
          <cell r="AB610" t="str">
            <v>2010 or before</v>
          </cell>
        </row>
        <row r="611">
          <cell r="E611">
            <v>204393.06</v>
          </cell>
          <cell r="Z611" t="str">
            <v>Strategic</v>
          </cell>
          <cell r="AA611" t="str">
            <v>$100K-$500K</v>
          </cell>
          <cell r="AB611">
            <v>2011</v>
          </cell>
        </row>
        <row r="612">
          <cell r="E612">
            <v>204067.08</v>
          </cell>
          <cell r="Z612" t="str">
            <v>Legacy</v>
          </cell>
          <cell r="AA612" t="str">
            <v>$100K-$500K</v>
          </cell>
          <cell r="AB612" t="str">
            <v>2010 or before</v>
          </cell>
        </row>
        <row r="613">
          <cell r="E613">
            <v>202550.87</v>
          </cell>
          <cell r="Z613" t="str">
            <v>Legacy</v>
          </cell>
          <cell r="AA613" t="str">
            <v>$100K-$500K</v>
          </cell>
          <cell r="AB613" t="str">
            <v>2010 or before</v>
          </cell>
        </row>
        <row r="614">
          <cell r="E614">
            <v>201897.65</v>
          </cell>
          <cell r="Z614" t="str">
            <v>Inbound</v>
          </cell>
          <cell r="AA614" t="str">
            <v>$100K-$500K</v>
          </cell>
          <cell r="AB614">
            <v>2012</v>
          </cell>
        </row>
        <row r="615">
          <cell r="E615">
            <v>201845.17</v>
          </cell>
          <cell r="Z615" t="str">
            <v>Legacy</v>
          </cell>
          <cell r="AA615" t="str">
            <v>$100K-$500K</v>
          </cell>
          <cell r="AB615" t="str">
            <v>2010 or before</v>
          </cell>
        </row>
        <row r="616">
          <cell r="E616">
            <v>201558.82</v>
          </cell>
          <cell r="Z616" t="str">
            <v>Legacy</v>
          </cell>
          <cell r="AA616" t="str">
            <v>$100K-$500K</v>
          </cell>
          <cell r="AB616" t="str">
            <v>2010 or before</v>
          </cell>
        </row>
        <row r="617">
          <cell r="E617">
            <v>201070.12</v>
          </cell>
          <cell r="Z617" t="str">
            <v>Inbound</v>
          </cell>
          <cell r="AA617" t="str">
            <v>$100K-$500K</v>
          </cell>
          <cell r="AB617">
            <v>2011</v>
          </cell>
        </row>
        <row r="618">
          <cell r="E618">
            <v>200307.49</v>
          </cell>
          <cell r="Z618" t="str">
            <v>Legacy</v>
          </cell>
          <cell r="AA618" t="str">
            <v>$100K-$500K</v>
          </cell>
          <cell r="AB618" t="str">
            <v>2010 or before</v>
          </cell>
        </row>
        <row r="619">
          <cell r="E619">
            <v>200190.38</v>
          </cell>
          <cell r="Z619" t="str">
            <v>Legacy</v>
          </cell>
          <cell r="AA619" t="str">
            <v>$100K-$500K</v>
          </cell>
          <cell r="AB619" t="str">
            <v>2010 or before</v>
          </cell>
        </row>
        <row r="620">
          <cell r="E620">
            <v>198573.96</v>
          </cell>
          <cell r="Z620" t="str">
            <v>Ungating</v>
          </cell>
          <cell r="AA620" t="str">
            <v>$100K-$500K</v>
          </cell>
          <cell r="AB620">
            <v>2012</v>
          </cell>
        </row>
        <row r="621">
          <cell r="E621">
            <v>198515.78</v>
          </cell>
          <cell r="Z621" t="str">
            <v>Ungating</v>
          </cell>
          <cell r="AA621" t="str">
            <v>$100K-$500K</v>
          </cell>
          <cell r="AB621">
            <v>2011</v>
          </cell>
        </row>
        <row r="622">
          <cell r="E622">
            <v>198320.21</v>
          </cell>
          <cell r="Z622" t="str">
            <v>Legacy</v>
          </cell>
          <cell r="AA622" t="str">
            <v>$100K-$500K</v>
          </cell>
          <cell r="AB622" t="str">
            <v>2010 or before</v>
          </cell>
        </row>
        <row r="623">
          <cell r="E623">
            <v>198000.8</v>
          </cell>
          <cell r="Z623" t="str">
            <v>Legacy</v>
          </cell>
          <cell r="AA623" t="str">
            <v>$100K-$500K</v>
          </cell>
          <cell r="AB623">
            <v>2011</v>
          </cell>
        </row>
        <row r="624">
          <cell r="E624">
            <v>197823.19</v>
          </cell>
          <cell r="Z624" t="str">
            <v>Ungating</v>
          </cell>
          <cell r="AA624" t="str">
            <v>$100K-$500K</v>
          </cell>
          <cell r="AB624">
            <v>2011</v>
          </cell>
        </row>
        <row r="625">
          <cell r="E625">
            <v>197763.85</v>
          </cell>
          <cell r="Z625" t="str">
            <v>Legacy</v>
          </cell>
          <cell r="AA625" t="str">
            <v>$100K-$500K</v>
          </cell>
          <cell r="AB625" t="str">
            <v>2010 or before</v>
          </cell>
        </row>
        <row r="626">
          <cell r="E626">
            <v>195854.11</v>
          </cell>
          <cell r="Z626" t="str">
            <v>Legacy</v>
          </cell>
          <cell r="AA626" t="str">
            <v>$100K-$500K</v>
          </cell>
          <cell r="AB626" t="str">
            <v>2010 or before</v>
          </cell>
        </row>
        <row r="627">
          <cell r="E627">
            <v>195710.21</v>
          </cell>
          <cell r="Z627" t="str">
            <v>Legacy</v>
          </cell>
          <cell r="AA627" t="str">
            <v>$100K-$500K</v>
          </cell>
          <cell r="AB627" t="str">
            <v>2010 or before</v>
          </cell>
        </row>
        <row r="628">
          <cell r="E628">
            <v>195596.32</v>
          </cell>
          <cell r="Z628" t="str">
            <v>Inbound</v>
          </cell>
          <cell r="AA628" t="str">
            <v>$100K-$500K</v>
          </cell>
          <cell r="AB628">
            <v>2012</v>
          </cell>
        </row>
        <row r="629">
          <cell r="E629">
            <v>193710.64</v>
          </cell>
          <cell r="Z629" t="str">
            <v>Legacy</v>
          </cell>
          <cell r="AA629" t="str">
            <v>$100K-$500K</v>
          </cell>
          <cell r="AB629" t="str">
            <v>2010 or before</v>
          </cell>
        </row>
        <row r="630">
          <cell r="E630">
            <v>193516.1</v>
          </cell>
          <cell r="Z630" t="str">
            <v>Global</v>
          </cell>
          <cell r="AA630" t="str">
            <v>$100K-$500K</v>
          </cell>
          <cell r="AB630">
            <v>2011</v>
          </cell>
        </row>
        <row r="631">
          <cell r="E631">
            <v>191594.74</v>
          </cell>
          <cell r="Z631" t="str">
            <v>Legacy</v>
          </cell>
          <cell r="AA631" t="str">
            <v>$100K-$500K</v>
          </cell>
          <cell r="AB631" t="str">
            <v>2010 or before</v>
          </cell>
        </row>
        <row r="632">
          <cell r="E632">
            <v>191588.65</v>
          </cell>
          <cell r="Z632" t="str">
            <v>Legacy</v>
          </cell>
          <cell r="AA632" t="str">
            <v>$100K-$500K</v>
          </cell>
          <cell r="AB632" t="str">
            <v>2010 or before</v>
          </cell>
        </row>
        <row r="633">
          <cell r="E633">
            <v>191556.3</v>
          </cell>
          <cell r="Z633" t="str">
            <v>Legacy</v>
          </cell>
          <cell r="AA633" t="str">
            <v>$100K-$500K</v>
          </cell>
          <cell r="AB633" t="str">
            <v>2010 or before</v>
          </cell>
        </row>
        <row r="634">
          <cell r="E634">
            <v>190005.2</v>
          </cell>
          <cell r="Z634" t="str">
            <v>Legacy</v>
          </cell>
          <cell r="AA634" t="str">
            <v>$100K-$500K</v>
          </cell>
          <cell r="AB634" t="str">
            <v>2010 or before</v>
          </cell>
        </row>
        <row r="635">
          <cell r="E635">
            <v>189765.96</v>
          </cell>
          <cell r="Z635" t="str">
            <v>Outbound</v>
          </cell>
          <cell r="AA635" t="str">
            <v>$100K-$500K</v>
          </cell>
          <cell r="AB635">
            <v>2012</v>
          </cell>
        </row>
        <row r="636">
          <cell r="E636">
            <v>189749.83</v>
          </cell>
          <cell r="Z636" t="str">
            <v>Legacy</v>
          </cell>
          <cell r="AA636" t="str">
            <v>$100K-$500K</v>
          </cell>
          <cell r="AB636" t="str">
            <v>2010 or before</v>
          </cell>
        </row>
        <row r="637">
          <cell r="E637">
            <v>189134.9</v>
          </cell>
          <cell r="Z637" t="str">
            <v>Legacy</v>
          </cell>
          <cell r="AA637" t="str">
            <v>$100K-$500K</v>
          </cell>
          <cell r="AB637" t="str">
            <v>2010 or before</v>
          </cell>
        </row>
        <row r="638">
          <cell r="E638">
            <v>189131.18</v>
          </cell>
          <cell r="Z638" t="str">
            <v>Legacy</v>
          </cell>
          <cell r="AA638" t="str">
            <v>$100K-$500K</v>
          </cell>
          <cell r="AB638" t="str">
            <v>2010 or before</v>
          </cell>
        </row>
        <row r="639">
          <cell r="E639">
            <v>188686.47</v>
          </cell>
          <cell r="Z639" t="str">
            <v>Legacy</v>
          </cell>
          <cell r="AA639" t="str">
            <v>$100K-$500K</v>
          </cell>
          <cell r="AB639" t="str">
            <v>2010 or before</v>
          </cell>
        </row>
        <row r="640">
          <cell r="E640">
            <v>188498.95</v>
          </cell>
          <cell r="Z640" t="str">
            <v>Legacy</v>
          </cell>
          <cell r="AA640" t="str">
            <v>$100K-$500K</v>
          </cell>
          <cell r="AB640" t="str">
            <v>2010 or before</v>
          </cell>
        </row>
        <row r="641">
          <cell r="E641">
            <v>188284.99</v>
          </cell>
          <cell r="Z641" t="str">
            <v>Global</v>
          </cell>
          <cell r="AA641" t="str">
            <v>$100K-$500K</v>
          </cell>
          <cell r="AB641">
            <v>2011</v>
          </cell>
        </row>
        <row r="642">
          <cell r="E642">
            <v>187912.68</v>
          </cell>
          <cell r="Z642" t="str">
            <v>Ungating</v>
          </cell>
          <cell r="AA642" t="str">
            <v>$100K-$500K</v>
          </cell>
          <cell r="AB642">
            <v>2011</v>
          </cell>
        </row>
        <row r="643">
          <cell r="E643">
            <v>186917.87</v>
          </cell>
          <cell r="Z643" t="str">
            <v>Legacy</v>
          </cell>
          <cell r="AA643" t="str">
            <v>$100K-$500K</v>
          </cell>
          <cell r="AB643" t="str">
            <v>2010 or before</v>
          </cell>
        </row>
        <row r="644">
          <cell r="E644">
            <v>186709.53</v>
          </cell>
          <cell r="Z644" t="str">
            <v>Legacy</v>
          </cell>
          <cell r="AA644" t="str">
            <v>$100K-$500K</v>
          </cell>
          <cell r="AB644" t="str">
            <v>2010 or before</v>
          </cell>
        </row>
        <row r="645">
          <cell r="E645">
            <v>185952.07</v>
          </cell>
          <cell r="Z645" t="str">
            <v>Legacy</v>
          </cell>
          <cell r="AA645" t="str">
            <v>$100K-$500K</v>
          </cell>
          <cell r="AB645" t="str">
            <v>2010 or before</v>
          </cell>
        </row>
        <row r="646">
          <cell r="E646">
            <v>184981.12</v>
          </cell>
          <cell r="Z646" t="str">
            <v>Legacy</v>
          </cell>
          <cell r="AA646" t="str">
            <v>$100K-$500K</v>
          </cell>
          <cell r="AB646" t="str">
            <v>2010 or before</v>
          </cell>
        </row>
        <row r="647">
          <cell r="E647">
            <v>184712.62</v>
          </cell>
          <cell r="Z647" t="str">
            <v>Ungating</v>
          </cell>
          <cell r="AA647" t="str">
            <v>$100K-$500K</v>
          </cell>
          <cell r="AB647">
            <v>2012</v>
          </cell>
        </row>
        <row r="648">
          <cell r="E648">
            <v>184637.28</v>
          </cell>
          <cell r="Z648" t="str">
            <v>Legacy</v>
          </cell>
          <cell r="AA648" t="str">
            <v>$100K-$500K</v>
          </cell>
          <cell r="AB648" t="str">
            <v>2010 or before</v>
          </cell>
        </row>
        <row r="649">
          <cell r="E649">
            <v>184250.12</v>
          </cell>
          <cell r="Z649" t="str">
            <v>Legacy</v>
          </cell>
          <cell r="AA649" t="str">
            <v>$100K-$500K</v>
          </cell>
          <cell r="AB649" t="str">
            <v>2010 or before</v>
          </cell>
        </row>
        <row r="650">
          <cell r="E650">
            <v>184214.41</v>
          </cell>
          <cell r="Z650" t="str">
            <v>Legacy</v>
          </cell>
          <cell r="AA650" t="str">
            <v>$100K-$500K</v>
          </cell>
          <cell r="AB650" t="str">
            <v>2010 or before</v>
          </cell>
        </row>
        <row r="651">
          <cell r="E651">
            <v>183881.60000000001</v>
          </cell>
          <cell r="Z651" t="str">
            <v>Legacy</v>
          </cell>
          <cell r="AA651" t="str">
            <v>$100K-$500K</v>
          </cell>
          <cell r="AB651" t="str">
            <v>2010 or before</v>
          </cell>
        </row>
        <row r="652">
          <cell r="E652">
            <v>183161.49</v>
          </cell>
          <cell r="Z652" t="str">
            <v>Legacy</v>
          </cell>
          <cell r="AA652" t="str">
            <v>$100K-$500K</v>
          </cell>
          <cell r="AB652">
            <v>2011</v>
          </cell>
        </row>
        <row r="653">
          <cell r="E653">
            <v>182954.62</v>
          </cell>
          <cell r="Z653" t="str">
            <v>Global</v>
          </cell>
          <cell r="AA653" t="str">
            <v>$100K-$500K</v>
          </cell>
          <cell r="AB653">
            <v>2012</v>
          </cell>
        </row>
        <row r="654">
          <cell r="E654">
            <v>182849.25</v>
          </cell>
          <cell r="Z654" t="str">
            <v>Legacy</v>
          </cell>
          <cell r="AA654" t="str">
            <v>$100K-$500K</v>
          </cell>
          <cell r="AB654" t="str">
            <v>2010 or before</v>
          </cell>
        </row>
        <row r="655">
          <cell r="E655">
            <v>182526.67</v>
          </cell>
          <cell r="Z655" t="str">
            <v>Legacy</v>
          </cell>
          <cell r="AA655" t="str">
            <v>$100K-$500K</v>
          </cell>
          <cell r="AB655" t="str">
            <v>2010 or before</v>
          </cell>
        </row>
        <row r="656">
          <cell r="E656">
            <v>182448.85</v>
          </cell>
          <cell r="Z656" t="str">
            <v>Legacy</v>
          </cell>
          <cell r="AA656" t="str">
            <v>$100K-$500K</v>
          </cell>
          <cell r="AB656" t="str">
            <v>2010 or before</v>
          </cell>
        </row>
        <row r="657">
          <cell r="E657">
            <v>182086.79</v>
          </cell>
          <cell r="Z657" t="str">
            <v>Legacy</v>
          </cell>
          <cell r="AA657" t="str">
            <v>$100K-$500K</v>
          </cell>
          <cell r="AB657" t="str">
            <v>2010 or before</v>
          </cell>
        </row>
        <row r="658">
          <cell r="E658">
            <v>182020.82</v>
          </cell>
          <cell r="Z658" t="str">
            <v>Ungating</v>
          </cell>
          <cell r="AA658" t="str">
            <v>$100K-$500K</v>
          </cell>
          <cell r="AB658">
            <v>2011</v>
          </cell>
        </row>
        <row r="659">
          <cell r="E659">
            <v>181793.51</v>
          </cell>
          <cell r="Z659" t="str">
            <v>Legacy</v>
          </cell>
          <cell r="AA659" t="str">
            <v>$100K-$500K</v>
          </cell>
          <cell r="AB659" t="str">
            <v>2010 or before</v>
          </cell>
        </row>
        <row r="660">
          <cell r="E660">
            <v>181663.8</v>
          </cell>
          <cell r="Z660" t="str">
            <v>Legacy</v>
          </cell>
          <cell r="AA660" t="str">
            <v>$100K-$500K</v>
          </cell>
          <cell r="AB660" t="str">
            <v>2010 or before</v>
          </cell>
        </row>
        <row r="661">
          <cell r="E661">
            <v>180090.58</v>
          </cell>
          <cell r="Z661" t="str">
            <v>Ungating</v>
          </cell>
          <cell r="AA661" t="str">
            <v>$100K-$500K</v>
          </cell>
          <cell r="AB661">
            <v>2012</v>
          </cell>
        </row>
        <row r="662">
          <cell r="E662">
            <v>177256.76</v>
          </cell>
          <cell r="Z662" t="str">
            <v>Ungating</v>
          </cell>
          <cell r="AA662" t="str">
            <v>$100K-$500K</v>
          </cell>
          <cell r="AB662">
            <v>2012</v>
          </cell>
        </row>
        <row r="663">
          <cell r="E663">
            <v>176866.91</v>
          </cell>
          <cell r="Z663" t="str">
            <v>Legacy</v>
          </cell>
          <cell r="AA663" t="str">
            <v>$100K-$500K</v>
          </cell>
          <cell r="AB663" t="str">
            <v>2010 or before</v>
          </cell>
        </row>
        <row r="664">
          <cell r="E664">
            <v>176833.97</v>
          </cell>
          <cell r="Z664" t="str">
            <v>Inbound</v>
          </cell>
          <cell r="AA664" t="str">
            <v>$100K-$500K</v>
          </cell>
          <cell r="AB664">
            <v>2012</v>
          </cell>
        </row>
        <row r="665">
          <cell r="E665">
            <v>174360.23</v>
          </cell>
          <cell r="Z665" t="str">
            <v>Legacy</v>
          </cell>
          <cell r="AA665" t="str">
            <v>$100K-$500K</v>
          </cell>
          <cell r="AB665">
            <v>2012</v>
          </cell>
        </row>
        <row r="666">
          <cell r="E666">
            <v>174249.3</v>
          </cell>
          <cell r="Z666" t="str">
            <v>Legacy</v>
          </cell>
          <cell r="AA666" t="str">
            <v>$100K-$500K</v>
          </cell>
          <cell r="AB666" t="str">
            <v>2010 or before</v>
          </cell>
        </row>
        <row r="667">
          <cell r="E667">
            <v>174031.42</v>
          </cell>
          <cell r="Z667" t="str">
            <v>Inbound</v>
          </cell>
          <cell r="AA667" t="str">
            <v>$100K-$500K</v>
          </cell>
          <cell r="AB667">
            <v>2012</v>
          </cell>
        </row>
        <row r="668">
          <cell r="E668">
            <v>173426.39</v>
          </cell>
          <cell r="Z668" t="str">
            <v>Legacy</v>
          </cell>
          <cell r="AA668" t="str">
            <v>$100K-$500K</v>
          </cell>
          <cell r="AB668" t="str">
            <v>2010 or before</v>
          </cell>
        </row>
        <row r="669">
          <cell r="E669">
            <v>173027.01</v>
          </cell>
          <cell r="Z669" t="str">
            <v>Legacy</v>
          </cell>
          <cell r="AA669" t="str">
            <v>$100K-$500K</v>
          </cell>
          <cell r="AB669" t="str">
            <v>2010 or before</v>
          </cell>
        </row>
        <row r="670">
          <cell r="E670">
            <v>172491.76</v>
          </cell>
          <cell r="Z670" t="str">
            <v>Legacy</v>
          </cell>
          <cell r="AA670" t="str">
            <v>$100K-$500K</v>
          </cell>
          <cell r="AB670" t="str">
            <v>2010 or before</v>
          </cell>
        </row>
        <row r="671">
          <cell r="E671">
            <v>172490.35</v>
          </cell>
          <cell r="Z671" t="str">
            <v>Legacy</v>
          </cell>
          <cell r="AA671" t="str">
            <v>$100K-$500K</v>
          </cell>
          <cell r="AB671" t="str">
            <v>2010 or before</v>
          </cell>
        </row>
        <row r="672">
          <cell r="E672">
            <v>172098.68</v>
          </cell>
          <cell r="Z672" t="str">
            <v>Ungating</v>
          </cell>
          <cell r="AA672" t="str">
            <v>$100K-$500K</v>
          </cell>
          <cell r="AB672">
            <v>2011</v>
          </cell>
        </row>
        <row r="673">
          <cell r="E673">
            <v>171698.85</v>
          </cell>
          <cell r="Z673" t="str">
            <v>Inbound</v>
          </cell>
          <cell r="AA673" t="str">
            <v>$100K-$500K</v>
          </cell>
          <cell r="AB673">
            <v>2011</v>
          </cell>
        </row>
        <row r="674">
          <cell r="E674">
            <v>171533.76</v>
          </cell>
          <cell r="Z674" t="str">
            <v>Legacy</v>
          </cell>
          <cell r="AA674" t="str">
            <v>$100K-$500K</v>
          </cell>
          <cell r="AB674" t="str">
            <v>2010 or before</v>
          </cell>
        </row>
        <row r="675">
          <cell r="E675">
            <v>170930.04</v>
          </cell>
          <cell r="Z675" t="str">
            <v>Strategic</v>
          </cell>
          <cell r="AA675" t="str">
            <v>$100K-$500K</v>
          </cell>
          <cell r="AB675">
            <v>2011</v>
          </cell>
        </row>
        <row r="676">
          <cell r="E676">
            <v>168875.62</v>
          </cell>
          <cell r="Z676" t="str">
            <v>Ungating</v>
          </cell>
          <cell r="AA676" t="str">
            <v>$100K-$500K</v>
          </cell>
          <cell r="AB676">
            <v>2012</v>
          </cell>
        </row>
        <row r="677">
          <cell r="E677">
            <v>168824.32000000001</v>
          </cell>
          <cell r="Z677" t="str">
            <v>Legacy</v>
          </cell>
          <cell r="AA677" t="str">
            <v>$100K-$500K</v>
          </cell>
          <cell r="AB677" t="str">
            <v>2010 or before</v>
          </cell>
        </row>
        <row r="678">
          <cell r="E678">
            <v>168725.21</v>
          </cell>
          <cell r="Z678" t="str">
            <v>Ungating</v>
          </cell>
          <cell r="AA678" t="str">
            <v>$100K-$500K</v>
          </cell>
          <cell r="AB678">
            <v>2012</v>
          </cell>
        </row>
        <row r="679">
          <cell r="E679">
            <v>168651.44</v>
          </cell>
          <cell r="Z679" t="str">
            <v>Legacy</v>
          </cell>
          <cell r="AA679" t="str">
            <v>$100K-$500K</v>
          </cell>
          <cell r="AB679" t="str">
            <v>2010 or before</v>
          </cell>
        </row>
        <row r="680">
          <cell r="E680">
            <v>168426.78</v>
          </cell>
          <cell r="Z680" t="str">
            <v>Inbound</v>
          </cell>
          <cell r="AA680" t="str">
            <v>$100K-$500K</v>
          </cell>
          <cell r="AB680">
            <v>2011</v>
          </cell>
        </row>
        <row r="681">
          <cell r="E681">
            <v>167697.9</v>
          </cell>
          <cell r="Z681" t="str">
            <v>Legacy</v>
          </cell>
          <cell r="AA681" t="str">
            <v>$100K-$500K</v>
          </cell>
          <cell r="AB681" t="str">
            <v>2010 or before</v>
          </cell>
        </row>
        <row r="682">
          <cell r="E682">
            <v>167664.10999999999</v>
          </cell>
          <cell r="Z682" t="str">
            <v>Strategic</v>
          </cell>
          <cell r="AA682" t="str">
            <v>$100K-$500K</v>
          </cell>
          <cell r="AB682">
            <v>2012</v>
          </cell>
        </row>
        <row r="683">
          <cell r="E683">
            <v>167662.67000000001</v>
          </cell>
          <cell r="Z683" t="str">
            <v>Inbound</v>
          </cell>
          <cell r="AA683" t="str">
            <v>$100K-$500K</v>
          </cell>
          <cell r="AB683">
            <v>2011</v>
          </cell>
        </row>
        <row r="684">
          <cell r="E684">
            <v>166762.59</v>
          </cell>
          <cell r="Z684" t="str">
            <v>Legacy</v>
          </cell>
          <cell r="AA684" t="str">
            <v>$100K-$500K</v>
          </cell>
          <cell r="AB684" t="str">
            <v>2010 or before</v>
          </cell>
        </row>
        <row r="685">
          <cell r="E685">
            <v>166658.39000000001</v>
          </cell>
          <cell r="Z685" t="str">
            <v>Inbound</v>
          </cell>
          <cell r="AA685" t="str">
            <v>$100K-$500K</v>
          </cell>
          <cell r="AB685">
            <v>2011</v>
          </cell>
        </row>
        <row r="686">
          <cell r="E686">
            <v>166554.07999999999</v>
          </cell>
          <cell r="Z686" t="str">
            <v>Ungating</v>
          </cell>
          <cell r="AA686" t="str">
            <v>$100K-$500K</v>
          </cell>
          <cell r="AB686">
            <v>2012</v>
          </cell>
        </row>
        <row r="687">
          <cell r="E687">
            <v>165646.39000000001</v>
          </cell>
          <cell r="Z687" t="str">
            <v>Legacy</v>
          </cell>
          <cell r="AA687" t="str">
            <v>$100K-$500K</v>
          </cell>
          <cell r="AB687" t="str">
            <v>2010 or before</v>
          </cell>
        </row>
        <row r="688">
          <cell r="E688">
            <v>165563.51999999999</v>
          </cell>
          <cell r="Z688" t="str">
            <v>Inbound</v>
          </cell>
          <cell r="AA688" t="str">
            <v>$100K-$500K</v>
          </cell>
          <cell r="AB688">
            <v>2012</v>
          </cell>
        </row>
        <row r="689">
          <cell r="E689">
            <v>165520.64000000001</v>
          </cell>
          <cell r="Z689" t="str">
            <v>Ungating</v>
          </cell>
          <cell r="AA689" t="str">
            <v>$100K-$500K</v>
          </cell>
          <cell r="AB689">
            <v>2012</v>
          </cell>
        </row>
        <row r="690">
          <cell r="E690">
            <v>165117.39000000001</v>
          </cell>
          <cell r="Z690" t="str">
            <v>Legacy</v>
          </cell>
          <cell r="AA690" t="str">
            <v>$100K-$500K</v>
          </cell>
          <cell r="AB690" t="str">
            <v>2010 or before</v>
          </cell>
        </row>
        <row r="691">
          <cell r="E691">
            <v>163860.18</v>
          </cell>
          <cell r="Z691" t="str">
            <v>Ungating</v>
          </cell>
          <cell r="AA691" t="str">
            <v>$100K-$500K</v>
          </cell>
          <cell r="AB691">
            <v>2012</v>
          </cell>
        </row>
        <row r="692">
          <cell r="E692">
            <v>163135.62</v>
          </cell>
          <cell r="Z692" t="str">
            <v>Legacy</v>
          </cell>
          <cell r="AA692" t="str">
            <v>$100K-$500K</v>
          </cell>
          <cell r="AB692" t="str">
            <v>2010 or before</v>
          </cell>
        </row>
        <row r="693">
          <cell r="E693">
            <v>162201.1</v>
          </cell>
          <cell r="Z693" t="str">
            <v>Ungating</v>
          </cell>
          <cell r="AA693" t="str">
            <v>$100K-$500K</v>
          </cell>
          <cell r="AB693">
            <v>2011</v>
          </cell>
        </row>
        <row r="694">
          <cell r="E694">
            <v>162185.96</v>
          </cell>
          <cell r="Z694" t="str">
            <v>Global</v>
          </cell>
          <cell r="AA694" t="str">
            <v>$100K-$500K</v>
          </cell>
          <cell r="AB694">
            <v>2011</v>
          </cell>
        </row>
        <row r="695">
          <cell r="E695">
            <v>161386.9</v>
          </cell>
          <cell r="Z695" t="str">
            <v>Legacy</v>
          </cell>
          <cell r="AA695" t="str">
            <v>$100K-$500K</v>
          </cell>
          <cell r="AB695" t="str">
            <v>2010 or before</v>
          </cell>
        </row>
        <row r="696">
          <cell r="E696">
            <v>161379.35</v>
          </cell>
          <cell r="Z696" t="str">
            <v>Inbound</v>
          </cell>
          <cell r="AA696" t="str">
            <v>$100K-$500K</v>
          </cell>
          <cell r="AB696">
            <v>2012</v>
          </cell>
        </row>
        <row r="697">
          <cell r="E697">
            <v>161157.43</v>
          </cell>
          <cell r="Z697" t="str">
            <v>Ungating</v>
          </cell>
          <cell r="AA697" t="str">
            <v>$100K-$500K</v>
          </cell>
          <cell r="AB697">
            <v>2011</v>
          </cell>
        </row>
        <row r="698">
          <cell r="E698">
            <v>161004</v>
          </cell>
          <cell r="Z698" t="str">
            <v>Legacy</v>
          </cell>
          <cell r="AA698" t="str">
            <v>$100K-$500K</v>
          </cell>
          <cell r="AB698" t="str">
            <v>2010 or before</v>
          </cell>
        </row>
        <row r="699">
          <cell r="E699">
            <v>160805.49</v>
          </cell>
          <cell r="Z699" t="str">
            <v>Ungating</v>
          </cell>
          <cell r="AA699" t="str">
            <v>$100K-$500K</v>
          </cell>
          <cell r="AB699">
            <v>2012</v>
          </cell>
        </row>
        <row r="700">
          <cell r="E700">
            <v>160255.6</v>
          </cell>
          <cell r="Z700" t="str">
            <v>Legacy</v>
          </cell>
          <cell r="AA700" t="str">
            <v>$100K-$500K</v>
          </cell>
          <cell r="AB700" t="str">
            <v>2010 or before</v>
          </cell>
        </row>
        <row r="701">
          <cell r="E701">
            <v>158602.18</v>
          </cell>
          <cell r="Z701" t="str">
            <v>Legacy</v>
          </cell>
          <cell r="AA701" t="str">
            <v>$100K-$500K</v>
          </cell>
          <cell r="AB701" t="str">
            <v>2010 or before</v>
          </cell>
        </row>
        <row r="702">
          <cell r="E702">
            <v>158360.85</v>
          </cell>
          <cell r="Z702" t="str">
            <v>Inbound</v>
          </cell>
          <cell r="AA702" t="str">
            <v>$100K-$500K</v>
          </cell>
          <cell r="AB702">
            <v>2012</v>
          </cell>
        </row>
        <row r="703">
          <cell r="E703">
            <v>157907.34</v>
          </cell>
          <cell r="Z703" t="str">
            <v>Legacy</v>
          </cell>
          <cell r="AA703" t="str">
            <v>$100K-$500K</v>
          </cell>
          <cell r="AB703" t="str">
            <v>2010 or before</v>
          </cell>
        </row>
        <row r="704">
          <cell r="E704">
            <v>157414.32999999999</v>
          </cell>
          <cell r="Z704" t="str">
            <v>Legacy</v>
          </cell>
          <cell r="AA704" t="str">
            <v>$100K-$500K</v>
          </cell>
          <cell r="AB704" t="str">
            <v>2010 or before</v>
          </cell>
        </row>
        <row r="705">
          <cell r="E705">
            <v>156593.81</v>
          </cell>
          <cell r="Z705" t="str">
            <v>Inbound</v>
          </cell>
          <cell r="AA705" t="str">
            <v>$100K-$500K</v>
          </cell>
          <cell r="AB705">
            <v>2012</v>
          </cell>
        </row>
        <row r="706">
          <cell r="E706">
            <v>156386.56</v>
          </cell>
          <cell r="Z706" t="str">
            <v>Legacy</v>
          </cell>
          <cell r="AA706" t="str">
            <v>$100K-$500K</v>
          </cell>
          <cell r="AB706" t="str">
            <v>2010 or before</v>
          </cell>
        </row>
        <row r="707">
          <cell r="E707">
            <v>156180.26999999999</v>
          </cell>
          <cell r="Z707" t="str">
            <v>Legacy</v>
          </cell>
          <cell r="AA707" t="str">
            <v>$100K-$500K</v>
          </cell>
          <cell r="AB707" t="str">
            <v>2010 or before</v>
          </cell>
        </row>
        <row r="708">
          <cell r="E708">
            <v>156102.17000000001</v>
          </cell>
          <cell r="Z708" t="str">
            <v>Ungating</v>
          </cell>
          <cell r="AA708" t="str">
            <v>$100K-$500K</v>
          </cell>
          <cell r="AB708">
            <v>2012</v>
          </cell>
        </row>
        <row r="709">
          <cell r="E709">
            <v>155769.64000000001</v>
          </cell>
          <cell r="Z709" t="str">
            <v>Ungating</v>
          </cell>
          <cell r="AA709" t="str">
            <v>$100K-$500K</v>
          </cell>
          <cell r="AB709">
            <v>2011</v>
          </cell>
        </row>
        <row r="710">
          <cell r="E710">
            <v>155575.78</v>
          </cell>
          <cell r="Z710" t="str">
            <v>Legacy</v>
          </cell>
          <cell r="AA710" t="str">
            <v>$100K-$500K</v>
          </cell>
          <cell r="AB710" t="str">
            <v>2010 or before</v>
          </cell>
        </row>
        <row r="711">
          <cell r="E711">
            <v>154906.99</v>
          </cell>
          <cell r="Z711" t="str">
            <v>Ungating</v>
          </cell>
          <cell r="AA711" t="str">
            <v>$100K-$500K</v>
          </cell>
          <cell r="AB711">
            <v>2012</v>
          </cell>
        </row>
        <row r="712">
          <cell r="E712">
            <v>154439.32</v>
          </cell>
          <cell r="Z712" t="str">
            <v>Legacy</v>
          </cell>
          <cell r="AA712" t="str">
            <v>$100K-$500K</v>
          </cell>
          <cell r="AB712" t="str">
            <v>2010 or before</v>
          </cell>
        </row>
        <row r="713">
          <cell r="E713">
            <v>152875.9</v>
          </cell>
          <cell r="Z713" t="str">
            <v>Legacy</v>
          </cell>
          <cell r="AA713" t="str">
            <v>$100K-$500K</v>
          </cell>
          <cell r="AB713" t="str">
            <v>2010 or before</v>
          </cell>
        </row>
        <row r="714">
          <cell r="E714">
            <v>152132.29999999999</v>
          </cell>
          <cell r="Z714" t="str">
            <v>Ungating</v>
          </cell>
          <cell r="AA714" t="str">
            <v>$100K-$500K</v>
          </cell>
          <cell r="AB714">
            <v>2012</v>
          </cell>
        </row>
        <row r="715">
          <cell r="E715">
            <v>151957.20000000001</v>
          </cell>
          <cell r="Z715" t="str">
            <v>Ungating</v>
          </cell>
          <cell r="AA715" t="str">
            <v>$100K-$500K</v>
          </cell>
          <cell r="AB715">
            <v>2012</v>
          </cell>
        </row>
        <row r="716">
          <cell r="E716">
            <v>151791.54</v>
          </cell>
          <cell r="Z716" t="str">
            <v>Inbound</v>
          </cell>
          <cell r="AA716" t="str">
            <v>$100K-$500K</v>
          </cell>
          <cell r="AB716">
            <v>2011</v>
          </cell>
        </row>
        <row r="717">
          <cell r="E717">
            <v>151450.65</v>
          </cell>
          <cell r="Z717" t="str">
            <v>Global</v>
          </cell>
          <cell r="AA717" t="str">
            <v>$100K-$500K</v>
          </cell>
          <cell r="AB717">
            <v>2012</v>
          </cell>
        </row>
        <row r="718">
          <cell r="E718">
            <v>151415.76999999999</v>
          </cell>
          <cell r="Z718" t="str">
            <v>Inbound</v>
          </cell>
          <cell r="AA718" t="str">
            <v>$100K-$500K</v>
          </cell>
          <cell r="AB718">
            <v>2012</v>
          </cell>
        </row>
        <row r="719">
          <cell r="E719">
            <v>151317.34</v>
          </cell>
          <cell r="Z719" t="str">
            <v>Inbound</v>
          </cell>
          <cell r="AA719" t="str">
            <v>$100K-$500K</v>
          </cell>
          <cell r="AB719">
            <v>2011</v>
          </cell>
        </row>
        <row r="720">
          <cell r="E720">
            <v>150527.97</v>
          </cell>
          <cell r="Z720" t="str">
            <v>Legacy</v>
          </cell>
          <cell r="AA720" t="str">
            <v>$100K-$500K</v>
          </cell>
          <cell r="AB720" t="str">
            <v>2010 or before</v>
          </cell>
        </row>
        <row r="721">
          <cell r="E721">
            <v>150340.82999999999</v>
          </cell>
          <cell r="Z721" t="str">
            <v>Legacy</v>
          </cell>
          <cell r="AA721" t="str">
            <v>$100K-$500K</v>
          </cell>
          <cell r="AB721" t="str">
            <v>2010 or before</v>
          </cell>
        </row>
        <row r="722">
          <cell r="E722">
            <v>150289.04999999999</v>
          </cell>
          <cell r="Z722" t="str">
            <v>Ungating</v>
          </cell>
          <cell r="AA722" t="str">
            <v>$100K-$500K</v>
          </cell>
          <cell r="AB722">
            <v>2012</v>
          </cell>
        </row>
        <row r="723">
          <cell r="E723">
            <v>148855.84</v>
          </cell>
          <cell r="Z723" t="str">
            <v>Legacy</v>
          </cell>
          <cell r="AA723" t="str">
            <v>$100K-$500K</v>
          </cell>
          <cell r="AB723" t="str">
            <v>2010 or before</v>
          </cell>
        </row>
        <row r="724">
          <cell r="E724">
            <v>148527.93</v>
          </cell>
          <cell r="Z724" t="str">
            <v>Inbound</v>
          </cell>
          <cell r="AA724" t="str">
            <v>$100K-$500K</v>
          </cell>
          <cell r="AB724">
            <v>2012</v>
          </cell>
        </row>
        <row r="725">
          <cell r="E725">
            <v>148520.67000000001</v>
          </cell>
          <cell r="Z725" t="str">
            <v>Legacy</v>
          </cell>
          <cell r="AA725" t="str">
            <v>$100K-$500K</v>
          </cell>
          <cell r="AB725" t="str">
            <v>2010 or before</v>
          </cell>
        </row>
        <row r="726">
          <cell r="E726">
            <v>148399.99</v>
          </cell>
          <cell r="Z726" t="str">
            <v>Legacy</v>
          </cell>
          <cell r="AA726" t="str">
            <v>$100K-$500K</v>
          </cell>
          <cell r="AB726" t="str">
            <v>2010 or before</v>
          </cell>
        </row>
        <row r="727">
          <cell r="E727">
            <v>147890.26</v>
          </cell>
          <cell r="Z727" t="str">
            <v>Global</v>
          </cell>
          <cell r="AA727" t="str">
            <v>$100K-$500K</v>
          </cell>
          <cell r="AB727">
            <v>2012</v>
          </cell>
        </row>
        <row r="728">
          <cell r="E728">
            <v>147665.84</v>
          </cell>
          <cell r="Z728" t="str">
            <v>Legacy</v>
          </cell>
          <cell r="AA728" t="str">
            <v>$100K-$500K</v>
          </cell>
          <cell r="AB728" t="str">
            <v>2010 or before</v>
          </cell>
        </row>
        <row r="729">
          <cell r="E729">
            <v>147522.47</v>
          </cell>
          <cell r="Z729" t="str">
            <v>Inbound</v>
          </cell>
          <cell r="AA729" t="str">
            <v>$100K-$500K</v>
          </cell>
          <cell r="AB729">
            <v>2011</v>
          </cell>
        </row>
        <row r="730">
          <cell r="E730">
            <v>147298.82</v>
          </cell>
          <cell r="Z730" t="str">
            <v>Legacy</v>
          </cell>
          <cell r="AA730" t="str">
            <v>$100K-$500K</v>
          </cell>
          <cell r="AB730" t="str">
            <v>2010 or before</v>
          </cell>
        </row>
        <row r="731">
          <cell r="E731">
            <v>147288.78</v>
          </cell>
          <cell r="Z731" t="str">
            <v>Inbound</v>
          </cell>
          <cell r="AA731" t="str">
            <v>$100K-$500K</v>
          </cell>
          <cell r="AB731">
            <v>2011</v>
          </cell>
        </row>
        <row r="732">
          <cell r="E732">
            <v>147280.99</v>
          </cell>
          <cell r="Z732" t="str">
            <v>Legacy</v>
          </cell>
          <cell r="AA732" t="str">
            <v>$100K-$500K</v>
          </cell>
          <cell r="AB732" t="str">
            <v>2010 or before</v>
          </cell>
        </row>
        <row r="733">
          <cell r="E733">
            <v>146829.73000000001</v>
          </cell>
          <cell r="Z733" t="str">
            <v>Legacy</v>
          </cell>
          <cell r="AA733" t="str">
            <v>$100K-$500K</v>
          </cell>
          <cell r="AB733" t="str">
            <v>2010 or before</v>
          </cell>
        </row>
        <row r="734">
          <cell r="E734">
            <v>146777.69</v>
          </cell>
          <cell r="Z734" t="str">
            <v>Legacy</v>
          </cell>
          <cell r="AA734" t="str">
            <v>$100K-$500K</v>
          </cell>
          <cell r="AB734" t="str">
            <v>2010 or before</v>
          </cell>
        </row>
        <row r="735">
          <cell r="E735">
            <v>146252.01999999999</v>
          </cell>
          <cell r="Z735" t="str">
            <v>Ungating</v>
          </cell>
          <cell r="AA735" t="str">
            <v>$100K-$500K</v>
          </cell>
          <cell r="AB735">
            <v>2011</v>
          </cell>
        </row>
        <row r="736">
          <cell r="E736">
            <v>146044.29</v>
          </cell>
          <cell r="Z736" t="str">
            <v>Inbound</v>
          </cell>
          <cell r="AA736" t="str">
            <v>$100K-$500K</v>
          </cell>
          <cell r="AB736">
            <v>2011</v>
          </cell>
        </row>
        <row r="737">
          <cell r="E737">
            <v>145691.09</v>
          </cell>
          <cell r="Z737" t="str">
            <v>Legacy</v>
          </cell>
          <cell r="AA737" t="str">
            <v>$100K-$500K</v>
          </cell>
          <cell r="AB737" t="str">
            <v>2010 or before</v>
          </cell>
        </row>
        <row r="738">
          <cell r="E738">
            <v>144434.91</v>
          </cell>
          <cell r="Z738" t="str">
            <v>Ungating</v>
          </cell>
          <cell r="AA738" t="str">
            <v>$100K-$500K</v>
          </cell>
          <cell r="AB738">
            <v>2011</v>
          </cell>
        </row>
        <row r="739">
          <cell r="E739">
            <v>144301.68</v>
          </cell>
          <cell r="Z739" t="str">
            <v>Legacy</v>
          </cell>
          <cell r="AA739" t="str">
            <v>$100K-$500K</v>
          </cell>
          <cell r="AB739" t="str">
            <v>2010 or before</v>
          </cell>
        </row>
        <row r="740">
          <cell r="E740">
            <v>144072.43</v>
          </cell>
          <cell r="Z740" t="str">
            <v>Inbound</v>
          </cell>
          <cell r="AA740" t="str">
            <v>$100K-$500K</v>
          </cell>
          <cell r="AB740">
            <v>2011</v>
          </cell>
        </row>
        <row r="741">
          <cell r="E741">
            <v>143708.18</v>
          </cell>
          <cell r="Z741" t="str">
            <v>Legacy</v>
          </cell>
          <cell r="AA741" t="str">
            <v>$100K-$500K</v>
          </cell>
          <cell r="AB741" t="str">
            <v>2010 or before</v>
          </cell>
        </row>
        <row r="742">
          <cell r="E742">
            <v>143560.15</v>
          </cell>
          <cell r="Z742" t="str">
            <v>Global</v>
          </cell>
          <cell r="AA742" t="str">
            <v>$100K-$500K</v>
          </cell>
          <cell r="AB742">
            <v>2012</v>
          </cell>
        </row>
        <row r="743">
          <cell r="E743">
            <v>143548.51999999999</v>
          </cell>
          <cell r="Z743" t="str">
            <v>Legacy</v>
          </cell>
          <cell r="AA743" t="str">
            <v>$100K-$500K</v>
          </cell>
          <cell r="AB743" t="str">
            <v>2010 or before</v>
          </cell>
        </row>
        <row r="744">
          <cell r="E744">
            <v>143070.21</v>
          </cell>
          <cell r="Z744" t="str">
            <v>Inbound</v>
          </cell>
          <cell r="AA744" t="str">
            <v>$100K-$500K</v>
          </cell>
          <cell r="AB744">
            <v>2011</v>
          </cell>
        </row>
        <row r="745">
          <cell r="E745">
            <v>142931.35999999999</v>
          </cell>
          <cell r="Z745" t="str">
            <v>Legacy</v>
          </cell>
          <cell r="AA745" t="str">
            <v>$100K-$500K</v>
          </cell>
          <cell r="AB745" t="str">
            <v>2010 or before</v>
          </cell>
        </row>
        <row r="746">
          <cell r="E746">
            <v>142375.31</v>
          </cell>
          <cell r="Z746" t="str">
            <v>Ungating</v>
          </cell>
          <cell r="AA746" t="str">
            <v>$100K-$500K</v>
          </cell>
          <cell r="AB746">
            <v>2011</v>
          </cell>
        </row>
        <row r="747">
          <cell r="E747">
            <v>142331.06</v>
          </cell>
          <cell r="Z747" t="str">
            <v>Legacy</v>
          </cell>
          <cell r="AA747" t="str">
            <v>$100K-$500K</v>
          </cell>
          <cell r="AB747" t="str">
            <v>2010 or before</v>
          </cell>
        </row>
        <row r="748">
          <cell r="E748">
            <v>141859.28</v>
          </cell>
          <cell r="Z748" t="str">
            <v>Legacy</v>
          </cell>
          <cell r="AA748" t="str">
            <v>$100K-$500K</v>
          </cell>
          <cell r="AB748" t="str">
            <v>2010 or before</v>
          </cell>
        </row>
        <row r="749">
          <cell r="E749">
            <v>141051.6</v>
          </cell>
          <cell r="Z749" t="str">
            <v>Legacy</v>
          </cell>
          <cell r="AA749" t="str">
            <v>$100K-$500K</v>
          </cell>
          <cell r="AB749" t="str">
            <v>2010 or before</v>
          </cell>
        </row>
        <row r="750">
          <cell r="E750">
            <v>141049.97</v>
          </cell>
          <cell r="Z750" t="str">
            <v>Legacy</v>
          </cell>
          <cell r="AA750" t="str">
            <v>$100K-$500K</v>
          </cell>
          <cell r="AB750" t="str">
            <v>2010 or before</v>
          </cell>
        </row>
        <row r="751">
          <cell r="E751">
            <v>141011.17000000001</v>
          </cell>
          <cell r="Z751" t="str">
            <v>Legacy</v>
          </cell>
          <cell r="AA751" t="str">
            <v>$100K-$500K</v>
          </cell>
          <cell r="AB751" t="str">
            <v>2010 or before</v>
          </cell>
        </row>
        <row r="752">
          <cell r="E752">
            <v>140833.60999999999</v>
          </cell>
          <cell r="Z752" t="str">
            <v>Legacy</v>
          </cell>
          <cell r="AA752" t="str">
            <v>$100K-$500K</v>
          </cell>
          <cell r="AB752" t="str">
            <v>2010 or before</v>
          </cell>
        </row>
        <row r="753">
          <cell r="E753">
            <v>140801.63</v>
          </cell>
          <cell r="Z753" t="str">
            <v>Legacy</v>
          </cell>
          <cell r="AA753" t="str">
            <v>$100K-$500K</v>
          </cell>
          <cell r="AB753" t="str">
            <v>2010 or before</v>
          </cell>
        </row>
        <row r="754">
          <cell r="E754">
            <v>140431</v>
          </cell>
          <cell r="Z754" t="str">
            <v>Inbound</v>
          </cell>
          <cell r="AA754" t="str">
            <v>$100K-$500K</v>
          </cell>
          <cell r="AB754">
            <v>2011</v>
          </cell>
        </row>
        <row r="755">
          <cell r="E755">
            <v>140361.71</v>
          </cell>
          <cell r="Z755" t="str">
            <v>Legacy</v>
          </cell>
          <cell r="AA755" t="str">
            <v>$100K-$500K</v>
          </cell>
          <cell r="AB755" t="str">
            <v>2010 or before</v>
          </cell>
        </row>
        <row r="756">
          <cell r="E756">
            <v>140185.71</v>
          </cell>
          <cell r="Z756" t="str">
            <v>Legacy</v>
          </cell>
          <cell r="AA756" t="str">
            <v>$100K-$500K</v>
          </cell>
          <cell r="AB756" t="str">
            <v>2010 or before</v>
          </cell>
        </row>
        <row r="757">
          <cell r="E757">
            <v>139841.97</v>
          </cell>
          <cell r="Z757" t="str">
            <v>Inbound</v>
          </cell>
          <cell r="AA757" t="str">
            <v>$100K-$500K</v>
          </cell>
          <cell r="AB757">
            <v>2012</v>
          </cell>
        </row>
        <row r="758">
          <cell r="E758">
            <v>138866</v>
          </cell>
          <cell r="Z758" t="str">
            <v>Legacy</v>
          </cell>
          <cell r="AA758" t="str">
            <v>$100K-$500K</v>
          </cell>
          <cell r="AB758" t="str">
            <v>2010 or before</v>
          </cell>
        </row>
        <row r="759">
          <cell r="E759">
            <v>138770.54999999999</v>
          </cell>
          <cell r="Z759" t="str">
            <v>Global</v>
          </cell>
          <cell r="AA759" t="str">
            <v>$100K-$500K</v>
          </cell>
          <cell r="AB759">
            <v>2012</v>
          </cell>
        </row>
        <row r="760">
          <cell r="E760">
            <v>138698.43</v>
          </cell>
          <cell r="Z760" t="str">
            <v>Legacy</v>
          </cell>
          <cell r="AA760" t="str">
            <v>$100K-$500K</v>
          </cell>
          <cell r="AB760" t="str">
            <v>2010 or before</v>
          </cell>
        </row>
        <row r="761">
          <cell r="E761">
            <v>137955.37</v>
          </cell>
          <cell r="Z761" t="str">
            <v>Global</v>
          </cell>
          <cell r="AA761" t="str">
            <v>$100K-$500K</v>
          </cell>
          <cell r="AB761">
            <v>2011</v>
          </cell>
        </row>
        <row r="762">
          <cell r="E762">
            <v>137695.98000000001</v>
          </cell>
          <cell r="Z762" t="str">
            <v>Strategic</v>
          </cell>
          <cell r="AA762" t="str">
            <v>$100K-$500K</v>
          </cell>
          <cell r="AB762">
            <v>2011</v>
          </cell>
        </row>
        <row r="763">
          <cell r="E763">
            <v>136914.89000000001</v>
          </cell>
          <cell r="Z763" t="str">
            <v>Legacy</v>
          </cell>
          <cell r="AA763" t="str">
            <v>$100K-$500K</v>
          </cell>
          <cell r="AB763">
            <v>2011</v>
          </cell>
        </row>
        <row r="764">
          <cell r="E764">
            <v>136799.79999999999</v>
          </cell>
          <cell r="Z764" t="str">
            <v>Legacy</v>
          </cell>
          <cell r="AA764" t="str">
            <v>$100K-$500K</v>
          </cell>
          <cell r="AB764" t="str">
            <v>2010 or before</v>
          </cell>
        </row>
        <row r="765">
          <cell r="E765">
            <v>136674.60999999999</v>
          </cell>
          <cell r="Z765" t="str">
            <v>Legacy</v>
          </cell>
          <cell r="AA765" t="str">
            <v>$100K-$500K</v>
          </cell>
          <cell r="AB765" t="str">
            <v>2010 or before</v>
          </cell>
        </row>
        <row r="766">
          <cell r="E766">
            <v>136581.31</v>
          </cell>
          <cell r="Z766" t="str">
            <v>Ungating</v>
          </cell>
          <cell r="AA766" t="str">
            <v>$100K-$500K</v>
          </cell>
          <cell r="AB766">
            <v>2011</v>
          </cell>
        </row>
        <row r="767">
          <cell r="E767">
            <v>135905.60999999999</v>
          </cell>
          <cell r="Z767" t="str">
            <v>Inbound</v>
          </cell>
          <cell r="AA767" t="str">
            <v>$100K-$500K</v>
          </cell>
          <cell r="AB767">
            <v>2012</v>
          </cell>
        </row>
        <row r="768">
          <cell r="E768">
            <v>135650.04</v>
          </cell>
          <cell r="Z768" t="str">
            <v>Legacy</v>
          </cell>
          <cell r="AA768" t="str">
            <v>$100K-$500K</v>
          </cell>
          <cell r="AB768" t="str">
            <v>2010 or before</v>
          </cell>
        </row>
        <row r="769">
          <cell r="E769">
            <v>135600.56</v>
          </cell>
          <cell r="Z769" t="str">
            <v>Outbound</v>
          </cell>
          <cell r="AA769" t="str">
            <v>$100K-$500K</v>
          </cell>
          <cell r="AB769">
            <v>2012</v>
          </cell>
        </row>
        <row r="770">
          <cell r="E770">
            <v>135118.92000000001</v>
          </cell>
          <cell r="Z770" t="str">
            <v>Legacy</v>
          </cell>
          <cell r="AA770" t="str">
            <v>$100K-$500K</v>
          </cell>
          <cell r="AB770" t="str">
            <v>2010 or before</v>
          </cell>
        </row>
        <row r="771">
          <cell r="E771">
            <v>134644.76</v>
          </cell>
          <cell r="Z771" t="str">
            <v>Legacy</v>
          </cell>
          <cell r="AA771" t="str">
            <v>$100K-$500K</v>
          </cell>
          <cell r="AB771" t="str">
            <v>2010 or before</v>
          </cell>
        </row>
        <row r="772">
          <cell r="E772">
            <v>134489.19</v>
          </cell>
          <cell r="Z772" t="str">
            <v>Legacy</v>
          </cell>
          <cell r="AA772" t="str">
            <v>$100K-$500K</v>
          </cell>
          <cell r="AB772" t="str">
            <v>2010 or before</v>
          </cell>
        </row>
        <row r="773">
          <cell r="E773">
            <v>134141.26999999999</v>
          </cell>
          <cell r="Z773" t="str">
            <v>Legacy</v>
          </cell>
          <cell r="AA773" t="str">
            <v>$100K-$500K</v>
          </cell>
          <cell r="AB773">
            <v>2011</v>
          </cell>
        </row>
        <row r="774">
          <cell r="E774">
            <v>133700</v>
          </cell>
          <cell r="Z774" t="str">
            <v>Legacy</v>
          </cell>
          <cell r="AA774" t="str">
            <v>$100K-$500K</v>
          </cell>
          <cell r="AB774" t="str">
            <v>2010 or before</v>
          </cell>
        </row>
        <row r="775">
          <cell r="E775">
            <v>133660.10999999999</v>
          </cell>
          <cell r="Z775" t="str">
            <v>Legacy</v>
          </cell>
          <cell r="AA775" t="str">
            <v>$100K-$500K</v>
          </cell>
          <cell r="AB775" t="str">
            <v>2010 or before</v>
          </cell>
        </row>
        <row r="776">
          <cell r="E776">
            <v>133649.43</v>
          </cell>
          <cell r="Z776" t="str">
            <v>Legacy</v>
          </cell>
          <cell r="AA776" t="str">
            <v>$100K-$500K</v>
          </cell>
          <cell r="AB776" t="str">
            <v>2010 or before</v>
          </cell>
        </row>
        <row r="777">
          <cell r="E777">
            <v>133508.06</v>
          </cell>
          <cell r="Z777" t="str">
            <v>Ungating</v>
          </cell>
          <cell r="AA777" t="str">
            <v>$100K-$500K</v>
          </cell>
          <cell r="AB777">
            <v>2011</v>
          </cell>
        </row>
        <row r="778">
          <cell r="E778">
            <v>132740.04999999999</v>
          </cell>
          <cell r="Z778" t="str">
            <v>Legacy</v>
          </cell>
          <cell r="AA778" t="str">
            <v>$100K-$500K</v>
          </cell>
          <cell r="AB778" t="str">
            <v>2010 or before</v>
          </cell>
        </row>
        <row r="779">
          <cell r="E779">
            <v>132707.17000000001</v>
          </cell>
          <cell r="Z779" t="str">
            <v>Legacy</v>
          </cell>
          <cell r="AA779" t="str">
            <v>$100K-$500K</v>
          </cell>
          <cell r="AB779" t="str">
            <v>2010 or before</v>
          </cell>
        </row>
        <row r="780">
          <cell r="E780">
            <v>132392.69</v>
          </cell>
          <cell r="Z780" t="str">
            <v>Legacy</v>
          </cell>
          <cell r="AA780" t="str">
            <v>$100K-$500K</v>
          </cell>
          <cell r="AB780" t="str">
            <v>2010 or before</v>
          </cell>
        </row>
        <row r="781">
          <cell r="E781">
            <v>131881.79999999999</v>
          </cell>
          <cell r="Z781" t="str">
            <v>Legacy</v>
          </cell>
          <cell r="AA781" t="str">
            <v>$100K-$500K</v>
          </cell>
          <cell r="AB781" t="str">
            <v>2010 or before</v>
          </cell>
        </row>
        <row r="782">
          <cell r="E782">
            <v>131794.18</v>
          </cell>
          <cell r="Z782" t="str">
            <v>Legacy</v>
          </cell>
          <cell r="AA782" t="str">
            <v>$100K-$500K</v>
          </cell>
          <cell r="AB782" t="str">
            <v>2010 or before</v>
          </cell>
        </row>
        <row r="783">
          <cell r="E783">
            <v>130015.72</v>
          </cell>
          <cell r="Z783" t="str">
            <v>Legacy</v>
          </cell>
          <cell r="AA783" t="str">
            <v>$100K-$500K</v>
          </cell>
          <cell r="AB783">
            <v>2012</v>
          </cell>
        </row>
        <row r="784">
          <cell r="E784">
            <v>129975.23</v>
          </cell>
          <cell r="Z784" t="str">
            <v>Legacy</v>
          </cell>
          <cell r="AA784" t="str">
            <v>$100K-$500K</v>
          </cell>
          <cell r="AB784" t="str">
            <v>2010 or before</v>
          </cell>
        </row>
        <row r="785">
          <cell r="E785">
            <v>129796.47</v>
          </cell>
          <cell r="Z785" t="str">
            <v>Ungating</v>
          </cell>
          <cell r="AA785" t="str">
            <v>$100K-$500K</v>
          </cell>
          <cell r="AB785">
            <v>2012</v>
          </cell>
        </row>
        <row r="786">
          <cell r="E786">
            <v>129736.65</v>
          </cell>
          <cell r="Z786" t="str">
            <v>Inbound</v>
          </cell>
          <cell r="AA786" t="str">
            <v>$100K-$500K</v>
          </cell>
          <cell r="AB786">
            <v>2011</v>
          </cell>
        </row>
        <row r="787">
          <cell r="E787">
            <v>129109.8</v>
          </cell>
          <cell r="Z787" t="str">
            <v>Legacy</v>
          </cell>
          <cell r="AA787" t="str">
            <v>$100K-$500K</v>
          </cell>
          <cell r="AB787" t="str">
            <v>2010 or before</v>
          </cell>
        </row>
        <row r="788">
          <cell r="E788">
            <v>128712.71</v>
          </cell>
          <cell r="Z788" t="str">
            <v>Legacy</v>
          </cell>
          <cell r="AA788" t="str">
            <v>$100K-$500K</v>
          </cell>
          <cell r="AB788" t="str">
            <v>2010 or before</v>
          </cell>
        </row>
        <row r="789">
          <cell r="E789">
            <v>128588.53</v>
          </cell>
          <cell r="Z789" t="str">
            <v>Legacy</v>
          </cell>
          <cell r="AA789" t="str">
            <v>$100K-$500K</v>
          </cell>
          <cell r="AB789" t="str">
            <v>2010 or before</v>
          </cell>
        </row>
        <row r="790">
          <cell r="E790">
            <v>128343.65</v>
          </cell>
          <cell r="Z790" t="str">
            <v>Legacy</v>
          </cell>
          <cell r="AA790" t="str">
            <v>$100K-$500K</v>
          </cell>
          <cell r="AB790" t="str">
            <v>2010 or before</v>
          </cell>
        </row>
        <row r="791">
          <cell r="E791">
            <v>127409.64</v>
          </cell>
          <cell r="Z791" t="str">
            <v>Legacy</v>
          </cell>
          <cell r="AA791" t="str">
            <v>$100K-$500K</v>
          </cell>
          <cell r="AB791" t="str">
            <v>2010 or before</v>
          </cell>
        </row>
        <row r="792">
          <cell r="E792">
            <v>126776.71</v>
          </cell>
          <cell r="Z792" t="str">
            <v>Legacy</v>
          </cell>
          <cell r="AA792" t="str">
            <v>$100K-$500K</v>
          </cell>
          <cell r="AB792" t="str">
            <v>2010 or before</v>
          </cell>
        </row>
        <row r="793">
          <cell r="E793">
            <v>126571.4</v>
          </cell>
          <cell r="Z793" t="str">
            <v>Legacy</v>
          </cell>
          <cell r="AA793" t="str">
            <v>$100K-$500K</v>
          </cell>
          <cell r="AB793" t="str">
            <v>2010 or before</v>
          </cell>
        </row>
        <row r="794">
          <cell r="E794">
            <v>126458.47</v>
          </cell>
          <cell r="Z794" t="str">
            <v>Legacy</v>
          </cell>
          <cell r="AA794" t="str">
            <v>$100K-$500K</v>
          </cell>
          <cell r="AB794" t="str">
            <v>2010 or before</v>
          </cell>
        </row>
        <row r="795">
          <cell r="E795">
            <v>126376.48</v>
          </cell>
          <cell r="Z795" t="str">
            <v>Global</v>
          </cell>
          <cell r="AA795" t="str">
            <v>$100K-$500K</v>
          </cell>
          <cell r="AB795">
            <v>2012</v>
          </cell>
        </row>
        <row r="796">
          <cell r="E796">
            <v>126235.07</v>
          </cell>
          <cell r="Z796" t="str">
            <v>Legacy</v>
          </cell>
          <cell r="AA796" t="str">
            <v>$100K-$500K</v>
          </cell>
          <cell r="AB796" t="str">
            <v>2010 or before</v>
          </cell>
        </row>
        <row r="797">
          <cell r="E797">
            <v>125571.52</v>
          </cell>
          <cell r="Z797" t="str">
            <v>Legacy</v>
          </cell>
          <cell r="AA797" t="str">
            <v>$100K-$500K</v>
          </cell>
          <cell r="AB797" t="str">
            <v>2010 or before</v>
          </cell>
        </row>
        <row r="798">
          <cell r="E798">
            <v>125565.26</v>
          </cell>
          <cell r="Z798" t="str">
            <v>Ungating</v>
          </cell>
          <cell r="AA798" t="str">
            <v>$100K-$500K</v>
          </cell>
          <cell r="AB798">
            <v>2012</v>
          </cell>
        </row>
        <row r="799">
          <cell r="E799">
            <v>125100.18</v>
          </cell>
          <cell r="Z799" t="str">
            <v>Legacy</v>
          </cell>
          <cell r="AA799" t="str">
            <v>$100K-$500K</v>
          </cell>
          <cell r="AB799" t="str">
            <v>2010 or before</v>
          </cell>
        </row>
        <row r="800">
          <cell r="E800">
            <v>124846.03</v>
          </cell>
          <cell r="Z800" t="str">
            <v>Inbound</v>
          </cell>
          <cell r="AA800" t="str">
            <v>$100K-$500K</v>
          </cell>
          <cell r="AB800">
            <v>2012</v>
          </cell>
        </row>
        <row r="801">
          <cell r="E801">
            <v>124322.71</v>
          </cell>
          <cell r="Z801" t="str">
            <v>Legacy</v>
          </cell>
          <cell r="AA801" t="str">
            <v>$100K-$500K</v>
          </cell>
          <cell r="AB801" t="str">
            <v>2010 or before</v>
          </cell>
        </row>
        <row r="802">
          <cell r="E802">
            <v>124283.99</v>
          </cell>
          <cell r="Z802" t="str">
            <v>Legacy</v>
          </cell>
          <cell r="AA802" t="str">
            <v>$100K-$500K</v>
          </cell>
          <cell r="AB802" t="str">
            <v>2010 or before</v>
          </cell>
        </row>
        <row r="803">
          <cell r="E803">
            <v>124082.17</v>
          </cell>
          <cell r="Z803" t="str">
            <v>Inbound</v>
          </cell>
          <cell r="AA803" t="str">
            <v>$100K-$500K</v>
          </cell>
          <cell r="AB803">
            <v>2011</v>
          </cell>
        </row>
        <row r="804">
          <cell r="E804">
            <v>123712.11</v>
          </cell>
          <cell r="Z804" t="str">
            <v>Legacy</v>
          </cell>
          <cell r="AA804" t="str">
            <v>$100K-$500K</v>
          </cell>
          <cell r="AB804" t="str">
            <v>2010 or before</v>
          </cell>
        </row>
        <row r="805">
          <cell r="E805">
            <v>123653.8</v>
          </cell>
          <cell r="Z805" t="str">
            <v>Inbound</v>
          </cell>
          <cell r="AA805" t="str">
            <v>$100K-$500K</v>
          </cell>
          <cell r="AB805">
            <v>2012</v>
          </cell>
        </row>
        <row r="806">
          <cell r="E806">
            <v>123277.84</v>
          </cell>
          <cell r="Z806" t="str">
            <v>Legacy</v>
          </cell>
          <cell r="AA806" t="str">
            <v>$100K-$500K</v>
          </cell>
          <cell r="AB806" t="str">
            <v>2010 or before</v>
          </cell>
        </row>
        <row r="807">
          <cell r="E807">
            <v>123121.7</v>
          </cell>
          <cell r="Z807" t="str">
            <v>Legacy</v>
          </cell>
          <cell r="AA807" t="str">
            <v>$100K-$500K</v>
          </cell>
          <cell r="AB807">
            <v>2012</v>
          </cell>
        </row>
        <row r="808">
          <cell r="E808">
            <v>122941.8</v>
          </cell>
          <cell r="Z808" t="str">
            <v>Legacy</v>
          </cell>
          <cell r="AA808" t="str">
            <v>$100K-$500K</v>
          </cell>
          <cell r="AB808" t="str">
            <v>2010 or before</v>
          </cell>
        </row>
        <row r="809">
          <cell r="E809">
            <v>122938.68</v>
          </cell>
          <cell r="Z809" t="str">
            <v>Ungating</v>
          </cell>
          <cell r="AA809" t="str">
            <v>$100K-$500K</v>
          </cell>
          <cell r="AB809">
            <v>2012</v>
          </cell>
        </row>
        <row r="810">
          <cell r="E810">
            <v>122721.42</v>
          </cell>
          <cell r="Z810" t="str">
            <v>Legacy</v>
          </cell>
          <cell r="AA810" t="str">
            <v>$100K-$500K</v>
          </cell>
          <cell r="AB810" t="str">
            <v>2010 or before</v>
          </cell>
        </row>
        <row r="811">
          <cell r="E811">
            <v>122693.96</v>
          </cell>
          <cell r="Z811" t="str">
            <v>Legacy</v>
          </cell>
          <cell r="AA811" t="str">
            <v>$100K-$500K</v>
          </cell>
          <cell r="AB811" t="str">
            <v>2010 or before</v>
          </cell>
        </row>
        <row r="812">
          <cell r="E812">
            <v>122661.38</v>
          </cell>
          <cell r="Z812" t="str">
            <v>Legacy</v>
          </cell>
          <cell r="AA812" t="str">
            <v>$100K-$500K</v>
          </cell>
          <cell r="AB812" t="str">
            <v>2010 or before</v>
          </cell>
        </row>
        <row r="813">
          <cell r="E813">
            <v>122655.53</v>
          </cell>
          <cell r="Z813" t="str">
            <v>Legacy</v>
          </cell>
          <cell r="AA813" t="str">
            <v>$100K-$500K</v>
          </cell>
          <cell r="AB813" t="str">
            <v>2010 or before</v>
          </cell>
        </row>
        <row r="814">
          <cell r="E814">
            <v>122584.36</v>
          </cell>
          <cell r="Z814" t="str">
            <v>Legacy</v>
          </cell>
          <cell r="AA814" t="str">
            <v>$100K-$500K</v>
          </cell>
          <cell r="AB814" t="str">
            <v>2010 or before</v>
          </cell>
        </row>
        <row r="815">
          <cell r="E815">
            <v>122450.14</v>
          </cell>
          <cell r="Z815" t="str">
            <v>Legacy</v>
          </cell>
          <cell r="AA815" t="str">
            <v>$100K-$500K</v>
          </cell>
          <cell r="AB815" t="str">
            <v>2010 or before</v>
          </cell>
        </row>
        <row r="816">
          <cell r="E816">
            <v>122387.47</v>
          </cell>
          <cell r="Z816" t="str">
            <v>Global</v>
          </cell>
          <cell r="AA816" t="str">
            <v>$100K-$500K</v>
          </cell>
          <cell r="AB816">
            <v>2011</v>
          </cell>
        </row>
        <row r="817">
          <cell r="E817">
            <v>122216.53</v>
          </cell>
          <cell r="Z817" t="str">
            <v>Inbound</v>
          </cell>
          <cell r="AA817" t="str">
            <v>$100K-$500K</v>
          </cell>
          <cell r="AB817">
            <v>2012</v>
          </cell>
        </row>
        <row r="818">
          <cell r="E818">
            <v>121672.07</v>
          </cell>
          <cell r="Z818" t="str">
            <v>Inbound</v>
          </cell>
          <cell r="AA818" t="str">
            <v>$100K-$500K</v>
          </cell>
          <cell r="AB818">
            <v>2012</v>
          </cell>
        </row>
        <row r="819">
          <cell r="E819">
            <v>121486.39</v>
          </cell>
          <cell r="Z819" t="str">
            <v>Legacy</v>
          </cell>
          <cell r="AA819" t="str">
            <v>$100K-$500K</v>
          </cell>
          <cell r="AB819" t="str">
            <v>2010 or before</v>
          </cell>
        </row>
        <row r="820">
          <cell r="E820">
            <v>121391.22</v>
          </cell>
          <cell r="Z820" t="str">
            <v>Legacy</v>
          </cell>
          <cell r="AA820" t="str">
            <v>$100K-$500K</v>
          </cell>
          <cell r="AB820" t="str">
            <v>2010 or before</v>
          </cell>
        </row>
        <row r="821">
          <cell r="E821">
            <v>121246.5</v>
          </cell>
          <cell r="Z821" t="str">
            <v>Legacy</v>
          </cell>
          <cell r="AA821" t="str">
            <v>$100K-$500K</v>
          </cell>
          <cell r="AB821" t="str">
            <v>2010 or before</v>
          </cell>
        </row>
        <row r="822">
          <cell r="E822">
            <v>120860.5</v>
          </cell>
          <cell r="Z822" t="str">
            <v>Ungating</v>
          </cell>
          <cell r="AA822" t="str">
            <v>$100K-$500K</v>
          </cell>
          <cell r="AB822">
            <v>2012</v>
          </cell>
        </row>
        <row r="823">
          <cell r="E823">
            <v>120549.11</v>
          </cell>
          <cell r="Z823" t="str">
            <v>Legacy</v>
          </cell>
          <cell r="AA823" t="str">
            <v>$100K-$500K</v>
          </cell>
          <cell r="AB823" t="str">
            <v>2010 or before</v>
          </cell>
        </row>
        <row r="824">
          <cell r="E824">
            <v>120431.48</v>
          </cell>
          <cell r="Z824" t="str">
            <v>Inbound</v>
          </cell>
          <cell r="AA824" t="str">
            <v>$100K-$500K</v>
          </cell>
          <cell r="AB824">
            <v>2012</v>
          </cell>
        </row>
        <row r="825">
          <cell r="E825">
            <v>119643.72</v>
          </cell>
          <cell r="Z825" t="str">
            <v>Ungating</v>
          </cell>
          <cell r="AA825" t="str">
            <v>$100K-$500K</v>
          </cell>
          <cell r="AB825">
            <v>2012</v>
          </cell>
        </row>
        <row r="826">
          <cell r="E826">
            <v>119377.25</v>
          </cell>
          <cell r="Z826" t="str">
            <v>Legacy</v>
          </cell>
          <cell r="AA826" t="str">
            <v>$100K-$500K</v>
          </cell>
          <cell r="AB826" t="str">
            <v>2010 or before</v>
          </cell>
        </row>
        <row r="827">
          <cell r="E827">
            <v>119350.89</v>
          </cell>
          <cell r="Z827" t="str">
            <v>Ungating</v>
          </cell>
          <cell r="AA827" t="str">
            <v>$100K-$500K</v>
          </cell>
          <cell r="AB827">
            <v>2011</v>
          </cell>
        </row>
        <row r="828">
          <cell r="E828">
            <v>118790.69</v>
          </cell>
          <cell r="Z828" t="str">
            <v>Legacy</v>
          </cell>
          <cell r="AA828" t="str">
            <v>$100K-$500K</v>
          </cell>
          <cell r="AB828" t="str">
            <v>2010 or before</v>
          </cell>
        </row>
        <row r="829">
          <cell r="E829">
            <v>118763.11</v>
          </cell>
          <cell r="Z829" t="str">
            <v>Legacy</v>
          </cell>
          <cell r="AA829" t="str">
            <v>$100K-$500K</v>
          </cell>
          <cell r="AB829">
            <v>2011</v>
          </cell>
        </row>
        <row r="830">
          <cell r="E830">
            <v>118738</v>
          </cell>
          <cell r="Z830" t="str">
            <v>Ungating</v>
          </cell>
          <cell r="AA830" t="str">
            <v>$100K-$500K</v>
          </cell>
          <cell r="AB830">
            <v>2011</v>
          </cell>
        </row>
        <row r="831">
          <cell r="E831">
            <v>118664.85</v>
          </cell>
          <cell r="Z831" t="str">
            <v>Legacy</v>
          </cell>
          <cell r="AA831" t="str">
            <v>$100K-$500K</v>
          </cell>
          <cell r="AB831" t="str">
            <v>2010 or before</v>
          </cell>
        </row>
        <row r="832">
          <cell r="E832">
            <v>118175.43</v>
          </cell>
          <cell r="Z832" t="str">
            <v>Legacy</v>
          </cell>
          <cell r="AA832" t="str">
            <v>$100K-$500K</v>
          </cell>
          <cell r="AB832" t="str">
            <v>2010 or before</v>
          </cell>
        </row>
        <row r="833">
          <cell r="E833">
            <v>117893.75</v>
          </cell>
          <cell r="Z833" t="str">
            <v>Legacy</v>
          </cell>
          <cell r="AA833" t="str">
            <v>$100K-$500K</v>
          </cell>
          <cell r="AB833" t="str">
            <v>2010 or before</v>
          </cell>
        </row>
        <row r="834">
          <cell r="E834">
            <v>117252.61</v>
          </cell>
          <cell r="Z834" t="str">
            <v>Legacy</v>
          </cell>
          <cell r="AA834" t="str">
            <v>$100K-$500K</v>
          </cell>
          <cell r="AB834" t="str">
            <v>2010 or before</v>
          </cell>
        </row>
        <row r="835">
          <cell r="E835">
            <v>117009.22</v>
          </cell>
          <cell r="Z835" t="str">
            <v>Ungating</v>
          </cell>
          <cell r="AA835" t="str">
            <v>$100K-$500K</v>
          </cell>
          <cell r="AB835">
            <v>2012</v>
          </cell>
        </row>
        <row r="836">
          <cell r="E836">
            <v>116874.99</v>
          </cell>
          <cell r="Z836" t="str">
            <v>Legacy</v>
          </cell>
          <cell r="AA836" t="str">
            <v>$100K-$500K</v>
          </cell>
          <cell r="AB836">
            <v>2011</v>
          </cell>
        </row>
        <row r="837">
          <cell r="E837">
            <v>116830.11</v>
          </cell>
          <cell r="Z837" t="str">
            <v>Legacy</v>
          </cell>
          <cell r="AA837" t="str">
            <v>$100K-$500K</v>
          </cell>
          <cell r="AB837" t="str">
            <v>2010 or before</v>
          </cell>
        </row>
        <row r="838">
          <cell r="E838">
            <v>115799.34</v>
          </cell>
          <cell r="Z838" t="str">
            <v>Legacy</v>
          </cell>
          <cell r="AA838" t="str">
            <v>$100K-$500K</v>
          </cell>
          <cell r="AB838">
            <v>2011</v>
          </cell>
        </row>
        <row r="839">
          <cell r="E839">
            <v>115701.75</v>
          </cell>
          <cell r="Z839" t="str">
            <v>Legacy</v>
          </cell>
          <cell r="AA839" t="str">
            <v>$100K-$500K</v>
          </cell>
          <cell r="AB839" t="str">
            <v>2010 or before</v>
          </cell>
        </row>
        <row r="840">
          <cell r="E840">
            <v>115384.85</v>
          </cell>
          <cell r="Z840" t="str">
            <v>Ungating</v>
          </cell>
          <cell r="AA840" t="str">
            <v>$100K-$500K</v>
          </cell>
          <cell r="AB840">
            <v>2012</v>
          </cell>
        </row>
        <row r="841">
          <cell r="E841">
            <v>115319.2</v>
          </cell>
          <cell r="Z841" t="str">
            <v>Legacy</v>
          </cell>
          <cell r="AA841" t="str">
            <v>$100K-$500K</v>
          </cell>
          <cell r="AB841" t="str">
            <v>2010 or before</v>
          </cell>
        </row>
        <row r="842">
          <cell r="E842">
            <v>115168.85</v>
          </cell>
          <cell r="Z842" t="str">
            <v>Legacy</v>
          </cell>
          <cell r="AA842" t="str">
            <v>$100K-$500K</v>
          </cell>
          <cell r="AB842" t="str">
            <v>2010 or before</v>
          </cell>
        </row>
        <row r="843">
          <cell r="E843">
            <v>115012.8</v>
          </cell>
          <cell r="Z843" t="str">
            <v>Legacy</v>
          </cell>
          <cell r="AA843" t="str">
            <v>$100K-$500K</v>
          </cell>
          <cell r="AB843" t="str">
            <v>2010 or before</v>
          </cell>
        </row>
        <row r="844">
          <cell r="E844">
            <v>114513.26</v>
          </cell>
          <cell r="Z844" t="str">
            <v>Legacy</v>
          </cell>
          <cell r="AA844" t="str">
            <v>$100K-$500K</v>
          </cell>
          <cell r="AB844" t="str">
            <v>2010 or before</v>
          </cell>
        </row>
        <row r="845">
          <cell r="E845">
            <v>114468.99</v>
          </cell>
          <cell r="Z845" t="str">
            <v>Legacy</v>
          </cell>
          <cell r="AA845" t="str">
            <v>$100K-$500K</v>
          </cell>
          <cell r="AB845" t="str">
            <v>2010 or before</v>
          </cell>
        </row>
        <row r="846">
          <cell r="E846">
            <v>114370.34</v>
          </cell>
          <cell r="Z846" t="str">
            <v>Legacy</v>
          </cell>
          <cell r="AA846" t="str">
            <v>$100K-$500K</v>
          </cell>
          <cell r="AB846" t="str">
            <v>2010 or before</v>
          </cell>
        </row>
        <row r="847">
          <cell r="E847">
            <v>114280.89</v>
          </cell>
          <cell r="Z847" t="str">
            <v>Ungating</v>
          </cell>
          <cell r="AA847" t="str">
            <v>$100K-$500K</v>
          </cell>
          <cell r="AB847">
            <v>2012</v>
          </cell>
        </row>
        <row r="848">
          <cell r="E848">
            <v>113854</v>
          </cell>
          <cell r="Z848" t="str">
            <v>Legacy</v>
          </cell>
          <cell r="AA848" t="str">
            <v>$100K-$500K</v>
          </cell>
          <cell r="AB848" t="str">
            <v>2010 or before</v>
          </cell>
        </row>
        <row r="849">
          <cell r="E849">
            <v>113515.01</v>
          </cell>
          <cell r="Z849" t="str">
            <v>Legacy</v>
          </cell>
          <cell r="AA849" t="str">
            <v>$100K-$500K</v>
          </cell>
          <cell r="AB849" t="str">
            <v>2010 or before</v>
          </cell>
        </row>
        <row r="850">
          <cell r="E850">
            <v>113217.82</v>
          </cell>
          <cell r="Z850" t="str">
            <v>Legacy</v>
          </cell>
          <cell r="AA850" t="str">
            <v>$100K-$500K</v>
          </cell>
          <cell r="AB850" t="str">
            <v>2010 or before</v>
          </cell>
        </row>
        <row r="851">
          <cell r="E851">
            <v>113179.2</v>
          </cell>
          <cell r="Z851" t="str">
            <v>Ungating</v>
          </cell>
          <cell r="AA851" t="str">
            <v>$100K-$500K</v>
          </cell>
          <cell r="AB851">
            <v>2012</v>
          </cell>
        </row>
        <row r="852">
          <cell r="E852">
            <v>113114.79</v>
          </cell>
          <cell r="Z852" t="str">
            <v>Legacy</v>
          </cell>
          <cell r="AA852" t="str">
            <v>$100K-$500K</v>
          </cell>
          <cell r="AB852" t="str">
            <v>2010 or before</v>
          </cell>
        </row>
        <row r="853">
          <cell r="E853">
            <v>112687.67</v>
          </cell>
          <cell r="Z853" t="str">
            <v>Legacy</v>
          </cell>
          <cell r="AA853" t="str">
            <v>$100K-$500K</v>
          </cell>
          <cell r="AB853" t="str">
            <v>2010 or before</v>
          </cell>
        </row>
        <row r="854">
          <cell r="E854">
            <v>112599.63</v>
          </cell>
          <cell r="Z854" t="str">
            <v>Legacy</v>
          </cell>
          <cell r="AA854" t="str">
            <v>$100K-$500K</v>
          </cell>
          <cell r="AB854" t="str">
            <v>2010 or before</v>
          </cell>
        </row>
        <row r="855">
          <cell r="E855">
            <v>112492.42</v>
          </cell>
          <cell r="Z855" t="str">
            <v>Legacy</v>
          </cell>
          <cell r="AA855" t="str">
            <v>$100K-$500K</v>
          </cell>
          <cell r="AB855" t="str">
            <v>2010 or before</v>
          </cell>
        </row>
        <row r="856">
          <cell r="E856">
            <v>112399.51</v>
          </cell>
          <cell r="Z856" t="str">
            <v>Legacy</v>
          </cell>
          <cell r="AA856" t="str">
            <v>$100K-$500K</v>
          </cell>
          <cell r="AB856" t="str">
            <v>2010 or before</v>
          </cell>
        </row>
        <row r="857">
          <cell r="E857">
            <v>112197.38</v>
          </cell>
          <cell r="Z857" t="str">
            <v>Legacy</v>
          </cell>
          <cell r="AA857" t="str">
            <v>$100K-$500K</v>
          </cell>
          <cell r="AB857" t="str">
            <v>2010 or before</v>
          </cell>
        </row>
        <row r="858">
          <cell r="E858">
            <v>111489.63</v>
          </cell>
          <cell r="Z858" t="str">
            <v>Legacy</v>
          </cell>
          <cell r="AA858" t="str">
            <v>$100K-$500K</v>
          </cell>
          <cell r="AB858" t="str">
            <v>2010 or before</v>
          </cell>
        </row>
        <row r="859">
          <cell r="E859">
            <v>111314.21</v>
          </cell>
          <cell r="Z859" t="str">
            <v>Inbound</v>
          </cell>
          <cell r="AA859" t="str">
            <v>$100K-$500K</v>
          </cell>
          <cell r="AB859">
            <v>2011</v>
          </cell>
        </row>
        <row r="860">
          <cell r="E860">
            <v>110942.94</v>
          </cell>
          <cell r="Z860" t="str">
            <v>Ungating</v>
          </cell>
          <cell r="AA860" t="str">
            <v>$100K-$500K</v>
          </cell>
          <cell r="AB860">
            <v>2012</v>
          </cell>
        </row>
        <row r="861">
          <cell r="E861">
            <v>110932.56</v>
          </cell>
          <cell r="Z861" t="str">
            <v>Legacy</v>
          </cell>
          <cell r="AA861" t="str">
            <v>$100K-$500K</v>
          </cell>
          <cell r="AB861" t="str">
            <v>2010 or before</v>
          </cell>
        </row>
        <row r="862">
          <cell r="E862">
            <v>110769.44</v>
          </cell>
          <cell r="Z862" t="str">
            <v>Legacy</v>
          </cell>
          <cell r="AA862" t="str">
            <v>$100K-$500K</v>
          </cell>
          <cell r="AB862" t="str">
            <v>2010 or before</v>
          </cell>
        </row>
        <row r="863">
          <cell r="E863">
            <v>110711.35</v>
          </cell>
          <cell r="Z863" t="str">
            <v>Legacy</v>
          </cell>
          <cell r="AA863" t="str">
            <v>$100K-$500K</v>
          </cell>
          <cell r="AB863" t="str">
            <v>2010 or before</v>
          </cell>
        </row>
        <row r="864">
          <cell r="E864">
            <v>110627.81</v>
          </cell>
          <cell r="Z864" t="str">
            <v>Legacy</v>
          </cell>
          <cell r="AA864" t="str">
            <v>$100K-$500K</v>
          </cell>
          <cell r="AB864" t="str">
            <v>2010 or before</v>
          </cell>
        </row>
        <row r="865">
          <cell r="E865">
            <v>110608.83</v>
          </cell>
          <cell r="Z865" t="str">
            <v>Inbound</v>
          </cell>
          <cell r="AA865" t="str">
            <v>$100K-$500K</v>
          </cell>
          <cell r="AB865">
            <v>2012</v>
          </cell>
        </row>
        <row r="866">
          <cell r="E866">
            <v>110581.43</v>
          </cell>
          <cell r="Z866" t="str">
            <v>Legacy</v>
          </cell>
          <cell r="AA866" t="str">
            <v>$100K-$500K</v>
          </cell>
          <cell r="AB866" t="str">
            <v>2010 or before</v>
          </cell>
        </row>
        <row r="867">
          <cell r="E867">
            <v>110522.55</v>
          </cell>
          <cell r="Z867" t="str">
            <v>Legacy</v>
          </cell>
          <cell r="AA867" t="str">
            <v>$100K-$500K</v>
          </cell>
          <cell r="AB867" t="str">
            <v>2010 or before</v>
          </cell>
        </row>
        <row r="868">
          <cell r="E868">
            <v>110461.71</v>
          </cell>
          <cell r="Z868" t="str">
            <v>Legacy</v>
          </cell>
          <cell r="AA868" t="str">
            <v>$100K-$500K</v>
          </cell>
          <cell r="AB868">
            <v>2011</v>
          </cell>
        </row>
        <row r="869">
          <cell r="E869">
            <v>110423.95</v>
          </cell>
          <cell r="Z869" t="str">
            <v>Legacy</v>
          </cell>
          <cell r="AA869" t="str">
            <v>$100K-$500K</v>
          </cell>
          <cell r="AB869" t="str">
            <v>2010 or before</v>
          </cell>
        </row>
        <row r="870">
          <cell r="E870">
            <v>109758.39</v>
          </cell>
          <cell r="Z870" t="str">
            <v>Legacy</v>
          </cell>
          <cell r="AA870" t="str">
            <v>$100K-$500K</v>
          </cell>
          <cell r="AB870" t="str">
            <v>2010 or before</v>
          </cell>
        </row>
        <row r="871">
          <cell r="E871">
            <v>109692.04</v>
          </cell>
          <cell r="Z871" t="str">
            <v>Global</v>
          </cell>
          <cell r="AA871" t="str">
            <v>$100K-$500K</v>
          </cell>
          <cell r="AB871">
            <v>2012</v>
          </cell>
        </row>
        <row r="872">
          <cell r="E872">
            <v>109655.95</v>
          </cell>
          <cell r="Z872" t="str">
            <v>Legacy</v>
          </cell>
          <cell r="AA872" t="str">
            <v>$100K-$500K</v>
          </cell>
          <cell r="AB872" t="str">
            <v>2010 or before</v>
          </cell>
        </row>
        <row r="873">
          <cell r="E873">
            <v>109465.35</v>
          </cell>
          <cell r="Z873" t="str">
            <v>Legacy</v>
          </cell>
          <cell r="AA873" t="str">
            <v>$100K-$500K</v>
          </cell>
          <cell r="AB873" t="str">
            <v>2010 or before</v>
          </cell>
        </row>
        <row r="874">
          <cell r="E874">
            <v>109172.35</v>
          </cell>
          <cell r="Z874" t="str">
            <v>Inbound</v>
          </cell>
          <cell r="AA874" t="str">
            <v>$100K-$500K</v>
          </cell>
          <cell r="AB874">
            <v>2011</v>
          </cell>
        </row>
        <row r="875">
          <cell r="E875">
            <v>108934.96</v>
          </cell>
          <cell r="Z875" t="str">
            <v>Global</v>
          </cell>
          <cell r="AA875" t="str">
            <v>$100K-$500K</v>
          </cell>
          <cell r="AB875">
            <v>2012</v>
          </cell>
        </row>
        <row r="876">
          <cell r="E876">
            <v>108564.53</v>
          </cell>
          <cell r="Z876" t="str">
            <v>Legacy</v>
          </cell>
          <cell r="AA876" t="str">
            <v>$100K-$500K</v>
          </cell>
          <cell r="AB876" t="str">
            <v>2010 or before</v>
          </cell>
        </row>
        <row r="877">
          <cell r="E877">
            <v>108387.55</v>
          </cell>
          <cell r="Z877" t="str">
            <v>Legacy</v>
          </cell>
          <cell r="AA877" t="str">
            <v>$100K-$500K</v>
          </cell>
          <cell r="AB877" t="str">
            <v>2010 or before</v>
          </cell>
        </row>
        <row r="878">
          <cell r="E878">
            <v>108270.74</v>
          </cell>
          <cell r="Z878" t="str">
            <v>Legacy</v>
          </cell>
          <cell r="AA878" t="str">
            <v>$100K-$500K</v>
          </cell>
          <cell r="AB878" t="str">
            <v>2010 or before</v>
          </cell>
        </row>
        <row r="879">
          <cell r="E879">
            <v>108239</v>
          </cell>
          <cell r="Z879" t="str">
            <v>Legacy</v>
          </cell>
          <cell r="AA879" t="str">
            <v>$100K-$500K</v>
          </cell>
          <cell r="AB879" t="str">
            <v>2010 or before</v>
          </cell>
        </row>
        <row r="880">
          <cell r="E880">
            <v>108146.81</v>
          </cell>
          <cell r="Z880" t="str">
            <v>Legacy</v>
          </cell>
          <cell r="AA880" t="str">
            <v>$100K-$500K</v>
          </cell>
          <cell r="AB880" t="str">
            <v>2010 or before</v>
          </cell>
        </row>
        <row r="881">
          <cell r="E881">
            <v>107754.66</v>
          </cell>
          <cell r="Z881" t="str">
            <v>Legacy</v>
          </cell>
          <cell r="AA881" t="str">
            <v>$100K-$500K</v>
          </cell>
          <cell r="AB881" t="str">
            <v>2010 or before</v>
          </cell>
        </row>
        <row r="882">
          <cell r="E882">
            <v>107123.78</v>
          </cell>
          <cell r="Z882" t="str">
            <v>Legacy</v>
          </cell>
          <cell r="AA882" t="str">
            <v>$100K-$500K</v>
          </cell>
          <cell r="AB882" t="str">
            <v>2010 or before</v>
          </cell>
        </row>
        <row r="883">
          <cell r="E883">
            <v>107005.74</v>
          </cell>
          <cell r="Z883" t="str">
            <v>Legacy</v>
          </cell>
          <cell r="AA883" t="str">
            <v>$100K-$500K</v>
          </cell>
          <cell r="AB883" t="str">
            <v>2010 or before</v>
          </cell>
        </row>
        <row r="884">
          <cell r="E884">
            <v>106717.96</v>
          </cell>
          <cell r="Z884" t="str">
            <v>Legacy</v>
          </cell>
          <cell r="AA884" t="str">
            <v>$100K-$500K</v>
          </cell>
          <cell r="AB884" t="str">
            <v>2010 or before</v>
          </cell>
        </row>
        <row r="885">
          <cell r="E885">
            <v>106331.95</v>
          </cell>
          <cell r="Z885" t="str">
            <v>Strategic</v>
          </cell>
          <cell r="AA885" t="str">
            <v>$100K-$500K</v>
          </cell>
          <cell r="AB885">
            <v>2012</v>
          </cell>
        </row>
        <row r="886">
          <cell r="E886">
            <v>106302.44</v>
          </cell>
          <cell r="Z886" t="str">
            <v>Outbound</v>
          </cell>
          <cell r="AA886" t="str">
            <v>$100K-$500K</v>
          </cell>
          <cell r="AB886">
            <v>2012</v>
          </cell>
        </row>
        <row r="887">
          <cell r="E887">
            <v>106148.9</v>
          </cell>
          <cell r="Z887" t="str">
            <v>Inbound</v>
          </cell>
          <cell r="AA887" t="str">
            <v>$100K-$500K</v>
          </cell>
          <cell r="AB887">
            <v>2012</v>
          </cell>
        </row>
        <row r="888">
          <cell r="E888">
            <v>106125.56</v>
          </cell>
          <cell r="Z888" t="str">
            <v>Legacy</v>
          </cell>
          <cell r="AA888" t="str">
            <v>$100K-$500K</v>
          </cell>
          <cell r="AB888" t="str">
            <v>2010 or before</v>
          </cell>
        </row>
        <row r="889">
          <cell r="E889">
            <v>105937.33</v>
          </cell>
          <cell r="Z889" t="str">
            <v>Legacy</v>
          </cell>
          <cell r="AA889" t="str">
            <v>$100K-$500K</v>
          </cell>
          <cell r="AB889" t="str">
            <v>2010 or before</v>
          </cell>
        </row>
        <row r="890">
          <cell r="E890">
            <v>105837.78</v>
          </cell>
          <cell r="Z890" t="str">
            <v>Legacy</v>
          </cell>
          <cell r="AA890" t="str">
            <v>$100K-$500K</v>
          </cell>
          <cell r="AB890" t="str">
            <v>2010 or before</v>
          </cell>
        </row>
        <row r="891">
          <cell r="E891">
            <v>105704.63</v>
          </cell>
          <cell r="Z891" t="str">
            <v>Legacy</v>
          </cell>
          <cell r="AA891" t="str">
            <v>$100K-$500K</v>
          </cell>
          <cell r="AB891" t="str">
            <v>2010 or before</v>
          </cell>
        </row>
        <row r="892">
          <cell r="E892">
            <v>105590.61</v>
          </cell>
          <cell r="Z892" t="str">
            <v>Legacy</v>
          </cell>
          <cell r="AA892" t="str">
            <v>$100K-$500K</v>
          </cell>
          <cell r="AB892" t="str">
            <v>2010 or before</v>
          </cell>
        </row>
        <row r="893">
          <cell r="E893">
            <v>104901.5</v>
          </cell>
          <cell r="Z893" t="str">
            <v>Legacy</v>
          </cell>
          <cell r="AA893" t="str">
            <v>$100K-$500K</v>
          </cell>
          <cell r="AB893" t="str">
            <v>2010 or before</v>
          </cell>
        </row>
        <row r="894">
          <cell r="E894">
            <v>104801.07</v>
          </cell>
          <cell r="Z894" t="str">
            <v>Legacy</v>
          </cell>
          <cell r="AA894" t="str">
            <v>$100K-$500K</v>
          </cell>
          <cell r="AB894" t="str">
            <v>2010 or before</v>
          </cell>
        </row>
        <row r="895">
          <cell r="E895">
            <v>104643.84</v>
          </cell>
          <cell r="Z895" t="str">
            <v>Legacy</v>
          </cell>
          <cell r="AA895" t="str">
            <v>$100K-$500K</v>
          </cell>
          <cell r="AB895" t="str">
            <v>2010 or before</v>
          </cell>
        </row>
        <row r="896">
          <cell r="E896">
            <v>104401.44</v>
          </cell>
          <cell r="Z896" t="str">
            <v>Ungating</v>
          </cell>
          <cell r="AA896" t="str">
            <v>$100K-$500K</v>
          </cell>
          <cell r="AB896">
            <v>2012</v>
          </cell>
        </row>
        <row r="897">
          <cell r="E897">
            <v>103883.3</v>
          </cell>
          <cell r="Z897" t="str">
            <v>Legacy</v>
          </cell>
          <cell r="AA897" t="str">
            <v>$100K-$500K</v>
          </cell>
          <cell r="AB897">
            <v>2011</v>
          </cell>
        </row>
        <row r="898">
          <cell r="E898">
            <v>103823.1</v>
          </cell>
          <cell r="Z898" t="str">
            <v>Ungating</v>
          </cell>
          <cell r="AA898" t="str">
            <v>$100K-$500K</v>
          </cell>
          <cell r="AB898">
            <v>2012</v>
          </cell>
        </row>
        <row r="899">
          <cell r="E899">
            <v>103530.41</v>
          </cell>
          <cell r="Z899" t="str">
            <v>Legacy</v>
          </cell>
          <cell r="AA899" t="str">
            <v>$100K-$500K</v>
          </cell>
          <cell r="AB899" t="str">
            <v>2010 or before</v>
          </cell>
        </row>
        <row r="900">
          <cell r="E900">
            <v>103426.73</v>
          </cell>
          <cell r="Z900" t="str">
            <v>Ungating</v>
          </cell>
          <cell r="AA900" t="str">
            <v>$100K-$500K</v>
          </cell>
          <cell r="AB900">
            <v>2011</v>
          </cell>
        </row>
        <row r="901">
          <cell r="E901">
            <v>103426.23</v>
          </cell>
          <cell r="Z901" t="str">
            <v>Legacy</v>
          </cell>
          <cell r="AA901" t="str">
            <v>$100K-$500K</v>
          </cell>
          <cell r="AB901" t="str">
            <v>2010 or before</v>
          </cell>
        </row>
        <row r="902">
          <cell r="E902">
            <v>103176.81</v>
          </cell>
          <cell r="Z902" t="str">
            <v>Legacy</v>
          </cell>
          <cell r="AA902" t="str">
            <v>$100K-$500K</v>
          </cell>
          <cell r="AB902" t="str">
            <v>2010 or before</v>
          </cell>
        </row>
        <row r="903">
          <cell r="E903">
            <v>103145.84</v>
          </cell>
          <cell r="Z903" t="str">
            <v>Legacy</v>
          </cell>
          <cell r="AA903" t="str">
            <v>$100K-$500K</v>
          </cell>
          <cell r="AB903" t="str">
            <v>2010 or before</v>
          </cell>
        </row>
        <row r="904">
          <cell r="E904">
            <v>102790.09</v>
          </cell>
          <cell r="Z904" t="str">
            <v>Legacy</v>
          </cell>
          <cell r="AA904" t="str">
            <v>$100K-$500K</v>
          </cell>
          <cell r="AB904" t="str">
            <v>2010 or before</v>
          </cell>
        </row>
        <row r="905">
          <cell r="E905">
            <v>102474.64</v>
          </cell>
          <cell r="Z905" t="str">
            <v>Legacy</v>
          </cell>
          <cell r="AA905" t="str">
            <v>$100K-$500K</v>
          </cell>
          <cell r="AB905" t="str">
            <v>2010 or before</v>
          </cell>
        </row>
        <row r="906">
          <cell r="E906">
            <v>102349.97</v>
          </cell>
          <cell r="Z906" t="str">
            <v>Inbound</v>
          </cell>
          <cell r="AA906" t="str">
            <v>$100K-$500K</v>
          </cell>
          <cell r="AB906">
            <v>2012</v>
          </cell>
        </row>
        <row r="907">
          <cell r="E907">
            <v>102277.05</v>
          </cell>
          <cell r="Z907" t="str">
            <v>Inbound</v>
          </cell>
          <cell r="AA907" t="str">
            <v>$100K-$500K</v>
          </cell>
          <cell r="AB907">
            <v>2012</v>
          </cell>
        </row>
        <row r="908">
          <cell r="E908">
            <v>102022.59</v>
          </cell>
          <cell r="Z908" t="str">
            <v>Legacy</v>
          </cell>
          <cell r="AA908" t="str">
            <v>$100K-$500K</v>
          </cell>
          <cell r="AB908" t="str">
            <v>2010 or before</v>
          </cell>
        </row>
        <row r="909">
          <cell r="E909">
            <v>101846.25</v>
          </cell>
          <cell r="Z909" t="str">
            <v>Legacy</v>
          </cell>
          <cell r="AA909" t="str">
            <v>$100K-$500K</v>
          </cell>
          <cell r="AB909" t="str">
            <v>2010 or before</v>
          </cell>
        </row>
        <row r="910">
          <cell r="E910">
            <v>101557.67</v>
          </cell>
          <cell r="Z910" t="str">
            <v>Ungating</v>
          </cell>
          <cell r="AA910" t="str">
            <v>$100K-$500K</v>
          </cell>
          <cell r="AB910">
            <v>2011</v>
          </cell>
        </row>
        <row r="911">
          <cell r="E911">
            <v>101553.16</v>
          </cell>
          <cell r="Z911" t="str">
            <v>Inbound</v>
          </cell>
          <cell r="AA911" t="str">
            <v>$100K-$500K</v>
          </cell>
          <cell r="AB911">
            <v>2012</v>
          </cell>
        </row>
        <row r="912">
          <cell r="E912">
            <v>101263.95</v>
          </cell>
          <cell r="Z912" t="str">
            <v>Legacy</v>
          </cell>
          <cell r="AA912" t="str">
            <v>$100K-$500K</v>
          </cell>
          <cell r="AB912" t="str">
            <v>2010 or before</v>
          </cell>
        </row>
        <row r="913">
          <cell r="E913">
            <v>101236.56</v>
          </cell>
          <cell r="Z913" t="str">
            <v>Ungating</v>
          </cell>
          <cell r="AA913" t="str">
            <v>$100K-$500K</v>
          </cell>
          <cell r="AB913">
            <v>2012</v>
          </cell>
        </row>
        <row r="914">
          <cell r="E914">
            <v>101162.02</v>
          </cell>
          <cell r="Z914" t="str">
            <v>Ungating</v>
          </cell>
          <cell r="AA914" t="str">
            <v>$100K-$500K</v>
          </cell>
          <cell r="AB914">
            <v>2011</v>
          </cell>
        </row>
        <row r="915">
          <cell r="E915">
            <v>101010.04</v>
          </cell>
          <cell r="Z915" t="str">
            <v>Legacy</v>
          </cell>
          <cell r="AA915" t="str">
            <v>$100K-$500K</v>
          </cell>
          <cell r="AB915" t="str">
            <v>2010 or before</v>
          </cell>
        </row>
        <row r="916">
          <cell r="E916">
            <v>100907.33</v>
          </cell>
          <cell r="Z916" t="str">
            <v>Legacy</v>
          </cell>
          <cell r="AA916" t="str">
            <v>$100K-$500K</v>
          </cell>
          <cell r="AB916" t="str">
            <v>2010 or before</v>
          </cell>
        </row>
        <row r="917">
          <cell r="E917">
            <v>100862.87</v>
          </cell>
          <cell r="Z917" t="str">
            <v>Legacy</v>
          </cell>
          <cell r="AA917" t="str">
            <v>$100K-$500K</v>
          </cell>
          <cell r="AB917" t="str">
            <v>2010 or before</v>
          </cell>
        </row>
        <row r="918">
          <cell r="E918">
            <v>100549.65</v>
          </cell>
          <cell r="Z918" t="str">
            <v>Legacy</v>
          </cell>
          <cell r="AA918" t="str">
            <v>$100K-$500K</v>
          </cell>
          <cell r="AB918" t="str">
            <v>2010 or before</v>
          </cell>
        </row>
        <row r="919">
          <cell r="E919">
            <v>100492.07</v>
          </cell>
          <cell r="Z919" t="str">
            <v>Inbound</v>
          </cell>
          <cell r="AA919" t="str">
            <v>$100K-$500K</v>
          </cell>
          <cell r="AB919">
            <v>2011</v>
          </cell>
        </row>
        <row r="920">
          <cell r="E920">
            <v>100262.92</v>
          </cell>
          <cell r="Z920" t="str">
            <v>Legacy</v>
          </cell>
          <cell r="AA920" t="str">
            <v>$100K-$500K</v>
          </cell>
          <cell r="AB920" t="str">
            <v>2010 or before</v>
          </cell>
        </row>
        <row r="921">
          <cell r="E921">
            <v>100121.86</v>
          </cell>
          <cell r="Z921" t="str">
            <v>Legacy</v>
          </cell>
          <cell r="AA921" t="str">
            <v>$100K-$500K</v>
          </cell>
          <cell r="AB921" t="str">
            <v>2010 or before</v>
          </cell>
        </row>
        <row r="922">
          <cell r="E922">
            <v>99975.71</v>
          </cell>
          <cell r="Z922" t="str">
            <v>Legacy</v>
          </cell>
          <cell r="AA922" t="str">
            <v>$10K-$100K</v>
          </cell>
          <cell r="AB922" t="str">
            <v>2010 or before</v>
          </cell>
        </row>
        <row r="923">
          <cell r="E923">
            <v>99918.5</v>
          </cell>
          <cell r="Z923" t="str">
            <v>Inbound</v>
          </cell>
          <cell r="AA923" t="str">
            <v>$10K-$100K</v>
          </cell>
          <cell r="AB923">
            <v>2011</v>
          </cell>
        </row>
        <row r="924">
          <cell r="E924">
            <v>99881.78</v>
          </cell>
          <cell r="Z924" t="str">
            <v>Legacy</v>
          </cell>
          <cell r="AA924" t="str">
            <v>$10K-$100K</v>
          </cell>
          <cell r="AB924" t="str">
            <v>2010 or before</v>
          </cell>
        </row>
        <row r="925">
          <cell r="E925">
            <v>99804.43</v>
          </cell>
          <cell r="Z925" t="str">
            <v>Legacy</v>
          </cell>
          <cell r="AA925" t="str">
            <v>$10K-$100K</v>
          </cell>
          <cell r="AB925" t="str">
            <v>2010 or before</v>
          </cell>
        </row>
        <row r="926">
          <cell r="E926">
            <v>99586.28</v>
          </cell>
          <cell r="Z926" t="str">
            <v>Legacy</v>
          </cell>
          <cell r="AA926" t="str">
            <v>$10K-$100K</v>
          </cell>
          <cell r="AB926" t="str">
            <v>2010 or before</v>
          </cell>
        </row>
        <row r="927">
          <cell r="E927">
            <v>99540.86</v>
          </cell>
          <cell r="Z927" t="str">
            <v>Legacy</v>
          </cell>
          <cell r="AA927" t="str">
            <v>$10K-$100K</v>
          </cell>
          <cell r="AB927" t="str">
            <v>2010 or before</v>
          </cell>
        </row>
        <row r="928">
          <cell r="E928">
            <v>99505.75</v>
          </cell>
          <cell r="Z928" t="str">
            <v>Ungating</v>
          </cell>
          <cell r="AA928" t="str">
            <v>$10K-$100K</v>
          </cell>
          <cell r="AB928">
            <v>2012</v>
          </cell>
        </row>
        <row r="929">
          <cell r="E929">
            <v>99453.36</v>
          </cell>
          <cell r="Z929" t="str">
            <v>Legacy</v>
          </cell>
          <cell r="AA929" t="str">
            <v>$10K-$100K</v>
          </cell>
          <cell r="AB929" t="str">
            <v>2010 or before</v>
          </cell>
        </row>
        <row r="930">
          <cell r="E930">
            <v>98846.34</v>
          </cell>
          <cell r="Z930" t="str">
            <v>Inbound</v>
          </cell>
          <cell r="AA930" t="str">
            <v>$10K-$100K</v>
          </cell>
          <cell r="AB930">
            <v>2011</v>
          </cell>
        </row>
        <row r="931">
          <cell r="E931">
            <v>98747.98</v>
          </cell>
          <cell r="Z931" t="str">
            <v>Legacy</v>
          </cell>
          <cell r="AA931" t="str">
            <v>$10K-$100K</v>
          </cell>
          <cell r="AB931" t="str">
            <v>2010 or before</v>
          </cell>
        </row>
        <row r="932">
          <cell r="E932">
            <v>98722.32</v>
          </cell>
          <cell r="Z932" t="str">
            <v>Ungating</v>
          </cell>
          <cell r="AA932" t="str">
            <v>$10K-$100K</v>
          </cell>
          <cell r="AB932">
            <v>2012</v>
          </cell>
        </row>
        <row r="933">
          <cell r="E933">
            <v>98687.82</v>
          </cell>
          <cell r="Z933" t="str">
            <v>Legacy</v>
          </cell>
          <cell r="AA933" t="str">
            <v>$10K-$100K</v>
          </cell>
          <cell r="AB933" t="str">
            <v>2010 or before</v>
          </cell>
        </row>
        <row r="934">
          <cell r="E934">
            <v>98383.51</v>
          </cell>
          <cell r="Z934" t="str">
            <v>Inbound</v>
          </cell>
          <cell r="AA934" t="str">
            <v>$10K-$100K</v>
          </cell>
          <cell r="AB934">
            <v>2011</v>
          </cell>
        </row>
        <row r="935">
          <cell r="E935">
            <v>98379.1</v>
          </cell>
          <cell r="Z935" t="str">
            <v>Legacy</v>
          </cell>
          <cell r="AA935" t="str">
            <v>$10K-$100K</v>
          </cell>
          <cell r="AB935" t="str">
            <v>2010 or before</v>
          </cell>
        </row>
        <row r="936">
          <cell r="E936">
            <v>98027.62</v>
          </cell>
          <cell r="Z936" t="str">
            <v>Legacy</v>
          </cell>
          <cell r="AA936" t="str">
            <v>$10K-$100K</v>
          </cell>
          <cell r="AB936" t="str">
            <v>2010 or before</v>
          </cell>
        </row>
        <row r="937">
          <cell r="E937">
            <v>97718.49</v>
          </cell>
          <cell r="Z937" t="str">
            <v>Inbound</v>
          </cell>
          <cell r="AA937" t="str">
            <v>$10K-$100K</v>
          </cell>
          <cell r="AB937">
            <v>2012</v>
          </cell>
        </row>
        <row r="938">
          <cell r="E938">
            <v>97683.24</v>
          </cell>
          <cell r="Z938" t="str">
            <v>Legacy</v>
          </cell>
          <cell r="AA938" t="str">
            <v>$10K-$100K</v>
          </cell>
          <cell r="AB938" t="str">
            <v>2010 or before</v>
          </cell>
        </row>
        <row r="939">
          <cell r="E939">
            <v>97198.9</v>
          </cell>
          <cell r="Z939" t="str">
            <v>Inbound</v>
          </cell>
          <cell r="AA939" t="str">
            <v>$10K-$100K</v>
          </cell>
          <cell r="AB939">
            <v>2012</v>
          </cell>
        </row>
        <row r="940">
          <cell r="E940">
            <v>96930.13</v>
          </cell>
          <cell r="Z940" t="str">
            <v>Inbound</v>
          </cell>
          <cell r="AA940" t="str">
            <v>$10K-$100K</v>
          </cell>
          <cell r="AB940">
            <v>2011</v>
          </cell>
        </row>
        <row r="941">
          <cell r="E941">
            <v>96273.81</v>
          </cell>
          <cell r="Z941" t="str">
            <v>Legacy</v>
          </cell>
          <cell r="AA941" t="str">
            <v>$10K-$100K</v>
          </cell>
          <cell r="AB941" t="str">
            <v>2010 or before</v>
          </cell>
        </row>
        <row r="942">
          <cell r="E942">
            <v>96246.88</v>
          </cell>
          <cell r="Z942" t="str">
            <v>Legacy</v>
          </cell>
          <cell r="AA942" t="str">
            <v>$10K-$100K</v>
          </cell>
          <cell r="AB942" t="str">
            <v>2010 or before</v>
          </cell>
        </row>
        <row r="943">
          <cell r="E943">
            <v>96180.87</v>
          </cell>
          <cell r="Z943" t="str">
            <v>Legacy</v>
          </cell>
          <cell r="AA943" t="str">
            <v>$10K-$100K</v>
          </cell>
          <cell r="AB943" t="str">
            <v>2010 or before</v>
          </cell>
        </row>
        <row r="944">
          <cell r="E944">
            <v>96133.119999999995</v>
          </cell>
          <cell r="Z944" t="str">
            <v>Ungating</v>
          </cell>
          <cell r="AA944" t="str">
            <v>$10K-$100K</v>
          </cell>
          <cell r="AB944">
            <v>2011</v>
          </cell>
        </row>
        <row r="945">
          <cell r="E945">
            <v>95866.8</v>
          </cell>
          <cell r="Z945" t="str">
            <v>Legacy</v>
          </cell>
          <cell r="AA945" t="str">
            <v>$10K-$100K</v>
          </cell>
          <cell r="AB945" t="str">
            <v>2010 or before</v>
          </cell>
        </row>
        <row r="946">
          <cell r="E946">
            <v>95719.45</v>
          </cell>
          <cell r="Z946" t="str">
            <v>Legacy</v>
          </cell>
          <cell r="AA946" t="str">
            <v>$10K-$100K</v>
          </cell>
          <cell r="AB946" t="str">
            <v>2010 or before</v>
          </cell>
        </row>
        <row r="947">
          <cell r="E947">
            <v>95581.31</v>
          </cell>
          <cell r="Z947" t="str">
            <v>Legacy</v>
          </cell>
          <cell r="AA947" t="str">
            <v>$10K-$100K</v>
          </cell>
          <cell r="AB947" t="str">
            <v>2010 or before</v>
          </cell>
        </row>
        <row r="948">
          <cell r="E948">
            <v>95482.34</v>
          </cell>
          <cell r="Z948" t="str">
            <v>Ungating</v>
          </cell>
          <cell r="AA948" t="str">
            <v>$10K-$100K</v>
          </cell>
          <cell r="AB948">
            <v>2012</v>
          </cell>
        </row>
        <row r="949">
          <cell r="E949">
            <v>95124.04</v>
          </cell>
          <cell r="Z949" t="str">
            <v>Legacy</v>
          </cell>
          <cell r="AA949" t="str">
            <v>$10K-$100K</v>
          </cell>
          <cell r="AB949" t="str">
            <v>2010 or before</v>
          </cell>
        </row>
        <row r="950">
          <cell r="E950">
            <v>95038.91</v>
          </cell>
          <cell r="Z950" t="str">
            <v>Ungating</v>
          </cell>
          <cell r="AA950" t="str">
            <v>$10K-$100K</v>
          </cell>
          <cell r="AB950">
            <v>2012</v>
          </cell>
        </row>
        <row r="951">
          <cell r="E951">
            <v>94852.29</v>
          </cell>
          <cell r="Z951" t="str">
            <v>Legacy</v>
          </cell>
          <cell r="AA951" t="str">
            <v>$10K-$100K</v>
          </cell>
          <cell r="AB951" t="str">
            <v>2010 or before</v>
          </cell>
        </row>
        <row r="952">
          <cell r="E952">
            <v>94813.91</v>
          </cell>
          <cell r="Z952" t="str">
            <v>Legacy</v>
          </cell>
          <cell r="AA952" t="str">
            <v>$10K-$100K</v>
          </cell>
          <cell r="AB952" t="str">
            <v>2010 or before</v>
          </cell>
        </row>
        <row r="953">
          <cell r="E953">
            <v>94747.08</v>
          </cell>
          <cell r="Z953" t="str">
            <v>Legacy</v>
          </cell>
          <cell r="AA953" t="str">
            <v>$10K-$100K</v>
          </cell>
          <cell r="AB953" t="str">
            <v>2010 or before</v>
          </cell>
        </row>
        <row r="954">
          <cell r="E954">
            <v>94662.42</v>
          </cell>
          <cell r="Z954" t="str">
            <v>Outbound</v>
          </cell>
          <cell r="AA954" t="str">
            <v>$10K-$100K</v>
          </cell>
          <cell r="AB954">
            <v>2012</v>
          </cell>
        </row>
        <row r="955">
          <cell r="E955">
            <v>94473.95</v>
          </cell>
          <cell r="Z955" t="str">
            <v>Global</v>
          </cell>
          <cell r="AA955" t="str">
            <v>$10K-$100K</v>
          </cell>
          <cell r="AB955">
            <v>2012</v>
          </cell>
        </row>
        <row r="956">
          <cell r="E956">
            <v>94465.95</v>
          </cell>
          <cell r="Z956" t="str">
            <v>Ungating</v>
          </cell>
          <cell r="AA956" t="str">
            <v>$10K-$100K</v>
          </cell>
          <cell r="AB956">
            <v>2012</v>
          </cell>
        </row>
        <row r="957">
          <cell r="E957">
            <v>94252.08</v>
          </cell>
          <cell r="Z957" t="str">
            <v>Legacy</v>
          </cell>
          <cell r="AA957" t="str">
            <v>$10K-$100K</v>
          </cell>
          <cell r="AB957" t="str">
            <v>2010 or before</v>
          </cell>
        </row>
        <row r="958">
          <cell r="E958">
            <v>94150.8</v>
          </cell>
          <cell r="Z958" t="str">
            <v>Legacy</v>
          </cell>
          <cell r="AA958" t="str">
            <v>$10K-$100K</v>
          </cell>
          <cell r="AB958" t="str">
            <v>2010 or before</v>
          </cell>
        </row>
        <row r="959">
          <cell r="E959">
            <v>94098.94</v>
          </cell>
          <cell r="Z959" t="str">
            <v>Legacy</v>
          </cell>
          <cell r="AA959" t="str">
            <v>$10K-$100K</v>
          </cell>
          <cell r="AB959" t="str">
            <v>2010 or before</v>
          </cell>
        </row>
        <row r="960">
          <cell r="E960">
            <v>94045.43</v>
          </cell>
          <cell r="Z960" t="str">
            <v>Legacy</v>
          </cell>
          <cell r="AA960" t="str">
            <v>$10K-$100K</v>
          </cell>
          <cell r="AB960" t="str">
            <v>2010 or before</v>
          </cell>
        </row>
        <row r="961">
          <cell r="E961">
            <v>94005.1</v>
          </cell>
          <cell r="Z961" t="str">
            <v>Ungating</v>
          </cell>
          <cell r="AA961" t="str">
            <v>$10K-$100K</v>
          </cell>
          <cell r="AB961">
            <v>2012</v>
          </cell>
        </row>
        <row r="962">
          <cell r="E962">
            <v>93991.83</v>
          </cell>
          <cell r="Z962" t="str">
            <v>Legacy</v>
          </cell>
          <cell r="AA962" t="str">
            <v>$10K-$100K</v>
          </cell>
          <cell r="AB962" t="str">
            <v>2010 or before</v>
          </cell>
        </row>
        <row r="963">
          <cell r="E963">
            <v>93841</v>
          </cell>
          <cell r="Z963" t="str">
            <v>Inbound</v>
          </cell>
          <cell r="AA963" t="str">
            <v>$10K-$100K</v>
          </cell>
          <cell r="AB963">
            <v>2012</v>
          </cell>
        </row>
        <row r="964">
          <cell r="E964">
            <v>93200.86</v>
          </cell>
          <cell r="Z964" t="str">
            <v>Legacy</v>
          </cell>
          <cell r="AA964" t="str">
            <v>$10K-$100K</v>
          </cell>
          <cell r="AB964" t="str">
            <v>2010 or before</v>
          </cell>
        </row>
        <row r="965">
          <cell r="E965">
            <v>93199.6</v>
          </cell>
          <cell r="Z965" t="str">
            <v>Legacy</v>
          </cell>
          <cell r="AA965" t="str">
            <v>$10K-$100K</v>
          </cell>
          <cell r="AB965" t="str">
            <v>2010 or before</v>
          </cell>
        </row>
        <row r="966">
          <cell r="E966">
            <v>93019.08</v>
          </cell>
          <cell r="Z966" t="str">
            <v>Ungating</v>
          </cell>
          <cell r="AA966" t="str">
            <v>$10K-$100K</v>
          </cell>
          <cell r="AB966">
            <v>2012</v>
          </cell>
        </row>
        <row r="967">
          <cell r="E967">
            <v>92654.9</v>
          </cell>
          <cell r="Z967" t="str">
            <v>Legacy</v>
          </cell>
          <cell r="AA967" t="str">
            <v>$10K-$100K</v>
          </cell>
          <cell r="AB967" t="str">
            <v>2010 or before</v>
          </cell>
        </row>
        <row r="968">
          <cell r="E968">
            <v>92585.33</v>
          </cell>
          <cell r="Z968" t="str">
            <v>Legacy</v>
          </cell>
          <cell r="AA968" t="str">
            <v>$10K-$100K</v>
          </cell>
          <cell r="AB968" t="str">
            <v>2010 or before</v>
          </cell>
        </row>
        <row r="969">
          <cell r="E969">
            <v>92478.83</v>
          </cell>
          <cell r="Z969" t="str">
            <v>Legacy</v>
          </cell>
          <cell r="AA969" t="str">
            <v>$10K-$100K</v>
          </cell>
          <cell r="AB969" t="str">
            <v>2010 or before</v>
          </cell>
        </row>
        <row r="970">
          <cell r="E970">
            <v>92425.04</v>
          </cell>
          <cell r="Z970" t="str">
            <v>Legacy</v>
          </cell>
          <cell r="AA970" t="str">
            <v>$10K-$100K</v>
          </cell>
          <cell r="AB970" t="str">
            <v>2010 or before</v>
          </cell>
        </row>
        <row r="971">
          <cell r="E971">
            <v>92226.4</v>
          </cell>
          <cell r="Z971" t="str">
            <v>Global</v>
          </cell>
          <cell r="AA971" t="str">
            <v>$10K-$100K</v>
          </cell>
          <cell r="AB971">
            <v>2012</v>
          </cell>
        </row>
        <row r="972">
          <cell r="E972">
            <v>91994.38</v>
          </cell>
          <cell r="Z972" t="str">
            <v>Ungating</v>
          </cell>
          <cell r="AA972" t="str">
            <v>$10K-$100K</v>
          </cell>
          <cell r="AB972">
            <v>2012</v>
          </cell>
        </row>
        <row r="973">
          <cell r="E973">
            <v>91980.77</v>
          </cell>
          <cell r="Z973" t="str">
            <v>Inbound</v>
          </cell>
          <cell r="AA973" t="str">
            <v>$10K-$100K</v>
          </cell>
          <cell r="AB973">
            <v>2012</v>
          </cell>
        </row>
        <row r="974">
          <cell r="E974">
            <v>91484.49</v>
          </cell>
          <cell r="Z974" t="str">
            <v>Legacy</v>
          </cell>
          <cell r="AA974" t="str">
            <v>$10K-$100K</v>
          </cell>
          <cell r="AB974" t="str">
            <v>2010 or before</v>
          </cell>
        </row>
        <row r="975">
          <cell r="E975">
            <v>91168.53</v>
          </cell>
          <cell r="Z975" t="str">
            <v>Legacy</v>
          </cell>
          <cell r="AA975" t="str">
            <v>$10K-$100K</v>
          </cell>
          <cell r="AB975" t="str">
            <v>2010 or before</v>
          </cell>
        </row>
        <row r="976">
          <cell r="E976">
            <v>90991.43</v>
          </cell>
          <cell r="Z976" t="str">
            <v>Legacy</v>
          </cell>
          <cell r="AA976" t="str">
            <v>$10K-$100K</v>
          </cell>
          <cell r="AB976" t="str">
            <v>2010 or before</v>
          </cell>
        </row>
        <row r="977">
          <cell r="E977">
            <v>90656.07</v>
          </cell>
          <cell r="Z977" t="str">
            <v>Ungating</v>
          </cell>
          <cell r="AA977" t="str">
            <v>$10K-$100K</v>
          </cell>
          <cell r="AB977">
            <v>2012</v>
          </cell>
        </row>
        <row r="978">
          <cell r="E978">
            <v>90533.73</v>
          </cell>
          <cell r="Z978" t="str">
            <v>Legacy</v>
          </cell>
          <cell r="AA978" t="str">
            <v>$10K-$100K</v>
          </cell>
          <cell r="AB978" t="str">
            <v>2010 or before</v>
          </cell>
        </row>
        <row r="979">
          <cell r="E979">
            <v>90225.95</v>
          </cell>
          <cell r="Z979" t="str">
            <v>Global</v>
          </cell>
          <cell r="AA979" t="str">
            <v>$10K-$100K</v>
          </cell>
          <cell r="AB979">
            <v>2012</v>
          </cell>
        </row>
        <row r="980">
          <cell r="E980">
            <v>89991.73</v>
          </cell>
          <cell r="Z980" t="str">
            <v>Legacy</v>
          </cell>
          <cell r="AA980" t="str">
            <v>$10K-$100K</v>
          </cell>
          <cell r="AB980" t="str">
            <v>2010 or before</v>
          </cell>
        </row>
        <row r="981">
          <cell r="E981">
            <v>89823.34</v>
          </cell>
          <cell r="Z981" t="str">
            <v>Ungating</v>
          </cell>
          <cell r="AA981" t="str">
            <v>$10K-$100K</v>
          </cell>
          <cell r="AB981">
            <v>2012</v>
          </cell>
        </row>
        <row r="982">
          <cell r="E982">
            <v>89578.58</v>
          </cell>
          <cell r="Z982" t="str">
            <v>Ungating</v>
          </cell>
          <cell r="AA982" t="str">
            <v>$10K-$100K</v>
          </cell>
          <cell r="AB982">
            <v>2011</v>
          </cell>
        </row>
        <row r="983">
          <cell r="E983">
            <v>89551.85</v>
          </cell>
          <cell r="Z983" t="str">
            <v>Ungating</v>
          </cell>
          <cell r="AA983" t="str">
            <v>$10K-$100K</v>
          </cell>
          <cell r="AB983">
            <v>2011</v>
          </cell>
        </row>
        <row r="984">
          <cell r="E984">
            <v>89476.31</v>
          </cell>
          <cell r="Z984" t="str">
            <v>Ungating</v>
          </cell>
          <cell r="AA984" t="str">
            <v>$10K-$100K</v>
          </cell>
          <cell r="AB984">
            <v>2012</v>
          </cell>
        </row>
        <row r="985">
          <cell r="E985">
            <v>89286.37</v>
          </cell>
          <cell r="Z985" t="str">
            <v>Legacy</v>
          </cell>
          <cell r="AA985" t="str">
            <v>$10K-$100K</v>
          </cell>
          <cell r="AB985" t="str">
            <v>2010 or before</v>
          </cell>
        </row>
        <row r="986">
          <cell r="E986">
            <v>88997.14</v>
          </cell>
          <cell r="Z986" t="str">
            <v>Legacy</v>
          </cell>
          <cell r="AA986" t="str">
            <v>$10K-$100K</v>
          </cell>
          <cell r="AB986" t="str">
            <v>2010 or before</v>
          </cell>
        </row>
        <row r="987">
          <cell r="E987">
            <v>88853.27</v>
          </cell>
          <cell r="Z987" t="str">
            <v>Ungating</v>
          </cell>
          <cell r="AA987" t="str">
            <v>$10K-$100K</v>
          </cell>
          <cell r="AB987">
            <v>2011</v>
          </cell>
        </row>
        <row r="988">
          <cell r="E988">
            <v>88626</v>
          </cell>
          <cell r="Z988" t="str">
            <v>Inbound</v>
          </cell>
          <cell r="AA988" t="str">
            <v>$10K-$100K</v>
          </cell>
          <cell r="AB988">
            <v>2012</v>
          </cell>
        </row>
        <row r="989">
          <cell r="E989">
            <v>88321</v>
          </cell>
          <cell r="Z989" t="str">
            <v>Legacy</v>
          </cell>
          <cell r="AA989" t="str">
            <v>$10K-$100K</v>
          </cell>
          <cell r="AB989" t="str">
            <v>2010 or before</v>
          </cell>
        </row>
        <row r="990">
          <cell r="E990">
            <v>88034.57</v>
          </cell>
          <cell r="Z990" t="str">
            <v>Ungating</v>
          </cell>
          <cell r="AA990" t="str">
            <v>$10K-$100K</v>
          </cell>
          <cell r="AB990">
            <v>2012</v>
          </cell>
        </row>
        <row r="991">
          <cell r="E991">
            <v>87977.17</v>
          </cell>
          <cell r="Z991" t="str">
            <v>Legacy</v>
          </cell>
          <cell r="AA991" t="str">
            <v>$10K-$100K</v>
          </cell>
          <cell r="AB991" t="str">
            <v>2010 or before</v>
          </cell>
        </row>
        <row r="992">
          <cell r="E992">
            <v>87650.12</v>
          </cell>
          <cell r="Z992" t="str">
            <v>Legacy</v>
          </cell>
          <cell r="AA992" t="str">
            <v>$10K-$100K</v>
          </cell>
          <cell r="AB992" t="str">
            <v>2010 or before</v>
          </cell>
        </row>
        <row r="993">
          <cell r="E993">
            <v>87458.6</v>
          </cell>
          <cell r="Z993" t="str">
            <v>Global</v>
          </cell>
          <cell r="AA993" t="str">
            <v>$10K-$100K</v>
          </cell>
          <cell r="AB993">
            <v>2012</v>
          </cell>
        </row>
        <row r="994">
          <cell r="E994">
            <v>87386.78</v>
          </cell>
          <cell r="Z994" t="str">
            <v>Inbound</v>
          </cell>
          <cell r="AA994" t="str">
            <v>$10K-$100K</v>
          </cell>
          <cell r="AB994">
            <v>2011</v>
          </cell>
        </row>
        <row r="995">
          <cell r="E995">
            <v>87318.11</v>
          </cell>
          <cell r="Z995" t="str">
            <v>Ungating</v>
          </cell>
          <cell r="AA995" t="str">
            <v>$10K-$100K</v>
          </cell>
          <cell r="AB995">
            <v>2012</v>
          </cell>
        </row>
        <row r="996">
          <cell r="E996">
            <v>87266.77</v>
          </cell>
          <cell r="Z996" t="str">
            <v>Legacy</v>
          </cell>
          <cell r="AA996" t="str">
            <v>$10K-$100K</v>
          </cell>
          <cell r="AB996" t="str">
            <v>2010 or before</v>
          </cell>
        </row>
        <row r="997">
          <cell r="E997">
            <v>87093.74</v>
          </cell>
          <cell r="Z997" t="str">
            <v>Legacy</v>
          </cell>
          <cell r="AA997" t="str">
            <v>$10K-$100K</v>
          </cell>
          <cell r="AB997" t="str">
            <v>2010 or before</v>
          </cell>
        </row>
        <row r="998">
          <cell r="E998">
            <v>86971.73</v>
          </cell>
          <cell r="Z998" t="str">
            <v>Legacy</v>
          </cell>
          <cell r="AA998" t="str">
            <v>$10K-$100K</v>
          </cell>
          <cell r="AB998" t="str">
            <v>2010 or before</v>
          </cell>
        </row>
        <row r="999">
          <cell r="E999">
            <v>86967.06</v>
          </cell>
          <cell r="Z999" t="str">
            <v>Ungating</v>
          </cell>
          <cell r="AA999" t="str">
            <v>$10K-$100K</v>
          </cell>
          <cell r="AB999">
            <v>2012</v>
          </cell>
        </row>
        <row r="1000">
          <cell r="E1000">
            <v>86536.63</v>
          </cell>
          <cell r="Z1000" t="str">
            <v>Legacy</v>
          </cell>
          <cell r="AA1000" t="str">
            <v>$10K-$100K</v>
          </cell>
          <cell r="AB1000" t="str">
            <v>2010 or before</v>
          </cell>
        </row>
        <row r="1001">
          <cell r="E1001">
            <v>86499.58</v>
          </cell>
          <cell r="Z1001" t="str">
            <v>Ungating</v>
          </cell>
          <cell r="AA1001" t="str">
            <v>$10K-$100K</v>
          </cell>
          <cell r="AB1001">
            <v>2011</v>
          </cell>
        </row>
        <row r="1002">
          <cell r="E1002">
            <v>86488.42</v>
          </cell>
          <cell r="Z1002" t="str">
            <v>Legacy</v>
          </cell>
          <cell r="AA1002" t="str">
            <v>$10K-$100K</v>
          </cell>
          <cell r="AB1002" t="str">
            <v>2010 or before</v>
          </cell>
        </row>
        <row r="1003">
          <cell r="E1003">
            <v>86364.49</v>
          </cell>
          <cell r="Z1003" t="str">
            <v>Global</v>
          </cell>
          <cell r="AA1003" t="str">
            <v>$10K-$100K</v>
          </cell>
          <cell r="AB1003">
            <v>2012</v>
          </cell>
        </row>
        <row r="1004">
          <cell r="E1004">
            <v>86332.03</v>
          </cell>
          <cell r="Z1004" t="str">
            <v>Legacy</v>
          </cell>
          <cell r="AA1004" t="str">
            <v>$10K-$100K</v>
          </cell>
          <cell r="AB1004" t="str">
            <v>2010 or before</v>
          </cell>
        </row>
        <row r="1005">
          <cell r="E1005">
            <v>86015.11</v>
          </cell>
          <cell r="Z1005" t="str">
            <v>Ungating</v>
          </cell>
          <cell r="AA1005" t="str">
            <v>$10K-$100K</v>
          </cell>
          <cell r="AB1005">
            <v>2011</v>
          </cell>
        </row>
        <row r="1006">
          <cell r="E1006">
            <v>85888.35</v>
          </cell>
          <cell r="Z1006" t="str">
            <v>Global</v>
          </cell>
          <cell r="AA1006" t="str">
            <v>$10K-$100K</v>
          </cell>
          <cell r="AB1006">
            <v>2012</v>
          </cell>
        </row>
        <row r="1007">
          <cell r="E1007">
            <v>85721.37</v>
          </cell>
          <cell r="Z1007" t="str">
            <v>Ungating</v>
          </cell>
          <cell r="AA1007" t="str">
            <v>$10K-$100K</v>
          </cell>
          <cell r="AB1007">
            <v>2012</v>
          </cell>
        </row>
        <row r="1008">
          <cell r="E1008">
            <v>85705.75</v>
          </cell>
          <cell r="Z1008" t="str">
            <v>Legacy</v>
          </cell>
          <cell r="AA1008" t="str">
            <v>$10K-$100K</v>
          </cell>
          <cell r="AB1008" t="str">
            <v>2010 or before</v>
          </cell>
        </row>
        <row r="1009">
          <cell r="E1009">
            <v>85421.65</v>
          </cell>
          <cell r="Z1009" t="str">
            <v>Ungating</v>
          </cell>
          <cell r="AA1009" t="str">
            <v>$10K-$100K</v>
          </cell>
          <cell r="AB1009">
            <v>2011</v>
          </cell>
        </row>
        <row r="1010">
          <cell r="E1010">
            <v>85169.78</v>
          </cell>
          <cell r="Z1010" t="str">
            <v>Ungating</v>
          </cell>
          <cell r="AA1010" t="str">
            <v>$10K-$100K</v>
          </cell>
          <cell r="AB1010">
            <v>2012</v>
          </cell>
        </row>
        <row r="1011">
          <cell r="E1011">
            <v>84982.23</v>
          </cell>
          <cell r="Z1011" t="str">
            <v>Ungating</v>
          </cell>
          <cell r="AA1011" t="str">
            <v>$10K-$100K</v>
          </cell>
          <cell r="AB1011">
            <v>2012</v>
          </cell>
        </row>
        <row r="1012">
          <cell r="E1012">
            <v>84937.41</v>
          </cell>
          <cell r="Z1012" t="str">
            <v>Legacy</v>
          </cell>
          <cell r="AA1012" t="str">
            <v>$10K-$100K</v>
          </cell>
          <cell r="AB1012" t="str">
            <v>2010 or before</v>
          </cell>
        </row>
        <row r="1013">
          <cell r="E1013">
            <v>84924.68</v>
          </cell>
          <cell r="Z1013" t="str">
            <v>Ungating</v>
          </cell>
          <cell r="AA1013" t="str">
            <v>$10K-$100K</v>
          </cell>
          <cell r="AB1013">
            <v>2011</v>
          </cell>
        </row>
        <row r="1014">
          <cell r="E1014">
            <v>84888.42</v>
          </cell>
          <cell r="Z1014" t="str">
            <v>Legacy</v>
          </cell>
          <cell r="AA1014" t="str">
            <v>$10K-$100K</v>
          </cell>
          <cell r="AB1014" t="str">
            <v>2010 or before</v>
          </cell>
        </row>
        <row r="1015">
          <cell r="E1015">
            <v>84677.38</v>
          </cell>
          <cell r="Z1015" t="str">
            <v>Legacy</v>
          </cell>
          <cell r="AA1015" t="str">
            <v>$10K-$100K</v>
          </cell>
          <cell r="AB1015" t="str">
            <v>2010 or before</v>
          </cell>
        </row>
        <row r="1016">
          <cell r="E1016">
            <v>84452.98</v>
          </cell>
          <cell r="Z1016" t="str">
            <v>Legacy</v>
          </cell>
          <cell r="AA1016" t="str">
            <v>$10K-$100K</v>
          </cell>
          <cell r="AB1016">
            <v>2012</v>
          </cell>
        </row>
        <row r="1017">
          <cell r="E1017">
            <v>84179.520000000004</v>
          </cell>
          <cell r="Z1017" t="str">
            <v>Legacy</v>
          </cell>
          <cell r="AA1017" t="str">
            <v>$10K-$100K</v>
          </cell>
          <cell r="AB1017">
            <v>2011</v>
          </cell>
        </row>
        <row r="1018">
          <cell r="E1018">
            <v>83926.98</v>
          </cell>
          <cell r="Z1018" t="str">
            <v>Legacy</v>
          </cell>
          <cell r="AA1018" t="str">
            <v>$10K-$100K</v>
          </cell>
          <cell r="AB1018" t="str">
            <v>2010 or before</v>
          </cell>
        </row>
        <row r="1019">
          <cell r="E1019">
            <v>83799.490000000005</v>
          </cell>
          <cell r="Z1019" t="str">
            <v>Legacy</v>
          </cell>
          <cell r="AA1019" t="str">
            <v>$10K-$100K</v>
          </cell>
          <cell r="AB1019" t="str">
            <v>2010 or before</v>
          </cell>
        </row>
        <row r="1020">
          <cell r="E1020">
            <v>83290.05</v>
          </cell>
          <cell r="Z1020" t="str">
            <v>Legacy</v>
          </cell>
          <cell r="AA1020" t="str">
            <v>$10K-$100K</v>
          </cell>
          <cell r="AB1020" t="str">
            <v>2010 or before</v>
          </cell>
        </row>
        <row r="1021">
          <cell r="E1021">
            <v>83270.12</v>
          </cell>
          <cell r="Z1021" t="str">
            <v>Legacy</v>
          </cell>
          <cell r="AA1021" t="str">
            <v>$10K-$100K</v>
          </cell>
          <cell r="AB1021" t="str">
            <v>2010 or before</v>
          </cell>
        </row>
        <row r="1022">
          <cell r="E1022">
            <v>83203.55</v>
          </cell>
          <cell r="Z1022" t="str">
            <v>Legacy</v>
          </cell>
          <cell r="AA1022" t="str">
            <v>$10K-$100K</v>
          </cell>
          <cell r="AB1022" t="str">
            <v>2010 or before</v>
          </cell>
        </row>
        <row r="1023">
          <cell r="E1023">
            <v>83194.080000000002</v>
          </cell>
          <cell r="Z1023" t="str">
            <v>Ungating</v>
          </cell>
          <cell r="AA1023" t="str">
            <v>$10K-$100K</v>
          </cell>
          <cell r="AB1023">
            <v>2012</v>
          </cell>
        </row>
        <row r="1024">
          <cell r="E1024">
            <v>83172</v>
          </cell>
          <cell r="Z1024" t="str">
            <v>Inbound</v>
          </cell>
          <cell r="AA1024" t="str">
            <v>$10K-$100K</v>
          </cell>
          <cell r="AB1024">
            <v>2012</v>
          </cell>
        </row>
        <row r="1025">
          <cell r="E1025">
            <v>82931.539999999994</v>
          </cell>
          <cell r="Z1025" t="str">
            <v>Global</v>
          </cell>
          <cell r="AA1025" t="str">
            <v>$10K-$100K</v>
          </cell>
          <cell r="AB1025">
            <v>2012</v>
          </cell>
        </row>
        <row r="1026">
          <cell r="E1026">
            <v>82867.199999999997</v>
          </cell>
          <cell r="Z1026" t="str">
            <v>Legacy</v>
          </cell>
          <cell r="AA1026" t="str">
            <v>$10K-$100K</v>
          </cell>
          <cell r="AB1026" t="str">
            <v>2010 or before</v>
          </cell>
        </row>
        <row r="1027">
          <cell r="E1027">
            <v>82585.41</v>
          </cell>
          <cell r="Z1027" t="str">
            <v>Legacy</v>
          </cell>
          <cell r="AA1027" t="str">
            <v>$10K-$100K</v>
          </cell>
          <cell r="AB1027" t="str">
            <v>2010 or before</v>
          </cell>
        </row>
        <row r="1028">
          <cell r="E1028">
            <v>82006.429999999993</v>
          </cell>
          <cell r="Z1028" t="str">
            <v>Inbound</v>
          </cell>
          <cell r="AA1028" t="str">
            <v>$10K-$100K</v>
          </cell>
          <cell r="AB1028">
            <v>2011</v>
          </cell>
        </row>
        <row r="1029">
          <cell r="E1029">
            <v>81911.820000000007</v>
          </cell>
          <cell r="Z1029" t="str">
            <v>Ungating</v>
          </cell>
          <cell r="AA1029" t="str">
            <v>$10K-$100K</v>
          </cell>
          <cell r="AB1029">
            <v>2012</v>
          </cell>
        </row>
        <row r="1030">
          <cell r="E1030">
            <v>81862.27</v>
          </cell>
          <cell r="Z1030" t="str">
            <v>Inbound</v>
          </cell>
          <cell r="AA1030" t="str">
            <v>$10K-$100K</v>
          </cell>
          <cell r="AB1030">
            <v>2011</v>
          </cell>
        </row>
        <row r="1031">
          <cell r="E1031">
            <v>81832.399999999994</v>
          </cell>
          <cell r="Z1031" t="str">
            <v>Legacy</v>
          </cell>
          <cell r="AA1031" t="str">
            <v>$10K-$100K</v>
          </cell>
          <cell r="AB1031">
            <v>2011</v>
          </cell>
        </row>
        <row r="1032">
          <cell r="E1032">
            <v>81343.91</v>
          </cell>
          <cell r="Z1032" t="str">
            <v>Legacy</v>
          </cell>
          <cell r="AA1032" t="str">
            <v>$10K-$100K</v>
          </cell>
          <cell r="AB1032" t="str">
            <v>2010 or before</v>
          </cell>
        </row>
        <row r="1033">
          <cell r="E1033">
            <v>80648.11</v>
          </cell>
          <cell r="Z1033" t="str">
            <v>Legacy</v>
          </cell>
          <cell r="AA1033" t="str">
            <v>$10K-$100K</v>
          </cell>
          <cell r="AB1033" t="str">
            <v>2010 or before</v>
          </cell>
        </row>
        <row r="1034">
          <cell r="E1034">
            <v>80613.27</v>
          </cell>
          <cell r="Z1034" t="str">
            <v>Global</v>
          </cell>
          <cell r="AA1034" t="str">
            <v>$10K-$100K</v>
          </cell>
          <cell r="AB1034">
            <v>2012</v>
          </cell>
        </row>
        <row r="1035">
          <cell r="E1035">
            <v>80273.48</v>
          </cell>
          <cell r="Z1035" t="str">
            <v>Inbound</v>
          </cell>
          <cell r="AA1035" t="str">
            <v>$10K-$100K</v>
          </cell>
          <cell r="AB1035">
            <v>2012</v>
          </cell>
        </row>
        <row r="1036">
          <cell r="E1036">
            <v>80068.17</v>
          </cell>
          <cell r="Z1036" t="str">
            <v>Legacy</v>
          </cell>
          <cell r="AA1036" t="str">
            <v>$10K-$100K</v>
          </cell>
          <cell r="AB1036" t="str">
            <v>2010 or before</v>
          </cell>
        </row>
        <row r="1037">
          <cell r="E1037">
            <v>79776.02</v>
          </cell>
          <cell r="Z1037" t="str">
            <v>Legacy</v>
          </cell>
          <cell r="AA1037" t="str">
            <v>$10K-$100K</v>
          </cell>
          <cell r="AB1037" t="str">
            <v>2010 or before</v>
          </cell>
        </row>
        <row r="1038">
          <cell r="E1038">
            <v>79764.19</v>
          </cell>
          <cell r="Z1038" t="str">
            <v>Legacy</v>
          </cell>
          <cell r="AA1038" t="str">
            <v>$10K-$100K</v>
          </cell>
          <cell r="AB1038" t="str">
            <v>2010 or before</v>
          </cell>
        </row>
        <row r="1039">
          <cell r="E1039">
            <v>79706.600000000006</v>
          </cell>
          <cell r="Z1039" t="str">
            <v>Legacy</v>
          </cell>
          <cell r="AA1039" t="str">
            <v>$10K-$100K</v>
          </cell>
          <cell r="AB1039" t="str">
            <v>2010 or before</v>
          </cell>
        </row>
        <row r="1040">
          <cell r="E1040">
            <v>79593.95</v>
          </cell>
          <cell r="Z1040" t="str">
            <v>Ungating</v>
          </cell>
          <cell r="AA1040" t="str">
            <v>$10K-$100K</v>
          </cell>
          <cell r="AB1040">
            <v>2012</v>
          </cell>
        </row>
        <row r="1041">
          <cell r="E1041">
            <v>79575.58</v>
          </cell>
          <cell r="Z1041" t="str">
            <v>Ungating</v>
          </cell>
          <cell r="AA1041" t="str">
            <v>$10K-$100K</v>
          </cell>
          <cell r="AB1041">
            <v>2011</v>
          </cell>
        </row>
        <row r="1042">
          <cell r="E1042">
            <v>79442.350000000006</v>
          </cell>
          <cell r="Z1042" t="str">
            <v>Ungating</v>
          </cell>
          <cell r="AA1042" t="str">
            <v>$10K-$100K</v>
          </cell>
          <cell r="AB1042">
            <v>2012</v>
          </cell>
        </row>
        <row r="1043">
          <cell r="E1043">
            <v>79423.87</v>
          </cell>
          <cell r="Z1043" t="str">
            <v>Legacy</v>
          </cell>
          <cell r="AA1043" t="str">
            <v>$10K-$100K</v>
          </cell>
          <cell r="AB1043" t="str">
            <v>2010 or before</v>
          </cell>
        </row>
        <row r="1044">
          <cell r="E1044">
            <v>79387.94</v>
          </cell>
          <cell r="Z1044" t="str">
            <v>Legacy</v>
          </cell>
          <cell r="AA1044" t="str">
            <v>$10K-$100K</v>
          </cell>
          <cell r="AB1044" t="str">
            <v>2010 or before</v>
          </cell>
        </row>
        <row r="1045">
          <cell r="E1045">
            <v>79283.75</v>
          </cell>
          <cell r="Z1045" t="str">
            <v>Inbound</v>
          </cell>
          <cell r="AA1045" t="str">
            <v>$10K-$100K</v>
          </cell>
          <cell r="AB1045">
            <v>2012</v>
          </cell>
        </row>
        <row r="1046">
          <cell r="E1046">
            <v>79130.100000000006</v>
          </cell>
          <cell r="Z1046" t="str">
            <v>Inbound</v>
          </cell>
          <cell r="AA1046" t="str">
            <v>$10K-$100K</v>
          </cell>
          <cell r="AB1046">
            <v>2012</v>
          </cell>
        </row>
        <row r="1047">
          <cell r="E1047">
            <v>78936.03</v>
          </cell>
          <cell r="Z1047" t="str">
            <v>Legacy</v>
          </cell>
          <cell r="AA1047" t="str">
            <v>$10K-$100K</v>
          </cell>
          <cell r="AB1047" t="str">
            <v>2010 or before</v>
          </cell>
        </row>
        <row r="1048">
          <cell r="E1048">
            <v>78859.39</v>
          </cell>
          <cell r="Z1048" t="str">
            <v>Inbound</v>
          </cell>
          <cell r="AA1048" t="str">
            <v>$10K-$100K</v>
          </cell>
          <cell r="AB1048">
            <v>2012</v>
          </cell>
        </row>
        <row r="1049">
          <cell r="E1049">
            <v>78849.600000000006</v>
          </cell>
          <cell r="Z1049" t="str">
            <v>Inbound</v>
          </cell>
          <cell r="AA1049" t="str">
            <v>$10K-$100K</v>
          </cell>
          <cell r="AB1049">
            <v>2012</v>
          </cell>
        </row>
        <row r="1050">
          <cell r="E1050">
            <v>78669.25</v>
          </cell>
          <cell r="Z1050" t="str">
            <v>Legacy</v>
          </cell>
          <cell r="AA1050" t="str">
            <v>$10K-$100K</v>
          </cell>
          <cell r="AB1050" t="str">
            <v>2010 or before</v>
          </cell>
        </row>
        <row r="1051">
          <cell r="E1051">
            <v>78417.16</v>
          </cell>
          <cell r="Z1051" t="str">
            <v>Inbound</v>
          </cell>
          <cell r="AA1051" t="str">
            <v>$10K-$100K</v>
          </cell>
          <cell r="AB1051">
            <v>2012</v>
          </cell>
        </row>
        <row r="1052">
          <cell r="E1052">
            <v>78093.33</v>
          </cell>
          <cell r="Z1052" t="str">
            <v>Inbound</v>
          </cell>
          <cell r="AA1052" t="str">
            <v>$10K-$100K</v>
          </cell>
          <cell r="AB1052">
            <v>2011</v>
          </cell>
        </row>
        <row r="1053">
          <cell r="E1053">
            <v>77780.84</v>
          </cell>
          <cell r="Z1053" t="str">
            <v>Legacy</v>
          </cell>
          <cell r="AA1053" t="str">
            <v>$10K-$100K</v>
          </cell>
          <cell r="AB1053" t="str">
            <v>2010 or before</v>
          </cell>
        </row>
        <row r="1054">
          <cell r="E1054">
            <v>77605.42</v>
          </cell>
          <cell r="Z1054" t="str">
            <v>Legacy</v>
          </cell>
          <cell r="AA1054" t="str">
            <v>$10K-$100K</v>
          </cell>
          <cell r="AB1054" t="str">
            <v>2010 or before</v>
          </cell>
        </row>
        <row r="1055">
          <cell r="E1055">
            <v>77554.649999999994</v>
          </cell>
          <cell r="Z1055" t="str">
            <v>Strategic</v>
          </cell>
          <cell r="AA1055" t="str">
            <v>$10K-$100K</v>
          </cell>
          <cell r="AB1055">
            <v>2011</v>
          </cell>
        </row>
        <row r="1056">
          <cell r="E1056">
            <v>77553.52</v>
          </cell>
          <cell r="Z1056" t="str">
            <v>Legacy</v>
          </cell>
          <cell r="AA1056" t="str">
            <v>$10K-$100K</v>
          </cell>
          <cell r="AB1056" t="str">
            <v>2010 or before</v>
          </cell>
        </row>
        <row r="1057">
          <cell r="E1057">
            <v>76793.81</v>
          </cell>
          <cell r="Z1057" t="str">
            <v>Legacy</v>
          </cell>
          <cell r="AA1057" t="str">
            <v>$10K-$100K</v>
          </cell>
          <cell r="AB1057" t="str">
            <v>2010 or before</v>
          </cell>
        </row>
        <row r="1058">
          <cell r="E1058">
            <v>76648.55</v>
          </cell>
          <cell r="Z1058" t="str">
            <v>Legacy</v>
          </cell>
          <cell r="AA1058" t="str">
            <v>$10K-$100K</v>
          </cell>
          <cell r="AB1058" t="str">
            <v>2010 or before</v>
          </cell>
        </row>
        <row r="1059">
          <cell r="E1059">
            <v>76386.13</v>
          </cell>
          <cell r="Z1059" t="str">
            <v>Legacy</v>
          </cell>
          <cell r="AA1059" t="str">
            <v>$10K-$100K</v>
          </cell>
          <cell r="AB1059" t="str">
            <v>2010 or before</v>
          </cell>
        </row>
        <row r="1060">
          <cell r="E1060">
            <v>76316.25</v>
          </cell>
          <cell r="Z1060" t="str">
            <v>Legacy</v>
          </cell>
          <cell r="AA1060" t="str">
            <v>$10K-$100K</v>
          </cell>
          <cell r="AB1060" t="str">
            <v>2010 or before</v>
          </cell>
        </row>
        <row r="1061">
          <cell r="E1061">
            <v>75769.929999999993</v>
          </cell>
          <cell r="Z1061" t="str">
            <v>Inbound</v>
          </cell>
          <cell r="AA1061" t="str">
            <v>$10K-$100K</v>
          </cell>
          <cell r="AB1061">
            <v>2012</v>
          </cell>
        </row>
        <row r="1062">
          <cell r="E1062">
            <v>75484.289999999994</v>
          </cell>
          <cell r="Z1062" t="str">
            <v>Legacy</v>
          </cell>
          <cell r="AA1062" t="str">
            <v>$10K-$100K</v>
          </cell>
          <cell r="AB1062" t="str">
            <v>2010 or before</v>
          </cell>
        </row>
        <row r="1063">
          <cell r="E1063">
            <v>75449.399999999994</v>
          </cell>
          <cell r="Z1063" t="str">
            <v>Legacy</v>
          </cell>
          <cell r="AA1063" t="str">
            <v>$10K-$100K</v>
          </cell>
          <cell r="AB1063" t="str">
            <v>2010 or before</v>
          </cell>
        </row>
        <row r="1064">
          <cell r="E1064">
            <v>75423.039999999994</v>
          </cell>
          <cell r="Z1064" t="str">
            <v>Legacy</v>
          </cell>
          <cell r="AA1064" t="str">
            <v>$10K-$100K</v>
          </cell>
          <cell r="AB1064" t="str">
            <v>2010 or before</v>
          </cell>
        </row>
        <row r="1065">
          <cell r="E1065">
            <v>75389.91</v>
          </cell>
          <cell r="Z1065" t="str">
            <v>Legacy</v>
          </cell>
          <cell r="AA1065" t="str">
            <v>$10K-$100K</v>
          </cell>
          <cell r="AB1065" t="str">
            <v>2010 or before</v>
          </cell>
        </row>
        <row r="1066">
          <cell r="E1066">
            <v>74883.350000000006</v>
          </cell>
          <cell r="Z1066" t="str">
            <v>Legacy</v>
          </cell>
          <cell r="AA1066" t="str">
            <v>$10K-$100K</v>
          </cell>
          <cell r="AB1066" t="str">
            <v>2010 or before</v>
          </cell>
        </row>
        <row r="1067">
          <cell r="E1067">
            <v>74640.679999999993</v>
          </cell>
          <cell r="Z1067" t="str">
            <v>Legacy</v>
          </cell>
          <cell r="AA1067" t="str">
            <v>$10K-$100K</v>
          </cell>
          <cell r="AB1067" t="str">
            <v>2010 or before</v>
          </cell>
        </row>
        <row r="1068">
          <cell r="E1068">
            <v>74394.649999999994</v>
          </cell>
          <cell r="Z1068" t="str">
            <v>Legacy</v>
          </cell>
          <cell r="AA1068" t="str">
            <v>$10K-$100K</v>
          </cell>
          <cell r="AB1068" t="str">
            <v>2010 or before</v>
          </cell>
        </row>
        <row r="1069">
          <cell r="E1069">
            <v>74189.86</v>
          </cell>
          <cell r="Z1069" t="str">
            <v>Legacy</v>
          </cell>
          <cell r="AA1069" t="str">
            <v>$10K-$100K</v>
          </cell>
          <cell r="AB1069" t="str">
            <v>2010 or before</v>
          </cell>
        </row>
        <row r="1070">
          <cell r="E1070">
            <v>74085.7</v>
          </cell>
          <cell r="Z1070" t="str">
            <v>Outbound</v>
          </cell>
          <cell r="AA1070" t="str">
            <v>$10K-$100K</v>
          </cell>
          <cell r="AB1070">
            <v>2012</v>
          </cell>
        </row>
        <row r="1071">
          <cell r="E1071">
            <v>73816.3</v>
          </cell>
          <cell r="Z1071" t="str">
            <v>Legacy</v>
          </cell>
          <cell r="AA1071" t="str">
            <v>$10K-$100K</v>
          </cell>
          <cell r="AB1071" t="str">
            <v>2010 or before</v>
          </cell>
        </row>
        <row r="1072">
          <cell r="E1072">
            <v>73615.240000000005</v>
          </cell>
          <cell r="Z1072" t="str">
            <v>Legacy</v>
          </cell>
          <cell r="AA1072" t="str">
            <v>$10K-$100K</v>
          </cell>
          <cell r="AB1072" t="str">
            <v>2010 or before</v>
          </cell>
        </row>
        <row r="1073">
          <cell r="E1073">
            <v>73574</v>
          </cell>
          <cell r="Z1073" t="str">
            <v>Legacy</v>
          </cell>
          <cell r="AA1073" t="str">
            <v>$10K-$100K</v>
          </cell>
          <cell r="AB1073" t="str">
            <v>2010 or before</v>
          </cell>
        </row>
        <row r="1074">
          <cell r="E1074">
            <v>73473.59</v>
          </cell>
          <cell r="Z1074" t="str">
            <v>Legacy</v>
          </cell>
          <cell r="AA1074" t="str">
            <v>$10K-$100K</v>
          </cell>
          <cell r="AB1074" t="str">
            <v>2010 or before</v>
          </cell>
        </row>
        <row r="1075">
          <cell r="E1075">
            <v>73136.05</v>
          </cell>
          <cell r="Z1075" t="str">
            <v>Ungating</v>
          </cell>
          <cell r="AA1075" t="str">
            <v>$10K-$100K</v>
          </cell>
          <cell r="AB1075">
            <v>2012</v>
          </cell>
        </row>
        <row r="1076">
          <cell r="E1076">
            <v>72943.37</v>
          </cell>
          <cell r="Z1076" t="str">
            <v>Legacy</v>
          </cell>
          <cell r="AA1076" t="str">
            <v>$10K-$100K</v>
          </cell>
          <cell r="AB1076" t="str">
            <v>2010 or before</v>
          </cell>
        </row>
        <row r="1077">
          <cell r="E1077">
            <v>72863.7</v>
          </cell>
          <cell r="Z1077" t="str">
            <v>Ungating</v>
          </cell>
          <cell r="AA1077" t="str">
            <v>$10K-$100K</v>
          </cell>
          <cell r="AB1077">
            <v>2012</v>
          </cell>
        </row>
        <row r="1078">
          <cell r="E1078">
            <v>72816.179999999993</v>
          </cell>
          <cell r="Z1078" t="str">
            <v>Ungating</v>
          </cell>
          <cell r="AA1078" t="str">
            <v>$10K-$100K</v>
          </cell>
          <cell r="AB1078">
            <v>2012</v>
          </cell>
        </row>
        <row r="1079">
          <cell r="E1079">
            <v>72805.919999999998</v>
          </cell>
          <cell r="Z1079" t="str">
            <v>Legacy</v>
          </cell>
          <cell r="AA1079" t="str">
            <v>$10K-$100K</v>
          </cell>
          <cell r="AB1079" t="str">
            <v>2010 or before</v>
          </cell>
        </row>
        <row r="1080">
          <cell r="E1080">
            <v>72532.179999999993</v>
          </cell>
          <cell r="Z1080" t="str">
            <v>Legacy</v>
          </cell>
          <cell r="AA1080" t="str">
            <v>$10K-$100K</v>
          </cell>
          <cell r="AB1080" t="str">
            <v>2010 or before</v>
          </cell>
        </row>
        <row r="1081">
          <cell r="E1081">
            <v>72473.399999999994</v>
          </cell>
          <cell r="Z1081" t="str">
            <v>Legacy</v>
          </cell>
          <cell r="AA1081" t="str">
            <v>$10K-$100K</v>
          </cell>
          <cell r="AB1081" t="str">
            <v>2010 or before</v>
          </cell>
        </row>
        <row r="1082">
          <cell r="E1082">
            <v>72222.44</v>
          </cell>
          <cell r="Z1082" t="str">
            <v>Legacy</v>
          </cell>
          <cell r="AA1082" t="str">
            <v>$10K-$100K</v>
          </cell>
          <cell r="AB1082" t="str">
            <v>2010 or before</v>
          </cell>
        </row>
        <row r="1083">
          <cell r="E1083">
            <v>72001.08</v>
          </cell>
          <cell r="Z1083" t="str">
            <v>Ungating</v>
          </cell>
          <cell r="AA1083" t="str">
            <v>$10K-$100K</v>
          </cell>
          <cell r="AB1083">
            <v>2012</v>
          </cell>
        </row>
        <row r="1084">
          <cell r="E1084">
            <v>71949.94</v>
          </cell>
          <cell r="Z1084" t="str">
            <v>Legacy</v>
          </cell>
          <cell r="AA1084" t="str">
            <v>$10K-$100K</v>
          </cell>
          <cell r="AB1084" t="str">
            <v>2010 or before</v>
          </cell>
        </row>
        <row r="1085">
          <cell r="E1085">
            <v>71948.59</v>
          </cell>
          <cell r="Z1085" t="str">
            <v>Legacy</v>
          </cell>
          <cell r="AA1085" t="str">
            <v>$10K-$100K</v>
          </cell>
          <cell r="AB1085" t="str">
            <v>2010 or before</v>
          </cell>
        </row>
        <row r="1086">
          <cell r="E1086">
            <v>71889.009999999995</v>
          </cell>
          <cell r="Z1086" t="str">
            <v>Legacy</v>
          </cell>
          <cell r="AA1086" t="str">
            <v>$10K-$100K</v>
          </cell>
          <cell r="AB1086" t="str">
            <v>2010 or before</v>
          </cell>
        </row>
        <row r="1087">
          <cell r="E1087">
            <v>71840.11</v>
          </cell>
          <cell r="Z1087" t="str">
            <v>Ungating</v>
          </cell>
          <cell r="AA1087" t="str">
            <v>$10K-$100K</v>
          </cell>
          <cell r="AB1087">
            <v>2012</v>
          </cell>
        </row>
        <row r="1088">
          <cell r="E1088">
            <v>71798.2</v>
          </cell>
          <cell r="Z1088" t="str">
            <v>Legacy</v>
          </cell>
          <cell r="AA1088" t="str">
            <v>$10K-$100K</v>
          </cell>
          <cell r="AB1088" t="str">
            <v>2010 or before</v>
          </cell>
        </row>
        <row r="1089">
          <cell r="E1089">
            <v>71783.360000000001</v>
          </cell>
          <cell r="Z1089" t="str">
            <v>Legacy</v>
          </cell>
          <cell r="AA1089" t="str">
            <v>$10K-$100K</v>
          </cell>
          <cell r="AB1089" t="str">
            <v>2010 or before</v>
          </cell>
        </row>
        <row r="1090">
          <cell r="E1090">
            <v>71741.929999999993</v>
          </cell>
          <cell r="Z1090" t="str">
            <v>Inbound</v>
          </cell>
          <cell r="AA1090" t="str">
            <v>$10K-$100K</v>
          </cell>
          <cell r="AB1090">
            <v>2011</v>
          </cell>
        </row>
        <row r="1091">
          <cell r="E1091">
            <v>71385.42</v>
          </cell>
          <cell r="Z1091" t="str">
            <v>Legacy</v>
          </cell>
          <cell r="AA1091" t="str">
            <v>$10K-$100K</v>
          </cell>
          <cell r="AB1091" t="str">
            <v>2010 or before</v>
          </cell>
        </row>
        <row r="1092">
          <cell r="E1092">
            <v>71079.8</v>
          </cell>
          <cell r="Z1092" t="str">
            <v>Legacy</v>
          </cell>
          <cell r="AA1092" t="str">
            <v>$10K-$100K</v>
          </cell>
          <cell r="AB1092" t="str">
            <v>2010 or before</v>
          </cell>
        </row>
        <row r="1093">
          <cell r="E1093">
            <v>70508.649999999994</v>
          </cell>
          <cell r="Z1093" t="str">
            <v>Global</v>
          </cell>
          <cell r="AA1093" t="str">
            <v>$10K-$100K</v>
          </cell>
          <cell r="AB1093">
            <v>2012</v>
          </cell>
        </row>
        <row r="1094">
          <cell r="E1094">
            <v>70493.08</v>
          </cell>
          <cell r="Z1094" t="str">
            <v>Ungating</v>
          </cell>
          <cell r="AA1094" t="str">
            <v>$10K-$100K</v>
          </cell>
          <cell r="AB1094">
            <v>2012</v>
          </cell>
        </row>
        <row r="1095">
          <cell r="E1095">
            <v>70446.41</v>
          </cell>
          <cell r="Z1095" t="str">
            <v>Legacy</v>
          </cell>
          <cell r="AA1095" t="str">
            <v>$10K-$100K</v>
          </cell>
          <cell r="AB1095" t="str">
            <v>2010 or before</v>
          </cell>
        </row>
        <row r="1096">
          <cell r="E1096">
            <v>70444.5</v>
          </cell>
          <cell r="Z1096" t="str">
            <v>Global</v>
          </cell>
          <cell r="AA1096" t="str">
            <v>$10K-$100K</v>
          </cell>
          <cell r="AB1096">
            <v>2012</v>
          </cell>
        </row>
        <row r="1097">
          <cell r="E1097">
            <v>70197.039999999994</v>
          </cell>
          <cell r="Z1097" t="str">
            <v>Ungating</v>
          </cell>
          <cell r="AA1097" t="str">
            <v>$10K-$100K</v>
          </cell>
          <cell r="AB1097">
            <v>2012</v>
          </cell>
        </row>
        <row r="1098">
          <cell r="E1098">
            <v>70068.41</v>
          </cell>
          <cell r="Z1098" t="str">
            <v>Ungating</v>
          </cell>
          <cell r="AA1098" t="str">
            <v>$10K-$100K</v>
          </cell>
          <cell r="AB1098">
            <v>2012</v>
          </cell>
        </row>
        <row r="1099">
          <cell r="E1099">
            <v>70050.67</v>
          </cell>
          <cell r="Z1099" t="str">
            <v>Inbound</v>
          </cell>
          <cell r="AA1099" t="str">
            <v>$10K-$100K</v>
          </cell>
          <cell r="AB1099">
            <v>2012</v>
          </cell>
        </row>
        <row r="1100">
          <cell r="E1100">
            <v>69763.649999999994</v>
          </cell>
          <cell r="Z1100" t="str">
            <v>Legacy</v>
          </cell>
          <cell r="AA1100" t="str">
            <v>$10K-$100K</v>
          </cell>
          <cell r="AB1100" t="str">
            <v>2010 or before</v>
          </cell>
        </row>
        <row r="1101">
          <cell r="E1101">
            <v>69570.97</v>
          </cell>
          <cell r="Z1101" t="str">
            <v>Inbound</v>
          </cell>
          <cell r="AA1101" t="str">
            <v>$10K-$100K</v>
          </cell>
          <cell r="AB1101">
            <v>2012</v>
          </cell>
        </row>
        <row r="1102">
          <cell r="E1102">
            <v>69108.12</v>
          </cell>
          <cell r="Z1102" t="str">
            <v>Legacy</v>
          </cell>
          <cell r="AA1102" t="str">
            <v>$10K-$100K</v>
          </cell>
          <cell r="AB1102" t="str">
            <v>2010 or before</v>
          </cell>
        </row>
        <row r="1103">
          <cell r="E1103">
            <v>69018.95</v>
          </cell>
          <cell r="Z1103" t="str">
            <v>Ungating</v>
          </cell>
          <cell r="AA1103" t="str">
            <v>$10K-$100K</v>
          </cell>
          <cell r="AB1103">
            <v>2012</v>
          </cell>
        </row>
        <row r="1104">
          <cell r="E1104">
            <v>69008.12</v>
          </cell>
          <cell r="Z1104" t="str">
            <v>Ungating</v>
          </cell>
          <cell r="AA1104" t="str">
            <v>$10K-$100K</v>
          </cell>
          <cell r="AB1104">
            <v>2012</v>
          </cell>
        </row>
        <row r="1105">
          <cell r="E1105">
            <v>68938.289999999994</v>
          </cell>
          <cell r="Z1105" t="str">
            <v>Ungating</v>
          </cell>
          <cell r="AA1105" t="str">
            <v>$10K-$100K</v>
          </cell>
          <cell r="AB1105">
            <v>2012</v>
          </cell>
        </row>
        <row r="1106">
          <cell r="E1106">
            <v>68912.33</v>
          </cell>
          <cell r="Z1106" t="str">
            <v>Legacy</v>
          </cell>
          <cell r="AA1106" t="str">
            <v>$10K-$100K</v>
          </cell>
          <cell r="AB1106" t="str">
            <v>2010 or before</v>
          </cell>
        </row>
        <row r="1107">
          <cell r="E1107">
            <v>68902.31</v>
          </cell>
          <cell r="Z1107" t="str">
            <v>Ungating</v>
          </cell>
          <cell r="AA1107" t="str">
            <v>$10K-$100K</v>
          </cell>
          <cell r="AB1107">
            <v>2011</v>
          </cell>
        </row>
        <row r="1108">
          <cell r="E1108">
            <v>68900.5</v>
          </cell>
          <cell r="Z1108" t="str">
            <v>Ungating</v>
          </cell>
          <cell r="AA1108" t="str">
            <v>$10K-$100K</v>
          </cell>
          <cell r="AB1108">
            <v>2012</v>
          </cell>
        </row>
        <row r="1109">
          <cell r="E1109">
            <v>68891.13</v>
          </cell>
          <cell r="Z1109" t="str">
            <v>Legacy</v>
          </cell>
          <cell r="AA1109" t="str">
            <v>$10K-$100K</v>
          </cell>
          <cell r="AB1109" t="str">
            <v>2010 or before</v>
          </cell>
        </row>
        <row r="1110">
          <cell r="E1110">
            <v>68671.87</v>
          </cell>
          <cell r="Z1110" t="str">
            <v>Legacy</v>
          </cell>
          <cell r="AA1110" t="str">
            <v>$10K-$100K</v>
          </cell>
          <cell r="AB1110" t="str">
            <v>2010 or before</v>
          </cell>
        </row>
        <row r="1111">
          <cell r="E1111">
            <v>68570.649999999994</v>
          </cell>
          <cell r="Z1111" t="str">
            <v>Legacy</v>
          </cell>
          <cell r="AA1111" t="str">
            <v>$10K-$100K</v>
          </cell>
          <cell r="AB1111" t="str">
            <v>2010 or before</v>
          </cell>
        </row>
        <row r="1112">
          <cell r="E1112">
            <v>68145.97</v>
          </cell>
          <cell r="Z1112" t="str">
            <v>Global</v>
          </cell>
          <cell r="AA1112" t="str">
            <v>$10K-$100K</v>
          </cell>
          <cell r="AB1112">
            <v>2012</v>
          </cell>
        </row>
        <row r="1113">
          <cell r="E1113">
            <v>67877.789999999994</v>
          </cell>
          <cell r="Z1113" t="str">
            <v>Ungating</v>
          </cell>
          <cell r="AA1113" t="str">
            <v>$10K-$100K</v>
          </cell>
          <cell r="AB1113">
            <v>2011</v>
          </cell>
        </row>
        <row r="1114">
          <cell r="E1114">
            <v>67825</v>
          </cell>
          <cell r="Z1114" t="str">
            <v>Legacy</v>
          </cell>
          <cell r="AA1114" t="str">
            <v>$10K-$100K</v>
          </cell>
          <cell r="AB1114" t="str">
            <v>2010 or before</v>
          </cell>
        </row>
        <row r="1115">
          <cell r="E1115">
            <v>67725.48</v>
          </cell>
          <cell r="Z1115" t="str">
            <v>Legacy</v>
          </cell>
          <cell r="AA1115" t="str">
            <v>$10K-$100K</v>
          </cell>
          <cell r="AB1115">
            <v>2011</v>
          </cell>
        </row>
        <row r="1116">
          <cell r="E1116">
            <v>67473.61</v>
          </cell>
          <cell r="Z1116" t="str">
            <v>Ungating</v>
          </cell>
          <cell r="AA1116" t="str">
            <v>$10K-$100K</v>
          </cell>
          <cell r="AB1116">
            <v>2011</v>
          </cell>
        </row>
        <row r="1117">
          <cell r="E1117">
            <v>67443.3</v>
          </cell>
          <cell r="Z1117" t="str">
            <v>Legacy</v>
          </cell>
          <cell r="AA1117" t="str">
            <v>$10K-$100K</v>
          </cell>
          <cell r="AB1117" t="str">
            <v>2010 or before</v>
          </cell>
        </row>
        <row r="1118">
          <cell r="E1118">
            <v>67414.740000000005</v>
          </cell>
          <cell r="Z1118" t="str">
            <v>Legacy</v>
          </cell>
          <cell r="AA1118" t="str">
            <v>$10K-$100K</v>
          </cell>
          <cell r="AB1118" t="str">
            <v>2010 or before</v>
          </cell>
        </row>
        <row r="1119">
          <cell r="E1119">
            <v>67337.38</v>
          </cell>
          <cell r="Z1119" t="str">
            <v>Legacy</v>
          </cell>
          <cell r="AA1119" t="str">
            <v>$10K-$100K</v>
          </cell>
          <cell r="AB1119" t="str">
            <v>2010 or before</v>
          </cell>
        </row>
        <row r="1120">
          <cell r="E1120">
            <v>67035.22</v>
          </cell>
          <cell r="Z1120" t="str">
            <v>Ungating</v>
          </cell>
          <cell r="AA1120" t="str">
            <v>$10K-$100K</v>
          </cell>
          <cell r="AB1120">
            <v>2012</v>
          </cell>
        </row>
        <row r="1121">
          <cell r="E1121">
            <v>66991.360000000001</v>
          </cell>
          <cell r="Z1121" t="str">
            <v>Legacy</v>
          </cell>
          <cell r="AA1121" t="str">
            <v>$10K-$100K</v>
          </cell>
          <cell r="AB1121" t="str">
            <v>2010 or before</v>
          </cell>
        </row>
        <row r="1122">
          <cell r="E1122">
            <v>66795.199999999997</v>
          </cell>
          <cell r="Z1122" t="str">
            <v>Inbound</v>
          </cell>
          <cell r="AA1122" t="str">
            <v>$10K-$100K</v>
          </cell>
          <cell r="AB1122">
            <v>2012</v>
          </cell>
        </row>
        <row r="1123">
          <cell r="E1123">
            <v>66676.3</v>
          </cell>
          <cell r="Z1123" t="str">
            <v>Legacy</v>
          </cell>
          <cell r="AA1123" t="str">
            <v>$10K-$100K</v>
          </cell>
          <cell r="AB1123" t="str">
            <v>2010 or before</v>
          </cell>
        </row>
        <row r="1124">
          <cell r="E1124">
            <v>66670.66</v>
          </cell>
          <cell r="Z1124" t="str">
            <v>Legacy</v>
          </cell>
          <cell r="AA1124" t="str">
            <v>$10K-$100K</v>
          </cell>
          <cell r="AB1124" t="str">
            <v>2010 or before</v>
          </cell>
        </row>
        <row r="1125">
          <cell r="E1125">
            <v>66628.539999999994</v>
          </cell>
          <cell r="Z1125" t="str">
            <v>Legacy</v>
          </cell>
          <cell r="AA1125" t="str">
            <v>$10K-$100K</v>
          </cell>
          <cell r="AB1125" t="str">
            <v>2010 or before</v>
          </cell>
        </row>
        <row r="1126">
          <cell r="E1126">
            <v>66586.5</v>
          </cell>
          <cell r="Z1126" t="str">
            <v>Legacy</v>
          </cell>
          <cell r="AA1126" t="str">
            <v>$10K-$100K</v>
          </cell>
          <cell r="AB1126" t="str">
            <v>2010 or before</v>
          </cell>
        </row>
        <row r="1127">
          <cell r="E1127">
            <v>66446.2</v>
          </cell>
          <cell r="Z1127" t="str">
            <v>Ungating</v>
          </cell>
          <cell r="AA1127" t="str">
            <v>$10K-$100K</v>
          </cell>
          <cell r="AB1127">
            <v>2012</v>
          </cell>
        </row>
        <row r="1128">
          <cell r="E1128">
            <v>66339.05</v>
          </cell>
          <cell r="Z1128" t="str">
            <v>Inbound</v>
          </cell>
          <cell r="AA1128" t="str">
            <v>$10K-$100K</v>
          </cell>
          <cell r="AB1128">
            <v>2012</v>
          </cell>
        </row>
        <row r="1129">
          <cell r="E1129">
            <v>66292.55</v>
          </cell>
          <cell r="Z1129" t="str">
            <v>Legacy</v>
          </cell>
          <cell r="AA1129" t="str">
            <v>$10K-$100K</v>
          </cell>
          <cell r="AB1129" t="str">
            <v>2010 or before</v>
          </cell>
        </row>
        <row r="1130">
          <cell r="E1130">
            <v>66164.3</v>
          </cell>
          <cell r="Z1130" t="str">
            <v>Legacy</v>
          </cell>
          <cell r="AA1130" t="str">
            <v>$10K-$100K</v>
          </cell>
          <cell r="AB1130" t="str">
            <v>2010 or before</v>
          </cell>
        </row>
        <row r="1131">
          <cell r="E1131">
            <v>65849.899999999994</v>
          </cell>
          <cell r="Z1131" t="str">
            <v>Inbound</v>
          </cell>
          <cell r="AA1131" t="str">
            <v>$10K-$100K</v>
          </cell>
          <cell r="AB1131">
            <v>2012</v>
          </cell>
        </row>
        <row r="1132">
          <cell r="E1132">
            <v>65810.78</v>
          </cell>
          <cell r="Z1132" t="str">
            <v>Ungating</v>
          </cell>
          <cell r="AA1132" t="str">
            <v>$10K-$100K</v>
          </cell>
          <cell r="AB1132">
            <v>2012</v>
          </cell>
        </row>
        <row r="1133">
          <cell r="E1133">
            <v>65687.92</v>
          </cell>
          <cell r="Z1133" t="str">
            <v>Ungating</v>
          </cell>
          <cell r="AA1133" t="str">
            <v>$10K-$100K</v>
          </cell>
          <cell r="AB1133">
            <v>2012</v>
          </cell>
        </row>
        <row r="1134">
          <cell r="E1134">
            <v>65687.789999999994</v>
          </cell>
          <cell r="Z1134" t="str">
            <v>Ungating</v>
          </cell>
          <cell r="AA1134" t="str">
            <v>$10K-$100K</v>
          </cell>
          <cell r="AB1134">
            <v>2012</v>
          </cell>
        </row>
        <row r="1135">
          <cell r="E1135">
            <v>65556.89</v>
          </cell>
          <cell r="Z1135" t="str">
            <v>Ungating</v>
          </cell>
          <cell r="AA1135" t="str">
            <v>$10K-$100K</v>
          </cell>
          <cell r="AB1135">
            <v>2011</v>
          </cell>
        </row>
        <row r="1136">
          <cell r="E1136">
            <v>65543.960000000006</v>
          </cell>
          <cell r="Z1136" t="str">
            <v>Inbound</v>
          </cell>
          <cell r="AA1136" t="str">
            <v>$10K-$100K</v>
          </cell>
          <cell r="AB1136">
            <v>2011</v>
          </cell>
        </row>
        <row r="1137">
          <cell r="E1137">
            <v>65472.9</v>
          </cell>
          <cell r="Z1137" t="str">
            <v>Legacy</v>
          </cell>
          <cell r="AA1137" t="str">
            <v>$10K-$100K</v>
          </cell>
          <cell r="AB1137" t="str">
            <v>2010 or before</v>
          </cell>
        </row>
        <row r="1138">
          <cell r="E1138">
            <v>65409.75</v>
          </cell>
          <cell r="Z1138" t="str">
            <v>Legacy</v>
          </cell>
          <cell r="AA1138" t="str">
            <v>$10K-$100K</v>
          </cell>
          <cell r="AB1138" t="str">
            <v>2010 or before</v>
          </cell>
        </row>
        <row r="1139">
          <cell r="E1139">
            <v>65196.88</v>
          </cell>
          <cell r="Z1139" t="str">
            <v>Outbound</v>
          </cell>
          <cell r="AA1139" t="str">
            <v>$10K-$100K</v>
          </cell>
          <cell r="AB1139">
            <v>2012</v>
          </cell>
        </row>
        <row r="1140">
          <cell r="E1140">
            <v>65156.39</v>
          </cell>
          <cell r="Z1140" t="str">
            <v>Legacy</v>
          </cell>
          <cell r="AA1140" t="str">
            <v>$10K-$100K</v>
          </cell>
          <cell r="AB1140" t="str">
            <v>2010 or before</v>
          </cell>
        </row>
        <row r="1141">
          <cell r="E1141">
            <v>65021.95</v>
          </cell>
          <cell r="Z1141" t="str">
            <v>Ungating</v>
          </cell>
          <cell r="AA1141" t="str">
            <v>$10K-$100K</v>
          </cell>
          <cell r="AB1141">
            <v>2012</v>
          </cell>
        </row>
        <row r="1142">
          <cell r="E1142">
            <v>64977.47</v>
          </cell>
          <cell r="Z1142" t="str">
            <v>Ungating</v>
          </cell>
          <cell r="AA1142" t="str">
            <v>$10K-$100K</v>
          </cell>
          <cell r="AB1142">
            <v>2012</v>
          </cell>
        </row>
        <row r="1143">
          <cell r="E1143">
            <v>64964.22</v>
          </cell>
          <cell r="Z1143" t="str">
            <v>Ungating</v>
          </cell>
          <cell r="AA1143" t="str">
            <v>$10K-$100K</v>
          </cell>
          <cell r="AB1143">
            <v>2012</v>
          </cell>
        </row>
        <row r="1144">
          <cell r="E1144">
            <v>64747.56</v>
          </cell>
          <cell r="Z1144" t="str">
            <v>Legacy</v>
          </cell>
          <cell r="AA1144" t="str">
            <v>$10K-$100K</v>
          </cell>
          <cell r="AB1144" t="str">
            <v>2010 or before</v>
          </cell>
        </row>
        <row r="1145">
          <cell r="E1145">
            <v>64633.48</v>
          </cell>
          <cell r="Z1145" t="str">
            <v>Legacy</v>
          </cell>
          <cell r="AA1145" t="str">
            <v>$10K-$100K</v>
          </cell>
          <cell r="AB1145" t="str">
            <v>2010 or before</v>
          </cell>
        </row>
        <row r="1146">
          <cell r="E1146">
            <v>64599.71</v>
          </cell>
          <cell r="Z1146" t="str">
            <v>Inbound</v>
          </cell>
          <cell r="AA1146" t="str">
            <v>$10K-$100K</v>
          </cell>
          <cell r="AB1146">
            <v>2011</v>
          </cell>
        </row>
        <row r="1147">
          <cell r="E1147">
            <v>64532.69</v>
          </cell>
          <cell r="Z1147" t="str">
            <v>Ungating</v>
          </cell>
          <cell r="AA1147" t="str">
            <v>$10K-$100K</v>
          </cell>
          <cell r="AB1147">
            <v>2011</v>
          </cell>
        </row>
        <row r="1148">
          <cell r="E1148">
            <v>64462.04</v>
          </cell>
          <cell r="Z1148" t="str">
            <v>Ungating</v>
          </cell>
          <cell r="AA1148" t="str">
            <v>$10K-$100K</v>
          </cell>
          <cell r="AB1148">
            <v>2011</v>
          </cell>
        </row>
        <row r="1149">
          <cell r="E1149">
            <v>64083.01</v>
          </cell>
          <cell r="Z1149" t="str">
            <v>Legacy</v>
          </cell>
          <cell r="AA1149" t="str">
            <v>$10K-$100K</v>
          </cell>
          <cell r="AB1149" t="str">
            <v>2010 or before</v>
          </cell>
        </row>
        <row r="1150">
          <cell r="E1150">
            <v>63969.75</v>
          </cell>
          <cell r="Z1150" t="str">
            <v>Ungating</v>
          </cell>
          <cell r="AA1150" t="str">
            <v>$10K-$100K</v>
          </cell>
          <cell r="AB1150">
            <v>2012</v>
          </cell>
        </row>
        <row r="1151">
          <cell r="E1151">
            <v>63956.27</v>
          </cell>
          <cell r="Z1151" t="str">
            <v>Inbound</v>
          </cell>
          <cell r="AA1151" t="str">
            <v>$10K-$100K</v>
          </cell>
          <cell r="AB1151">
            <v>2011</v>
          </cell>
        </row>
        <row r="1152">
          <cell r="E1152">
            <v>63700.85</v>
          </cell>
          <cell r="Z1152" t="str">
            <v>Legacy</v>
          </cell>
          <cell r="AA1152" t="str">
            <v>$10K-$100K</v>
          </cell>
          <cell r="AB1152" t="str">
            <v>2010 or before</v>
          </cell>
        </row>
        <row r="1153">
          <cell r="E1153">
            <v>63586.73</v>
          </cell>
          <cell r="Z1153" t="str">
            <v>Legacy</v>
          </cell>
          <cell r="AA1153" t="str">
            <v>$10K-$100K</v>
          </cell>
          <cell r="AB1153" t="str">
            <v>2010 or before</v>
          </cell>
        </row>
        <row r="1154">
          <cell r="E1154">
            <v>63525.39</v>
          </cell>
          <cell r="Z1154" t="str">
            <v>Inbound</v>
          </cell>
          <cell r="AA1154" t="str">
            <v>$10K-$100K</v>
          </cell>
          <cell r="AB1154">
            <v>2012</v>
          </cell>
        </row>
        <row r="1155">
          <cell r="E1155">
            <v>63418.879999999997</v>
          </cell>
          <cell r="Z1155" t="str">
            <v>Legacy</v>
          </cell>
          <cell r="AA1155" t="str">
            <v>$10K-$100K</v>
          </cell>
          <cell r="AB1155" t="str">
            <v>2010 or before</v>
          </cell>
        </row>
        <row r="1156">
          <cell r="E1156">
            <v>63416.73</v>
          </cell>
          <cell r="Z1156" t="str">
            <v>Inbound</v>
          </cell>
          <cell r="AA1156" t="str">
            <v>$10K-$100K</v>
          </cell>
          <cell r="AB1156">
            <v>2012</v>
          </cell>
        </row>
        <row r="1157">
          <cell r="E1157">
            <v>63237.760000000002</v>
          </cell>
          <cell r="Z1157" t="str">
            <v>Inbound</v>
          </cell>
          <cell r="AA1157" t="str">
            <v>$10K-$100K</v>
          </cell>
          <cell r="AB1157">
            <v>2011</v>
          </cell>
        </row>
        <row r="1158">
          <cell r="E1158">
            <v>63131.75</v>
          </cell>
          <cell r="Z1158" t="str">
            <v>Legacy</v>
          </cell>
          <cell r="AA1158" t="str">
            <v>$10K-$100K</v>
          </cell>
          <cell r="AB1158" t="str">
            <v>2010 or before</v>
          </cell>
        </row>
        <row r="1159">
          <cell r="E1159">
            <v>63086.92</v>
          </cell>
          <cell r="Z1159" t="str">
            <v>Legacy</v>
          </cell>
          <cell r="AA1159" t="str">
            <v>$10K-$100K</v>
          </cell>
          <cell r="AB1159">
            <v>2011</v>
          </cell>
        </row>
        <row r="1160">
          <cell r="E1160">
            <v>63024.18</v>
          </cell>
          <cell r="Z1160" t="str">
            <v>Global</v>
          </cell>
          <cell r="AA1160" t="str">
            <v>$10K-$100K</v>
          </cell>
          <cell r="AB1160">
            <v>2011</v>
          </cell>
        </row>
        <row r="1161">
          <cell r="E1161">
            <v>62942.239999999998</v>
          </cell>
          <cell r="Z1161" t="str">
            <v>Inbound</v>
          </cell>
          <cell r="AA1161" t="str">
            <v>$10K-$100K</v>
          </cell>
          <cell r="AB1161">
            <v>2012</v>
          </cell>
        </row>
        <row r="1162">
          <cell r="E1162">
            <v>62885.37</v>
          </cell>
          <cell r="Z1162" t="str">
            <v>Legacy</v>
          </cell>
          <cell r="AA1162" t="str">
            <v>$10K-$100K</v>
          </cell>
          <cell r="AB1162" t="str">
            <v>2010 or before</v>
          </cell>
        </row>
        <row r="1163">
          <cell r="E1163">
            <v>62746.5</v>
          </cell>
          <cell r="Z1163" t="str">
            <v>Strategic</v>
          </cell>
          <cell r="AA1163" t="str">
            <v>$10K-$100K</v>
          </cell>
          <cell r="AB1163">
            <v>2011</v>
          </cell>
        </row>
        <row r="1164">
          <cell r="E1164">
            <v>62725.94</v>
          </cell>
          <cell r="Z1164" t="str">
            <v>Legacy</v>
          </cell>
          <cell r="AA1164" t="str">
            <v>$10K-$100K</v>
          </cell>
          <cell r="AB1164" t="str">
            <v>2010 or before</v>
          </cell>
        </row>
        <row r="1165">
          <cell r="E1165">
            <v>62616.78</v>
          </cell>
          <cell r="Z1165" t="str">
            <v>Legacy</v>
          </cell>
          <cell r="AA1165" t="str">
            <v>$10K-$100K</v>
          </cell>
          <cell r="AB1165" t="str">
            <v>2010 or before</v>
          </cell>
        </row>
        <row r="1166">
          <cell r="E1166">
            <v>62447.06</v>
          </cell>
          <cell r="Z1166" t="str">
            <v>Ungating</v>
          </cell>
          <cell r="AA1166" t="str">
            <v>$10K-$100K</v>
          </cell>
          <cell r="AB1166">
            <v>2012</v>
          </cell>
        </row>
        <row r="1167">
          <cell r="E1167">
            <v>62147.14</v>
          </cell>
          <cell r="Z1167" t="str">
            <v>Ungating</v>
          </cell>
          <cell r="AA1167" t="str">
            <v>$10K-$100K</v>
          </cell>
          <cell r="AB1167">
            <v>2012</v>
          </cell>
        </row>
        <row r="1168">
          <cell r="E1168">
            <v>62122.32</v>
          </cell>
          <cell r="Z1168" t="str">
            <v>Legacy</v>
          </cell>
          <cell r="AA1168" t="str">
            <v>$10K-$100K</v>
          </cell>
          <cell r="AB1168" t="str">
            <v>2010 or before</v>
          </cell>
        </row>
        <row r="1169">
          <cell r="E1169">
            <v>61780.88</v>
          </cell>
          <cell r="Z1169" t="str">
            <v>Legacy</v>
          </cell>
          <cell r="AA1169" t="str">
            <v>$10K-$100K</v>
          </cell>
          <cell r="AB1169" t="str">
            <v>2010 or before</v>
          </cell>
        </row>
        <row r="1170">
          <cell r="E1170">
            <v>61668.91</v>
          </cell>
          <cell r="Z1170" t="str">
            <v>Legacy</v>
          </cell>
          <cell r="AA1170" t="str">
            <v>$10K-$100K</v>
          </cell>
          <cell r="AB1170" t="str">
            <v>2010 or before</v>
          </cell>
        </row>
        <row r="1171">
          <cell r="E1171">
            <v>61457.04</v>
          </cell>
          <cell r="Z1171" t="str">
            <v>Legacy</v>
          </cell>
          <cell r="AA1171" t="str">
            <v>$10K-$100K</v>
          </cell>
          <cell r="AB1171" t="str">
            <v>2010 or before</v>
          </cell>
        </row>
        <row r="1172">
          <cell r="E1172">
            <v>61376.6</v>
          </cell>
          <cell r="Z1172" t="str">
            <v>Legacy</v>
          </cell>
          <cell r="AA1172" t="str">
            <v>$10K-$100K</v>
          </cell>
          <cell r="AB1172" t="str">
            <v>2010 or before</v>
          </cell>
        </row>
        <row r="1173">
          <cell r="E1173">
            <v>61376.38</v>
          </cell>
          <cell r="Z1173" t="str">
            <v>Ungating</v>
          </cell>
          <cell r="AA1173" t="str">
            <v>$10K-$100K</v>
          </cell>
          <cell r="AB1173">
            <v>2011</v>
          </cell>
        </row>
        <row r="1174">
          <cell r="E1174">
            <v>61350.03</v>
          </cell>
          <cell r="Z1174" t="str">
            <v>Legacy</v>
          </cell>
          <cell r="AA1174" t="str">
            <v>$10K-$100K</v>
          </cell>
          <cell r="AB1174" t="str">
            <v>2010 or before</v>
          </cell>
        </row>
        <row r="1175">
          <cell r="E1175">
            <v>61330.33</v>
          </cell>
          <cell r="Z1175" t="str">
            <v>Legacy</v>
          </cell>
          <cell r="AA1175" t="str">
            <v>$10K-$100K</v>
          </cell>
          <cell r="AB1175" t="str">
            <v>2010 or before</v>
          </cell>
        </row>
        <row r="1176">
          <cell r="E1176">
            <v>61182.07</v>
          </cell>
          <cell r="Z1176" t="str">
            <v>Legacy</v>
          </cell>
          <cell r="AA1176" t="str">
            <v>$10K-$100K</v>
          </cell>
          <cell r="AB1176" t="str">
            <v>2010 or before</v>
          </cell>
        </row>
        <row r="1177">
          <cell r="E1177">
            <v>61105.69</v>
          </cell>
          <cell r="Z1177" t="str">
            <v>Ungating</v>
          </cell>
          <cell r="AA1177" t="str">
            <v>$10K-$100K</v>
          </cell>
          <cell r="AB1177">
            <v>2012</v>
          </cell>
        </row>
        <row r="1178">
          <cell r="E1178">
            <v>61104.81</v>
          </cell>
          <cell r="Z1178" t="str">
            <v>Legacy</v>
          </cell>
          <cell r="AA1178" t="str">
            <v>$10K-$100K</v>
          </cell>
          <cell r="AB1178">
            <v>2011</v>
          </cell>
        </row>
        <row r="1179">
          <cell r="E1179">
            <v>61038.43</v>
          </cell>
          <cell r="Z1179" t="str">
            <v>Legacy</v>
          </cell>
          <cell r="AA1179" t="str">
            <v>$10K-$100K</v>
          </cell>
          <cell r="AB1179" t="str">
            <v>2010 or before</v>
          </cell>
        </row>
        <row r="1180">
          <cell r="E1180">
            <v>61024.14</v>
          </cell>
          <cell r="Z1180" t="str">
            <v>Legacy</v>
          </cell>
          <cell r="AA1180" t="str">
            <v>$10K-$100K</v>
          </cell>
          <cell r="AB1180" t="str">
            <v>2010 or before</v>
          </cell>
        </row>
        <row r="1181">
          <cell r="E1181">
            <v>60959.8</v>
          </cell>
          <cell r="Z1181" t="str">
            <v>Inbound</v>
          </cell>
          <cell r="AA1181" t="str">
            <v>$10K-$100K</v>
          </cell>
          <cell r="AB1181">
            <v>2011</v>
          </cell>
        </row>
        <row r="1182">
          <cell r="E1182">
            <v>60950.76</v>
          </cell>
          <cell r="Z1182" t="str">
            <v>Legacy</v>
          </cell>
          <cell r="AA1182" t="str">
            <v>$10K-$100K</v>
          </cell>
          <cell r="AB1182" t="str">
            <v>2010 or before</v>
          </cell>
        </row>
        <row r="1183">
          <cell r="E1183">
            <v>60314.15</v>
          </cell>
          <cell r="Z1183" t="str">
            <v>Legacy</v>
          </cell>
          <cell r="AA1183" t="str">
            <v>$10K-$100K</v>
          </cell>
          <cell r="AB1183" t="str">
            <v>2010 or before</v>
          </cell>
        </row>
        <row r="1184">
          <cell r="E1184">
            <v>60273.73</v>
          </cell>
          <cell r="Z1184" t="str">
            <v>Inbound</v>
          </cell>
          <cell r="AA1184" t="str">
            <v>$10K-$100K</v>
          </cell>
          <cell r="AB1184">
            <v>2012</v>
          </cell>
        </row>
        <row r="1185">
          <cell r="E1185">
            <v>60234.91</v>
          </cell>
          <cell r="Z1185" t="str">
            <v>Legacy</v>
          </cell>
          <cell r="AA1185" t="str">
            <v>$10K-$100K</v>
          </cell>
          <cell r="AB1185" t="str">
            <v>2010 or before</v>
          </cell>
        </row>
        <row r="1186">
          <cell r="E1186">
            <v>60207.25</v>
          </cell>
          <cell r="Z1186" t="str">
            <v>Legacy</v>
          </cell>
          <cell r="AA1186" t="str">
            <v>$10K-$100K</v>
          </cell>
          <cell r="AB1186" t="str">
            <v>2010 or before</v>
          </cell>
        </row>
        <row r="1187">
          <cell r="E1187">
            <v>59789.73</v>
          </cell>
          <cell r="Z1187" t="str">
            <v>Ungating</v>
          </cell>
          <cell r="AA1187" t="str">
            <v>$10K-$100K</v>
          </cell>
          <cell r="AB1187">
            <v>2012</v>
          </cell>
        </row>
        <row r="1188">
          <cell r="E1188">
            <v>59747.17</v>
          </cell>
          <cell r="Z1188" t="str">
            <v>Legacy</v>
          </cell>
          <cell r="AA1188" t="str">
            <v>$10K-$100K</v>
          </cell>
          <cell r="AB1188" t="str">
            <v>2010 or before</v>
          </cell>
        </row>
        <row r="1189">
          <cell r="E1189">
            <v>59631.15</v>
          </cell>
          <cell r="Z1189" t="str">
            <v>Legacy</v>
          </cell>
          <cell r="AA1189" t="str">
            <v>$10K-$100K</v>
          </cell>
          <cell r="AB1189" t="str">
            <v>2010 or before</v>
          </cell>
        </row>
        <row r="1190">
          <cell r="E1190">
            <v>59373.95</v>
          </cell>
          <cell r="Z1190" t="str">
            <v>Inbound</v>
          </cell>
          <cell r="AA1190" t="str">
            <v>$10K-$100K</v>
          </cell>
          <cell r="AB1190">
            <v>2012</v>
          </cell>
        </row>
        <row r="1191">
          <cell r="E1191">
            <v>59268.93</v>
          </cell>
          <cell r="Z1191" t="str">
            <v>Legacy</v>
          </cell>
          <cell r="AA1191" t="str">
            <v>$10K-$100K</v>
          </cell>
          <cell r="AB1191">
            <v>2011</v>
          </cell>
        </row>
        <row r="1192">
          <cell r="E1192">
            <v>59173.05</v>
          </cell>
          <cell r="Z1192" t="str">
            <v>Inbound</v>
          </cell>
          <cell r="AA1192" t="str">
            <v>$10K-$100K</v>
          </cell>
          <cell r="AB1192">
            <v>2012</v>
          </cell>
        </row>
        <row r="1193">
          <cell r="E1193">
            <v>59129.4</v>
          </cell>
          <cell r="Z1193" t="str">
            <v>Legacy</v>
          </cell>
          <cell r="AA1193" t="str">
            <v>$10K-$100K</v>
          </cell>
          <cell r="AB1193" t="str">
            <v>2010 or before</v>
          </cell>
        </row>
        <row r="1194">
          <cell r="E1194">
            <v>59110.07</v>
          </cell>
          <cell r="Z1194" t="str">
            <v>Legacy</v>
          </cell>
          <cell r="AA1194" t="str">
            <v>$10K-$100K</v>
          </cell>
          <cell r="AB1194" t="str">
            <v>2010 or before</v>
          </cell>
        </row>
        <row r="1195">
          <cell r="E1195">
            <v>59010.09</v>
          </cell>
          <cell r="Z1195" t="str">
            <v>Legacy</v>
          </cell>
          <cell r="AA1195" t="str">
            <v>$10K-$100K</v>
          </cell>
          <cell r="AB1195" t="str">
            <v>2010 or before</v>
          </cell>
        </row>
        <row r="1196">
          <cell r="E1196">
            <v>58894.11</v>
          </cell>
          <cell r="Z1196" t="str">
            <v>Legacy</v>
          </cell>
          <cell r="AA1196" t="str">
            <v>$10K-$100K</v>
          </cell>
          <cell r="AB1196" t="str">
            <v>2010 or before</v>
          </cell>
        </row>
        <row r="1197">
          <cell r="E1197">
            <v>58860.11</v>
          </cell>
          <cell r="Z1197" t="str">
            <v>Legacy</v>
          </cell>
          <cell r="AA1197" t="str">
            <v>$10K-$100K</v>
          </cell>
          <cell r="AB1197" t="str">
            <v>2010 or before</v>
          </cell>
        </row>
        <row r="1198">
          <cell r="E1198">
            <v>58830.51</v>
          </cell>
          <cell r="Z1198" t="str">
            <v>Inbound</v>
          </cell>
          <cell r="AA1198" t="str">
            <v>$10K-$100K</v>
          </cell>
          <cell r="AB1198">
            <v>2012</v>
          </cell>
        </row>
        <row r="1199">
          <cell r="E1199">
            <v>58617.01</v>
          </cell>
          <cell r="Z1199" t="str">
            <v>Legacy</v>
          </cell>
          <cell r="AA1199" t="str">
            <v>$10K-$100K</v>
          </cell>
          <cell r="AB1199">
            <v>2011</v>
          </cell>
        </row>
        <row r="1200">
          <cell r="E1200">
            <v>58486.32</v>
          </cell>
          <cell r="Z1200" t="str">
            <v>Strategic</v>
          </cell>
          <cell r="AA1200" t="str">
            <v>$10K-$100K</v>
          </cell>
          <cell r="AB1200">
            <v>2012</v>
          </cell>
        </row>
        <row r="1201">
          <cell r="E1201">
            <v>58463.45</v>
          </cell>
          <cell r="Z1201" t="str">
            <v>Legacy</v>
          </cell>
          <cell r="AA1201" t="str">
            <v>$10K-$100K</v>
          </cell>
          <cell r="AB1201" t="str">
            <v>2010 or before</v>
          </cell>
        </row>
        <row r="1202">
          <cell r="E1202">
            <v>58364.53</v>
          </cell>
          <cell r="Z1202" t="str">
            <v>Ungating</v>
          </cell>
          <cell r="AA1202" t="str">
            <v>$10K-$100K</v>
          </cell>
          <cell r="AB1202">
            <v>2011</v>
          </cell>
        </row>
        <row r="1203">
          <cell r="E1203">
            <v>58047.32</v>
          </cell>
          <cell r="Z1203" t="str">
            <v>Legacy</v>
          </cell>
          <cell r="AA1203" t="str">
            <v>$10K-$100K</v>
          </cell>
          <cell r="AB1203" t="str">
            <v>2010 or before</v>
          </cell>
        </row>
        <row r="1204">
          <cell r="E1204">
            <v>58008.62</v>
          </cell>
          <cell r="Z1204" t="str">
            <v>Legacy</v>
          </cell>
          <cell r="AA1204" t="str">
            <v>$10K-$100K</v>
          </cell>
          <cell r="AB1204" t="str">
            <v>2010 or before</v>
          </cell>
        </row>
        <row r="1205">
          <cell r="E1205">
            <v>57972.42</v>
          </cell>
          <cell r="Z1205" t="str">
            <v>Legacy</v>
          </cell>
          <cell r="AA1205" t="str">
            <v>$10K-$100K</v>
          </cell>
          <cell r="AB1205" t="str">
            <v>2010 or before</v>
          </cell>
        </row>
        <row r="1206">
          <cell r="E1206">
            <v>57909.54</v>
          </cell>
          <cell r="Z1206" t="str">
            <v>Legacy</v>
          </cell>
          <cell r="AA1206" t="str">
            <v>$10K-$100K</v>
          </cell>
          <cell r="AB1206" t="str">
            <v>2010 or before</v>
          </cell>
        </row>
        <row r="1207">
          <cell r="E1207">
            <v>57856.34</v>
          </cell>
          <cell r="Z1207" t="str">
            <v>Legacy</v>
          </cell>
          <cell r="AA1207" t="str">
            <v>$10K-$100K</v>
          </cell>
          <cell r="AB1207" t="str">
            <v>2010 or before</v>
          </cell>
        </row>
        <row r="1208">
          <cell r="E1208">
            <v>57622.99</v>
          </cell>
          <cell r="Z1208" t="str">
            <v>Legacy</v>
          </cell>
          <cell r="AA1208" t="str">
            <v>$10K-$100K</v>
          </cell>
          <cell r="AB1208" t="str">
            <v>2010 or before</v>
          </cell>
        </row>
        <row r="1209">
          <cell r="E1209">
            <v>57460.72</v>
          </cell>
          <cell r="Z1209" t="str">
            <v>Legacy</v>
          </cell>
          <cell r="AA1209" t="str">
            <v>$10K-$100K</v>
          </cell>
          <cell r="AB1209" t="str">
            <v>2010 or before</v>
          </cell>
        </row>
        <row r="1210">
          <cell r="E1210">
            <v>57271.58</v>
          </cell>
          <cell r="Z1210" t="str">
            <v>Legacy</v>
          </cell>
          <cell r="AA1210" t="str">
            <v>$10K-$100K</v>
          </cell>
          <cell r="AB1210" t="str">
            <v>2010 or before</v>
          </cell>
        </row>
        <row r="1211">
          <cell r="E1211">
            <v>57232.67</v>
          </cell>
          <cell r="Z1211" t="str">
            <v>Legacy</v>
          </cell>
          <cell r="AA1211" t="str">
            <v>$10K-$100K</v>
          </cell>
          <cell r="AB1211" t="str">
            <v>2010 or before</v>
          </cell>
        </row>
        <row r="1212">
          <cell r="E1212">
            <v>57232.160000000003</v>
          </cell>
          <cell r="Z1212" t="str">
            <v>Legacy</v>
          </cell>
          <cell r="AA1212" t="str">
            <v>$10K-$100K</v>
          </cell>
          <cell r="AB1212" t="str">
            <v>2010 or before</v>
          </cell>
        </row>
        <row r="1213">
          <cell r="E1213">
            <v>57154.239999999998</v>
          </cell>
          <cell r="Z1213" t="str">
            <v>Ungating</v>
          </cell>
          <cell r="AA1213" t="str">
            <v>$10K-$100K</v>
          </cell>
          <cell r="AB1213">
            <v>2012</v>
          </cell>
        </row>
        <row r="1214">
          <cell r="E1214">
            <v>57093</v>
          </cell>
          <cell r="Z1214" t="str">
            <v>Legacy</v>
          </cell>
          <cell r="AA1214" t="str">
            <v>$10K-$100K</v>
          </cell>
          <cell r="AB1214" t="str">
            <v>2010 or before</v>
          </cell>
        </row>
        <row r="1215">
          <cell r="E1215">
            <v>56916.98</v>
          </cell>
          <cell r="Z1215" t="str">
            <v>Outbound</v>
          </cell>
          <cell r="AA1215" t="str">
            <v>$10K-$100K</v>
          </cell>
          <cell r="AB1215">
            <v>2011</v>
          </cell>
        </row>
        <row r="1216">
          <cell r="E1216">
            <v>56619</v>
          </cell>
          <cell r="Z1216" t="str">
            <v>Strategic</v>
          </cell>
          <cell r="AA1216" t="str">
            <v>$10K-$100K</v>
          </cell>
          <cell r="AB1216">
            <v>2012</v>
          </cell>
        </row>
        <row r="1217">
          <cell r="E1217">
            <v>56592.94</v>
          </cell>
          <cell r="Z1217" t="str">
            <v>Legacy</v>
          </cell>
          <cell r="AA1217" t="str">
            <v>$10K-$100K</v>
          </cell>
          <cell r="AB1217" t="str">
            <v>2010 or before</v>
          </cell>
        </row>
        <row r="1218">
          <cell r="E1218">
            <v>56454.65</v>
          </cell>
          <cell r="Z1218" t="str">
            <v>Legacy</v>
          </cell>
          <cell r="AA1218" t="str">
            <v>$10K-$100K</v>
          </cell>
          <cell r="AB1218" t="str">
            <v>2010 or before</v>
          </cell>
        </row>
        <row r="1219">
          <cell r="E1219">
            <v>56381.49</v>
          </cell>
          <cell r="Z1219" t="str">
            <v>Legacy</v>
          </cell>
          <cell r="AA1219" t="str">
            <v>$10K-$100K</v>
          </cell>
          <cell r="AB1219" t="str">
            <v>2010 or before</v>
          </cell>
        </row>
        <row r="1220">
          <cell r="E1220">
            <v>56263.6</v>
          </cell>
          <cell r="Z1220" t="str">
            <v>Legacy</v>
          </cell>
          <cell r="AA1220" t="str">
            <v>$10K-$100K</v>
          </cell>
          <cell r="AB1220" t="str">
            <v>2010 or before</v>
          </cell>
        </row>
        <row r="1221">
          <cell r="E1221">
            <v>55992.84</v>
          </cell>
          <cell r="Z1221" t="str">
            <v>Legacy</v>
          </cell>
          <cell r="AA1221" t="str">
            <v>$10K-$100K</v>
          </cell>
          <cell r="AB1221">
            <v>2011</v>
          </cell>
        </row>
        <row r="1222">
          <cell r="E1222">
            <v>55780.15</v>
          </cell>
          <cell r="Z1222" t="str">
            <v>Legacy</v>
          </cell>
          <cell r="AA1222" t="str">
            <v>$10K-$100K</v>
          </cell>
          <cell r="AB1222">
            <v>2011</v>
          </cell>
        </row>
        <row r="1223">
          <cell r="E1223">
            <v>55764.38</v>
          </cell>
          <cell r="Z1223" t="str">
            <v>Ungating</v>
          </cell>
          <cell r="AA1223" t="str">
            <v>$10K-$100K</v>
          </cell>
          <cell r="AB1223">
            <v>2012</v>
          </cell>
        </row>
        <row r="1224">
          <cell r="E1224">
            <v>55744.800000000003</v>
          </cell>
          <cell r="Z1224" t="str">
            <v>Ungating</v>
          </cell>
          <cell r="AA1224" t="str">
            <v>$10K-$100K</v>
          </cell>
          <cell r="AB1224">
            <v>2012</v>
          </cell>
        </row>
        <row r="1225">
          <cell r="E1225">
            <v>55712.480000000003</v>
          </cell>
          <cell r="Z1225" t="str">
            <v>Ungating</v>
          </cell>
          <cell r="AA1225" t="str">
            <v>$10K-$100K</v>
          </cell>
          <cell r="AB1225">
            <v>2012</v>
          </cell>
        </row>
        <row r="1226">
          <cell r="E1226">
            <v>55675.87</v>
          </cell>
          <cell r="Z1226" t="str">
            <v>Legacy</v>
          </cell>
          <cell r="AA1226" t="str">
            <v>$10K-$100K</v>
          </cell>
          <cell r="AB1226" t="str">
            <v>2010 or before</v>
          </cell>
        </row>
        <row r="1227">
          <cell r="E1227">
            <v>55532.79</v>
          </cell>
          <cell r="Z1227" t="str">
            <v>Global</v>
          </cell>
          <cell r="AA1227" t="str">
            <v>$10K-$100K</v>
          </cell>
          <cell r="AB1227">
            <v>2012</v>
          </cell>
        </row>
        <row r="1228">
          <cell r="E1228">
            <v>55507.03</v>
          </cell>
          <cell r="Z1228" t="str">
            <v>Inbound</v>
          </cell>
          <cell r="AA1228" t="str">
            <v>$10K-$100K</v>
          </cell>
          <cell r="AB1228">
            <v>2012</v>
          </cell>
        </row>
        <row r="1229">
          <cell r="E1229">
            <v>55139.72</v>
          </cell>
          <cell r="Z1229" t="str">
            <v>Legacy</v>
          </cell>
          <cell r="AA1229" t="str">
            <v>$10K-$100K</v>
          </cell>
          <cell r="AB1229" t="str">
            <v>2010 or before</v>
          </cell>
        </row>
        <row r="1230">
          <cell r="E1230">
            <v>55139.17</v>
          </cell>
          <cell r="Z1230" t="str">
            <v>Legacy</v>
          </cell>
          <cell r="AA1230" t="str">
            <v>$10K-$100K</v>
          </cell>
          <cell r="AB1230" t="str">
            <v>2010 or before</v>
          </cell>
        </row>
        <row r="1231">
          <cell r="E1231">
            <v>55074.63</v>
          </cell>
          <cell r="Z1231" t="str">
            <v>Legacy</v>
          </cell>
          <cell r="AA1231" t="str">
            <v>$10K-$100K</v>
          </cell>
          <cell r="AB1231" t="str">
            <v>2010 or before</v>
          </cell>
        </row>
        <row r="1232">
          <cell r="E1232">
            <v>55021.440000000002</v>
          </cell>
          <cell r="Z1232" t="str">
            <v>Legacy</v>
          </cell>
          <cell r="AA1232" t="str">
            <v>$10K-$100K</v>
          </cell>
          <cell r="AB1232" t="str">
            <v>2010 or before</v>
          </cell>
        </row>
        <row r="1233">
          <cell r="E1233">
            <v>54980.99</v>
          </cell>
          <cell r="Z1233" t="str">
            <v>Legacy</v>
          </cell>
          <cell r="AA1233" t="str">
            <v>$10K-$100K</v>
          </cell>
          <cell r="AB1233" t="str">
            <v>2010 or before</v>
          </cell>
        </row>
        <row r="1234">
          <cell r="E1234">
            <v>54937.93</v>
          </cell>
          <cell r="Z1234" t="str">
            <v>Legacy</v>
          </cell>
          <cell r="AA1234" t="str">
            <v>$10K-$100K</v>
          </cell>
          <cell r="AB1234" t="str">
            <v>2010 or before</v>
          </cell>
        </row>
        <row r="1235">
          <cell r="E1235">
            <v>54921.68</v>
          </cell>
          <cell r="Z1235" t="str">
            <v>Ungating</v>
          </cell>
          <cell r="AA1235" t="str">
            <v>$10K-$100K</v>
          </cell>
          <cell r="AB1235">
            <v>2012</v>
          </cell>
        </row>
        <row r="1236">
          <cell r="E1236">
            <v>54911.38</v>
          </cell>
          <cell r="Z1236" t="str">
            <v>Ungating</v>
          </cell>
          <cell r="AA1236" t="str">
            <v>$10K-$100K</v>
          </cell>
          <cell r="AB1236">
            <v>2011</v>
          </cell>
        </row>
        <row r="1237">
          <cell r="E1237">
            <v>54850.23</v>
          </cell>
          <cell r="Z1237" t="str">
            <v>Legacy</v>
          </cell>
          <cell r="AA1237" t="str">
            <v>$10K-$100K</v>
          </cell>
          <cell r="AB1237" t="str">
            <v>2010 or before</v>
          </cell>
        </row>
        <row r="1238">
          <cell r="E1238">
            <v>54818.42</v>
          </cell>
          <cell r="Z1238" t="str">
            <v>Legacy</v>
          </cell>
          <cell r="AA1238" t="str">
            <v>$10K-$100K</v>
          </cell>
          <cell r="AB1238" t="str">
            <v>2010 or before</v>
          </cell>
        </row>
        <row r="1239">
          <cell r="E1239">
            <v>54813.66</v>
          </cell>
          <cell r="Z1239" t="str">
            <v>Legacy</v>
          </cell>
          <cell r="AA1239" t="str">
            <v>$10K-$100K</v>
          </cell>
          <cell r="AB1239">
            <v>2011</v>
          </cell>
        </row>
        <row r="1240">
          <cell r="E1240">
            <v>54730.49</v>
          </cell>
          <cell r="Z1240" t="str">
            <v>Ungating</v>
          </cell>
          <cell r="AA1240" t="str">
            <v>$10K-$100K</v>
          </cell>
          <cell r="AB1240">
            <v>2012</v>
          </cell>
        </row>
        <row r="1241">
          <cell r="E1241">
            <v>54503.62</v>
          </cell>
          <cell r="Z1241" t="str">
            <v>Legacy</v>
          </cell>
          <cell r="AA1241" t="str">
            <v>$10K-$100K</v>
          </cell>
          <cell r="AB1241" t="str">
            <v>2010 or before</v>
          </cell>
        </row>
        <row r="1242">
          <cell r="E1242">
            <v>54349.11</v>
          </cell>
          <cell r="Z1242" t="str">
            <v>Legacy</v>
          </cell>
          <cell r="AA1242" t="str">
            <v>$10K-$100K</v>
          </cell>
          <cell r="AB1242">
            <v>2011</v>
          </cell>
        </row>
        <row r="1243">
          <cell r="E1243">
            <v>53980.92</v>
          </cell>
          <cell r="Z1243" t="str">
            <v>Legacy</v>
          </cell>
          <cell r="AA1243" t="str">
            <v>$10K-$100K</v>
          </cell>
          <cell r="AB1243" t="str">
            <v>2010 or before</v>
          </cell>
        </row>
        <row r="1244">
          <cell r="E1244">
            <v>53964.639999999999</v>
          </cell>
          <cell r="Z1244" t="str">
            <v>Global</v>
          </cell>
          <cell r="AA1244" t="str">
            <v>$10K-$100K</v>
          </cell>
          <cell r="AB1244">
            <v>2012</v>
          </cell>
        </row>
        <row r="1245">
          <cell r="E1245">
            <v>53882.84</v>
          </cell>
          <cell r="Z1245" t="str">
            <v>Legacy</v>
          </cell>
          <cell r="AA1245" t="str">
            <v>$10K-$100K</v>
          </cell>
          <cell r="AB1245" t="str">
            <v>2010 or before</v>
          </cell>
        </row>
        <row r="1246">
          <cell r="E1246">
            <v>53328.53</v>
          </cell>
          <cell r="Z1246" t="str">
            <v>Legacy</v>
          </cell>
          <cell r="AA1246" t="str">
            <v>$10K-$100K</v>
          </cell>
          <cell r="AB1246" t="str">
            <v>2010 or before</v>
          </cell>
        </row>
        <row r="1247">
          <cell r="E1247">
            <v>53194.94</v>
          </cell>
          <cell r="Z1247" t="str">
            <v>Legacy</v>
          </cell>
          <cell r="AA1247" t="str">
            <v>$10K-$100K</v>
          </cell>
          <cell r="AB1247" t="str">
            <v>2010 or before</v>
          </cell>
        </row>
        <row r="1248">
          <cell r="E1248">
            <v>53150.52</v>
          </cell>
          <cell r="Z1248" t="str">
            <v>Legacy</v>
          </cell>
          <cell r="AA1248" t="str">
            <v>$10K-$100K</v>
          </cell>
          <cell r="AB1248" t="str">
            <v>2010 or before</v>
          </cell>
        </row>
        <row r="1249">
          <cell r="E1249">
            <v>53123.29</v>
          </cell>
          <cell r="Z1249" t="str">
            <v>Legacy</v>
          </cell>
          <cell r="AA1249" t="str">
            <v>$10K-$100K</v>
          </cell>
          <cell r="AB1249" t="str">
            <v>2010 or before</v>
          </cell>
        </row>
        <row r="1250">
          <cell r="E1250">
            <v>53036.2</v>
          </cell>
          <cell r="Z1250" t="str">
            <v>Legacy</v>
          </cell>
          <cell r="AA1250" t="str">
            <v>$10K-$100K</v>
          </cell>
          <cell r="AB1250" t="str">
            <v>2010 or before</v>
          </cell>
        </row>
        <row r="1251">
          <cell r="E1251">
            <v>52814.04</v>
          </cell>
          <cell r="Z1251" t="str">
            <v>Inbound</v>
          </cell>
          <cell r="AA1251" t="str">
            <v>$10K-$100K</v>
          </cell>
          <cell r="AB1251">
            <v>2012</v>
          </cell>
        </row>
        <row r="1252">
          <cell r="E1252">
            <v>52748</v>
          </cell>
          <cell r="Z1252" t="str">
            <v>Legacy</v>
          </cell>
          <cell r="AA1252" t="str">
            <v>$10K-$100K</v>
          </cell>
          <cell r="AB1252" t="str">
            <v>2010 or before</v>
          </cell>
        </row>
        <row r="1253">
          <cell r="E1253">
            <v>52606.89</v>
          </cell>
          <cell r="Z1253" t="str">
            <v>Legacy</v>
          </cell>
          <cell r="AA1253" t="str">
            <v>$10K-$100K</v>
          </cell>
          <cell r="AB1253" t="str">
            <v>2010 or before</v>
          </cell>
        </row>
        <row r="1254">
          <cell r="E1254">
            <v>52566.33</v>
          </cell>
          <cell r="Z1254" t="str">
            <v>Legacy</v>
          </cell>
          <cell r="AA1254" t="str">
            <v>$10K-$100K</v>
          </cell>
          <cell r="AB1254" t="str">
            <v>2010 or before</v>
          </cell>
        </row>
        <row r="1255">
          <cell r="E1255">
            <v>52555.03</v>
          </cell>
          <cell r="Z1255" t="str">
            <v>Ungating</v>
          </cell>
          <cell r="AA1255" t="str">
            <v>$10K-$100K</v>
          </cell>
          <cell r="AB1255">
            <v>2012</v>
          </cell>
        </row>
        <row r="1256">
          <cell r="E1256">
            <v>52516.57</v>
          </cell>
          <cell r="Z1256" t="str">
            <v>Outbound</v>
          </cell>
          <cell r="AA1256" t="str">
            <v>$10K-$100K</v>
          </cell>
          <cell r="AB1256">
            <v>2011</v>
          </cell>
        </row>
        <row r="1257">
          <cell r="E1257">
            <v>52483.06</v>
          </cell>
          <cell r="Z1257" t="str">
            <v>Legacy</v>
          </cell>
          <cell r="AA1257" t="str">
            <v>$10K-$100K</v>
          </cell>
          <cell r="AB1257" t="str">
            <v>2010 or before</v>
          </cell>
        </row>
        <row r="1258">
          <cell r="E1258">
            <v>52465.9</v>
          </cell>
          <cell r="Z1258" t="str">
            <v>Global</v>
          </cell>
          <cell r="AA1258" t="str">
            <v>$10K-$100K</v>
          </cell>
          <cell r="AB1258">
            <v>2012</v>
          </cell>
        </row>
        <row r="1259">
          <cell r="E1259">
            <v>52433.35</v>
          </cell>
          <cell r="Z1259" t="str">
            <v>Inbound</v>
          </cell>
          <cell r="AA1259" t="str">
            <v>$10K-$100K</v>
          </cell>
          <cell r="AB1259">
            <v>2012</v>
          </cell>
        </row>
        <row r="1260">
          <cell r="E1260">
            <v>52379.7</v>
          </cell>
          <cell r="Z1260" t="str">
            <v>Legacy</v>
          </cell>
          <cell r="AA1260" t="str">
            <v>$10K-$100K</v>
          </cell>
          <cell r="AB1260" t="str">
            <v>2010 or before</v>
          </cell>
        </row>
        <row r="1261">
          <cell r="E1261">
            <v>52358.62</v>
          </cell>
          <cell r="Z1261" t="str">
            <v>Legacy</v>
          </cell>
          <cell r="AA1261" t="str">
            <v>$10K-$100K</v>
          </cell>
          <cell r="AB1261" t="str">
            <v>2010 or before</v>
          </cell>
        </row>
        <row r="1262">
          <cell r="E1262">
            <v>52270.39</v>
          </cell>
          <cell r="Z1262" t="str">
            <v>Legacy</v>
          </cell>
          <cell r="AA1262" t="str">
            <v>$10K-$100K</v>
          </cell>
          <cell r="AB1262" t="str">
            <v>2010 or before</v>
          </cell>
        </row>
        <row r="1263">
          <cell r="E1263">
            <v>52192.81</v>
          </cell>
          <cell r="Z1263" t="str">
            <v>Legacy</v>
          </cell>
          <cell r="AA1263" t="str">
            <v>$10K-$100K</v>
          </cell>
          <cell r="AB1263">
            <v>2011</v>
          </cell>
        </row>
        <row r="1264">
          <cell r="E1264">
            <v>52004.54</v>
          </cell>
          <cell r="Z1264" t="str">
            <v>Ungating</v>
          </cell>
          <cell r="AA1264" t="str">
            <v>$10K-$100K</v>
          </cell>
          <cell r="AB1264">
            <v>2011</v>
          </cell>
        </row>
        <row r="1265">
          <cell r="E1265">
            <v>51992.639999999999</v>
          </cell>
          <cell r="Z1265" t="str">
            <v>Legacy</v>
          </cell>
          <cell r="AA1265" t="str">
            <v>$10K-$100K</v>
          </cell>
          <cell r="AB1265" t="str">
            <v>2010 or before</v>
          </cell>
        </row>
        <row r="1266">
          <cell r="E1266">
            <v>51886.84</v>
          </cell>
          <cell r="Z1266" t="str">
            <v>Legacy</v>
          </cell>
          <cell r="AA1266" t="str">
            <v>$10K-$100K</v>
          </cell>
          <cell r="AB1266" t="str">
            <v>2010 or before</v>
          </cell>
        </row>
        <row r="1267">
          <cell r="E1267">
            <v>51761.18</v>
          </cell>
          <cell r="Z1267" t="str">
            <v>Legacy</v>
          </cell>
          <cell r="AA1267" t="str">
            <v>$10K-$100K</v>
          </cell>
          <cell r="AB1267" t="str">
            <v>2010 or before</v>
          </cell>
        </row>
        <row r="1268">
          <cell r="E1268">
            <v>51485.27</v>
          </cell>
          <cell r="Z1268" t="str">
            <v>Legacy</v>
          </cell>
          <cell r="AA1268" t="str">
            <v>$10K-$100K</v>
          </cell>
          <cell r="AB1268" t="str">
            <v>2010 or before</v>
          </cell>
        </row>
        <row r="1269">
          <cell r="E1269">
            <v>51410.720000000001</v>
          </cell>
          <cell r="Z1269" t="str">
            <v>Ungating</v>
          </cell>
          <cell r="AA1269" t="str">
            <v>$10K-$100K</v>
          </cell>
          <cell r="AB1269">
            <v>2011</v>
          </cell>
        </row>
        <row r="1270">
          <cell r="E1270">
            <v>51402.73</v>
          </cell>
          <cell r="Z1270" t="str">
            <v>Legacy</v>
          </cell>
          <cell r="AA1270" t="str">
            <v>$10K-$100K</v>
          </cell>
          <cell r="AB1270" t="str">
            <v>2010 or before</v>
          </cell>
        </row>
        <row r="1271">
          <cell r="E1271">
            <v>51345.18</v>
          </cell>
          <cell r="Z1271" t="str">
            <v>Legacy</v>
          </cell>
          <cell r="AA1271" t="str">
            <v>$10K-$100K</v>
          </cell>
          <cell r="AB1271" t="str">
            <v>2010 or before</v>
          </cell>
        </row>
        <row r="1272">
          <cell r="E1272">
            <v>51290.06</v>
          </cell>
          <cell r="Z1272" t="str">
            <v>Legacy</v>
          </cell>
          <cell r="AA1272" t="str">
            <v>$10K-$100K</v>
          </cell>
          <cell r="AB1272" t="str">
            <v>2010 or before</v>
          </cell>
        </row>
        <row r="1273">
          <cell r="E1273">
            <v>51162.14</v>
          </cell>
          <cell r="Z1273" t="str">
            <v>Ungating</v>
          </cell>
          <cell r="AA1273" t="str">
            <v>$10K-$100K</v>
          </cell>
          <cell r="AB1273">
            <v>2012</v>
          </cell>
        </row>
        <row r="1274">
          <cell r="E1274">
            <v>51134.37</v>
          </cell>
          <cell r="Z1274" t="str">
            <v>Ungating</v>
          </cell>
          <cell r="AA1274" t="str">
            <v>$10K-$100K</v>
          </cell>
          <cell r="AB1274">
            <v>2011</v>
          </cell>
        </row>
        <row r="1275">
          <cell r="E1275">
            <v>50992.39</v>
          </cell>
          <cell r="Z1275" t="str">
            <v>Legacy</v>
          </cell>
          <cell r="AA1275" t="str">
            <v>$10K-$100K</v>
          </cell>
          <cell r="AB1275">
            <v>2011</v>
          </cell>
        </row>
        <row r="1276">
          <cell r="E1276">
            <v>50947.01</v>
          </cell>
          <cell r="Z1276" t="str">
            <v>Legacy</v>
          </cell>
          <cell r="AA1276" t="str">
            <v>$10K-$100K</v>
          </cell>
          <cell r="AB1276" t="str">
            <v>2010 or before</v>
          </cell>
        </row>
        <row r="1277">
          <cell r="E1277">
            <v>50941.09</v>
          </cell>
          <cell r="Z1277" t="str">
            <v>Legacy</v>
          </cell>
          <cell r="AA1277" t="str">
            <v>$10K-$100K</v>
          </cell>
          <cell r="AB1277" t="str">
            <v>2010 or before</v>
          </cell>
        </row>
        <row r="1278">
          <cell r="E1278">
            <v>50922.81</v>
          </cell>
          <cell r="Z1278" t="str">
            <v>Ungating</v>
          </cell>
          <cell r="AA1278" t="str">
            <v>$10K-$100K</v>
          </cell>
          <cell r="AB1278">
            <v>2012</v>
          </cell>
        </row>
        <row r="1279">
          <cell r="E1279">
            <v>50903.14</v>
          </cell>
          <cell r="Z1279" t="str">
            <v>Legacy</v>
          </cell>
          <cell r="AA1279" t="str">
            <v>$10K-$100K</v>
          </cell>
          <cell r="AB1279" t="str">
            <v>2010 or before</v>
          </cell>
        </row>
        <row r="1280">
          <cell r="E1280">
            <v>50829.78</v>
          </cell>
          <cell r="Z1280" t="str">
            <v>Inbound</v>
          </cell>
          <cell r="AA1280" t="str">
            <v>$10K-$100K</v>
          </cell>
          <cell r="AB1280">
            <v>2012</v>
          </cell>
        </row>
        <row r="1281">
          <cell r="E1281">
            <v>50811.18</v>
          </cell>
          <cell r="Z1281" t="str">
            <v>Legacy</v>
          </cell>
          <cell r="AA1281" t="str">
            <v>$10K-$100K</v>
          </cell>
          <cell r="AB1281" t="str">
            <v>2010 or before</v>
          </cell>
        </row>
        <row r="1282">
          <cell r="E1282">
            <v>50781.36</v>
          </cell>
          <cell r="Z1282" t="str">
            <v>Ungating</v>
          </cell>
          <cell r="AA1282" t="str">
            <v>$10K-$100K</v>
          </cell>
          <cell r="AB1282">
            <v>2012</v>
          </cell>
        </row>
        <row r="1283">
          <cell r="E1283">
            <v>50654.02</v>
          </cell>
          <cell r="Z1283" t="str">
            <v>Legacy</v>
          </cell>
          <cell r="AA1283" t="str">
            <v>$10K-$100K</v>
          </cell>
          <cell r="AB1283">
            <v>2011</v>
          </cell>
        </row>
        <row r="1284">
          <cell r="E1284">
            <v>50549.46</v>
          </cell>
          <cell r="Z1284" t="str">
            <v>Inbound</v>
          </cell>
          <cell r="AA1284" t="str">
            <v>$10K-$100K</v>
          </cell>
          <cell r="AB1284">
            <v>2011</v>
          </cell>
        </row>
        <row r="1285">
          <cell r="E1285">
            <v>50466.28</v>
          </cell>
          <cell r="Z1285" t="str">
            <v>Legacy</v>
          </cell>
          <cell r="AA1285" t="str">
            <v>$10K-$100K</v>
          </cell>
          <cell r="AB1285" t="str">
            <v>2010 or before</v>
          </cell>
        </row>
        <row r="1286">
          <cell r="E1286">
            <v>50244.55</v>
          </cell>
          <cell r="Z1286" t="str">
            <v>Legacy</v>
          </cell>
          <cell r="AA1286" t="str">
            <v>$10K-$100K</v>
          </cell>
          <cell r="AB1286" t="str">
            <v>2010 or before</v>
          </cell>
        </row>
        <row r="1287">
          <cell r="E1287">
            <v>50222.96</v>
          </cell>
          <cell r="Z1287" t="str">
            <v>Legacy</v>
          </cell>
          <cell r="AA1287" t="str">
            <v>$10K-$100K</v>
          </cell>
          <cell r="AB1287" t="str">
            <v>2010 or before</v>
          </cell>
        </row>
        <row r="1288">
          <cell r="E1288">
            <v>50205.120000000003</v>
          </cell>
          <cell r="Z1288" t="str">
            <v>Inbound</v>
          </cell>
          <cell r="AA1288" t="str">
            <v>$10K-$100K</v>
          </cell>
          <cell r="AB1288">
            <v>2012</v>
          </cell>
        </row>
        <row r="1289">
          <cell r="E1289">
            <v>50202.22</v>
          </cell>
          <cell r="Z1289" t="str">
            <v>Legacy</v>
          </cell>
          <cell r="AA1289" t="str">
            <v>$10K-$100K</v>
          </cell>
          <cell r="AB1289" t="str">
            <v>2010 or before</v>
          </cell>
        </row>
        <row r="1290">
          <cell r="E1290">
            <v>50141</v>
          </cell>
          <cell r="Z1290" t="str">
            <v>Inbound</v>
          </cell>
          <cell r="AA1290" t="str">
            <v>$10K-$100K</v>
          </cell>
          <cell r="AB1290">
            <v>2011</v>
          </cell>
        </row>
        <row r="1291">
          <cell r="E1291">
            <v>50007.839999999997</v>
          </cell>
          <cell r="Z1291" t="str">
            <v>Legacy</v>
          </cell>
          <cell r="AA1291" t="str">
            <v>$10K-$100K</v>
          </cell>
          <cell r="AB1291" t="str">
            <v>2010 or before</v>
          </cell>
        </row>
        <row r="1292">
          <cell r="E1292">
            <v>49849.53</v>
          </cell>
          <cell r="Z1292" t="str">
            <v>Inbound</v>
          </cell>
          <cell r="AA1292" t="str">
            <v>$10K-$100K</v>
          </cell>
          <cell r="AB1292">
            <v>2011</v>
          </cell>
        </row>
        <row r="1293">
          <cell r="E1293">
            <v>49780.7</v>
          </cell>
          <cell r="Z1293" t="str">
            <v>Inbound</v>
          </cell>
          <cell r="AA1293" t="str">
            <v>$10K-$100K</v>
          </cell>
          <cell r="AB1293">
            <v>2012</v>
          </cell>
        </row>
        <row r="1294">
          <cell r="E1294">
            <v>49527.29</v>
          </cell>
          <cell r="Z1294" t="str">
            <v>Ungating</v>
          </cell>
          <cell r="AA1294" t="str">
            <v>$10K-$100K</v>
          </cell>
          <cell r="AB1294">
            <v>2011</v>
          </cell>
        </row>
        <row r="1295">
          <cell r="E1295">
            <v>49514.46</v>
          </cell>
          <cell r="Z1295" t="str">
            <v>Legacy</v>
          </cell>
          <cell r="AA1295" t="str">
            <v>$10K-$100K</v>
          </cell>
          <cell r="AB1295" t="str">
            <v>2010 or before</v>
          </cell>
        </row>
        <row r="1296">
          <cell r="E1296">
            <v>49445.06</v>
          </cell>
          <cell r="Z1296" t="str">
            <v>Legacy</v>
          </cell>
          <cell r="AA1296" t="str">
            <v>$10K-$100K</v>
          </cell>
          <cell r="AB1296" t="str">
            <v>2010 or before</v>
          </cell>
        </row>
        <row r="1297">
          <cell r="E1297">
            <v>49363.6</v>
          </cell>
          <cell r="Z1297" t="str">
            <v>Legacy</v>
          </cell>
          <cell r="AA1297" t="str">
            <v>$10K-$100K</v>
          </cell>
          <cell r="AB1297" t="str">
            <v>2010 or before</v>
          </cell>
        </row>
        <row r="1298">
          <cell r="E1298">
            <v>49162</v>
          </cell>
          <cell r="Z1298" t="str">
            <v>Legacy</v>
          </cell>
          <cell r="AA1298" t="str">
            <v>$10K-$100K</v>
          </cell>
          <cell r="AB1298" t="str">
            <v>2010 or before</v>
          </cell>
        </row>
        <row r="1299">
          <cell r="E1299">
            <v>49019.38</v>
          </cell>
          <cell r="Z1299" t="str">
            <v>Global</v>
          </cell>
          <cell r="AA1299" t="str">
            <v>$10K-$100K</v>
          </cell>
          <cell r="AB1299">
            <v>2012</v>
          </cell>
        </row>
        <row r="1300">
          <cell r="E1300">
            <v>48974.59</v>
          </cell>
          <cell r="Z1300" t="str">
            <v>Legacy</v>
          </cell>
          <cell r="AA1300" t="str">
            <v>$10K-$100K</v>
          </cell>
          <cell r="AB1300" t="str">
            <v>2010 or before</v>
          </cell>
        </row>
        <row r="1301">
          <cell r="E1301">
            <v>48973.43</v>
          </cell>
          <cell r="Z1301" t="str">
            <v>Legacy</v>
          </cell>
          <cell r="AA1301" t="str">
            <v>$10K-$100K</v>
          </cell>
          <cell r="AB1301">
            <v>2012</v>
          </cell>
        </row>
        <row r="1302">
          <cell r="E1302">
            <v>48958.23</v>
          </cell>
          <cell r="Z1302" t="str">
            <v>Inbound</v>
          </cell>
          <cell r="AA1302" t="str">
            <v>$10K-$100K</v>
          </cell>
          <cell r="AB1302">
            <v>2012</v>
          </cell>
        </row>
        <row r="1303">
          <cell r="E1303">
            <v>48902.48</v>
          </cell>
          <cell r="Z1303" t="str">
            <v>Legacy</v>
          </cell>
          <cell r="AA1303" t="str">
            <v>$10K-$100K</v>
          </cell>
          <cell r="AB1303" t="str">
            <v>2010 or before</v>
          </cell>
        </row>
        <row r="1304">
          <cell r="E1304">
            <v>48879.12</v>
          </cell>
          <cell r="Z1304" t="str">
            <v>Legacy</v>
          </cell>
          <cell r="AA1304" t="str">
            <v>$10K-$100K</v>
          </cell>
          <cell r="AB1304" t="str">
            <v>2010 or before</v>
          </cell>
        </row>
        <row r="1305">
          <cell r="E1305">
            <v>48828.97</v>
          </cell>
          <cell r="Z1305" t="str">
            <v>Legacy</v>
          </cell>
          <cell r="AA1305" t="str">
            <v>$10K-$100K</v>
          </cell>
          <cell r="AB1305" t="str">
            <v>2010 or before</v>
          </cell>
        </row>
        <row r="1306">
          <cell r="E1306">
            <v>48644.480000000003</v>
          </cell>
          <cell r="Z1306" t="str">
            <v>Global</v>
          </cell>
          <cell r="AA1306" t="str">
            <v>$10K-$100K</v>
          </cell>
          <cell r="AB1306">
            <v>2012</v>
          </cell>
        </row>
        <row r="1307">
          <cell r="E1307">
            <v>48640.1</v>
          </cell>
          <cell r="Z1307" t="str">
            <v>Legacy</v>
          </cell>
          <cell r="AA1307" t="str">
            <v>$10K-$100K</v>
          </cell>
          <cell r="AB1307" t="str">
            <v>2010 or before</v>
          </cell>
        </row>
        <row r="1308">
          <cell r="E1308">
            <v>48619.22</v>
          </cell>
          <cell r="Z1308" t="str">
            <v>Ungating</v>
          </cell>
          <cell r="AA1308" t="str">
            <v>$10K-$100K</v>
          </cell>
          <cell r="AB1308">
            <v>2012</v>
          </cell>
        </row>
        <row r="1309">
          <cell r="E1309">
            <v>48470.44</v>
          </cell>
          <cell r="Z1309" t="str">
            <v>Inbound</v>
          </cell>
          <cell r="AA1309" t="str">
            <v>$10K-$100K</v>
          </cell>
          <cell r="AB1309">
            <v>2011</v>
          </cell>
        </row>
        <row r="1310">
          <cell r="E1310">
            <v>48431.46</v>
          </cell>
          <cell r="Z1310" t="str">
            <v>Ungating</v>
          </cell>
          <cell r="AA1310" t="str">
            <v>$10K-$100K</v>
          </cell>
          <cell r="AB1310">
            <v>2012</v>
          </cell>
        </row>
        <row r="1311">
          <cell r="E1311">
            <v>48306.06</v>
          </cell>
          <cell r="Z1311" t="str">
            <v>Inbound</v>
          </cell>
          <cell r="AA1311" t="str">
            <v>$10K-$100K</v>
          </cell>
          <cell r="AB1311">
            <v>2012</v>
          </cell>
        </row>
        <row r="1312">
          <cell r="E1312">
            <v>48287.97</v>
          </cell>
          <cell r="Z1312" t="str">
            <v>Legacy</v>
          </cell>
          <cell r="AA1312" t="str">
            <v>$10K-$100K</v>
          </cell>
          <cell r="AB1312" t="str">
            <v>2010 or before</v>
          </cell>
        </row>
        <row r="1313">
          <cell r="E1313">
            <v>47937.03</v>
          </cell>
          <cell r="Z1313" t="str">
            <v>Inbound</v>
          </cell>
          <cell r="AA1313" t="str">
            <v>$10K-$100K</v>
          </cell>
          <cell r="AB1313">
            <v>2012</v>
          </cell>
        </row>
        <row r="1314">
          <cell r="E1314">
            <v>47819.66</v>
          </cell>
          <cell r="Z1314" t="str">
            <v>Legacy</v>
          </cell>
          <cell r="AA1314" t="str">
            <v>$10K-$100K</v>
          </cell>
          <cell r="AB1314" t="str">
            <v>2010 or before</v>
          </cell>
        </row>
        <row r="1315">
          <cell r="E1315">
            <v>47800.78</v>
          </cell>
          <cell r="Z1315" t="str">
            <v>Legacy</v>
          </cell>
          <cell r="AA1315" t="str">
            <v>$10K-$100K</v>
          </cell>
          <cell r="AB1315" t="str">
            <v>2010 or before</v>
          </cell>
        </row>
        <row r="1316">
          <cell r="E1316">
            <v>47645.55</v>
          </cell>
          <cell r="Z1316" t="str">
            <v>Global</v>
          </cell>
          <cell r="AA1316" t="str">
            <v>$10K-$100K</v>
          </cell>
          <cell r="AB1316">
            <v>2011</v>
          </cell>
        </row>
        <row r="1317">
          <cell r="E1317">
            <v>47642.15</v>
          </cell>
          <cell r="Z1317" t="str">
            <v>Legacy</v>
          </cell>
          <cell r="AA1317" t="str">
            <v>$10K-$100K</v>
          </cell>
          <cell r="AB1317" t="str">
            <v>2010 or before</v>
          </cell>
        </row>
        <row r="1318">
          <cell r="E1318">
            <v>47637.17</v>
          </cell>
          <cell r="Z1318" t="str">
            <v>Legacy</v>
          </cell>
          <cell r="AA1318" t="str">
            <v>$10K-$100K</v>
          </cell>
          <cell r="AB1318" t="str">
            <v>2010 or before</v>
          </cell>
        </row>
        <row r="1319">
          <cell r="E1319">
            <v>47587.1</v>
          </cell>
          <cell r="Z1319" t="str">
            <v>Legacy</v>
          </cell>
          <cell r="AA1319" t="str">
            <v>$10K-$100K</v>
          </cell>
          <cell r="AB1319" t="str">
            <v>2010 or before</v>
          </cell>
        </row>
        <row r="1320">
          <cell r="E1320">
            <v>47512.94</v>
          </cell>
          <cell r="Z1320" t="str">
            <v>Outbound</v>
          </cell>
          <cell r="AA1320" t="str">
            <v>$10K-$100K</v>
          </cell>
          <cell r="AB1320">
            <v>2012</v>
          </cell>
        </row>
        <row r="1321">
          <cell r="E1321">
            <v>47377.18</v>
          </cell>
          <cell r="Z1321" t="str">
            <v>Inbound</v>
          </cell>
          <cell r="AA1321" t="str">
            <v>$10K-$100K</v>
          </cell>
          <cell r="AB1321">
            <v>2011</v>
          </cell>
        </row>
        <row r="1322">
          <cell r="E1322">
            <v>47325.69</v>
          </cell>
          <cell r="Z1322" t="str">
            <v>Legacy</v>
          </cell>
          <cell r="AA1322" t="str">
            <v>$10K-$100K</v>
          </cell>
          <cell r="AB1322">
            <v>2011</v>
          </cell>
        </row>
        <row r="1323">
          <cell r="E1323">
            <v>47225.03</v>
          </cell>
          <cell r="Z1323" t="str">
            <v>Legacy</v>
          </cell>
          <cell r="AA1323" t="str">
            <v>$10K-$100K</v>
          </cell>
          <cell r="AB1323" t="str">
            <v>2010 or before</v>
          </cell>
        </row>
        <row r="1324">
          <cell r="E1324">
            <v>47204.84</v>
          </cell>
          <cell r="Z1324" t="str">
            <v>Legacy</v>
          </cell>
          <cell r="AA1324" t="str">
            <v>$10K-$100K</v>
          </cell>
          <cell r="AB1324" t="str">
            <v>2010 or before</v>
          </cell>
        </row>
        <row r="1325">
          <cell r="E1325">
            <v>47204.41</v>
          </cell>
          <cell r="Z1325" t="str">
            <v>Legacy</v>
          </cell>
          <cell r="AA1325" t="str">
            <v>$10K-$100K</v>
          </cell>
          <cell r="AB1325" t="str">
            <v>2010 or before</v>
          </cell>
        </row>
        <row r="1326">
          <cell r="E1326">
            <v>47065.84</v>
          </cell>
          <cell r="Z1326" t="str">
            <v>Legacy</v>
          </cell>
          <cell r="AA1326" t="str">
            <v>$10K-$100K</v>
          </cell>
          <cell r="AB1326" t="str">
            <v>2010 or before</v>
          </cell>
        </row>
        <row r="1327">
          <cell r="E1327">
            <v>47016.82</v>
          </cell>
          <cell r="Z1327" t="str">
            <v>Legacy</v>
          </cell>
          <cell r="AA1327" t="str">
            <v>$10K-$100K</v>
          </cell>
          <cell r="AB1327" t="str">
            <v>2010 or before</v>
          </cell>
        </row>
        <row r="1328">
          <cell r="E1328">
            <v>46941.47</v>
          </cell>
          <cell r="Z1328" t="str">
            <v>Legacy</v>
          </cell>
          <cell r="AA1328" t="str">
            <v>$10K-$100K</v>
          </cell>
          <cell r="AB1328">
            <v>2011</v>
          </cell>
        </row>
        <row r="1329">
          <cell r="E1329">
            <v>46826.2</v>
          </cell>
          <cell r="Z1329" t="str">
            <v>Inbound</v>
          </cell>
          <cell r="AA1329" t="str">
            <v>$10K-$100K</v>
          </cell>
          <cell r="AB1329">
            <v>2012</v>
          </cell>
        </row>
        <row r="1330">
          <cell r="E1330">
            <v>46642.15</v>
          </cell>
          <cell r="Z1330" t="str">
            <v>Inbound</v>
          </cell>
          <cell r="AA1330" t="str">
            <v>$10K-$100K</v>
          </cell>
          <cell r="AB1330">
            <v>2012</v>
          </cell>
        </row>
        <row r="1331">
          <cell r="E1331">
            <v>46404.99</v>
          </cell>
          <cell r="Z1331" t="str">
            <v>Ungating</v>
          </cell>
          <cell r="AA1331" t="str">
            <v>$10K-$100K</v>
          </cell>
          <cell r="AB1331">
            <v>2012</v>
          </cell>
        </row>
        <row r="1332">
          <cell r="E1332">
            <v>46391.25</v>
          </cell>
          <cell r="Z1332" t="str">
            <v>Legacy</v>
          </cell>
          <cell r="AA1332" t="str">
            <v>$10K-$100K</v>
          </cell>
          <cell r="AB1332" t="str">
            <v>2010 or before</v>
          </cell>
        </row>
        <row r="1333">
          <cell r="E1333">
            <v>46388.52</v>
          </cell>
          <cell r="Z1333" t="str">
            <v>Legacy</v>
          </cell>
          <cell r="AA1333" t="str">
            <v>$10K-$100K</v>
          </cell>
          <cell r="AB1333" t="str">
            <v>2010 or before</v>
          </cell>
        </row>
        <row r="1334">
          <cell r="E1334">
            <v>46371.77</v>
          </cell>
          <cell r="Z1334" t="str">
            <v>Inbound</v>
          </cell>
          <cell r="AA1334" t="str">
            <v>$10K-$100K</v>
          </cell>
          <cell r="AB1334">
            <v>2012</v>
          </cell>
        </row>
        <row r="1335">
          <cell r="E1335">
            <v>46279.98</v>
          </cell>
          <cell r="Z1335" t="str">
            <v>Inbound</v>
          </cell>
          <cell r="AA1335" t="str">
            <v>$10K-$100K</v>
          </cell>
          <cell r="AB1335">
            <v>2012</v>
          </cell>
        </row>
        <row r="1336">
          <cell r="E1336">
            <v>46243.19</v>
          </cell>
          <cell r="Z1336" t="str">
            <v>Ungating</v>
          </cell>
          <cell r="AA1336" t="str">
            <v>$10K-$100K</v>
          </cell>
          <cell r="AB1336">
            <v>2012</v>
          </cell>
        </row>
        <row r="1337">
          <cell r="E1337">
            <v>46234.99</v>
          </cell>
          <cell r="Z1337" t="str">
            <v>Legacy</v>
          </cell>
          <cell r="AA1337" t="str">
            <v>$10K-$100K</v>
          </cell>
          <cell r="AB1337" t="str">
            <v>2010 or before</v>
          </cell>
        </row>
        <row r="1338">
          <cell r="E1338">
            <v>46219.58</v>
          </cell>
          <cell r="Z1338" t="str">
            <v>Legacy</v>
          </cell>
          <cell r="AA1338" t="str">
            <v>$10K-$100K</v>
          </cell>
          <cell r="AB1338" t="str">
            <v>2010 or before</v>
          </cell>
        </row>
        <row r="1339">
          <cell r="E1339">
            <v>46205.05</v>
          </cell>
          <cell r="Z1339" t="str">
            <v>Legacy</v>
          </cell>
          <cell r="AA1339" t="str">
            <v>$10K-$100K</v>
          </cell>
          <cell r="AB1339" t="str">
            <v>2010 or before</v>
          </cell>
        </row>
        <row r="1340">
          <cell r="E1340">
            <v>46078.98</v>
          </cell>
          <cell r="Z1340" t="str">
            <v>Legacy</v>
          </cell>
          <cell r="AA1340" t="str">
            <v>$10K-$100K</v>
          </cell>
          <cell r="AB1340" t="str">
            <v>2010 or before</v>
          </cell>
        </row>
        <row r="1341">
          <cell r="E1341">
            <v>46069.52</v>
          </cell>
          <cell r="Z1341" t="str">
            <v>Legacy</v>
          </cell>
          <cell r="AA1341" t="str">
            <v>$10K-$100K</v>
          </cell>
          <cell r="AB1341" t="str">
            <v>2010 or before</v>
          </cell>
        </row>
        <row r="1342">
          <cell r="E1342">
            <v>46051.040000000001</v>
          </cell>
          <cell r="Z1342" t="str">
            <v>Legacy</v>
          </cell>
          <cell r="AA1342" t="str">
            <v>$10K-$100K</v>
          </cell>
          <cell r="AB1342">
            <v>2011</v>
          </cell>
        </row>
        <row r="1343">
          <cell r="E1343">
            <v>45891.31</v>
          </cell>
          <cell r="Z1343" t="str">
            <v>Inbound</v>
          </cell>
          <cell r="AA1343" t="str">
            <v>$10K-$100K</v>
          </cell>
          <cell r="AB1343">
            <v>2012</v>
          </cell>
        </row>
        <row r="1344">
          <cell r="E1344">
            <v>45866.16</v>
          </cell>
          <cell r="Z1344" t="str">
            <v>Inbound</v>
          </cell>
          <cell r="AA1344" t="str">
            <v>$10K-$100K</v>
          </cell>
          <cell r="AB1344">
            <v>2011</v>
          </cell>
        </row>
        <row r="1345">
          <cell r="E1345">
            <v>45845.17</v>
          </cell>
          <cell r="Z1345" t="str">
            <v>Inbound</v>
          </cell>
          <cell r="AA1345" t="str">
            <v>$10K-$100K</v>
          </cell>
          <cell r="AB1345">
            <v>2012</v>
          </cell>
        </row>
        <row r="1346">
          <cell r="E1346">
            <v>45620.17</v>
          </cell>
          <cell r="Z1346" t="str">
            <v>Legacy</v>
          </cell>
          <cell r="AA1346" t="str">
            <v>$10K-$100K</v>
          </cell>
          <cell r="AB1346" t="str">
            <v>2010 or before</v>
          </cell>
        </row>
        <row r="1347">
          <cell r="E1347">
            <v>45618.84</v>
          </cell>
          <cell r="Z1347" t="str">
            <v>Inbound</v>
          </cell>
          <cell r="AA1347" t="str">
            <v>$10K-$100K</v>
          </cell>
          <cell r="AB1347">
            <v>2012</v>
          </cell>
        </row>
        <row r="1348">
          <cell r="E1348">
            <v>45594.15</v>
          </cell>
          <cell r="Z1348" t="str">
            <v>Legacy</v>
          </cell>
          <cell r="AA1348" t="str">
            <v>$10K-$100K</v>
          </cell>
          <cell r="AB1348" t="str">
            <v>2010 or before</v>
          </cell>
        </row>
        <row r="1349">
          <cell r="E1349">
            <v>45394.09</v>
          </cell>
          <cell r="Z1349" t="str">
            <v>Ungating</v>
          </cell>
          <cell r="AA1349" t="str">
            <v>$10K-$100K</v>
          </cell>
          <cell r="AB1349">
            <v>2012</v>
          </cell>
        </row>
        <row r="1350">
          <cell r="E1350">
            <v>45352.84</v>
          </cell>
          <cell r="Z1350" t="str">
            <v>Inbound</v>
          </cell>
          <cell r="AA1350" t="str">
            <v>$10K-$100K</v>
          </cell>
          <cell r="AB1350">
            <v>2012</v>
          </cell>
        </row>
        <row r="1351">
          <cell r="E1351">
            <v>45330.91</v>
          </cell>
          <cell r="Z1351" t="str">
            <v>Inbound</v>
          </cell>
          <cell r="AA1351" t="str">
            <v>$10K-$100K</v>
          </cell>
          <cell r="AB1351">
            <v>2011</v>
          </cell>
        </row>
        <row r="1352">
          <cell r="E1352">
            <v>45301.760000000002</v>
          </cell>
          <cell r="Z1352" t="str">
            <v>Ungating</v>
          </cell>
          <cell r="AA1352" t="str">
            <v>$10K-$100K</v>
          </cell>
          <cell r="AB1352">
            <v>2012</v>
          </cell>
        </row>
        <row r="1353">
          <cell r="E1353">
            <v>45147.89</v>
          </cell>
          <cell r="Z1353" t="str">
            <v>Ungating</v>
          </cell>
          <cell r="AA1353" t="str">
            <v>$10K-$100K</v>
          </cell>
          <cell r="AB1353">
            <v>2012</v>
          </cell>
        </row>
        <row r="1354">
          <cell r="E1354">
            <v>44879.32</v>
          </cell>
          <cell r="Z1354" t="str">
            <v>Legacy</v>
          </cell>
          <cell r="AA1354" t="str">
            <v>$10K-$100K</v>
          </cell>
          <cell r="AB1354" t="str">
            <v>2010 or before</v>
          </cell>
        </row>
        <row r="1355">
          <cell r="E1355">
            <v>44761.34</v>
          </cell>
          <cell r="Z1355" t="str">
            <v>Ungating</v>
          </cell>
          <cell r="AA1355" t="str">
            <v>$10K-$100K</v>
          </cell>
          <cell r="AB1355">
            <v>2012</v>
          </cell>
        </row>
        <row r="1356">
          <cell r="E1356">
            <v>44730.05</v>
          </cell>
          <cell r="Z1356" t="str">
            <v>Legacy</v>
          </cell>
          <cell r="AA1356" t="str">
            <v>$10K-$100K</v>
          </cell>
          <cell r="AB1356" t="str">
            <v>2010 or before</v>
          </cell>
        </row>
        <row r="1357">
          <cell r="E1357">
            <v>44651.58</v>
          </cell>
          <cell r="Z1357" t="str">
            <v>Inbound</v>
          </cell>
          <cell r="AA1357" t="str">
            <v>$10K-$100K</v>
          </cell>
          <cell r="AB1357">
            <v>2011</v>
          </cell>
        </row>
        <row r="1358">
          <cell r="E1358">
            <v>44595.75</v>
          </cell>
          <cell r="Z1358" t="str">
            <v>Legacy</v>
          </cell>
          <cell r="AA1358" t="str">
            <v>$10K-$100K</v>
          </cell>
          <cell r="AB1358" t="str">
            <v>2010 or before</v>
          </cell>
        </row>
        <row r="1359">
          <cell r="E1359">
            <v>44468.15</v>
          </cell>
          <cell r="Z1359" t="str">
            <v>Ungating</v>
          </cell>
          <cell r="AA1359" t="str">
            <v>$10K-$100K</v>
          </cell>
          <cell r="AB1359">
            <v>2012</v>
          </cell>
        </row>
        <row r="1360">
          <cell r="E1360">
            <v>44458.93</v>
          </cell>
          <cell r="Z1360" t="str">
            <v>Legacy</v>
          </cell>
          <cell r="AA1360" t="str">
            <v>$10K-$100K</v>
          </cell>
          <cell r="AB1360" t="str">
            <v>2010 or before</v>
          </cell>
        </row>
        <row r="1361">
          <cell r="E1361">
            <v>44248.07</v>
          </cell>
          <cell r="Z1361" t="str">
            <v>Legacy</v>
          </cell>
          <cell r="AA1361" t="str">
            <v>$10K-$100K</v>
          </cell>
          <cell r="AB1361" t="str">
            <v>2010 or before</v>
          </cell>
        </row>
        <row r="1362">
          <cell r="E1362">
            <v>44217.09</v>
          </cell>
          <cell r="Z1362" t="str">
            <v>Legacy</v>
          </cell>
          <cell r="AA1362" t="str">
            <v>$10K-$100K</v>
          </cell>
          <cell r="AB1362" t="str">
            <v>2010 or before</v>
          </cell>
        </row>
        <row r="1363">
          <cell r="E1363">
            <v>44198.1</v>
          </cell>
          <cell r="Z1363" t="str">
            <v>Ungating</v>
          </cell>
          <cell r="AA1363" t="str">
            <v>$10K-$100K</v>
          </cell>
          <cell r="AB1363">
            <v>2012</v>
          </cell>
        </row>
        <row r="1364">
          <cell r="E1364">
            <v>44130.89</v>
          </cell>
          <cell r="Z1364" t="str">
            <v>Legacy</v>
          </cell>
          <cell r="AA1364" t="str">
            <v>$10K-$100K</v>
          </cell>
          <cell r="AB1364" t="str">
            <v>2010 or before</v>
          </cell>
        </row>
        <row r="1365">
          <cell r="E1365">
            <v>43989.94</v>
          </cell>
          <cell r="Z1365" t="str">
            <v>Ungating</v>
          </cell>
          <cell r="AA1365" t="str">
            <v>$10K-$100K</v>
          </cell>
          <cell r="AB1365">
            <v>2012</v>
          </cell>
        </row>
        <row r="1366">
          <cell r="E1366">
            <v>43937.94</v>
          </cell>
          <cell r="Z1366" t="str">
            <v>Outbound</v>
          </cell>
          <cell r="AA1366" t="str">
            <v>$10K-$100K</v>
          </cell>
          <cell r="AB1366">
            <v>2012</v>
          </cell>
        </row>
        <row r="1367">
          <cell r="E1367">
            <v>43850.93</v>
          </cell>
          <cell r="Z1367" t="str">
            <v>Outbound</v>
          </cell>
          <cell r="AA1367" t="str">
            <v>$10K-$100K</v>
          </cell>
          <cell r="AB1367">
            <v>2012</v>
          </cell>
        </row>
        <row r="1368">
          <cell r="E1368">
            <v>43698.01</v>
          </cell>
          <cell r="Z1368" t="str">
            <v>Inbound</v>
          </cell>
          <cell r="AA1368" t="str">
            <v>$10K-$100K</v>
          </cell>
          <cell r="AB1368">
            <v>2011</v>
          </cell>
        </row>
        <row r="1369">
          <cell r="E1369">
            <v>43608.12</v>
          </cell>
          <cell r="Z1369" t="str">
            <v>Legacy</v>
          </cell>
          <cell r="AA1369" t="str">
            <v>$10K-$100K</v>
          </cell>
          <cell r="AB1369" t="str">
            <v>2010 or before</v>
          </cell>
        </row>
        <row r="1370">
          <cell r="E1370">
            <v>43568.57</v>
          </cell>
          <cell r="Z1370" t="str">
            <v>Legacy</v>
          </cell>
          <cell r="AA1370" t="str">
            <v>$10K-$100K</v>
          </cell>
          <cell r="AB1370" t="str">
            <v>2010 or before</v>
          </cell>
        </row>
        <row r="1371">
          <cell r="E1371">
            <v>43562.8</v>
          </cell>
          <cell r="Z1371" t="str">
            <v>Legacy</v>
          </cell>
          <cell r="AA1371" t="str">
            <v>$10K-$100K</v>
          </cell>
          <cell r="AB1371" t="str">
            <v>2010 or before</v>
          </cell>
        </row>
        <row r="1372">
          <cell r="E1372">
            <v>43516.28</v>
          </cell>
          <cell r="Z1372" t="str">
            <v>Legacy</v>
          </cell>
          <cell r="AA1372" t="str">
            <v>$10K-$100K</v>
          </cell>
          <cell r="AB1372" t="str">
            <v>2010 or before</v>
          </cell>
        </row>
        <row r="1373">
          <cell r="E1373">
            <v>43404.11</v>
          </cell>
          <cell r="Z1373" t="str">
            <v>Legacy</v>
          </cell>
          <cell r="AA1373" t="str">
            <v>$10K-$100K</v>
          </cell>
          <cell r="AB1373" t="str">
            <v>2010 or before</v>
          </cell>
        </row>
        <row r="1374">
          <cell r="E1374">
            <v>43180.99</v>
          </cell>
          <cell r="Z1374" t="str">
            <v>Ungating</v>
          </cell>
          <cell r="AA1374" t="str">
            <v>$10K-$100K</v>
          </cell>
          <cell r="AB1374">
            <v>2012</v>
          </cell>
        </row>
        <row r="1375">
          <cell r="E1375">
            <v>43127.199999999997</v>
          </cell>
          <cell r="Z1375" t="str">
            <v>Legacy</v>
          </cell>
          <cell r="AA1375" t="str">
            <v>$10K-$100K</v>
          </cell>
          <cell r="AB1375" t="str">
            <v>2010 or before</v>
          </cell>
        </row>
        <row r="1376">
          <cell r="E1376">
            <v>43125.99</v>
          </cell>
          <cell r="Z1376" t="str">
            <v>Legacy</v>
          </cell>
          <cell r="AA1376" t="str">
            <v>$10K-$100K</v>
          </cell>
          <cell r="AB1376" t="str">
            <v>2010 or before</v>
          </cell>
        </row>
        <row r="1377">
          <cell r="E1377">
            <v>42947.32</v>
          </cell>
          <cell r="Z1377" t="str">
            <v>Inbound</v>
          </cell>
          <cell r="AA1377" t="str">
            <v>$10K-$100K</v>
          </cell>
          <cell r="AB1377">
            <v>2011</v>
          </cell>
        </row>
        <row r="1378">
          <cell r="E1378">
            <v>42935.73</v>
          </cell>
          <cell r="Z1378" t="str">
            <v>Ungating</v>
          </cell>
          <cell r="AA1378" t="str">
            <v>$10K-$100K</v>
          </cell>
          <cell r="AB1378">
            <v>2011</v>
          </cell>
        </row>
        <row r="1379">
          <cell r="E1379">
            <v>42918.45</v>
          </cell>
          <cell r="Z1379" t="str">
            <v>Legacy</v>
          </cell>
          <cell r="AA1379" t="str">
            <v>$10K-$100K</v>
          </cell>
          <cell r="AB1379" t="str">
            <v>2010 or before</v>
          </cell>
        </row>
        <row r="1380">
          <cell r="E1380">
            <v>42783.15</v>
          </cell>
          <cell r="Z1380" t="str">
            <v>Legacy</v>
          </cell>
          <cell r="AA1380" t="str">
            <v>$10K-$100K</v>
          </cell>
          <cell r="AB1380">
            <v>2012</v>
          </cell>
        </row>
        <row r="1381">
          <cell r="E1381">
            <v>42730.879999999997</v>
          </cell>
          <cell r="Z1381" t="str">
            <v>Ungating</v>
          </cell>
          <cell r="AA1381" t="str">
            <v>$10K-$100K</v>
          </cell>
          <cell r="AB1381">
            <v>2011</v>
          </cell>
        </row>
        <row r="1382">
          <cell r="E1382">
            <v>42702.37</v>
          </cell>
          <cell r="Z1382" t="str">
            <v>Legacy</v>
          </cell>
          <cell r="AA1382" t="str">
            <v>$10K-$100K</v>
          </cell>
          <cell r="AB1382" t="str">
            <v>2010 or before</v>
          </cell>
        </row>
        <row r="1383">
          <cell r="E1383">
            <v>42557.21</v>
          </cell>
          <cell r="Z1383" t="str">
            <v>Legacy</v>
          </cell>
          <cell r="AA1383" t="str">
            <v>$10K-$100K</v>
          </cell>
          <cell r="AB1383" t="str">
            <v>2010 or before</v>
          </cell>
        </row>
        <row r="1384">
          <cell r="E1384">
            <v>42550.1</v>
          </cell>
          <cell r="Z1384" t="str">
            <v>Legacy</v>
          </cell>
          <cell r="AA1384" t="str">
            <v>$10K-$100K</v>
          </cell>
          <cell r="AB1384" t="str">
            <v>2010 or before</v>
          </cell>
        </row>
        <row r="1385">
          <cell r="E1385">
            <v>42541.42</v>
          </cell>
          <cell r="Z1385" t="str">
            <v>Ungating</v>
          </cell>
          <cell r="AA1385" t="str">
            <v>$10K-$100K</v>
          </cell>
          <cell r="AB1385">
            <v>2012</v>
          </cell>
        </row>
        <row r="1386">
          <cell r="E1386">
            <v>42427.93</v>
          </cell>
          <cell r="Z1386" t="str">
            <v>Legacy</v>
          </cell>
          <cell r="AA1386" t="str">
            <v>$10K-$100K</v>
          </cell>
          <cell r="AB1386" t="str">
            <v>2010 or before</v>
          </cell>
        </row>
        <row r="1387">
          <cell r="E1387">
            <v>42405.82</v>
          </cell>
          <cell r="Z1387" t="str">
            <v>Legacy</v>
          </cell>
          <cell r="AA1387" t="str">
            <v>$10K-$100K</v>
          </cell>
          <cell r="AB1387" t="str">
            <v>2010 or before</v>
          </cell>
        </row>
        <row r="1388">
          <cell r="E1388">
            <v>42394.23</v>
          </cell>
          <cell r="Z1388" t="str">
            <v>Legacy</v>
          </cell>
          <cell r="AA1388" t="str">
            <v>$10K-$100K</v>
          </cell>
          <cell r="AB1388" t="str">
            <v>2010 or before</v>
          </cell>
        </row>
        <row r="1389">
          <cell r="E1389">
            <v>42364</v>
          </cell>
          <cell r="Z1389" t="str">
            <v>Inbound</v>
          </cell>
          <cell r="AA1389" t="str">
            <v>$10K-$100K</v>
          </cell>
          <cell r="AB1389">
            <v>2012</v>
          </cell>
        </row>
        <row r="1390">
          <cell r="E1390">
            <v>42253.02</v>
          </cell>
          <cell r="Z1390" t="str">
            <v>Legacy</v>
          </cell>
          <cell r="AA1390" t="str">
            <v>$10K-$100K</v>
          </cell>
          <cell r="AB1390" t="str">
            <v>2010 or before</v>
          </cell>
        </row>
        <row r="1391">
          <cell r="E1391">
            <v>42213.22</v>
          </cell>
          <cell r="Z1391" t="str">
            <v>Ungating</v>
          </cell>
          <cell r="AA1391" t="str">
            <v>$10K-$100K</v>
          </cell>
          <cell r="AB1391">
            <v>2012</v>
          </cell>
        </row>
        <row r="1392">
          <cell r="E1392">
            <v>42068.77</v>
          </cell>
          <cell r="Z1392" t="str">
            <v>Ungating</v>
          </cell>
          <cell r="AA1392" t="str">
            <v>$10K-$100K</v>
          </cell>
          <cell r="AB1392">
            <v>2011</v>
          </cell>
        </row>
        <row r="1393">
          <cell r="E1393">
            <v>41983.88</v>
          </cell>
          <cell r="Z1393" t="str">
            <v>Ungating</v>
          </cell>
          <cell r="AA1393" t="str">
            <v>$10K-$100K</v>
          </cell>
          <cell r="AB1393">
            <v>2012</v>
          </cell>
        </row>
        <row r="1394">
          <cell r="E1394">
            <v>41895.47</v>
          </cell>
          <cell r="Z1394" t="str">
            <v>Inbound</v>
          </cell>
          <cell r="AA1394" t="str">
            <v>$10K-$100K</v>
          </cell>
          <cell r="AB1394">
            <v>2012</v>
          </cell>
        </row>
        <row r="1395">
          <cell r="E1395">
            <v>41825.26</v>
          </cell>
          <cell r="Z1395" t="str">
            <v>Legacy</v>
          </cell>
          <cell r="AA1395" t="str">
            <v>$10K-$100K</v>
          </cell>
          <cell r="AB1395" t="str">
            <v>2010 or before</v>
          </cell>
        </row>
        <row r="1396">
          <cell r="E1396">
            <v>41759.550000000003</v>
          </cell>
          <cell r="Z1396" t="str">
            <v>Legacy</v>
          </cell>
          <cell r="AA1396" t="str">
            <v>$10K-$100K</v>
          </cell>
          <cell r="AB1396" t="str">
            <v>2010 or before</v>
          </cell>
        </row>
        <row r="1397">
          <cell r="E1397">
            <v>41759.4</v>
          </cell>
          <cell r="Z1397" t="str">
            <v>Legacy</v>
          </cell>
          <cell r="AA1397" t="str">
            <v>$10K-$100K</v>
          </cell>
          <cell r="AB1397" t="str">
            <v>2010 or before</v>
          </cell>
        </row>
        <row r="1398">
          <cell r="E1398">
            <v>41756.980000000003</v>
          </cell>
          <cell r="Z1398" t="str">
            <v>Inbound</v>
          </cell>
          <cell r="AA1398" t="str">
            <v>$10K-$100K</v>
          </cell>
          <cell r="AB1398">
            <v>2012</v>
          </cell>
        </row>
        <row r="1399">
          <cell r="E1399">
            <v>41646.410000000003</v>
          </cell>
          <cell r="Z1399" t="str">
            <v>Legacy</v>
          </cell>
          <cell r="AA1399" t="str">
            <v>$10K-$100K</v>
          </cell>
          <cell r="AB1399" t="str">
            <v>2010 or before</v>
          </cell>
        </row>
        <row r="1400">
          <cell r="E1400">
            <v>41512.32</v>
          </cell>
          <cell r="Z1400" t="str">
            <v>Legacy</v>
          </cell>
          <cell r="AA1400" t="str">
            <v>$10K-$100K</v>
          </cell>
          <cell r="AB1400" t="str">
            <v>2010 or before</v>
          </cell>
        </row>
        <row r="1401">
          <cell r="E1401">
            <v>41323.51</v>
          </cell>
          <cell r="Z1401" t="str">
            <v>Legacy</v>
          </cell>
          <cell r="AA1401" t="str">
            <v>$10K-$100K</v>
          </cell>
          <cell r="AB1401" t="str">
            <v>2010 or before</v>
          </cell>
        </row>
        <row r="1402">
          <cell r="E1402">
            <v>41254.769999999997</v>
          </cell>
          <cell r="Z1402" t="str">
            <v>Ungating</v>
          </cell>
          <cell r="AA1402" t="str">
            <v>$10K-$100K</v>
          </cell>
          <cell r="AB1402">
            <v>2012</v>
          </cell>
        </row>
        <row r="1403">
          <cell r="E1403">
            <v>41170.36</v>
          </cell>
          <cell r="Z1403" t="str">
            <v>Legacy</v>
          </cell>
          <cell r="AA1403" t="str">
            <v>$10K-$100K</v>
          </cell>
          <cell r="AB1403" t="str">
            <v>2010 or before</v>
          </cell>
        </row>
        <row r="1404">
          <cell r="E1404">
            <v>40738.379999999997</v>
          </cell>
          <cell r="Z1404" t="str">
            <v>Ungating</v>
          </cell>
          <cell r="AA1404" t="str">
            <v>$10K-$100K</v>
          </cell>
          <cell r="AB1404">
            <v>2012</v>
          </cell>
        </row>
        <row r="1405">
          <cell r="E1405">
            <v>40545.230000000003</v>
          </cell>
          <cell r="Z1405" t="str">
            <v>Legacy</v>
          </cell>
          <cell r="AA1405" t="str">
            <v>$10K-$100K</v>
          </cell>
          <cell r="AB1405" t="str">
            <v>2010 or before</v>
          </cell>
        </row>
        <row r="1406">
          <cell r="E1406">
            <v>40531.93</v>
          </cell>
          <cell r="Z1406" t="str">
            <v>Outbound</v>
          </cell>
          <cell r="AA1406" t="str">
            <v>$10K-$100K</v>
          </cell>
          <cell r="AB1406">
            <v>2012</v>
          </cell>
        </row>
        <row r="1407">
          <cell r="E1407">
            <v>40473.68</v>
          </cell>
          <cell r="Z1407" t="str">
            <v>Inbound</v>
          </cell>
          <cell r="AA1407" t="str">
            <v>$10K-$100K</v>
          </cell>
          <cell r="AB1407">
            <v>2012</v>
          </cell>
        </row>
        <row r="1408">
          <cell r="E1408">
            <v>40431.4</v>
          </cell>
          <cell r="Z1408" t="str">
            <v>Inbound</v>
          </cell>
          <cell r="AA1408" t="str">
            <v>$10K-$100K</v>
          </cell>
          <cell r="AB1408">
            <v>2012</v>
          </cell>
        </row>
        <row r="1409">
          <cell r="E1409">
            <v>40381.83</v>
          </cell>
          <cell r="Z1409" t="str">
            <v>Legacy</v>
          </cell>
          <cell r="AA1409" t="str">
            <v>$10K-$100K</v>
          </cell>
          <cell r="AB1409">
            <v>2012</v>
          </cell>
        </row>
        <row r="1410">
          <cell r="E1410">
            <v>40326.33</v>
          </cell>
          <cell r="Z1410" t="str">
            <v>Legacy</v>
          </cell>
          <cell r="AA1410" t="str">
            <v>$10K-$100K</v>
          </cell>
          <cell r="AB1410" t="str">
            <v>2010 or before</v>
          </cell>
        </row>
        <row r="1411">
          <cell r="E1411">
            <v>40178.61</v>
          </cell>
          <cell r="Z1411" t="str">
            <v>Ungating</v>
          </cell>
          <cell r="AA1411" t="str">
            <v>$10K-$100K</v>
          </cell>
          <cell r="AB1411">
            <v>2011</v>
          </cell>
        </row>
        <row r="1412">
          <cell r="E1412">
            <v>40176.75</v>
          </cell>
          <cell r="Z1412" t="str">
            <v>Legacy</v>
          </cell>
          <cell r="AA1412" t="str">
            <v>$10K-$100K</v>
          </cell>
          <cell r="AB1412" t="str">
            <v>2010 or before</v>
          </cell>
        </row>
        <row r="1413">
          <cell r="E1413">
            <v>40112.54</v>
          </cell>
          <cell r="Z1413" t="str">
            <v>Legacy</v>
          </cell>
          <cell r="AA1413" t="str">
            <v>$10K-$100K</v>
          </cell>
          <cell r="AB1413" t="str">
            <v>2010 or before</v>
          </cell>
        </row>
        <row r="1414">
          <cell r="E1414">
            <v>39953.910000000003</v>
          </cell>
          <cell r="Z1414" t="str">
            <v>Ungating</v>
          </cell>
          <cell r="AA1414" t="str">
            <v>$10K-$100K</v>
          </cell>
          <cell r="AB1414">
            <v>2011</v>
          </cell>
        </row>
        <row r="1415">
          <cell r="E1415">
            <v>39951.75</v>
          </cell>
          <cell r="Z1415" t="str">
            <v>Strategic</v>
          </cell>
          <cell r="AA1415" t="str">
            <v>$10K-$100K</v>
          </cell>
          <cell r="AB1415">
            <v>2011</v>
          </cell>
        </row>
        <row r="1416">
          <cell r="E1416">
            <v>39847.35</v>
          </cell>
          <cell r="Z1416" t="str">
            <v>Inbound</v>
          </cell>
          <cell r="AA1416" t="str">
            <v>$10K-$100K</v>
          </cell>
          <cell r="AB1416">
            <v>2011</v>
          </cell>
        </row>
        <row r="1417">
          <cell r="E1417">
            <v>39799.94</v>
          </cell>
          <cell r="Z1417" t="str">
            <v>Ungating</v>
          </cell>
          <cell r="AA1417" t="str">
            <v>$10K-$100K</v>
          </cell>
          <cell r="AB1417">
            <v>2012</v>
          </cell>
        </row>
        <row r="1418">
          <cell r="E1418">
            <v>39596.019999999997</v>
          </cell>
          <cell r="Z1418" t="str">
            <v>Global</v>
          </cell>
          <cell r="AA1418" t="str">
            <v>$10K-$100K</v>
          </cell>
          <cell r="AB1418">
            <v>2012</v>
          </cell>
        </row>
        <row r="1419">
          <cell r="E1419">
            <v>39448.83</v>
          </cell>
          <cell r="Z1419" t="str">
            <v>Legacy</v>
          </cell>
          <cell r="AA1419" t="str">
            <v>$10K-$100K</v>
          </cell>
          <cell r="AB1419" t="str">
            <v>2010 or before</v>
          </cell>
        </row>
        <row r="1420">
          <cell r="E1420">
            <v>39407.129999999997</v>
          </cell>
          <cell r="Z1420" t="str">
            <v>Legacy</v>
          </cell>
          <cell r="AA1420" t="str">
            <v>$10K-$100K</v>
          </cell>
          <cell r="AB1420" t="str">
            <v>2010 or before</v>
          </cell>
        </row>
        <row r="1421">
          <cell r="E1421">
            <v>39313.089999999997</v>
          </cell>
          <cell r="Z1421" t="str">
            <v>Legacy</v>
          </cell>
          <cell r="AA1421" t="str">
            <v>$10K-$100K</v>
          </cell>
          <cell r="AB1421">
            <v>2011</v>
          </cell>
        </row>
        <row r="1422">
          <cell r="E1422">
            <v>39306.25</v>
          </cell>
          <cell r="Z1422" t="str">
            <v>Legacy</v>
          </cell>
          <cell r="AA1422" t="str">
            <v>$10K-$100K</v>
          </cell>
          <cell r="AB1422" t="str">
            <v>2010 or before</v>
          </cell>
        </row>
        <row r="1423">
          <cell r="E1423">
            <v>39227.18</v>
          </cell>
          <cell r="Z1423" t="str">
            <v>Global</v>
          </cell>
          <cell r="AA1423" t="str">
            <v>$10K-$100K</v>
          </cell>
          <cell r="AB1423">
            <v>2011</v>
          </cell>
        </row>
        <row r="1424">
          <cell r="E1424">
            <v>39148.17</v>
          </cell>
          <cell r="Z1424" t="str">
            <v>Legacy</v>
          </cell>
          <cell r="AA1424" t="str">
            <v>$10K-$100K</v>
          </cell>
          <cell r="AB1424">
            <v>2011</v>
          </cell>
        </row>
        <row r="1425">
          <cell r="E1425">
            <v>39061.120000000003</v>
          </cell>
          <cell r="Z1425" t="str">
            <v>Ungating</v>
          </cell>
          <cell r="AA1425" t="str">
            <v>$10K-$100K</v>
          </cell>
          <cell r="AB1425">
            <v>2011</v>
          </cell>
        </row>
        <row r="1426">
          <cell r="E1426">
            <v>39025.54</v>
          </cell>
          <cell r="Z1426" t="str">
            <v>Legacy</v>
          </cell>
          <cell r="AA1426" t="str">
            <v>$10K-$100K</v>
          </cell>
          <cell r="AB1426">
            <v>2011</v>
          </cell>
        </row>
        <row r="1427">
          <cell r="E1427">
            <v>39006.120000000003</v>
          </cell>
          <cell r="Z1427" t="str">
            <v>Legacy</v>
          </cell>
          <cell r="AA1427" t="str">
            <v>$10K-$100K</v>
          </cell>
          <cell r="AB1427" t="str">
            <v>2010 or before</v>
          </cell>
        </row>
        <row r="1428">
          <cell r="E1428">
            <v>38829.24</v>
          </cell>
          <cell r="Z1428" t="str">
            <v>Legacy</v>
          </cell>
          <cell r="AA1428" t="str">
            <v>$10K-$100K</v>
          </cell>
          <cell r="AB1428">
            <v>2012</v>
          </cell>
        </row>
        <row r="1429">
          <cell r="E1429">
            <v>38793.53</v>
          </cell>
          <cell r="Z1429" t="str">
            <v>Legacy</v>
          </cell>
          <cell r="AA1429" t="str">
            <v>$10K-$100K</v>
          </cell>
          <cell r="AB1429" t="str">
            <v>2010 or before</v>
          </cell>
        </row>
        <row r="1430">
          <cell r="E1430">
            <v>38772.1</v>
          </cell>
          <cell r="Z1430" t="str">
            <v>Legacy</v>
          </cell>
          <cell r="AA1430" t="str">
            <v>$10K-$100K</v>
          </cell>
          <cell r="AB1430" t="str">
            <v>2010 or before</v>
          </cell>
        </row>
        <row r="1431">
          <cell r="E1431">
            <v>38768.620000000003</v>
          </cell>
          <cell r="Z1431" t="str">
            <v>Legacy</v>
          </cell>
          <cell r="AA1431" t="str">
            <v>$10K-$100K</v>
          </cell>
          <cell r="AB1431" t="str">
            <v>2010 or before</v>
          </cell>
        </row>
        <row r="1432">
          <cell r="E1432">
            <v>38752.1</v>
          </cell>
          <cell r="Z1432" t="str">
            <v>Inbound</v>
          </cell>
          <cell r="AA1432" t="str">
            <v>$10K-$100K</v>
          </cell>
          <cell r="AB1432">
            <v>2012</v>
          </cell>
        </row>
        <row r="1433">
          <cell r="E1433">
            <v>38607.79</v>
          </cell>
          <cell r="Z1433" t="str">
            <v>Legacy</v>
          </cell>
          <cell r="AA1433" t="str">
            <v>$10K-$100K</v>
          </cell>
          <cell r="AB1433" t="str">
            <v>2010 or before</v>
          </cell>
        </row>
        <row r="1434">
          <cell r="E1434">
            <v>38513.5</v>
          </cell>
          <cell r="Z1434" t="str">
            <v>Ungating</v>
          </cell>
          <cell r="AA1434" t="str">
            <v>$10K-$100K</v>
          </cell>
          <cell r="AB1434">
            <v>2011</v>
          </cell>
        </row>
        <row r="1435">
          <cell r="E1435">
            <v>38447.629999999997</v>
          </cell>
          <cell r="Z1435" t="str">
            <v>Legacy</v>
          </cell>
          <cell r="AA1435" t="str">
            <v>$10K-$100K</v>
          </cell>
          <cell r="AB1435" t="str">
            <v>2010 or before</v>
          </cell>
        </row>
        <row r="1436">
          <cell r="E1436">
            <v>38431.019999999997</v>
          </cell>
          <cell r="Z1436" t="str">
            <v>Legacy</v>
          </cell>
          <cell r="AA1436" t="str">
            <v>$10K-$100K</v>
          </cell>
          <cell r="AB1436" t="str">
            <v>2010 or before</v>
          </cell>
        </row>
        <row r="1437">
          <cell r="E1437">
            <v>38381.99</v>
          </cell>
          <cell r="Z1437" t="str">
            <v>Legacy</v>
          </cell>
          <cell r="AA1437" t="str">
            <v>$10K-$100K</v>
          </cell>
          <cell r="AB1437" t="str">
            <v>2010 or before</v>
          </cell>
        </row>
        <row r="1438">
          <cell r="E1438">
            <v>38366.660000000003</v>
          </cell>
          <cell r="Z1438" t="str">
            <v>Inbound</v>
          </cell>
          <cell r="AA1438" t="str">
            <v>$10K-$100K</v>
          </cell>
          <cell r="AB1438">
            <v>2012</v>
          </cell>
        </row>
        <row r="1439">
          <cell r="E1439">
            <v>38297.589999999997</v>
          </cell>
          <cell r="Z1439" t="str">
            <v>Legacy</v>
          </cell>
          <cell r="AA1439" t="str">
            <v>$10K-$100K</v>
          </cell>
          <cell r="AB1439" t="str">
            <v>2010 or before</v>
          </cell>
        </row>
        <row r="1440">
          <cell r="E1440">
            <v>38148.07</v>
          </cell>
          <cell r="Z1440" t="str">
            <v>Ungating</v>
          </cell>
          <cell r="AA1440" t="str">
            <v>$10K-$100K</v>
          </cell>
          <cell r="AB1440">
            <v>2011</v>
          </cell>
        </row>
        <row r="1441">
          <cell r="E1441">
            <v>37958.76</v>
          </cell>
          <cell r="Z1441" t="str">
            <v>Ungating</v>
          </cell>
          <cell r="AA1441" t="str">
            <v>$10K-$100K</v>
          </cell>
          <cell r="AB1441">
            <v>2012</v>
          </cell>
        </row>
        <row r="1442">
          <cell r="E1442">
            <v>37952.69</v>
          </cell>
          <cell r="Z1442" t="str">
            <v>Ungating</v>
          </cell>
          <cell r="AA1442" t="str">
            <v>$10K-$100K</v>
          </cell>
          <cell r="AB1442">
            <v>2012</v>
          </cell>
        </row>
        <row r="1443">
          <cell r="E1443">
            <v>37938.730000000003</v>
          </cell>
          <cell r="Z1443" t="str">
            <v>Inbound</v>
          </cell>
          <cell r="AA1443" t="str">
            <v>$10K-$100K</v>
          </cell>
          <cell r="AB1443">
            <v>2012</v>
          </cell>
        </row>
        <row r="1444">
          <cell r="E1444">
            <v>37871.69</v>
          </cell>
          <cell r="Z1444" t="str">
            <v>Legacy</v>
          </cell>
          <cell r="AA1444" t="str">
            <v>$10K-$100K</v>
          </cell>
          <cell r="AB1444" t="str">
            <v>2010 or before</v>
          </cell>
        </row>
        <row r="1445">
          <cell r="E1445">
            <v>37734.76</v>
          </cell>
          <cell r="Z1445" t="str">
            <v>Legacy</v>
          </cell>
          <cell r="AA1445" t="str">
            <v>$10K-$100K</v>
          </cell>
          <cell r="AB1445" t="str">
            <v>2010 or before</v>
          </cell>
        </row>
        <row r="1446">
          <cell r="E1446">
            <v>37719.199999999997</v>
          </cell>
          <cell r="Z1446" t="str">
            <v>Legacy</v>
          </cell>
          <cell r="AA1446" t="str">
            <v>$10K-$100K</v>
          </cell>
          <cell r="AB1446" t="str">
            <v>2010 or before</v>
          </cell>
        </row>
        <row r="1447">
          <cell r="E1447">
            <v>37702.160000000003</v>
          </cell>
          <cell r="Z1447" t="str">
            <v>Legacy</v>
          </cell>
          <cell r="AA1447" t="str">
            <v>$10K-$100K</v>
          </cell>
          <cell r="AB1447" t="str">
            <v>2010 or before</v>
          </cell>
        </row>
        <row r="1448">
          <cell r="E1448">
            <v>37565.94</v>
          </cell>
          <cell r="Z1448" t="str">
            <v>Legacy</v>
          </cell>
          <cell r="AA1448" t="str">
            <v>$10K-$100K</v>
          </cell>
          <cell r="AB1448" t="str">
            <v>2010 or before</v>
          </cell>
        </row>
        <row r="1449">
          <cell r="E1449">
            <v>37501.370000000003</v>
          </cell>
          <cell r="Z1449" t="str">
            <v>Ungating</v>
          </cell>
          <cell r="AA1449" t="str">
            <v>$10K-$100K</v>
          </cell>
          <cell r="AB1449">
            <v>2012</v>
          </cell>
        </row>
        <row r="1450">
          <cell r="E1450">
            <v>37489.86</v>
          </cell>
          <cell r="Z1450" t="str">
            <v>Legacy</v>
          </cell>
          <cell r="AA1450" t="str">
            <v>$10K-$100K</v>
          </cell>
          <cell r="AB1450" t="str">
            <v>2010 or before</v>
          </cell>
        </row>
        <row r="1451">
          <cell r="E1451">
            <v>37421.449999999997</v>
          </cell>
          <cell r="Z1451" t="str">
            <v>Legacy</v>
          </cell>
          <cell r="AA1451" t="str">
            <v>$10K-$100K</v>
          </cell>
          <cell r="AB1451" t="str">
            <v>2010 or before</v>
          </cell>
        </row>
        <row r="1452">
          <cell r="E1452">
            <v>37309.589999999997</v>
          </cell>
          <cell r="Z1452" t="str">
            <v>Legacy</v>
          </cell>
          <cell r="AA1452" t="str">
            <v>$10K-$100K</v>
          </cell>
          <cell r="AB1452">
            <v>2011</v>
          </cell>
        </row>
        <row r="1453">
          <cell r="E1453">
            <v>37157.11</v>
          </cell>
          <cell r="Z1453" t="str">
            <v>Legacy</v>
          </cell>
          <cell r="AA1453" t="str">
            <v>$10K-$100K</v>
          </cell>
          <cell r="AB1453" t="str">
            <v>2010 or before</v>
          </cell>
        </row>
        <row r="1454">
          <cell r="E1454">
            <v>37139.089999999997</v>
          </cell>
          <cell r="Z1454" t="str">
            <v>Legacy</v>
          </cell>
          <cell r="AA1454" t="str">
            <v>$10K-$100K</v>
          </cell>
          <cell r="AB1454" t="str">
            <v>2010 or before</v>
          </cell>
        </row>
        <row r="1455">
          <cell r="E1455">
            <v>37073.839999999997</v>
          </cell>
          <cell r="Z1455" t="str">
            <v>Ungating</v>
          </cell>
          <cell r="AA1455" t="str">
            <v>$10K-$100K</v>
          </cell>
          <cell r="AB1455">
            <v>2012</v>
          </cell>
        </row>
        <row r="1456">
          <cell r="E1456">
            <v>37067.599999999999</v>
          </cell>
          <cell r="Z1456" t="str">
            <v>Legacy</v>
          </cell>
          <cell r="AA1456" t="str">
            <v>$10K-$100K</v>
          </cell>
          <cell r="AB1456" t="str">
            <v>2010 or before</v>
          </cell>
        </row>
        <row r="1457">
          <cell r="E1457">
            <v>37038.550000000003</v>
          </cell>
          <cell r="Z1457" t="str">
            <v>Legacy</v>
          </cell>
          <cell r="AA1457" t="str">
            <v>$10K-$100K</v>
          </cell>
          <cell r="AB1457" t="str">
            <v>2010 or before</v>
          </cell>
        </row>
        <row r="1458">
          <cell r="E1458">
            <v>36713.56</v>
          </cell>
          <cell r="Z1458" t="str">
            <v>Ungating</v>
          </cell>
          <cell r="AA1458" t="str">
            <v>$10K-$100K</v>
          </cell>
          <cell r="AB1458">
            <v>2011</v>
          </cell>
        </row>
        <row r="1459">
          <cell r="E1459">
            <v>36695.25</v>
          </cell>
          <cell r="Z1459" t="str">
            <v>Legacy</v>
          </cell>
          <cell r="AA1459" t="str">
            <v>$10K-$100K</v>
          </cell>
          <cell r="AB1459" t="str">
            <v>2010 or before</v>
          </cell>
        </row>
        <row r="1460">
          <cell r="E1460">
            <v>36561.620000000003</v>
          </cell>
          <cell r="Z1460" t="str">
            <v>Legacy</v>
          </cell>
          <cell r="AA1460" t="str">
            <v>$10K-$100K</v>
          </cell>
          <cell r="AB1460" t="str">
            <v>2010 or before</v>
          </cell>
        </row>
        <row r="1461">
          <cell r="E1461">
            <v>36532.089999999997</v>
          </cell>
          <cell r="Z1461" t="str">
            <v>Inbound</v>
          </cell>
          <cell r="AA1461" t="str">
            <v>$10K-$100K</v>
          </cell>
          <cell r="AB1461">
            <v>2012</v>
          </cell>
        </row>
        <row r="1462">
          <cell r="E1462">
            <v>36528.53</v>
          </cell>
          <cell r="Z1462" t="str">
            <v>Legacy</v>
          </cell>
          <cell r="AA1462" t="str">
            <v>$10K-$100K</v>
          </cell>
          <cell r="AB1462" t="str">
            <v>2010 or before</v>
          </cell>
        </row>
        <row r="1463">
          <cell r="E1463">
            <v>36478.71</v>
          </cell>
          <cell r="Z1463" t="str">
            <v>Legacy</v>
          </cell>
          <cell r="AA1463" t="str">
            <v>$10K-$100K</v>
          </cell>
          <cell r="AB1463" t="str">
            <v>2010 or before</v>
          </cell>
        </row>
        <row r="1464">
          <cell r="E1464">
            <v>36350.46</v>
          </cell>
          <cell r="Z1464" t="str">
            <v>Legacy</v>
          </cell>
          <cell r="AA1464" t="str">
            <v>$10K-$100K</v>
          </cell>
          <cell r="AB1464" t="str">
            <v>2010 or before</v>
          </cell>
        </row>
        <row r="1465">
          <cell r="E1465">
            <v>36348.25</v>
          </cell>
          <cell r="Z1465" t="str">
            <v>Outbound</v>
          </cell>
          <cell r="AA1465" t="str">
            <v>$10K-$100K</v>
          </cell>
          <cell r="AB1465">
            <v>2012</v>
          </cell>
        </row>
        <row r="1466">
          <cell r="E1466">
            <v>36342.15</v>
          </cell>
          <cell r="Z1466" t="str">
            <v>Inbound</v>
          </cell>
          <cell r="AA1466" t="str">
            <v>$10K-$100K</v>
          </cell>
          <cell r="AB1466">
            <v>2011</v>
          </cell>
        </row>
        <row r="1467">
          <cell r="E1467">
            <v>36286.089999999997</v>
          </cell>
          <cell r="Z1467" t="str">
            <v>Inbound</v>
          </cell>
          <cell r="AA1467" t="str">
            <v>$10K-$100K</v>
          </cell>
          <cell r="AB1467">
            <v>2012</v>
          </cell>
        </row>
        <row r="1468">
          <cell r="E1468">
            <v>36179.64</v>
          </cell>
          <cell r="Z1468" t="str">
            <v>Ungating</v>
          </cell>
          <cell r="AA1468" t="str">
            <v>$10K-$100K</v>
          </cell>
          <cell r="AB1468">
            <v>2011</v>
          </cell>
        </row>
        <row r="1469">
          <cell r="E1469">
            <v>36124.44</v>
          </cell>
          <cell r="Z1469" t="str">
            <v>Legacy</v>
          </cell>
          <cell r="AA1469" t="str">
            <v>$10K-$100K</v>
          </cell>
          <cell r="AB1469" t="str">
            <v>2010 or before</v>
          </cell>
        </row>
        <row r="1470">
          <cell r="E1470">
            <v>36099.24</v>
          </cell>
          <cell r="Z1470" t="str">
            <v>Legacy</v>
          </cell>
          <cell r="AA1470" t="str">
            <v>$10K-$100K</v>
          </cell>
          <cell r="AB1470" t="str">
            <v>2010 or before</v>
          </cell>
        </row>
        <row r="1471">
          <cell r="E1471">
            <v>36012.46</v>
          </cell>
          <cell r="Z1471" t="str">
            <v>Legacy</v>
          </cell>
          <cell r="AA1471" t="str">
            <v>$10K-$100K</v>
          </cell>
          <cell r="AB1471" t="str">
            <v>2010 or before</v>
          </cell>
        </row>
        <row r="1472">
          <cell r="E1472">
            <v>36010.5</v>
          </cell>
          <cell r="Z1472" t="str">
            <v>Ungating</v>
          </cell>
          <cell r="AA1472" t="str">
            <v>$10K-$100K</v>
          </cell>
          <cell r="AB1472">
            <v>2011</v>
          </cell>
        </row>
        <row r="1473">
          <cell r="E1473">
            <v>35993.75</v>
          </cell>
          <cell r="Z1473" t="str">
            <v>Legacy</v>
          </cell>
          <cell r="AA1473" t="str">
            <v>$10K-$100K</v>
          </cell>
          <cell r="AB1473">
            <v>2012</v>
          </cell>
        </row>
        <row r="1474">
          <cell r="E1474">
            <v>35789.35</v>
          </cell>
          <cell r="Z1474" t="str">
            <v>Legacy</v>
          </cell>
          <cell r="AA1474" t="str">
            <v>$10K-$100K</v>
          </cell>
          <cell r="AB1474" t="str">
            <v>2010 or before</v>
          </cell>
        </row>
        <row r="1475">
          <cell r="E1475">
            <v>35734.04</v>
          </cell>
          <cell r="Z1475" t="str">
            <v>Ungating</v>
          </cell>
          <cell r="AA1475" t="str">
            <v>$10K-$100K</v>
          </cell>
          <cell r="AB1475">
            <v>2012</v>
          </cell>
        </row>
        <row r="1476">
          <cell r="E1476">
            <v>35635.06</v>
          </cell>
          <cell r="Z1476" t="str">
            <v>Legacy</v>
          </cell>
          <cell r="AA1476" t="str">
            <v>$10K-$100K</v>
          </cell>
          <cell r="AB1476" t="str">
            <v>2010 or before</v>
          </cell>
        </row>
        <row r="1477">
          <cell r="E1477">
            <v>35303.14</v>
          </cell>
          <cell r="Z1477" t="str">
            <v>Legacy</v>
          </cell>
          <cell r="AA1477" t="str">
            <v>$10K-$100K</v>
          </cell>
          <cell r="AB1477" t="str">
            <v>2010 or before</v>
          </cell>
        </row>
        <row r="1478">
          <cell r="E1478">
            <v>35302.99</v>
          </cell>
          <cell r="Z1478" t="str">
            <v>Ungating</v>
          </cell>
          <cell r="AA1478" t="str">
            <v>$10K-$100K</v>
          </cell>
          <cell r="AB1478">
            <v>2011</v>
          </cell>
        </row>
        <row r="1479">
          <cell r="E1479">
            <v>35238.36</v>
          </cell>
          <cell r="Z1479" t="str">
            <v>Legacy</v>
          </cell>
          <cell r="AA1479" t="str">
            <v>$10K-$100K</v>
          </cell>
          <cell r="AB1479" t="str">
            <v>2010 or before</v>
          </cell>
        </row>
        <row r="1480">
          <cell r="E1480">
            <v>35233.379999999997</v>
          </cell>
          <cell r="Z1480" t="str">
            <v>Legacy</v>
          </cell>
          <cell r="AA1480" t="str">
            <v>$10K-$100K</v>
          </cell>
          <cell r="AB1480">
            <v>2011</v>
          </cell>
        </row>
        <row r="1481">
          <cell r="E1481">
            <v>35229.730000000003</v>
          </cell>
          <cell r="Z1481" t="str">
            <v>Ungating</v>
          </cell>
          <cell r="AA1481" t="str">
            <v>$10K-$100K</v>
          </cell>
          <cell r="AB1481">
            <v>2012</v>
          </cell>
        </row>
        <row r="1482">
          <cell r="E1482">
            <v>35226.86</v>
          </cell>
          <cell r="Z1482" t="str">
            <v>Legacy</v>
          </cell>
          <cell r="AA1482" t="str">
            <v>$10K-$100K</v>
          </cell>
          <cell r="AB1482" t="str">
            <v>2010 or before</v>
          </cell>
        </row>
        <row r="1483">
          <cell r="E1483">
            <v>35209.17</v>
          </cell>
          <cell r="Z1483" t="str">
            <v>Ungating</v>
          </cell>
          <cell r="AA1483" t="str">
            <v>$10K-$100K</v>
          </cell>
          <cell r="AB1483">
            <v>2012</v>
          </cell>
        </row>
        <row r="1484">
          <cell r="E1484">
            <v>35180.129999999997</v>
          </cell>
          <cell r="Z1484" t="str">
            <v>Ungating</v>
          </cell>
          <cell r="AA1484" t="str">
            <v>$10K-$100K</v>
          </cell>
          <cell r="AB1484">
            <v>2012</v>
          </cell>
        </row>
        <row r="1485">
          <cell r="E1485">
            <v>35154.18</v>
          </cell>
          <cell r="Z1485" t="str">
            <v>Legacy</v>
          </cell>
          <cell r="AA1485" t="str">
            <v>$10K-$100K</v>
          </cell>
          <cell r="AB1485" t="str">
            <v>2010 or before</v>
          </cell>
        </row>
        <row r="1486">
          <cell r="E1486">
            <v>35114.269999999997</v>
          </cell>
          <cell r="Z1486" t="str">
            <v>Legacy</v>
          </cell>
          <cell r="AA1486" t="str">
            <v>$10K-$100K</v>
          </cell>
          <cell r="AB1486" t="str">
            <v>2010 or before</v>
          </cell>
        </row>
        <row r="1487">
          <cell r="E1487">
            <v>35007.769999999997</v>
          </cell>
          <cell r="Z1487" t="str">
            <v>Legacy</v>
          </cell>
          <cell r="AA1487" t="str">
            <v>$10K-$100K</v>
          </cell>
          <cell r="AB1487" t="str">
            <v>2010 or before</v>
          </cell>
        </row>
        <row r="1488">
          <cell r="E1488">
            <v>34992.199999999997</v>
          </cell>
          <cell r="Z1488" t="str">
            <v>Legacy</v>
          </cell>
          <cell r="AA1488" t="str">
            <v>$10K-$100K</v>
          </cell>
          <cell r="AB1488" t="str">
            <v>2010 or before</v>
          </cell>
        </row>
        <row r="1489">
          <cell r="E1489">
            <v>34976.85</v>
          </cell>
          <cell r="Z1489" t="str">
            <v>Legacy</v>
          </cell>
          <cell r="AA1489" t="str">
            <v>$10K-$100K</v>
          </cell>
          <cell r="AB1489">
            <v>2012</v>
          </cell>
        </row>
        <row r="1490">
          <cell r="E1490">
            <v>34955</v>
          </cell>
          <cell r="Z1490" t="str">
            <v>Ungating</v>
          </cell>
          <cell r="AA1490" t="str">
            <v>$10K-$100K</v>
          </cell>
          <cell r="AB1490">
            <v>2012</v>
          </cell>
        </row>
        <row r="1491">
          <cell r="E1491">
            <v>34938.22</v>
          </cell>
          <cell r="Z1491" t="str">
            <v>Legacy</v>
          </cell>
          <cell r="AA1491" t="str">
            <v>$10K-$100K</v>
          </cell>
          <cell r="AB1491" t="str">
            <v>2010 or before</v>
          </cell>
        </row>
        <row r="1492">
          <cell r="E1492">
            <v>34930.78</v>
          </cell>
          <cell r="Z1492" t="str">
            <v>Legacy</v>
          </cell>
          <cell r="AA1492" t="str">
            <v>$10K-$100K</v>
          </cell>
          <cell r="AB1492" t="str">
            <v>2010 or before</v>
          </cell>
        </row>
        <row r="1493">
          <cell r="E1493">
            <v>34841.65</v>
          </cell>
          <cell r="Z1493" t="str">
            <v>Inbound</v>
          </cell>
          <cell r="AA1493" t="str">
            <v>$10K-$100K</v>
          </cell>
          <cell r="AB1493">
            <v>2012</v>
          </cell>
        </row>
        <row r="1494">
          <cell r="E1494">
            <v>34801.94</v>
          </cell>
          <cell r="Z1494" t="str">
            <v>Legacy</v>
          </cell>
          <cell r="AA1494" t="str">
            <v>$10K-$100K</v>
          </cell>
          <cell r="AB1494" t="str">
            <v>2010 or before</v>
          </cell>
        </row>
        <row r="1495">
          <cell r="E1495">
            <v>34566.28</v>
          </cell>
          <cell r="Z1495" t="str">
            <v>Ungating</v>
          </cell>
          <cell r="AA1495" t="str">
            <v>$10K-$100K</v>
          </cell>
          <cell r="AB1495">
            <v>2012</v>
          </cell>
        </row>
        <row r="1496">
          <cell r="E1496">
            <v>34549.589999999997</v>
          </cell>
          <cell r="Z1496" t="str">
            <v>Inbound</v>
          </cell>
          <cell r="AA1496" t="str">
            <v>$10K-$100K</v>
          </cell>
          <cell r="AB1496">
            <v>2012</v>
          </cell>
        </row>
        <row r="1497">
          <cell r="E1497">
            <v>34533.17</v>
          </cell>
          <cell r="Z1497" t="str">
            <v>Legacy</v>
          </cell>
          <cell r="AA1497" t="str">
            <v>$10K-$100K</v>
          </cell>
          <cell r="AB1497" t="str">
            <v>2010 or before</v>
          </cell>
        </row>
        <row r="1498">
          <cell r="E1498">
            <v>34431.4</v>
          </cell>
          <cell r="Z1498" t="str">
            <v>Inbound</v>
          </cell>
          <cell r="AA1498" t="str">
            <v>$10K-$100K</v>
          </cell>
          <cell r="AB1498">
            <v>2011</v>
          </cell>
        </row>
        <row r="1499">
          <cell r="E1499">
            <v>34403.410000000003</v>
          </cell>
          <cell r="Z1499" t="str">
            <v>Legacy</v>
          </cell>
          <cell r="AA1499" t="str">
            <v>$10K-$100K</v>
          </cell>
          <cell r="AB1499" t="str">
            <v>2010 or before</v>
          </cell>
        </row>
        <row r="1500">
          <cell r="E1500">
            <v>34370.800000000003</v>
          </cell>
          <cell r="Z1500" t="str">
            <v>Ungating</v>
          </cell>
          <cell r="AA1500" t="str">
            <v>$10K-$100K</v>
          </cell>
          <cell r="AB1500">
            <v>2012</v>
          </cell>
        </row>
        <row r="1501">
          <cell r="E1501">
            <v>34348.879999999997</v>
          </cell>
          <cell r="Z1501" t="str">
            <v>Legacy</v>
          </cell>
          <cell r="AA1501" t="str">
            <v>$10K-$100K</v>
          </cell>
          <cell r="AB1501">
            <v>2012</v>
          </cell>
        </row>
        <row r="1502">
          <cell r="E1502">
            <v>34336.32</v>
          </cell>
          <cell r="Z1502" t="str">
            <v>Inbound</v>
          </cell>
          <cell r="AA1502" t="str">
            <v>$10K-$100K</v>
          </cell>
          <cell r="AB1502">
            <v>2011</v>
          </cell>
        </row>
        <row r="1503">
          <cell r="E1503">
            <v>34313.39</v>
          </cell>
          <cell r="Z1503" t="str">
            <v>Global</v>
          </cell>
          <cell r="AA1503" t="str">
            <v>$10K-$100K</v>
          </cell>
          <cell r="AB1503">
            <v>2012</v>
          </cell>
        </row>
        <row r="1504">
          <cell r="E1504">
            <v>34189.74</v>
          </cell>
          <cell r="Z1504" t="str">
            <v>Ungating</v>
          </cell>
          <cell r="AA1504" t="str">
            <v>$10K-$100K</v>
          </cell>
          <cell r="AB1504">
            <v>2012</v>
          </cell>
        </row>
        <row r="1505">
          <cell r="E1505">
            <v>34081.660000000003</v>
          </cell>
          <cell r="Z1505" t="str">
            <v>Legacy</v>
          </cell>
          <cell r="AA1505" t="str">
            <v>$10K-$100K</v>
          </cell>
          <cell r="AB1505" t="str">
            <v>2010 or before</v>
          </cell>
        </row>
        <row r="1506">
          <cell r="E1506">
            <v>34081.07</v>
          </cell>
          <cell r="Z1506" t="str">
            <v>Legacy</v>
          </cell>
          <cell r="AA1506" t="str">
            <v>$10K-$100K</v>
          </cell>
          <cell r="AB1506" t="str">
            <v>2010 or before</v>
          </cell>
        </row>
        <row r="1507">
          <cell r="E1507">
            <v>34018.080000000002</v>
          </cell>
          <cell r="Z1507" t="str">
            <v>Legacy</v>
          </cell>
          <cell r="AA1507" t="str">
            <v>$10K-$100K</v>
          </cell>
          <cell r="AB1507" t="str">
            <v>2010 or before</v>
          </cell>
        </row>
        <row r="1508">
          <cell r="E1508">
            <v>33950.26</v>
          </cell>
          <cell r="Z1508" t="str">
            <v>Legacy</v>
          </cell>
          <cell r="AA1508" t="str">
            <v>$10K-$100K</v>
          </cell>
          <cell r="AB1508" t="str">
            <v>2010 or before</v>
          </cell>
        </row>
        <row r="1509">
          <cell r="E1509">
            <v>33950.04</v>
          </cell>
          <cell r="Z1509" t="str">
            <v>Legacy</v>
          </cell>
          <cell r="AA1509" t="str">
            <v>$10K-$100K</v>
          </cell>
          <cell r="AB1509" t="str">
            <v>2010 or before</v>
          </cell>
        </row>
        <row r="1510">
          <cell r="E1510">
            <v>33904.639999999999</v>
          </cell>
          <cell r="Z1510" t="str">
            <v>Legacy</v>
          </cell>
          <cell r="AA1510" t="str">
            <v>$10K-$100K</v>
          </cell>
          <cell r="AB1510" t="str">
            <v>2010 or before</v>
          </cell>
        </row>
        <row r="1511">
          <cell r="E1511">
            <v>33882.199999999997</v>
          </cell>
          <cell r="Z1511" t="str">
            <v>Legacy</v>
          </cell>
          <cell r="AA1511" t="str">
            <v>$10K-$100K</v>
          </cell>
          <cell r="AB1511" t="str">
            <v>2010 or before</v>
          </cell>
        </row>
        <row r="1512">
          <cell r="E1512">
            <v>33858.06</v>
          </cell>
          <cell r="Z1512" t="str">
            <v>Ungating</v>
          </cell>
          <cell r="AA1512" t="str">
            <v>$10K-$100K</v>
          </cell>
          <cell r="AB1512">
            <v>2012</v>
          </cell>
        </row>
        <row r="1513">
          <cell r="E1513">
            <v>33854.15</v>
          </cell>
          <cell r="Z1513" t="str">
            <v>Legacy</v>
          </cell>
          <cell r="AA1513" t="str">
            <v>$10K-$100K</v>
          </cell>
          <cell r="AB1513">
            <v>2012</v>
          </cell>
        </row>
        <row r="1514">
          <cell r="E1514">
            <v>33747.089999999997</v>
          </cell>
          <cell r="Z1514" t="str">
            <v>Legacy</v>
          </cell>
          <cell r="AA1514" t="str">
            <v>$10K-$100K</v>
          </cell>
          <cell r="AB1514" t="str">
            <v>2010 or before</v>
          </cell>
        </row>
        <row r="1515">
          <cell r="E1515">
            <v>33714.68</v>
          </cell>
          <cell r="Z1515" t="str">
            <v>Legacy</v>
          </cell>
          <cell r="AA1515" t="str">
            <v>$10K-$100K</v>
          </cell>
          <cell r="AB1515" t="str">
            <v>2010 or before</v>
          </cell>
        </row>
        <row r="1516">
          <cell r="E1516">
            <v>33543.82</v>
          </cell>
          <cell r="Z1516" t="str">
            <v>Global</v>
          </cell>
          <cell r="AA1516" t="str">
            <v>$10K-$100K</v>
          </cell>
          <cell r="AB1516">
            <v>2012</v>
          </cell>
        </row>
        <row r="1517">
          <cell r="E1517">
            <v>33452.61</v>
          </cell>
          <cell r="Z1517" t="str">
            <v>Legacy</v>
          </cell>
          <cell r="AA1517" t="str">
            <v>$10K-$100K</v>
          </cell>
          <cell r="AB1517" t="str">
            <v>2010 or before</v>
          </cell>
        </row>
        <row r="1518">
          <cell r="E1518">
            <v>33424.800000000003</v>
          </cell>
          <cell r="Z1518" t="str">
            <v>Legacy</v>
          </cell>
          <cell r="AA1518" t="str">
            <v>$10K-$100K</v>
          </cell>
          <cell r="AB1518" t="str">
            <v>2010 or before</v>
          </cell>
        </row>
        <row r="1519">
          <cell r="E1519">
            <v>33395.53</v>
          </cell>
          <cell r="Z1519" t="str">
            <v>Inbound</v>
          </cell>
          <cell r="AA1519" t="str">
            <v>$10K-$100K</v>
          </cell>
          <cell r="AB1519">
            <v>2012</v>
          </cell>
        </row>
        <row r="1520">
          <cell r="E1520">
            <v>33275.39</v>
          </cell>
          <cell r="Z1520" t="str">
            <v>Legacy</v>
          </cell>
          <cell r="AA1520" t="str">
            <v>$10K-$100K</v>
          </cell>
          <cell r="AB1520" t="str">
            <v>2010 or before</v>
          </cell>
        </row>
        <row r="1521">
          <cell r="E1521">
            <v>33219.67</v>
          </cell>
          <cell r="Z1521" t="str">
            <v>Ungating</v>
          </cell>
          <cell r="AA1521" t="str">
            <v>$10K-$100K</v>
          </cell>
          <cell r="AB1521">
            <v>2012</v>
          </cell>
        </row>
        <row r="1522">
          <cell r="E1522">
            <v>33207.269999999997</v>
          </cell>
          <cell r="Z1522" t="str">
            <v>Inbound</v>
          </cell>
          <cell r="AA1522" t="str">
            <v>$10K-$100K</v>
          </cell>
          <cell r="AB1522">
            <v>2012</v>
          </cell>
        </row>
        <row r="1523">
          <cell r="E1523">
            <v>33200.959999999999</v>
          </cell>
          <cell r="Z1523" t="str">
            <v>Legacy</v>
          </cell>
          <cell r="AA1523" t="str">
            <v>$10K-$100K</v>
          </cell>
          <cell r="AB1523">
            <v>2011</v>
          </cell>
        </row>
        <row r="1524">
          <cell r="E1524">
            <v>33184.050000000003</v>
          </cell>
          <cell r="Z1524" t="str">
            <v>Legacy</v>
          </cell>
          <cell r="AA1524" t="str">
            <v>$10K-$100K</v>
          </cell>
          <cell r="AB1524" t="str">
            <v>2010 or before</v>
          </cell>
        </row>
        <row r="1525">
          <cell r="E1525">
            <v>33099.370000000003</v>
          </cell>
          <cell r="Z1525" t="str">
            <v>Legacy</v>
          </cell>
          <cell r="AA1525" t="str">
            <v>$10K-$100K</v>
          </cell>
          <cell r="AB1525" t="str">
            <v>2010 or before</v>
          </cell>
        </row>
        <row r="1526">
          <cell r="E1526">
            <v>33085</v>
          </cell>
          <cell r="Z1526" t="str">
            <v>Inbound</v>
          </cell>
          <cell r="AA1526" t="str">
            <v>$10K-$100K</v>
          </cell>
          <cell r="AB1526">
            <v>2012</v>
          </cell>
        </row>
        <row r="1527">
          <cell r="E1527">
            <v>32991.440000000002</v>
          </cell>
          <cell r="Z1527" t="str">
            <v>Ungating</v>
          </cell>
          <cell r="AA1527" t="str">
            <v>$10K-$100K</v>
          </cell>
          <cell r="AB1527">
            <v>2012</v>
          </cell>
        </row>
        <row r="1528">
          <cell r="E1528">
            <v>32965.480000000003</v>
          </cell>
          <cell r="Z1528" t="str">
            <v>Legacy</v>
          </cell>
          <cell r="AA1528" t="str">
            <v>$10K-$100K</v>
          </cell>
          <cell r="AB1528" t="str">
            <v>2010 or before</v>
          </cell>
        </row>
        <row r="1529">
          <cell r="E1529">
            <v>32924.25</v>
          </cell>
          <cell r="Z1529" t="str">
            <v>Legacy</v>
          </cell>
          <cell r="AA1529" t="str">
            <v>$10K-$100K</v>
          </cell>
          <cell r="AB1529">
            <v>2012</v>
          </cell>
        </row>
        <row r="1530">
          <cell r="E1530">
            <v>32901.24</v>
          </cell>
          <cell r="Z1530" t="str">
            <v>Ungating</v>
          </cell>
          <cell r="AA1530" t="str">
            <v>$10K-$100K</v>
          </cell>
          <cell r="AB1530">
            <v>2012</v>
          </cell>
        </row>
        <row r="1531">
          <cell r="E1531">
            <v>32823.230000000003</v>
          </cell>
          <cell r="Z1531" t="str">
            <v>Legacy</v>
          </cell>
          <cell r="AA1531" t="str">
            <v>$10K-$100K</v>
          </cell>
          <cell r="AB1531" t="str">
            <v>2010 or before</v>
          </cell>
        </row>
        <row r="1532">
          <cell r="E1532">
            <v>32802.99</v>
          </cell>
          <cell r="Z1532" t="str">
            <v>Ungating</v>
          </cell>
          <cell r="AA1532" t="str">
            <v>$10K-$100K</v>
          </cell>
          <cell r="AB1532">
            <v>2012</v>
          </cell>
        </row>
        <row r="1533">
          <cell r="E1533">
            <v>32802.239999999998</v>
          </cell>
          <cell r="Z1533" t="str">
            <v>Legacy</v>
          </cell>
          <cell r="AA1533" t="str">
            <v>$10K-$100K</v>
          </cell>
          <cell r="AB1533" t="str">
            <v>2010 or before</v>
          </cell>
        </row>
        <row r="1534">
          <cell r="E1534">
            <v>32763.58</v>
          </cell>
          <cell r="Z1534" t="str">
            <v>Legacy</v>
          </cell>
          <cell r="AA1534" t="str">
            <v>$10K-$100K</v>
          </cell>
          <cell r="AB1534" t="str">
            <v>2010 or before</v>
          </cell>
        </row>
        <row r="1535">
          <cell r="E1535">
            <v>32644.12</v>
          </cell>
          <cell r="Z1535" t="str">
            <v>Legacy</v>
          </cell>
          <cell r="AA1535" t="str">
            <v>$10K-$100K</v>
          </cell>
          <cell r="AB1535" t="str">
            <v>2010 or before</v>
          </cell>
        </row>
        <row r="1536">
          <cell r="E1536">
            <v>32635.17</v>
          </cell>
          <cell r="Z1536" t="str">
            <v>Legacy</v>
          </cell>
          <cell r="AA1536" t="str">
            <v>$10K-$100K</v>
          </cell>
          <cell r="AB1536" t="str">
            <v>2010 or before</v>
          </cell>
        </row>
        <row r="1537">
          <cell r="E1537">
            <v>32569.31</v>
          </cell>
          <cell r="Z1537" t="str">
            <v>Global</v>
          </cell>
          <cell r="AA1537" t="str">
            <v>$10K-$100K</v>
          </cell>
          <cell r="AB1537">
            <v>2012</v>
          </cell>
        </row>
        <row r="1538">
          <cell r="E1538">
            <v>32564.400000000001</v>
          </cell>
          <cell r="Z1538" t="str">
            <v>Legacy</v>
          </cell>
          <cell r="AA1538" t="str">
            <v>$10K-$100K</v>
          </cell>
          <cell r="AB1538" t="str">
            <v>2010 or before</v>
          </cell>
        </row>
        <row r="1539">
          <cell r="E1539">
            <v>32458.36</v>
          </cell>
          <cell r="Z1539" t="str">
            <v>Legacy</v>
          </cell>
          <cell r="AA1539" t="str">
            <v>$10K-$100K</v>
          </cell>
          <cell r="AB1539" t="str">
            <v>2010 or before</v>
          </cell>
        </row>
        <row r="1540">
          <cell r="E1540">
            <v>32422.06</v>
          </cell>
          <cell r="Z1540" t="str">
            <v>Legacy</v>
          </cell>
          <cell r="AA1540" t="str">
            <v>$10K-$100K</v>
          </cell>
          <cell r="AB1540" t="str">
            <v>2010 or before</v>
          </cell>
        </row>
        <row r="1541">
          <cell r="E1541">
            <v>32269.29</v>
          </cell>
          <cell r="Z1541" t="str">
            <v>Legacy</v>
          </cell>
          <cell r="AA1541" t="str">
            <v>$10K-$100K</v>
          </cell>
          <cell r="AB1541" t="str">
            <v>2010 or before</v>
          </cell>
        </row>
        <row r="1542">
          <cell r="E1542">
            <v>32220.15</v>
          </cell>
          <cell r="Z1542" t="str">
            <v>Ungating</v>
          </cell>
          <cell r="AA1542" t="str">
            <v>$10K-$100K</v>
          </cell>
          <cell r="AB1542">
            <v>2012</v>
          </cell>
        </row>
        <row r="1543">
          <cell r="E1543">
            <v>32159.57</v>
          </cell>
          <cell r="Z1543" t="str">
            <v>Ungating</v>
          </cell>
          <cell r="AA1543" t="str">
            <v>$10K-$100K</v>
          </cell>
          <cell r="AB1543">
            <v>2011</v>
          </cell>
        </row>
        <row r="1544">
          <cell r="E1544">
            <v>32132.400000000001</v>
          </cell>
          <cell r="Z1544" t="str">
            <v>Legacy</v>
          </cell>
          <cell r="AA1544" t="str">
            <v>$10K-$100K</v>
          </cell>
          <cell r="AB1544" t="str">
            <v>2010 or before</v>
          </cell>
        </row>
        <row r="1545">
          <cell r="E1545">
            <v>32083.35</v>
          </cell>
          <cell r="Z1545" t="str">
            <v>Legacy</v>
          </cell>
          <cell r="AA1545" t="str">
            <v>$10K-$100K</v>
          </cell>
          <cell r="AB1545" t="str">
            <v>2010 or before</v>
          </cell>
        </row>
        <row r="1546">
          <cell r="E1546">
            <v>31868.49</v>
          </cell>
          <cell r="Z1546" t="str">
            <v>Legacy</v>
          </cell>
          <cell r="AA1546" t="str">
            <v>$10K-$100K</v>
          </cell>
          <cell r="AB1546" t="str">
            <v>2010 or before</v>
          </cell>
        </row>
        <row r="1547">
          <cell r="E1547">
            <v>31829.599999999999</v>
          </cell>
          <cell r="Z1547" t="str">
            <v>Inbound</v>
          </cell>
          <cell r="AA1547" t="str">
            <v>$10K-$100K</v>
          </cell>
          <cell r="AB1547">
            <v>2011</v>
          </cell>
        </row>
        <row r="1548">
          <cell r="E1548">
            <v>31810.63</v>
          </cell>
          <cell r="Z1548" t="str">
            <v>Legacy</v>
          </cell>
          <cell r="AA1548" t="str">
            <v>$10K-$100K</v>
          </cell>
          <cell r="AB1548" t="str">
            <v>2010 or before</v>
          </cell>
        </row>
        <row r="1549">
          <cell r="E1549">
            <v>31790.7</v>
          </cell>
          <cell r="Z1549" t="str">
            <v>Ungating</v>
          </cell>
          <cell r="AA1549" t="str">
            <v>$10K-$100K</v>
          </cell>
          <cell r="AB1549">
            <v>2012</v>
          </cell>
        </row>
        <row r="1550">
          <cell r="E1550">
            <v>31787.16</v>
          </cell>
          <cell r="Z1550" t="str">
            <v>Strategic</v>
          </cell>
          <cell r="AA1550" t="str">
            <v>$10K-$100K</v>
          </cell>
          <cell r="AB1550">
            <v>2012</v>
          </cell>
        </row>
        <row r="1551">
          <cell r="E1551">
            <v>31767.62</v>
          </cell>
          <cell r="Z1551" t="str">
            <v>Ungating</v>
          </cell>
          <cell r="AA1551" t="str">
            <v>$10K-$100K</v>
          </cell>
          <cell r="AB1551">
            <v>2012</v>
          </cell>
        </row>
        <row r="1552">
          <cell r="E1552">
            <v>31726.55</v>
          </cell>
          <cell r="Z1552" t="str">
            <v>Outbound</v>
          </cell>
          <cell r="AA1552" t="str">
            <v>$10K-$100K</v>
          </cell>
          <cell r="AB1552">
            <v>2012</v>
          </cell>
        </row>
        <row r="1553">
          <cell r="E1553">
            <v>31716.97</v>
          </cell>
          <cell r="Z1553" t="str">
            <v>Ungating</v>
          </cell>
          <cell r="AA1553" t="str">
            <v>$10K-$100K</v>
          </cell>
          <cell r="AB1553">
            <v>2012</v>
          </cell>
        </row>
        <row r="1554">
          <cell r="E1554">
            <v>31671.19</v>
          </cell>
          <cell r="Z1554" t="str">
            <v>Legacy</v>
          </cell>
          <cell r="AA1554" t="str">
            <v>$10K-$100K</v>
          </cell>
          <cell r="AB1554" t="str">
            <v>2010 or before</v>
          </cell>
        </row>
        <row r="1555">
          <cell r="E1555">
            <v>31658.63</v>
          </cell>
          <cell r="Z1555" t="str">
            <v>Legacy</v>
          </cell>
          <cell r="AA1555" t="str">
            <v>$10K-$100K</v>
          </cell>
          <cell r="AB1555" t="str">
            <v>2010 or before</v>
          </cell>
        </row>
        <row r="1556">
          <cell r="E1556">
            <v>31543.599999999999</v>
          </cell>
          <cell r="Z1556" t="str">
            <v>Legacy</v>
          </cell>
          <cell r="AA1556" t="str">
            <v>$10K-$100K</v>
          </cell>
          <cell r="AB1556" t="str">
            <v>2010 or before</v>
          </cell>
        </row>
        <row r="1557">
          <cell r="E1557">
            <v>31275.59</v>
          </cell>
          <cell r="Z1557" t="str">
            <v>Inbound</v>
          </cell>
          <cell r="AA1557" t="str">
            <v>$10K-$100K</v>
          </cell>
          <cell r="AB1557">
            <v>2012</v>
          </cell>
        </row>
        <row r="1558">
          <cell r="E1558">
            <v>31219.33</v>
          </cell>
          <cell r="Z1558" t="str">
            <v>Legacy</v>
          </cell>
          <cell r="AA1558" t="str">
            <v>$10K-$100K</v>
          </cell>
          <cell r="AB1558" t="str">
            <v>2010 or before</v>
          </cell>
        </row>
        <row r="1559">
          <cell r="E1559">
            <v>31206.75</v>
          </cell>
          <cell r="Z1559" t="str">
            <v>Legacy</v>
          </cell>
          <cell r="AA1559" t="str">
            <v>$10K-$100K</v>
          </cell>
          <cell r="AB1559">
            <v>2011</v>
          </cell>
        </row>
        <row r="1560">
          <cell r="E1560">
            <v>31121.78</v>
          </cell>
          <cell r="Z1560" t="str">
            <v>Legacy</v>
          </cell>
          <cell r="AA1560" t="str">
            <v>$10K-$100K</v>
          </cell>
          <cell r="AB1560" t="str">
            <v>2010 or before</v>
          </cell>
        </row>
        <row r="1561">
          <cell r="E1561">
            <v>31111.21</v>
          </cell>
          <cell r="Z1561" t="str">
            <v>Ungating</v>
          </cell>
          <cell r="AA1561" t="str">
            <v>$10K-$100K</v>
          </cell>
          <cell r="AB1561">
            <v>2012</v>
          </cell>
        </row>
        <row r="1562">
          <cell r="E1562">
            <v>31072.9</v>
          </cell>
          <cell r="Z1562" t="str">
            <v>Legacy</v>
          </cell>
          <cell r="AA1562" t="str">
            <v>$10K-$100K</v>
          </cell>
          <cell r="AB1562" t="str">
            <v>2010 or before</v>
          </cell>
        </row>
        <row r="1563">
          <cell r="E1563">
            <v>31043.95</v>
          </cell>
          <cell r="Z1563" t="str">
            <v>Ungating</v>
          </cell>
          <cell r="AA1563" t="str">
            <v>$10K-$100K</v>
          </cell>
          <cell r="AB1563">
            <v>2012</v>
          </cell>
        </row>
        <row r="1564">
          <cell r="E1564">
            <v>30981.919999999998</v>
          </cell>
          <cell r="Z1564" t="str">
            <v>Legacy</v>
          </cell>
          <cell r="AA1564" t="str">
            <v>$10K-$100K</v>
          </cell>
          <cell r="AB1564" t="str">
            <v>2010 or before</v>
          </cell>
        </row>
        <row r="1565">
          <cell r="E1565">
            <v>30947.87</v>
          </cell>
          <cell r="Z1565" t="str">
            <v>Ungating</v>
          </cell>
          <cell r="AA1565" t="str">
            <v>$10K-$100K</v>
          </cell>
          <cell r="AB1565">
            <v>2011</v>
          </cell>
        </row>
        <row r="1566">
          <cell r="E1566">
            <v>30932.68</v>
          </cell>
          <cell r="Z1566" t="str">
            <v>Ungating</v>
          </cell>
          <cell r="AA1566" t="str">
            <v>$10K-$100K</v>
          </cell>
          <cell r="AB1566">
            <v>2012</v>
          </cell>
        </row>
        <row r="1567">
          <cell r="E1567">
            <v>30919.68</v>
          </cell>
          <cell r="Z1567" t="str">
            <v>Legacy</v>
          </cell>
          <cell r="AA1567" t="str">
            <v>$10K-$100K</v>
          </cell>
          <cell r="AB1567" t="str">
            <v>2010 or before</v>
          </cell>
        </row>
        <row r="1568">
          <cell r="E1568">
            <v>30905.97</v>
          </cell>
          <cell r="Z1568" t="str">
            <v>Legacy</v>
          </cell>
          <cell r="AA1568" t="str">
            <v>$10K-$100K</v>
          </cell>
          <cell r="AB1568">
            <v>2011</v>
          </cell>
        </row>
        <row r="1569">
          <cell r="E1569">
            <v>30869.73</v>
          </cell>
          <cell r="Z1569" t="str">
            <v>Legacy</v>
          </cell>
          <cell r="AA1569" t="str">
            <v>$10K-$100K</v>
          </cell>
          <cell r="AB1569" t="str">
            <v>2010 or before</v>
          </cell>
        </row>
        <row r="1570">
          <cell r="E1570">
            <v>30863.919999999998</v>
          </cell>
          <cell r="Z1570" t="str">
            <v>Legacy</v>
          </cell>
          <cell r="AA1570" t="str">
            <v>$10K-$100K</v>
          </cell>
          <cell r="AB1570" t="str">
            <v>2010 or before</v>
          </cell>
        </row>
        <row r="1571">
          <cell r="E1571">
            <v>30863.200000000001</v>
          </cell>
          <cell r="Z1571" t="str">
            <v>Legacy</v>
          </cell>
          <cell r="AA1571" t="str">
            <v>$10K-$100K</v>
          </cell>
          <cell r="AB1571" t="str">
            <v>2010 or before</v>
          </cell>
        </row>
        <row r="1572">
          <cell r="E1572">
            <v>30838.32</v>
          </cell>
          <cell r="Z1572" t="str">
            <v>Legacy</v>
          </cell>
          <cell r="AA1572" t="str">
            <v>$10K-$100K</v>
          </cell>
          <cell r="AB1572" t="str">
            <v>2010 or before</v>
          </cell>
        </row>
        <row r="1573">
          <cell r="E1573">
            <v>30825.66</v>
          </cell>
          <cell r="Z1573" t="str">
            <v>Legacy</v>
          </cell>
          <cell r="AA1573" t="str">
            <v>$10K-$100K</v>
          </cell>
          <cell r="AB1573" t="str">
            <v>2010 or before</v>
          </cell>
        </row>
        <row r="1574">
          <cell r="E1574">
            <v>30784.97</v>
          </cell>
          <cell r="Z1574" t="str">
            <v>Outbound</v>
          </cell>
          <cell r="AA1574" t="str">
            <v>$10K-$100K</v>
          </cell>
          <cell r="AB1574">
            <v>2012</v>
          </cell>
        </row>
        <row r="1575">
          <cell r="E1575">
            <v>30778.01</v>
          </cell>
          <cell r="Z1575" t="str">
            <v>Legacy</v>
          </cell>
          <cell r="AA1575" t="str">
            <v>$10K-$100K</v>
          </cell>
          <cell r="AB1575" t="str">
            <v>2010 or before</v>
          </cell>
        </row>
        <row r="1576">
          <cell r="E1576">
            <v>30585.22</v>
          </cell>
          <cell r="Z1576" t="str">
            <v>Inbound</v>
          </cell>
          <cell r="AA1576" t="str">
            <v>$10K-$100K</v>
          </cell>
          <cell r="AB1576">
            <v>2012</v>
          </cell>
        </row>
        <row r="1577">
          <cell r="E1577">
            <v>30573.360000000001</v>
          </cell>
          <cell r="Z1577" t="str">
            <v>Inbound</v>
          </cell>
          <cell r="AA1577" t="str">
            <v>$10K-$100K</v>
          </cell>
          <cell r="AB1577">
            <v>2011</v>
          </cell>
        </row>
        <row r="1578">
          <cell r="E1578">
            <v>30508.28</v>
          </cell>
          <cell r="Z1578" t="str">
            <v>Legacy</v>
          </cell>
          <cell r="AA1578" t="str">
            <v>$10K-$100K</v>
          </cell>
          <cell r="AB1578" t="str">
            <v>2010 or before</v>
          </cell>
        </row>
        <row r="1579">
          <cell r="E1579">
            <v>30455.23</v>
          </cell>
          <cell r="Z1579" t="str">
            <v>Ungating</v>
          </cell>
          <cell r="AA1579" t="str">
            <v>$10K-$100K</v>
          </cell>
          <cell r="AB1579">
            <v>2012</v>
          </cell>
        </row>
        <row r="1580">
          <cell r="E1580">
            <v>30383.53</v>
          </cell>
          <cell r="Z1580" t="str">
            <v>Legacy</v>
          </cell>
          <cell r="AA1580" t="str">
            <v>$10K-$100K</v>
          </cell>
          <cell r="AB1580" t="str">
            <v>2010 or before</v>
          </cell>
        </row>
        <row r="1581">
          <cell r="E1581">
            <v>30362.83</v>
          </cell>
          <cell r="Z1581" t="str">
            <v>Legacy</v>
          </cell>
          <cell r="AA1581" t="str">
            <v>$10K-$100K</v>
          </cell>
          <cell r="AB1581" t="str">
            <v>2010 or before</v>
          </cell>
        </row>
        <row r="1582">
          <cell r="E1582">
            <v>30349.32</v>
          </cell>
          <cell r="Z1582" t="str">
            <v>Legacy</v>
          </cell>
          <cell r="AA1582" t="str">
            <v>$10K-$100K</v>
          </cell>
          <cell r="AB1582" t="str">
            <v>2010 or before</v>
          </cell>
        </row>
        <row r="1583">
          <cell r="E1583">
            <v>30128.66</v>
          </cell>
          <cell r="Z1583" t="str">
            <v>Ungating</v>
          </cell>
          <cell r="AA1583" t="str">
            <v>$10K-$100K</v>
          </cell>
          <cell r="AB1583">
            <v>2012</v>
          </cell>
        </row>
        <row r="1584">
          <cell r="E1584">
            <v>30051.79</v>
          </cell>
          <cell r="Z1584" t="str">
            <v>Legacy</v>
          </cell>
          <cell r="AA1584" t="str">
            <v>$10K-$100K</v>
          </cell>
          <cell r="AB1584" t="str">
            <v>2010 or before</v>
          </cell>
        </row>
        <row r="1585">
          <cell r="E1585">
            <v>30011.03</v>
          </cell>
          <cell r="Z1585" t="str">
            <v>Legacy</v>
          </cell>
          <cell r="AA1585" t="str">
            <v>$10K-$100K</v>
          </cell>
          <cell r="AB1585" t="str">
            <v>2010 or before</v>
          </cell>
        </row>
        <row r="1586">
          <cell r="E1586">
            <v>29979.47</v>
          </cell>
          <cell r="Z1586" t="str">
            <v>Outbound</v>
          </cell>
          <cell r="AA1586" t="str">
            <v>$10K-$100K</v>
          </cell>
          <cell r="AB1586">
            <v>2012</v>
          </cell>
        </row>
        <row r="1587">
          <cell r="E1587">
            <v>29924.21</v>
          </cell>
          <cell r="Z1587" t="str">
            <v>Ungating</v>
          </cell>
          <cell r="AA1587" t="str">
            <v>$10K-$100K</v>
          </cell>
          <cell r="AB1587">
            <v>2012</v>
          </cell>
        </row>
        <row r="1588">
          <cell r="E1588">
            <v>29806.53</v>
          </cell>
          <cell r="Z1588" t="str">
            <v>Legacy</v>
          </cell>
          <cell r="AA1588" t="str">
            <v>$10K-$100K</v>
          </cell>
          <cell r="AB1588" t="str">
            <v>2010 or before</v>
          </cell>
        </row>
        <row r="1589">
          <cell r="E1589">
            <v>29754.39</v>
          </cell>
          <cell r="Z1589" t="str">
            <v>Inbound</v>
          </cell>
          <cell r="AA1589" t="str">
            <v>$10K-$100K</v>
          </cell>
          <cell r="AB1589">
            <v>2011</v>
          </cell>
        </row>
        <row r="1590">
          <cell r="E1590">
            <v>29750.65</v>
          </cell>
          <cell r="Z1590" t="str">
            <v>Legacy</v>
          </cell>
          <cell r="AA1590" t="str">
            <v>$10K-$100K</v>
          </cell>
          <cell r="AB1590" t="str">
            <v>2010 or before</v>
          </cell>
        </row>
        <row r="1591">
          <cell r="E1591">
            <v>29733.18</v>
          </cell>
          <cell r="Z1591" t="str">
            <v>Legacy</v>
          </cell>
          <cell r="AA1591" t="str">
            <v>$10K-$100K</v>
          </cell>
          <cell r="AB1591">
            <v>2011</v>
          </cell>
        </row>
        <row r="1592">
          <cell r="E1592">
            <v>29722.27</v>
          </cell>
          <cell r="Z1592" t="str">
            <v>Legacy</v>
          </cell>
          <cell r="AA1592" t="str">
            <v>$10K-$100K</v>
          </cell>
          <cell r="AB1592" t="str">
            <v>2010 or before</v>
          </cell>
        </row>
        <row r="1593">
          <cell r="E1593">
            <v>29684.58</v>
          </cell>
          <cell r="Z1593" t="str">
            <v>Legacy</v>
          </cell>
          <cell r="AA1593" t="str">
            <v>$10K-$100K</v>
          </cell>
          <cell r="AB1593" t="str">
            <v>2010 or before</v>
          </cell>
        </row>
        <row r="1594">
          <cell r="E1594">
            <v>29646.84</v>
          </cell>
          <cell r="Z1594" t="str">
            <v>Ungating</v>
          </cell>
          <cell r="AA1594" t="str">
            <v>$10K-$100K</v>
          </cell>
          <cell r="AB1594">
            <v>2011</v>
          </cell>
        </row>
        <row r="1595">
          <cell r="E1595">
            <v>29631.23</v>
          </cell>
          <cell r="Z1595" t="str">
            <v>Ungating</v>
          </cell>
          <cell r="AA1595" t="str">
            <v>$10K-$100K</v>
          </cell>
          <cell r="AB1595">
            <v>2012</v>
          </cell>
        </row>
        <row r="1596">
          <cell r="E1596">
            <v>29619.21</v>
          </cell>
          <cell r="Z1596" t="str">
            <v>Ungating</v>
          </cell>
          <cell r="AA1596" t="str">
            <v>$10K-$100K</v>
          </cell>
          <cell r="AB1596">
            <v>2012</v>
          </cell>
        </row>
        <row r="1597">
          <cell r="E1597">
            <v>29552.18</v>
          </cell>
          <cell r="Z1597" t="str">
            <v>Legacy</v>
          </cell>
          <cell r="AA1597" t="str">
            <v>$10K-$100K</v>
          </cell>
          <cell r="AB1597">
            <v>2011</v>
          </cell>
        </row>
        <row r="1598">
          <cell r="E1598">
            <v>29463.22</v>
          </cell>
          <cell r="Z1598" t="str">
            <v>Legacy</v>
          </cell>
          <cell r="AA1598" t="str">
            <v>$10K-$100K</v>
          </cell>
          <cell r="AB1598" t="str">
            <v>2010 or before</v>
          </cell>
        </row>
        <row r="1599">
          <cell r="E1599">
            <v>29418.17</v>
          </cell>
          <cell r="Z1599" t="str">
            <v>Legacy</v>
          </cell>
          <cell r="AA1599" t="str">
            <v>$10K-$100K</v>
          </cell>
          <cell r="AB1599" t="str">
            <v>2010 or before</v>
          </cell>
        </row>
        <row r="1600">
          <cell r="E1600">
            <v>29409.81</v>
          </cell>
          <cell r="Z1600" t="str">
            <v>Ungating</v>
          </cell>
          <cell r="AA1600" t="str">
            <v>$10K-$100K</v>
          </cell>
          <cell r="AB1600">
            <v>2012</v>
          </cell>
        </row>
        <row r="1601">
          <cell r="E1601">
            <v>29346.84</v>
          </cell>
          <cell r="Z1601" t="str">
            <v>Legacy</v>
          </cell>
          <cell r="AA1601" t="str">
            <v>$10K-$100K</v>
          </cell>
          <cell r="AB1601" t="str">
            <v>2010 or before</v>
          </cell>
        </row>
        <row r="1602">
          <cell r="E1602">
            <v>29308.67</v>
          </cell>
          <cell r="Z1602" t="str">
            <v>Legacy</v>
          </cell>
          <cell r="AA1602" t="str">
            <v>$10K-$100K</v>
          </cell>
          <cell r="AB1602" t="str">
            <v>2010 or before</v>
          </cell>
        </row>
        <row r="1603">
          <cell r="E1603">
            <v>29207</v>
          </cell>
          <cell r="Z1603" t="str">
            <v>Ungating</v>
          </cell>
          <cell r="AA1603" t="str">
            <v>$10K-$100K</v>
          </cell>
          <cell r="AB1603">
            <v>2012</v>
          </cell>
        </row>
        <row r="1604">
          <cell r="E1604">
            <v>29201.86</v>
          </cell>
          <cell r="Z1604" t="str">
            <v>Global</v>
          </cell>
          <cell r="AA1604" t="str">
            <v>$10K-$100K</v>
          </cell>
          <cell r="AB1604">
            <v>2012</v>
          </cell>
        </row>
        <row r="1605">
          <cell r="E1605">
            <v>29135.52</v>
          </cell>
          <cell r="Z1605" t="str">
            <v>Legacy</v>
          </cell>
          <cell r="AA1605" t="str">
            <v>$10K-$100K</v>
          </cell>
          <cell r="AB1605" t="str">
            <v>2010 or before</v>
          </cell>
        </row>
        <row r="1606">
          <cell r="E1606">
            <v>29125.71</v>
          </cell>
          <cell r="Z1606" t="str">
            <v>Legacy</v>
          </cell>
          <cell r="AA1606" t="str">
            <v>$10K-$100K</v>
          </cell>
          <cell r="AB1606" t="str">
            <v>2010 or before</v>
          </cell>
        </row>
        <row r="1607">
          <cell r="E1607">
            <v>29067.21</v>
          </cell>
          <cell r="Z1607" t="str">
            <v>Inbound</v>
          </cell>
          <cell r="AA1607" t="str">
            <v>$10K-$100K</v>
          </cell>
          <cell r="AB1607">
            <v>2012</v>
          </cell>
        </row>
        <row r="1608">
          <cell r="E1608">
            <v>28974.639999999999</v>
          </cell>
          <cell r="Z1608" t="str">
            <v>Ungating</v>
          </cell>
          <cell r="AA1608" t="str">
            <v>$10K-$100K</v>
          </cell>
          <cell r="AB1608">
            <v>2012</v>
          </cell>
        </row>
        <row r="1609">
          <cell r="E1609">
            <v>28905.98</v>
          </cell>
          <cell r="Z1609" t="str">
            <v>Legacy</v>
          </cell>
          <cell r="AA1609" t="str">
            <v>$10K-$100K</v>
          </cell>
          <cell r="AB1609" t="str">
            <v>2010 or before</v>
          </cell>
        </row>
        <row r="1610">
          <cell r="E1610">
            <v>28843.82</v>
          </cell>
          <cell r="Z1610" t="str">
            <v>Strategic</v>
          </cell>
          <cell r="AA1610" t="str">
            <v>$10K-$100K</v>
          </cell>
          <cell r="AB1610">
            <v>2012</v>
          </cell>
        </row>
        <row r="1611">
          <cell r="E1611">
            <v>28628.92</v>
          </cell>
          <cell r="Z1611" t="str">
            <v>Legacy</v>
          </cell>
          <cell r="AA1611" t="str">
            <v>$10K-$100K</v>
          </cell>
          <cell r="AB1611" t="str">
            <v>2010 or before</v>
          </cell>
        </row>
        <row r="1612">
          <cell r="E1612">
            <v>28504.04</v>
          </cell>
          <cell r="Z1612" t="str">
            <v>Legacy</v>
          </cell>
          <cell r="AA1612" t="str">
            <v>$10K-$100K</v>
          </cell>
          <cell r="AB1612" t="str">
            <v>2010 or before</v>
          </cell>
        </row>
        <row r="1613">
          <cell r="E1613">
            <v>28418.639999999999</v>
          </cell>
          <cell r="Z1613" t="str">
            <v>Legacy</v>
          </cell>
          <cell r="AA1613" t="str">
            <v>$10K-$100K</v>
          </cell>
          <cell r="AB1613" t="str">
            <v>2010 or before</v>
          </cell>
        </row>
        <row r="1614">
          <cell r="E1614">
            <v>28401.93</v>
          </cell>
          <cell r="Z1614" t="str">
            <v>Legacy</v>
          </cell>
          <cell r="AA1614" t="str">
            <v>$10K-$100K</v>
          </cell>
          <cell r="AB1614">
            <v>2012</v>
          </cell>
        </row>
        <row r="1615">
          <cell r="E1615">
            <v>28333.33</v>
          </cell>
          <cell r="Z1615" t="str">
            <v>Inbound</v>
          </cell>
          <cell r="AA1615" t="str">
            <v>$10K-$100K</v>
          </cell>
          <cell r="AB1615">
            <v>2012</v>
          </cell>
        </row>
        <row r="1616">
          <cell r="E1616">
            <v>28286.41</v>
          </cell>
          <cell r="Z1616" t="str">
            <v>Ungating</v>
          </cell>
          <cell r="AA1616" t="str">
            <v>$10K-$100K</v>
          </cell>
          <cell r="AB1616">
            <v>2011</v>
          </cell>
        </row>
        <row r="1617">
          <cell r="E1617">
            <v>28267.68</v>
          </cell>
          <cell r="Z1617" t="str">
            <v>Legacy</v>
          </cell>
          <cell r="AA1617" t="str">
            <v>$10K-$100K</v>
          </cell>
          <cell r="AB1617">
            <v>2011</v>
          </cell>
        </row>
        <row r="1618">
          <cell r="E1618">
            <v>28195.22</v>
          </cell>
          <cell r="Z1618" t="str">
            <v>Legacy</v>
          </cell>
          <cell r="AA1618" t="str">
            <v>$10K-$100K</v>
          </cell>
          <cell r="AB1618" t="str">
            <v>2010 or before</v>
          </cell>
        </row>
        <row r="1619">
          <cell r="E1619">
            <v>28159.53</v>
          </cell>
          <cell r="Z1619" t="str">
            <v>Legacy</v>
          </cell>
          <cell r="AA1619" t="str">
            <v>$10K-$100K</v>
          </cell>
          <cell r="AB1619" t="str">
            <v>2010 or before</v>
          </cell>
        </row>
        <row r="1620">
          <cell r="E1620">
            <v>27935.39</v>
          </cell>
          <cell r="Z1620" t="str">
            <v>Ungating</v>
          </cell>
          <cell r="AA1620" t="str">
            <v>$10K-$100K</v>
          </cell>
          <cell r="AB1620">
            <v>2011</v>
          </cell>
        </row>
        <row r="1621">
          <cell r="E1621">
            <v>27857.16</v>
          </cell>
          <cell r="Z1621" t="str">
            <v>Ungating</v>
          </cell>
          <cell r="AA1621" t="str">
            <v>$10K-$100K</v>
          </cell>
          <cell r="AB1621">
            <v>2012</v>
          </cell>
        </row>
        <row r="1622">
          <cell r="E1622">
            <v>27785.29</v>
          </cell>
          <cell r="Z1622" t="str">
            <v>Ungating</v>
          </cell>
          <cell r="AA1622" t="str">
            <v>$10K-$100K</v>
          </cell>
          <cell r="AB1622">
            <v>2012</v>
          </cell>
        </row>
        <row r="1623">
          <cell r="E1623">
            <v>27766.06</v>
          </cell>
          <cell r="Z1623" t="str">
            <v>Inbound</v>
          </cell>
          <cell r="AA1623" t="str">
            <v>$10K-$100K</v>
          </cell>
          <cell r="AB1623">
            <v>2012</v>
          </cell>
        </row>
        <row r="1624">
          <cell r="E1624">
            <v>27713.34</v>
          </cell>
          <cell r="Z1624" t="str">
            <v>Legacy</v>
          </cell>
          <cell r="AA1624" t="str">
            <v>$10K-$100K</v>
          </cell>
          <cell r="AB1624" t="str">
            <v>2010 or before</v>
          </cell>
        </row>
        <row r="1625">
          <cell r="E1625">
            <v>27566.68</v>
          </cell>
          <cell r="Z1625" t="str">
            <v>Ungating</v>
          </cell>
          <cell r="AA1625" t="str">
            <v>$10K-$100K</v>
          </cell>
          <cell r="AB1625">
            <v>2011</v>
          </cell>
        </row>
        <row r="1626">
          <cell r="E1626">
            <v>27542.17</v>
          </cell>
          <cell r="Z1626" t="str">
            <v>Ungating</v>
          </cell>
          <cell r="AA1626" t="str">
            <v>$10K-$100K</v>
          </cell>
          <cell r="AB1626">
            <v>2012</v>
          </cell>
        </row>
        <row r="1627">
          <cell r="E1627">
            <v>27520.3</v>
          </cell>
          <cell r="Z1627" t="str">
            <v>Legacy</v>
          </cell>
          <cell r="AA1627" t="str">
            <v>$10K-$100K</v>
          </cell>
          <cell r="AB1627" t="str">
            <v>2010 or before</v>
          </cell>
        </row>
        <row r="1628">
          <cell r="E1628">
            <v>27491.52</v>
          </cell>
          <cell r="Z1628" t="str">
            <v>Legacy</v>
          </cell>
          <cell r="AA1628" t="str">
            <v>$10K-$100K</v>
          </cell>
          <cell r="AB1628" t="str">
            <v>2010 or before</v>
          </cell>
        </row>
        <row r="1629">
          <cell r="E1629">
            <v>27453.71</v>
          </cell>
          <cell r="Z1629" t="str">
            <v>Inbound</v>
          </cell>
          <cell r="AA1629" t="str">
            <v>$10K-$100K</v>
          </cell>
          <cell r="AB1629">
            <v>2011</v>
          </cell>
        </row>
        <row r="1630">
          <cell r="E1630">
            <v>27414.240000000002</v>
          </cell>
          <cell r="Z1630" t="str">
            <v>Legacy</v>
          </cell>
          <cell r="AA1630" t="str">
            <v>$10K-$100K</v>
          </cell>
          <cell r="AB1630" t="str">
            <v>2010 or before</v>
          </cell>
        </row>
        <row r="1631">
          <cell r="E1631">
            <v>27360.06</v>
          </cell>
          <cell r="Z1631" t="str">
            <v>Legacy</v>
          </cell>
          <cell r="AA1631" t="str">
            <v>$10K-$100K</v>
          </cell>
          <cell r="AB1631">
            <v>2012</v>
          </cell>
        </row>
        <row r="1632">
          <cell r="E1632">
            <v>27358.9</v>
          </cell>
          <cell r="Z1632" t="str">
            <v>Legacy</v>
          </cell>
          <cell r="AA1632" t="str">
            <v>$10K-$100K</v>
          </cell>
          <cell r="AB1632" t="str">
            <v>2010 or before</v>
          </cell>
        </row>
        <row r="1633">
          <cell r="E1633">
            <v>27301.05</v>
          </cell>
          <cell r="Z1633" t="str">
            <v>Ungating</v>
          </cell>
          <cell r="AA1633" t="str">
            <v>$10K-$100K</v>
          </cell>
          <cell r="AB1633">
            <v>2012</v>
          </cell>
        </row>
        <row r="1634">
          <cell r="E1634">
            <v>27291.33</v>
          </cell>
          <cell r="Z1634" t="str">
            <v>Ungating</v>
          </cell>
          <cell r="AA1634" t="str">
            <v>$10K-$100K</v>
          </cell>
          <cell r="AB1634">
            <v>2012</v>
          </cell>
        </row>
        <row r="1635">
          <cell r="E1635">
            <v>27289.37</v>
          </cell>
          <cell r="Z1635" t="str">
            <v>Ungating</v>
          </cell>
          <cell r="AA1635" t="str">
            <v>$10K-$100K</v>
          </cell>
          <cell r="AB1635">
            <v>2012</v>
          </cell>
        </row>
        <row r="1636">
          <cell r="E1636">
            <v>27222.07</v>
          </cell>
          <cell r="Z1636" t="str">
            <v>Legacy</v>
          </cell>
          <cell r="AA1636" t="str">
            <v>$10K-$100K</v>
          </cell>
          <cell r="AB1636">
            <v>2011</v>
          </cell>
        </row>
        <row r="1637">
          <cell r="E1637">
            <v>27075.1</v>
          </cell>
          <cell r="Z1637" t="str">
            <v>Legacy</v>
          </cell>
          <cell r="AA1637" t="str">
            <v>$10K-$100K</v>
          </cell>
          <cell r="AB1637" t="str">
            <v>2010 or before</v>
          </cell>
        </row>
        <row r="1638">
          <cell r="E1638">
            <v>27064.07</v>
          </cell>
          <cell r="Z1638" t="str">
            <v>Legacy</v>
          </cell>
          <cell r="AA1638" t="str">
            <v>$10K-$100K</v>
          </cell>
          <cell r="AB1638" t="str">
            <v>2010 or before</v>
          </cell>
        </row>
        <row r="1639">
          <cell r="E1639">
            <v>27023.16</v>
          </cell>
          <cell r="Z1639" t="str">
            <v>Inbound</v>
          </cell>
          <cell r="AA1639" t="str">
            <v>$10K-$100K</v>
          </cell>
          <cell r="AB1639">
            <v>2011</v>
          </cell>
        </row>
        <row r="1640">
          <cell r="E1640">
            <v>27015.73</v>
          </cell>
          <cell r="Z1640" t="str">
            <v>Legacy</v>
          </cell>
          <cell r="AA1640" t="str">
            <v>$10K-$100K</v>
          </cell>
          <cell r="AB1640" t="str">
            <v>2010 or before</v>
          </cell>
        </row>
        <row r="1641">
          <cell r="E1641">
            <v>27001.52</v>
          </cell>
          <cell r="Z1641" t="str">
            <v>Legacy</v>
          </cell>
          <cell r="AA1641" t="str">
            <v>$10K-$100K</v>
          </cell>
          <cell r="AB1641" t="str">
            <v>2010 or before</v>
          </cell>
        </row>
        <row r="1642">
          <cell r="E1642">
            <v>26950.73</v>
          </cell>
          <cell r="Z1642" t="str">
            <v>Legacy</v>
          </cell>
          <cell r="AA1642" t="str">
            <v>$10K-$100K</v>
          </cell>
          <cell r="AB1642" t="str">
            <v>2010 or before</v>
          </cell>
        </row>
        <row r="1643">
          <cell r="E1643">
            <v>26814.76</v>
          </cell>
          <cell r="Z1643" t="str">
            <v>Inbound</v>
          </cell>
          <cell r="AA1643" t="str">
            <v>$10K-$100K</v>
          </cell>
          <cell r="AB1643">
            <v>2012</v>
          </cell>
        </row>
        <row r="1644">
          <cell r="E1644">
            <v>26691.55</v>
          </cell>
          <cell r="Z1644" t="str">
            <v>Outbound</v>
          </cell>
          <cell r="AA1644" t="str">
            <v>$10K-$100K</v>
          </cell>
          <cell r="AB1644">
            <v>2011</v>
          </cell>
        </row>
        <row r="1645">
          <cell r="E1645">
            <v>26586.46</v>
          </cell>
          <cell r="Z1645" t="str">
            <v>Global</v>
          </cell>
          <cell r="AA1645" t="str">
            <v>$10K-$100K</v>
          </cell>
          <cell r="AB1645">
            <v>2012</v>
          </cell>
        </row>
        <row r="1646">
          <cell r="E1646">
            <v>26431.09</v>
          </cell>
          <cell r="Z1646" t="str">
            <v>Ungating</v>
          </cell>
          <cell r="AA1646" t="str">
            <v>$10K-$100K</v>
          </cell>
          <cell r="AB1646">
            <v>2012</v>
          </cell>
        </row>
        <row r="1647">
          <cell r="E1647">
            <v>26410.51</v>
          </cell>
          <cell r="Z1647" t="str">
            <v>Inbound</v>
          </cell>
          <cell r="AA1647" t="str">
            <v>$10K-$100K</v>
          </cell>
          <cell r="AB1647">
            <v>2012</v>
          </cell>
        </row>
        <row r="1648">
          <cell r="E1648">
            <v>26405.58</v>
          </cell>
          <cell r="Z1648" t="str">
            <v>Legacy</v>
          </cell>
          <cell r="AA1648" t="str">
            <v>$10K-$100K</v>
          </cell>
          <cell r="AB1648" t="str">
            <v>2010 or before</v>
          </cell>
        </row>
        <row r="1649">
          <cell r="E1649">
            <v>26365.77</v>
          </cell>
          <cell r="Z1649" t="str">
            <v>Legacy</v>
          </cell>
          <cell r="AA1649" t="str">
            <v>$10K-$100K</v>
          </cell>
          <cell r="AB1649" t="str">
            <v>2010 or before</v>
          </cell>
        </row>
        <row r="1650">
          <cell r="E1650">
            <v>26324.84</v>
          </cell>
          <cell r="Z1650" t="str">
            <v>Legacy</v>
          </cell>
          <cell r="AA1650" t="str">
            <v>$10K-$100K</v>
          </cell>
          <cell r="AB1650">
            <v>2012</v>
          </cell>
        </row>
        <row r="1651">
          <cell r="E1651">
            <v>26200.560000000001</v>
          </cell>
          <cell r="Z1651" t="str">
            <v>Strategic</v>
          </cell>
          <cell r="AA1651" t="str">
            <v>$10K-$100K</v>
          </cell>
          <cell r="AB1651">
            <v>2012</v>
          </cell>
        </row>
        <row r="1652">
          <cell r="E1652">
            <v>26175</v>
          </cell>
          <cell r="Z1652" t="str">
            <v>Legacy</v>
          </cell>
          <cell r="AA1652" t="str">
            <v>$10K-$100K</v>
          </cell>
          <cell r="AB1652" t="str">
            <v>2010 or before</v>
          </cell>
        </row>
        <row r="1653">
          <cell r="E1653">
            <v>26171.599999999999</v>
          </cell>
          <cell r="Z1653" t="str">
            <v>Inbound</v>
          </cell>
          <cell r="AA1653" t="str">
            <v>$10K-$100K</v>
          </cell>
          <cell r="AB1653">
            <v>2012</v>
          </cell>
        </row>
        <row r="1654">
          <cell r="E1654">
            <v>26147.94</v>
          </cell>
          <cell r="Z1654" t="str">
            <v>Legacy</v>
          </cell>
          <cell r="AA1654" t="str">
            <v>$10K-$100K</v>
          </cell>
          <cell r="AB1654">
            <v>2011</v>
          </cell>
        </row>
        <row r="1655">
          <cell r="E1655">
            <v>26101.360000000001</v>
          </cell>
          <cell r="Z1655" t="str">
            <v>Legacy</v>
          </cell>
          <cell r="AA1655" t="str">
            <v>$10K-$100K</v>
          </cell>
          <cell r="AB1655" t="str">
            <v>2010 or before</v>
          </cell>
        </row>
        <row r="1656">
          <cell r="E1656">
            <v>25967.11</v>
          </cell>
          <cell r="Z1656" t="str">
            <v>Legacy</v>
          </cell>
          <cell r="AA1656" t="str">
            <v>$10K-$100K</v>
          </cell>
          <cell r="AB1656">
            <v>2012</v>
          </cell>
        </row>
        <row r="1657">
          <cell r="E1657">
            <v>25944.44</v>
          </cell>
          <cell r="Z1657" t="str">
            <v>Outbound</v>
          </cell>
          <cell r="AA1657" t="str">
            <v>$10K-$100K</v>
          </cell>
          <cell r="AB1657">
            <v>2012</v>
          </cell>
        </row>
        <row r="1658">
          <cell r="E1658">
            <v>25920.41</v>
          </cell>
          <cell r="Z1658" t="str">
            <v>Legacy</v>
          </cell>
          <cell r="AA1658" t="str">
            <v>$10K-$100K</v>
          </cell>
          <cell r="AB1658" t="str">
            <v>2010 or before</v>
          </cell>
        </row>
        <row r="1659">
          <cell r="E1659">
            <v>25917.35</v>
          </cell>
          <cell r="Z1659" t="str">
            <v>Legacy</v>
          </cell>
          <cell r="AA1659" t="str">
            <v>$10K-$100K</v>
          </cell>
          <cell r="AB1659" t="str">
            <v>2010 or before</v>
          </cell>
        </row>
        <row r="1660">
          <cell r="E1660">
            <v>25903.41</v>
          </cell>
          <cell r="Z1660" t="str">
            <v>Legacy</v>
          </cell>
          <cell r="AA1660" t="str">
            <v>$10K-$100K</v>
          </cell>
          <cell r="AB1660" t="str">
            <v>2010 or before</v>
          </cell>
        </row>
        <row r="1661">
          <cell r="E1661">
            <v>25882.52</v>
          </cell>
          <cell r="Z1661" t="str">
            <v>Legacy</v>
          </cell>
          <cell r="AA1661" t="str">
            <v>$10K-$100K</v>
          </cell>
          <cell r="AB1661" t="str">
            <v>2010 or before</v>
          </cell>
        </row>
        <row r="1662">
          <cell r="E1662">
            <v>25842.27</v>
          </cell>
          <cell r="Z1662" t="str">
            <v>Inbound</v>
          </cell>
          <cell r="AA1662" t="str">
            <v>$10K-$100K</v>
          </cell>
          <cell r="AB1662">
            <v>2012</v>
          </cell>
        </row>
        <row r="1663">
          <cell r="E1663">
            <v>25811.19</v>
          </cell>
          <cell r="Z1663" t="str">
            <v>Inbound</v>
          </cell>
          <cell r="AA1663" t="str">
            <v>$10K-$100K</v>
          </cell>
          <cell r="AB1663">
            <v>2011</v>
          </cell>
        </row>
        <row r="1664">
          <cell r="E1664">
            <v>25807.21</v>
          </cell>
          <cell r="Z1664" t="str">
            <v>Legacy</v>
          </cell>
          <cell r="AA1664" t="str">
            <v>$10K-$100K</v>
          </cell>
          <cell r="AB1664" t="str">
            <v>2010 or before</v>
          </cell>
        </row>
        <row r="1665">
          <cell r="E1665">
            <v>25783.9</v>
          </cell>
          <cell r="Z1665" t="str">
            <v>Legacy</v>
          </cell>
          <cell r="AA1665" t="str">
            <v>$10K-$100K</v>
          </cell>
          <cell r="AB1665" t="str">
            <v>2010 or before</v>
          </cell>
        </row>
        <row r="1666">
          <cell r="E1666">
            <v>25752.23</v>
          </cell>
          <cell r="Z1666" t="str">
            <v>Legacy</v>
          </cell>
          <cell r="AA1666" t="str">
            <v>$10K-$100K</v>
          </cell>
          <cell r="AB1666" t="str">
            <v>2010 or before</v>
          </cell>
        </row>
        <row r="1667">
          <cell r="E1667">
            <v>25733.08</v>
          </cell>
          <cell r="Z1667" t="str">
            <v>Ungating</v>
          </cell>
          <cell r="AA1667" t="str">
            <v>$10K-$100K</v>
          </cell>
          <cell r="AB1667">
            <v>2011</v>
          </cell>
        </row>
        <row r="1668">
          <cell r="E1668">
            <v>25714.51</v>
          </cell>
          <cell r="Z1668" t="str">
            <v>Legacy</v>
          </cell>
          <cell r="AA1668" t="str">
            <v>$10K-$100K</v>
          </cell>
          <cell r="AB1668" t="str">
            <v>2010 or before</v>
          </cell>
        </row>
        <row r="1669">
          <cell r="E1669">
            <v>25683.4</v>
          </cell>
          <cell r="Z1669" t="str">
            <v>Legacy</v>
          </cell>
          <cell r="AA1669" t="str">
            <v>$10K-$100K</v>
          </cell>
          <cell r="AB1669" t="str">
            <v>2010 or before</v>
          </cell>
        </row>
        <row r="1670">
          <cell r="E1670">
            <v>25651.5</v>
          </cell>
          <cell r="Z1670" t="str">
            <v>Legacy</v>
          </cell>
          <cell r="AA1670" t="str">
            <v>$10K-$100K</v>
          </cell>
          <cell r="AB1670" t="str">
            <v>2010 or before</v>
          </cell>
        </row>
        <row r="1671">
          <cell r="E1671">
            <v>25651.31</v>
          </cell>
          <cell r="Z1671" t="str">
            <v>Legacy</v>
          </cell>
          <cell r="AA1671" t="str">
            <v>$10K-$100K</v>
          </cell>
          <cell r="AB1671" t="str">
            <v>2010 or before</v>
          </cell>
        </row>
        <row r="1672">
          <cell r="E1672">
            <v>25647.61</v>
          </cell>
          <cell r="Z1672" t="str">
            <v>Legacy</v>
          </cell>
          <cell r="AA1672" t="str">
            <v>$10K-$100K</v>
          </cell>
          <cell r="AB1672">
            <v>2012</v>
          </cell>
        </row>
        <row r="1673">
          <cell r="E1673">
            <v>25592.63</v>
          </cell>
          <cell r="Z1673" t="str">
            <v>Legacy</v>
          </cell>
          <cell r="AA1673" t="str">
            <v>$10K-$100K</v>
          </cell>
          <cell r="AB1673" t="str">
            <v>2010 or before</v>
          </cell>
        </row>
        <row r="1674">
          <cell r="E1674">
            <v>25582.61</v>
          </cell>
          <cell r="Z1674" t="str">
            <v>Ungating</v>
          </cell>
          <cell r="AA1674" t="str">
            <v>$10K-$100K</v>
          </cell>
          <cell r="AB1674">
            <v>2012</v>
          </cell>
        </row>
        <row r="1675">
          <cell r="E1675">
            <v>25530.2</v>
          </cell>
          <cell r="Z1675" t="str">
            <v>Legacy</v>
          </cell>
          <cell r="AA1675" t="str">
            <v>$10K-$100K</v>
          </cell>
          <cell r="AB1675" t="str">
            <v>2010 or before</v>
          </cell>
        </row>
        <row r="1676">
          <cell r="E1676">
            <v>25394.49</v>
          </cell>
          <cell r="Z1676" t="str">
            <v>Legacy</v>
          </cell>
          <cell r="AA1676" t="str">
            <v>$10K-$100K</v>
          </cell>
          <cell r="AB1676" t="str">
            <v>2010 or before</v>
          </cell>
        </row>
        <row r="1677">
          <cell r="E1677">
            <v>25341.439999999999</v>
          </cell>
          <cell r="Z1677" t="str">
            <v>Inbound</v>
          </cell>
          <cell r="AA1677" t="str">
            <v>$10K-$100K</v>
          </cell>
          <cell r="AB1677">
            <v>2012</v>
          </cell>
        </row>
        <row r="1678">
          <cell r="E1678">
            <v>25300</v>
          </cell>
          <cell r="Z1678" t="str">
            <v>Inbound</v>
          </cell>
          <cell r="AA1678" t="str">
            <v>$10K-$100K</v>
          </cell>
          <cell r="AB1678">
            <v>2012</v>
          </cell>
        </row>
        <row r="1679">
          <cell r="E1679">
            <v>25243.22</v>
          </cell>
          <cell r="Z1679" t="str">
            <v>Inbound</v>
          </cell>
          <cell r="AA1679" t="str">
            <v>$10K-$100K</v>
          </cell>
          <cell r="AB1679">
            <v>2011</v>
          </cell>
        </row>
        <row r="1680">
          <cell r="E1680">
            <v>25131.35</v>
          </cell>
          <cell r="Z1680" t="str">
            <v>Legacy</v>
          </cell>
          <cell r="AA1680" t="str">
            <v>$10K-$100K</v>
          </cell>
          <cell r="AB1680" t="str">
            <v>2010 or before</v>
          </cell>
        </row>
        <row r="1681">
          <cell r="E1681">
            <v>25060.83</v>
          </cell>
          <cell r="Z1681" t="str">
            <v>Ungating</v>
          </cell>
          <cell r="AA1681" t="str">
            <v>$10K-$100K</v>
          </cell>
          <cell r="AB1681">
            <v>2011</v>
          </cell>
        </row>
        <row r="1682">
          <cell r="E1682">
            <v>25058.240000000002</v>
          </cell>
          <cell r="Z1682" t="str">
            <v>Legacy</v>
          </cell>
          <cell r="AA1682" t="str">
            <v>$10K-$100K</v>
          </cell>
          <cell r="AB1682" t="str">
            <v>2010 or before</v>
          </cell>
        </row>
        <row r="1683">
          <cell r="E1683">
            <v>24974.87</v>
          </cell>
          <cell r="Z1683" t="str">
            <v>Legacy</v>
          </cell>
          <cell r="AA1683" t="str">
            <v>$10K-$100K</v>
          </cell>
          <cell r="AB1683" t="str">
            <v>2010 or before</v>
          </cell>
        </row>
        <row r="1684">
          <cell r="E1684">
            <v>24957.51</v>
          </cell>
          <cell r="Z1684" t="str">
            <v>Legacy</v>
          </cell>
          <cell r="AA1684" t="str">
            <v>$10K-$100K</v>
          </cell>
          <cell r="AB1684" t="str">
            <v>2010 or before</v>
          </cell>
        </row>
        <row r="1685">
          <cell r="E1685">
            <v>24946.84</v>
          </cell>
          <cell r="Z1685" t="str">
            <v>Legacy</v>
          </cell>
          <cell r="AA1685" t="str">
            <v>$10K-$100K</v>
          </cell>
          <cell r="AB1685" t="str">
            <v>2010 or before</v>
          </cell>
        </row>
        <row r="1686">
          <cell r="E1686">
            <v>24936.47</v>
          </cell>
          <cell r="Z1686" t="str">
            <v>Inbound</v>
          </cell>
          <cell r="AA1686" t="str">
            <v>$10K-$100K</v>
          </cell>
          <cell r="AB1686">
            <v>2011</v>
          </cell>
        </row>
        <row r="1687">
          <cell r="E1687">
            <v>24919.06</v>
          </cell>
          <cell r="Z1687" t="str">
            <v>Legacy</v>
          </cell>
          <cell r="AA1687" t="str">
            <v>$10K-$100K</v>
          </cell>
          <cell r="AB1687" t="str">
            <v>2010 or before</v>
          </cell>
        </row>
        <row r="1688">
          <cell r="E1688">
            <v>24901.32</v>
          </cell>
          <cell r="Z1688" t="str">
            <v>Legacy</v>
          </cell>
          <cell r="AA1688" t="str">
            <v>$10K-$100K</v>
          </cell>
          <cell r="AB1688" t="str">
            <v>2010 or before</v>
          </cell>
        </row>
        <row r="1689">
          <cell r="E1689">
            <v>24843.93</v>
          </cell>
          <cell r="Z1689" t="str">
            <v>Legacy</v>
          </cell>
          <cell r="AA1689" t="str">
            <v>$10K-$100K</v>
          </cell>
          <cell r="AB1689">
            <v>2012</v>
          </cell>
        </row>
        <row r="1690">
          <cell r="E1690">
            <v>24779.84</v>
          </cell>
          <cell r="Z1690" t="str">
            <v>Legacy</v>
          </cell>
          <cell r="AA1690" t="str">
            <v>$10K-$100K</v>
          </cell>
          <cell r="AB1690" t="str">
            <v>2010 or before</v>
          </cell>
        </row>
        <row r="1691">
          <cell r="E1691">
            <v>24755.9</v>
          </cell>
          <cell r="Z1691" t="str">
            <v>Legacy</v>
          </cell>
          <cell r="AA1691" t="str">
            <v>$10K-$100K</v>
          </cell>
          <cell r="AB1691">
            <v>2011</v>
          </cell>
        </row>
        <row r="1692">
          <cell r="E1692">
            <v>24737.62</v>
          </cell>
          <cell r="Z1692" t="str">
            <v>Legacy</v>
          </cell>
          <cell r="AA1692" t="str">
            <v>$10K-$100K</v>
          </cell>
          <cell r="AB1692" t="str">
            <v>2010 or before</v>
          </cell>
        </row>
        <row r="1693">
          <cell r="E1693">
            <v>24725.56</v>
          </cell>
          <cell r="Z1693" t="str">
            <v>Ungating</v>
          </cell>
          <cell r="AA1693" t="str">
            <v>$10K-$100K</v>
          </cell>
          <cell r="AB1693">
            <v>2012</v>
          </cell>
        </row>
        <row r="1694">
          <cell r="E1694">
            <v>24720.41</v>
          </cell>
          <cell r="Z1694" t="str">
            <v>Legacy</v>
          </cell>
          <cell r="AA1694" t="str">
            <v>$10K-$100K</v>
          </cell>
          <cell r="AB1694" t="str">
            <v>2010 or before</v>
          </cell>
        </row>
        <row r="1695">
          <cell r="E1695">
            <v>24708.18</v>
          </cell>
          <cell r="Z1695" t="str">
            <v>Legacy</v>
          </cell>
          <cell r="AA1695" t="str">
            <v>$10K-$100K</v>
          </cell>
          <cell r="AB1695" t="str">
            <v>2010 or before</v>
          </cell>
        </row>
        <row r="1696">
          <cell r="E1696">
            <v>24687.040000000001</v>
          </cell>
          <cell r="Z1696" t="str">
            <v>Ungating</v>
          </cell>
          <cell r="AA1696" t="str">
            <v>$10K-$100K</v>
          </cell>
          <cell r="AB1696">
            <v>2012</v>
          </cell>
        </row>
        <row r="1697">
          <cell r="E1697">
            <v>24681.35</v>
          </cell>
          <cell r="Z1697" t="str">
            <v>Legacy</v>
          </cell>
          <cell r="AA1697" t="str">
            <v>$10K-$100K</v>
          </cell>
          <cell r="AB1697" t="str">
            <v>2010 or before</v>
          </cell>
        </row>
        <row r="1698">
          <cell r="E1698">
            <v>24656.15</v>
          </cell>
          <cell r="Z1698" t="str">
            <v>Inbound</v>
          </cell>
          <cell r="AA1698" t="str">
            <v>$10K-$100K</v>
          </cell>
          <cell r="AB1698">
            <v>2012</v>
          </cell>
        </row>
        <row r="1699">
          <cell r="E1699">
            <v>24631.49</v>
          </cell>
          <cell r="Z1699" t="str">
            <v>Ungating</v>
          </cell>
          <cell r="AA1699" t="str">
            <v>$10K-$100K</v>
          </cell>
          <cell r="AB1699">
            <v>2012</v>
          </cell>
        </row>
        <row r="1700">
          <cell r="E1700">
            <v>24631</v>
          </cell>
          <cell r="Z1700" t="str">
            <v>Inbound</v>
          </cell>
          <cell r="AA1700" t="str">
            <v>$10K-$100K</v>
          </cell>
          <cell r="AB1700">
            <v>2011</v>
          </cell>
        </row>
        <row r="1701">
          <cell r="E1701">
            <v>24596.99</v>
          </cell>
          <cell r="Z1701" t="str">
            <v>Ungating</v>
          </cell>
          <cell r="AA1701" t="str">
            <v>$10K-$100K</v>
          </cell>
          <cell r="AB1701">
            <v>2011</v>
          </cell>
        </row>
        <row r="1702">
          <cell r="E1702">
            <v>24590.41</v>
          </cell>
          <cell r="Z1702" t="str">
            <v>Inbound</v>
          </cell>
          <cell r="AA1702" t="str">
            <v>$10K-$100K</v>
          </cell>
          <cell r="AB1702">
            <v>2012</v>
          </cell>
        </row>
        <row r="1703">
          <cell r="E1703">
            <v>24581.51</v>
          </cell>
          <cell r="Z1703" t="str">
            <v>Ungating</v>
          </cell>
          <cell r="AA1703" t="str">
            <v>$10K-$100K</v>
          </cell>
          <cell r="AB1703">
            <v>2012</v>
          </cell>
        </row>
        <row r="1704">
          <cell r="E1704">
            <v>24533.5</v>
          </cell>
          <cell r="Z1704" t="str">
            <v>Legacy</v>
          </cell>
          <cell r="AA1704" t="str">
            <v>$10K-$100K</v>
          </cell>
          <cell r="AB1704" t="str">
            <v>2010 or before</v>
          </cell>
        </row>
        <row r="1705">
          <cell r="E1705">
            <v>24460.66</v>
          </cell>
          <cell r="Z1705" t="str">
            <v>Legacy</v>
          </cell>
          <cell r="AA1705" t="str">
            <v>$10K-$100K</v>
          </cell>
          <cell r="AB1705" t="str">
            <v>2010 or before</v>
          </cell>
        </row>
        <row r="1706">
          <cell r="E1706">
            <v>24436.48</v>
          </cell>
          <cell r="Z1706" t="str">
            <v>Ungating</v>
          </cell>
          <cell r="AA1706" t="str">
            <v>$10K-$100K</v>
          </cell>
          <cell r="AB1706">
            <v>2012</v>
          </cell>
        </row>
        <row r="1707">
          <cell r="E1707">
            <v>24383</v>
          </cell>
          <cell r="Z1707" t="str">
            <v>Legacy</v>
          </cell>
          <cell r="AA1707" t="str">
            <v>$10K-$100K</v>
          </cell>
          <cell r="AB1707" t="str">
            <v>2010 or before</v>
          </cell>
        </row>
        <row r="1708">
          <cell r="E1708">
            <v>24281.68</v>
          </cell>
          <cell r="Z1708" t="str">
            <v>Legacy</v>
          </cell>
          <cell r="AA1708" t="str">
            <v>$10K-$100K</v>
          </cell>
          <cell r="AB1708" t="str">
            <v>2010 or before</v>
          </cell>
        </row>
        <row r="1709">
          <cell r="E1709">
            <v>24260.51</v>
          </cell>
          <cell r="Z1709" t="str">
            <v>Inbound</v>
          </cell>
          <cell r="AA1709" t="str">
            <v>$10K-$100K</v>
          </cell>
          <cell r="AB1709">
            <v>2012</v>
          </cell>
        </row>
        <row r="1710">
          <cell r="E1710">
            <v>24240.09</v>
          </cell>
          <cell r="Z1710" t="str">
            <v>Legacy</v>
          </cell>
          <cell r="AA1710" t="str">
            <v>$10K-$100K</v>
          </cell>
          <cell r="AB1710" t="str">
            <v>2010 or before</v>
          </cell>
        </row>
        <row r="1711">
          <cell r="E1711">
            <v>24143.31</v>
          </cell>
          <cell r="Z1711" t="str">
            <v>Global</v>
          </cell>
          <cell r="AA1711" t="str">
            <v>$10K-$100K</v>
          </cell>
          <cell r="AB1711">
            <v>2012</v>
          </cell>
        </row>
        <row r="1712">
          <cell r="E1712">
            <v>24074.45</v>
          </cell>
          <cell r="Z1712" t="str">
            <v>Inbound</v>
          </cell>
          <cell r="AA1712" t="str">
            <v>$10K-$100K</v>
          </cell>
          <cell r="AB1712">
            <v>2012</v>
          </cell>
        </row>
        <row r="1713">
          <cell r="E1713">
            <v>24060.69</v>
          </cell>
          <cell r="Z1713" t="str">
            <v>Legacy</v>
          </cell>
          <cell r="AA1713" t="str">
            <v>$10K-$100K</v>
          </cell>
          <cell r="AB1713">
            <v>2011</v>
          </cell>
        </row>
        <row r="1714">
          <cell r="E1714">
            <v>24031.69</v>
          </cell>
          <cell r="Z1714" t="str">
            <v>Legacy</v>
          </cell>
          <cell r="AA1714" t="str">
            <v>$10K-$100K</v>
          </cell>
          <cell r="AB1714" t="str">
            <v>2010 or before</v>
          </cell>
        </row>
        <row r="1715">
          <cell r="E1715">
            <v>24023.86</v>
          </cell>
          <cell r="Z1715" t="str">
            <v>Legacy</v>
          </cell>
          <cell r="AA1715" t="str">
            <v>$10K-$100K</v>
          </cell>
          <cell r="AB1715" t="str">
            <v>2010 or before</v>
          </cell>
        </row>
        <row r="1716">
          <cell r="E1716">
            <v>23866.5</v>
          </cell>
          <cell r="Z1716" t="str">
            <v>Ungating</v>
          </cell>
          <cell r="AA1716" t="str">
            <v>$10K-$100K</v>
          </cell>
          <cell r="AB1716">
            <v>2012</v>
          </cell>
        </row>
        <row r="1717">
          <cell r="E1717">
            <v>23844.77</v>
          </cell>
          <cell r="Z1717" t="str">
            <v>Legacy</v>
          </cell>
          <cell r="AA1717" t="str">
            <v>$10K-$100K</v>
          </cell>
          <cell r="AB1717" t="str">
            <v>2010 or before</v>
          </cell>
        </row>
        <row r="1718">
          <cell r="E1718">
            <v>23824.06</v>
          </cell>
          <cell r="Z1718" t="str">
            <v>Legacy</v>
          </cell>
          <cell r="AA1718" t="str">
            <v>$10K-$100K</v>
          </cell>
          <cell r="AB1718" t="str">
            <v>2010 or before</v>
          </cell>
        </row>
        <row r="1719">
          <cell r="E1719">
            <v>23749.18</v>
          </cell>
          <cell r="Z1719" t="str">
            <v>Ungating</v>
          </cell>
          <cell r="AA1719" t="str">
            <v>$10K-$100K</v>
          </cell>
          <cell r="AB1719">
            <v>2012</v>
          </cell>
        </row>
        <row r="1720">
          <cell r="E1720">
            <v>23741.45</v>
          </cell>
          <cell r="Z1720" t="str">
            <v>Legacy</v>
          </cell>
          <cell r="AA1720" t="str">
            <v>$10K-$100K</v>
          </cell>
          <cell r="AB1720" t="str">
            <v>2010 or before</v>
          </cell>
        </row>
        <row r="1721">
          <cell r="E1721">
            <v>23740.55</v>
          </cell>
          <cell r="Z1721" t="str">
            <v>Inbound</v>
          </cell>
          <cell r="AA1721" t="str">
            <v>$10K-$100K</v>
          </cell>
          <cell r="AB1721">
            <v>2012</v>
          </cell>
        </row>
        <row r="1722">
          <cell r="E1722">
            <v>23710.639999999999</v>
          </cell>
          <cell r="Z1722" t="str">
            <v>Legacy</v>
          </cell>
          <cell r="AA1722" t="str">
            <v>$10K-$100K</v>
          </cell>
          <cell r="AB1722" t="str">
            <v>2010 or before</v>
          </cell>
        </row>
        <row r="1723">
          <cell r="E1723">
            <v>23699.55</v>
          </cell>
          <cell r="Z1723" t="str">
            <v>Legacy</v>
          </cell>
          <cell r="AA1723" t="str">
            <v>$10K-$100K</v>
          </cell>
          <cell r="AB1723" t="str">
            <v>2010 or before</v>
          </cell>
        </row>
        <row r="1724">
          <cell r="E1724">
            <v>23696.5</v>
          </cell>
          <cell r="Z1724" t="str">
            <v>Legacy</v>
          </cell>
          <cell r="AA1724" t="str">
            <v>$10K-$100K</v>
          </cell>
          <cell r="AB1724" t="str">
            <v>2010 or before</v>
          </cell>
        </row>
        <row r="1725">
          <cell r="E1725">
            <v>23667.03</v>
          </cell>
          <cell r="Z1725" t="str">
            <v>Legacy</v>
          </cell>
          <cell r="AA1725" t="str">
            <v>$10K-$100K</v>
          </cell>
          <cell r="AB1725" t="str">
            <v>2010 or before</v>
          </cell>
        </row>
        <row r="1726">
          <cell r="E1726">
            <v>23664.03</v>
          </cell>
          <cell r="Z1726" t="str">
            <v>Legacy</v>
          </cell>
          <cell r="AA1726" t="str">
            <v>$10K-$100K</v>
          </cell>
          <cell r="AB1726" t="str">
            <v>2010 or before</v>
          </cell>
        </row>
        <row r="1727">
          <cell r="E1727">
            <v>23657.8</v>
          </cell>
          <cell r="Z1727" t="str">
            <v>Legacy</v>
          </cell>
          <cell r="AA1727" t="str">
            <v>$10K-$100K</v>
          </cell>
          <cell r="AB1727" t="str">
            <v>2010 or before</v>
          </cell>
        </row>
        <row r="1728">
          <cell r="E1728">
            <v>23614.03</v>
          </cell>
          <cell r="Z1728" t="str">
            <v>Global</v>
          </cell>
          <cell r="AA1728" t="str">
            <v>$10K-$100K</v>
          </cell>
          <cell r="AB1728">
            <v>2012</v>
          </cell>
        </row>
        <row r="1729">
          <cell r="E1729">
            <v>23484.53</v>
          </cell>
          <cell r="Z1729" t="str">
            <v>Legacy</v>
          </cell>
          <cell r="AA1729" t="str">
            <v>$10K-$100K</v>
          </cell>
          <cell r="AB1729" t="str">
            <v>2010 or before</v>
          </cell>
        </row>
        <row r="1730">
          <cell r="E1730">
            <v>23483.74</v>
          </cell>
          <cell r="Z1730" t="str">
            <v>Inbound</v>
          </cell>
          <cell r="AA1730" t="str">
            <v>$10K-$100K</v>
          </cell>
          <cell r="AB1730">
            <v>2012</v>
          </cell>
        </row>
        <row r="1731">
          <cell r="E1731">
            <v>23473.57</v>
          </cell>
          <cell r="Z1731" t="str">
            <v>Legacy</v>
          </cell>
          <cell r="AA1731" t="str">
            <v>$10K-$100K</v>
          </cell>
          <cell r="AB1731">
            <v>2011</v>
          </cell>
        </row>
        <row r="1732">
          <cell r="E1732">
            <v>23431.32</v>
          </cell>
          <cell r="Z1732" t="str">
            <v>Legacy</v>
          </cell>
          <cell r="AA1732" t="str">
            <v>$10K-$100K</v>
          </cell>
          <cell r="AB1732" t="str">
            <v>2010 or before</v>
          </cell>
        </row>
        <row r="1733">
          <cell r="E1733">
            <v>23430.99</v>
          </cell>
          <cell r="Z1733" t="str">
            <v>Legacy</v>
          </cell>
          <cell r="AA1733" t="str">
            <v>$10K-$100K</v>
          </cell>
          <cell r="AB1733" t="str">
            <v>2010 or before</v>
          </cell>
        </row>
        <row r="1734">
          <cell r="E1734">
            <v>23304</v>
          </cell>
          <cell r="Z1734" t="str">
            <v>Outbound</v>
          </cell>
          <cell r="AA1734" t="str">
            <v>$10K-$100K</v>
          </cell>
          <cell r="AB1734">
            <v>2012</v>
          </cell>
        </row>
        <row r="1735">
          <cell r="E1735">
            <v>23238.2</v>
          </cell>
          <cell r="Z1735" t="str">
            <v>Ungating</v>
          </cell>
          <cell r="AA1735" t="str">
            <v>$10K-$100K</v>
          </cell>
          <cell r="AB1735">
            <v>2012</v>
          </cell>
        </row>
        <row r="1736">
          <cell r="E1736">
            <v>23171.64</v>
          </cell>
          <cell r="Z1736" t="str">
            <v>Legacy</v>
          </cell>
          <cell r="AA1736" t="str">
            <v>$10K-$100K</v>
          </cell>
          <cell r="AB1736">
            <v>2011</v>
          </cell>
        </row>
        <row r="1737">
          <cell r="E1737">
            <v>23158.11</v>
          </cell>
          <cell r="Z1737" t="str">
            <v>Legacy</v>
          </cell>
          <cell r="AA1737" t="str">
            <v>$10K-$100K</v>
          </cell>
          <cell r="AB1737" t="str">
            <v>2010 or before</v>
          </cell>
        </row>
        <row r="1738">
          <cell r="E1738">
            <v>23148.92</v>
          </cell>
          <cell r="Z1738" t="str">
            <v>Legacy</v>
          </cell>
          <cell r="AA1738" t="str">
            <v>$10K-$100K</v>
          </cell>
          <cell r="AB1738" t="str">
            <v>2010 or before</v>
          </cell>
        </row>
        <row r="1739">
          <cell r="E1739">
            <v>23099.69</v>
          </cell>
          <cell r="Z1739" t="str">
            <v>Legacy</v>
          </cell>
          <cell r="AA1739" t="str">
            <v>$10K-$100K</v>
          </cell>
          <cell r="AB1739" t="str">
            <v>2010 or before</v>
          </cell>
        </row>
        <row r="1740">
          <cell r="E1740">
            <v>23067.51</v>
          </cell>
          <cell r="Z1740" t="str">
            <v>Legacy</v>
          </cell>
          <cell r="AA1740" t="str">
            <v>$10K-$100K</v>
          </cell>
          <cell r="AB1740" t="str">
            <v>2010 or before</v>
          </cell>
        </row>
        <row r="1741">
          <cell r="E1741">
            <v>22947.360000000001</v>
          </cell>
          <cell r="Z1741" t="str">
            <v>Legacy</v>
          </cell>
          <cell r="AA1741" t="str">
            <v>$10K-$100K</v>
          </cell>
          <cell r="AB1741" t="str">
            <v>2010 or before</v>
          </cell>
        </row>
        <row r="1742">
          <cell r="E1742">
            <v>22938.400000000001</v>
          </cell>
          <cell r="Z1742" t="str">
            <v>Legacy</v>
          </cell>
          <cell r="AA1742" t="str">
            <v>$10K-$100K</v>
          </cell>
          <cell r="AB1742" t="str">
            <v>2010 or before</v>
          </cell>
        </row>
        <row r="1743">
          <cell r="E1743">
            <v>22904.080000000002</v>
          </cell>
          <cell r="Z1743" t="str">
            <v>Ungating</v>
          </cell>
          <cell r="AA1743" t="str">
            <v>$10K-$100K</v>
          </cell>
          <cell r="AB1743">
            <v>2012</v>
          </cell>
        </row>
        <row r="1744">
          <cell r="E1744">
            <v>22788.5</v>
          </cell>
          <cell r="Z1744" t="str">
            <v>Inbound</v>
          </cell>
          <cell r="AA1744" t="str">
            <v>$10K-$100K</v>
          </cell>
          <cell r="AB1744">
            <v>2012</v>
          </cell>
        </row>
        <row r="1745">
          <cell r="E1745">
            <v>22745.35</v>
          </cell>
          <cell r="Z1745" t="str">
            <v>Ungating</v>
          </cell>
          <cell r="AA1745" t="str">
            <v>$10K-$100K</v>
          </cell>
          <cell r="AB1745">
            <v>2012</v>
          </cell>
        </row>
        <row r="1746">
          <cell r="E1746">
            <v>22733.62</v>
          </cell>
          <cell r="Z1746" t="str">
            <v>Legacy</v>
          </cell>
          <cell r="AA1746" t="str">
            <v>$10K-$100K</v>
          </cell>
          <cell r="AB1746" t="str">
            <v>2010 or before</v>
          </cell>
        </row>
        <row r="1747">
          <cell r="E1747">
            <v>22692.36</v>
          </cell>
          <cell r="Z1747" t="str">
            <v>Legacy</v>
          </cell>
          <cell r="AA1747" t="str">
            <v>$10K-$100K</v>
          </cell>
          <cell r="AB1747" t="str">
            <v>2010 or before</v>
          </cell>
        </row>
        <row r="1748">
          <cell r="E1748">
            <v>22558.52</v>
          </cell>
          <cell r="Z1748" t="str">
            <v>Ungating</v>
          </cell>
          <cell r="AA1748" t="str">
            <v>$10K-$100K</v>
          </cell>
          <cell r="AB1748">
            <v>2011</v>
          </cell>
        </row>
        <row r="1749">
          <cell r="E1749">
            <v>22546.3</v>
          </cell>
          <cell r="Z1749" t="str">
            <v>Legacy</v>
          </cell>
          <cell r="AA1749" t="str">
            <v>$10K-$100K</v>
          </cell>
          <cell r="AB1749" t="str">
            <v>2010 or before</v>
          </cell>
        </row>
        <row r="1750">
          <cell r="E1750">
            <v>22543.37</v>
          </cell>
          <cell r="Z1750" t="str">
            <v>Ungating</v>
          </cell>
          <cell r="AA1750" t="str">
            <v>$10K-$100K</v>
          </cell>
          <cell r="AB1750">
            <v>2011</v>
          </cell>
        </row>
        <row r="1751">
          <cell r="E1751">
            <v>22517.37</v>
          </cell>
          <cell r="Z1751" t="str">
            <v>Ungating</v>
          </cell>
          <cell r="AA1751" t="str">
            <v>$10K-$100K</v>
          </cell>
          <cell r="AB1751">
            <v>2012</v>
          </cell>
        </row>
        <row r="1752">
          <cell r="E1752">
            <v>22495.83</v>
          </cell>
          <cell r="Z1752" t="str">
            <v>Legacy</v>
          </cell>
          <cell r="AA1752" t="str">
            <v>$10K-$100K</v>
          </cell>
          <cell r="AB1752" t="str">
            <v>2010 or before</v>
          </cell>
        </row>
        <row r="1753">
          <cell r="E1753">
            <v>22475.83</v>
          </cell>
          <cell r="Z1753" t="str">
            <v>Legacy</v>
          </cell>
          <cell r="AA1753" t="str">
            <v>$10K-$100K</v>
          </cell>
          <cell r="AB1753" t="str">
            <v>2010 or before</v>
          </cell>
        </row>
        <row r="1754">
          <cell r="E1754">
            <v>22410.16</v>
          </cell>
          <cell r="Z1754" t="str">
            <v>Inbound</v>
          </cell>
          <cell r="AA1754" t="str">
            <v>$10K-$100K</v>
          </cell>
          <cell r="AB1754">
            <v>2012</v>
          </cell>
        </row>
        <row r="1755">
          <cell r="E1755">
            <v>22362.28</v>
          </cell>
          <cell r="Z1755" t="str">
            <v>Legacy</v>
          </cell>
          <cell r="AA1755" t="str">
            <v>$10K-$100K</v>
          </cell>
          <cell r="AB1755" t="str">
            <v>2010 or before</v>
          </cell>
        </row>
        <row r="1756">
          <cell r="E1756">
            <v>22257.66</v>
          </cell>
          <cell r="Z1756" t="str">
            <v>Outbound</v>
          </cell>
          <cell r="AA1756" t="str">
            <v>$10K-$100K</v>
          </cell>
          <cell r="AB1756">
            <v>2012</v>
          </cell>
        </row>
        <row r="1757">
          <cell r="E1757">
            <v>22123.68</v>
          </cell>
          <cell r="Z1757" t="str">
            <v>Legacy</v>
          </cell>
          <cell r="AA1757" t="str">
            <v>$10K-$100K</v>
          </cell>
          <cell r="AB1757" t="str">
            <v>2010 or before</v>
          </cell>
        </row>
        <row r="1758">
          <cell r="E1758">
            <v>22053.77</v>
          </cell>
          <cell r="Z1758" t="str">
            <v>Inbound</v>
          </cell>
          <cell r="AA1758" t="str">
            <v>$10K-$100K</v>
          </cell>
          <cell r="AB1758">
            <v>2011</v>
          </cell>
        </row>
        <row r="1759">
          <cell r="E1759">
            <v>21995.61</v>
          </cell>
          <cell r="Z1759" t="str">
            <v>Legacy</v>
          </cell>
          <cell r="AA1759" t="str">
            <v>$10K-$100K</v>
          </cell>
          <cell r="AB1759" t="str">
            <v>2010 or before</v>
          </cell>
        </row>
        <row r="1760">
          <cell r="E1760">
            <v>21980.98</v>
          </cell>
          <cell r="Z1760" t="str">
            <v>Legacy</v>
          </cell>
          <cell r="AA1760" t="str">
            <v>$10K-$100K</v>
          </cell>
          <cell r="AB1760" t="str">
            <v>2010 or before</v>
          </cell>
        </row>
        <row r="1761">
          <cell r="E1761">
            <v>21953.25</v>
          </cell>
          <cell r="Z1761" t="str">
            <v>Inbound</v>
          </cell>
          <cell r="AA1761" t="str">
            <v>$10K-$100K</v>
          </cell>
          <cell r="AB1761">
            <v>2012</v>
          </cell>
        </row>
        <row r="1762">
          <cell r="E1762">
            <v>21933.200000000001</v>
          </cell>
          <cell r="Z1762" t="str">
            <v>Legacy</v>
          </cell>
          <cell r="AA1762" t="str">
            <v>$10K-$100K</v>
          </cell>
          <cell r="AB1762" t="str">
            <v>2010 or before</v>
          </cell>
        </row>
        <row r="1763">
          <cell r="E1763">
            <v>21927.23</v>
          </cell>
          <cell r="Z1763" t="str">
            <v>Legacy</v>
          </cell>
          <cell r="AA1763" t="str">
            <v>$10K-$100K</v>
          </cell>
          <cell r="AB1763" t="str">
            <v>2010 or before</v>
          </cell>
        </row>
        <row r="1764">
          <cell r="E1764">
            <v>21909</v>
          </cell>
          <cell r="Z1764" t="str">
            <v>Global</v>
          </cell>
          <cell r="AA1764" t="str">
            <v>$10K-$100K</v>
          </cell>
          <cell r="AB1764">
            <v>2012</v>
          </cell>
        </row>
        <row r="1765">
          <cell r="E1765">
            <v>21889.96</v>
          </cell>
          <cell r="Z1765" t="str">
            <v>Global</v>
          </cell>
          <cell r="AA1765" t="str">
            <v>$10K-$100K</v>
          </cell>
          <cell r="AB1765">
            <v>2012</v>
          </cell>
        </row>
        <row r="1766">
          <cell r="E1766">
            <v>21884.77</v>
          </cell>
          <cell r="Z1766" t="str">
            <v>Legacy</v>
          </cell>
          <cell r="AA1766" t="str">
            <v>$10K-$100K</v>
          </cell>
          <cell r="AB1766" t="str">
            <v>2010 or before</v>
          </cell>
        </row>
        <row r="1767">
          <cell r="E1767">
            <v>21846.87</v>
          </cell>
          <cell r="Z1767" t="str">
            <v>Outbound</v>
          </cell>
          <cell r="AA1767" t="str">
            <v>$10K-$100K</v>
          </cell>
          <cell r="AB1767">
            <v>2012</v>
          </cell>
        </row>
        <row r="1768">
          <cell r="E1768">
            <v>21842.400000000001</v>
          </cell>
          <cell r="Z1768" t="str">
            <v>Legacy</v>
          </cell>
          <cell r="AA1768" t="str">
            <v>$10K-$100K</v>
          </cell>
          <cell r="AB1768" t="str">
            <v>2010 or before</v>
          </cell>
        </row>
        <row r="1769">
          <cell r="E1769">
            <v>21842</v>
          </cell>
          <cell r="Z1769" t="str">
            <v>Legacy</v>
          </cell>
          <cell r="AA1769" t="str">
            <v>$10K-$100K</v>
          </cell>
          <cell r="AB1769">
            <v>2012</v>
          </cell>
        </row>
        <row r="1770">
          <cell r="E1770">
            <v>21835.01</v>
          </cell>
          <cell r="Z1770" t="str">
            <v>Legacy</v>
          </cell>
          <cell r="AA1770" t="str">
            <v>$10K-$100K</v>
          </cell>
          <cell r="AB1770" t="str">
            <v>2010 or before</v>
          </cell>
        </row>
        <row r="1771">
          <cell r="E1771">
            <v>21827.59</v>
          </cell>
          <cell r="Z1771" t="str">
            <v>Ungating</v>
          </cell>
          <cell r="AA1771" t="str">
            <v>$10K-$100K</v>
          </cell>
          <cell r="AB1771">
            <v>2011</v>
          </cell>
        </row>
        <row r="1772">
          <cell r="E1772">
            <v>21808.46</v>
          </cell>
          <cell r="Z1772" t="str">
            <v>Legacy</v>
          </cell>
          <cell r="AA1772" t="str">
            <v>$10K-$100K</v>
          </cell>
          <cell r="AB1772">
            <v>2011</v>
          </cell>
        </row>
        <row r="1773">
          <cell r="E1773">
            <v>21796.98</v>
          </cell>
          <cell r="Z1773" t="str">
            <v>Legacy</v>
          </cell>
          <cell r="AA1773" t="str">
            <v>$10K-$100K</v>
          </cell>
          <cell r="AB1773" t="str">
            <v>2010 or before</v>
          </cell>
        </row>
        <row r="1774">
          <cell r="E1774">
            <v>21737.61</v>
          </cell>
          <cell r="Z1774" t="str">
            <v>Legacy</v>
          </cell>
          <cell r="AA1774" t="str">
            <v>$10K-$100K</v>
          </cell>
          <cell r="AB1774" t="str">
            <v>2010 or before</v>
          </cell>
        </row>
        <row r="1775">
          <cell r="E1775">
            <v>21694.94</v>
          </cell>
          <cell r="Z1775" t="str">
            <v>Legacy</v>
          </cell>
          <cell r="AA1775" t="str">
            <v>$10K-$100K</v>
          </cell>
          <cell r="AB1775" t="str">
            <v>2010 or before</v>
          </cell>
        </row>
        <row r="1776">
          <cell r="E1776">
            <v>21689.15</v>
          </cell>
          <cell r="Z1776" t="str">
            <v>Ungating</v>
          </cell>
          <cell r="AA1776" t="str">
            <v>$10K-$100K</v>
          </cell>
          <cell r="AB1776">
            <v>2012</v>
          </cell>
        </row>
        <row r="1777">
          <cell r="E1777">
            <v>21680.59</v>
          </cell>
          <cell r="Z1777" t="str">
            <v>Legacy</v>
          </cell>
          <cell r="AA1777" t="str">
            <v>$10K-$100K</v>
          </cell>
          <cell r="AB1777" t="str">
            <v>2010 or before</v>
          </cell>
        </row>
        <row r="1778">
          <cell r="E1778">
            <v>21637.69</v>
          </cell>
          <cell r="Z1778" t="str">
            <v>Legacy</v>
          </cell>
          <cell r="AA1778" t="str">
            <v>$10K-$100K</v>
          </cell>
          <cell r="AB1778" t="str">
            <v>2010 or before</v>
          </cell>
        </row>
        <row r="1779">
          <cell r="E1779">
            <v>21609.35</v>
          </cell>
          <cell r="Z1779" t="str">
            <v>Legacy</v>
          </cell>
          <cell r="AA1779" t="str">
            <v>$10K-$100K</v>
          </cell>
          <cell r="AB1779" t="str">
            <v>2010 or before</v>
          </cell>
        </row>
        <row r="1780">
          <cell r="E1780">
            <v>21591.97</v>
          </cell>
          <cell r="Z1780" t="str">
            <v>Legacy</v>
          </cell>
          <cell r="AA1780" t="str">
            <v>$10K-$100K</v>
          </cell>
          <cell r="AB1780" t="str">
            <v>2010 or before</v>
          </cell>
        </row>
        <row r="1781">
          <cell r="E1781">
            <v>21585.5</v>
          </cell>
          <cell r="Z1781" t="str">
            <v>Inbound</v>
          </cell>
          <cell r="AA1781" t="str">
            <v>$10K-$100K</v>
          </cell>
          <cell r="AB1781">
            <v>2012</v>
          </cell>
        </row>
        <row r="1782">
          <cell r="E1782">
            <v>21498.28</v>
          </cell>
          <cell r="Z1782" t="str">
            <v>Legacy</v>
          </cell>
          <cell r="AA1782" t="str">
            <v>$10K-$100K</v>
          </cell>
          <cell r="AB1782" t="str">
            <v>2010 or before</v>
          </cell>
        </row>
        <row r="1783">
          <cell r="E1783">
            <v>21486.95</v>
          </cell>
          <cell r="Z1783" t="str">
            <v>Legacy</v>
          </cell>
          <cell r="AA1783" t="str">
            <v>$10K-$100K</v>
          </cell>
          <cell r="AB1783">
            <v>2012</v>
          </cell>
        </row>
        <row r="1784">
          <cell r="E1784">
            <v>21390.92</v>
          </cell>
          <cell r="Z1784" t="str">
            <v>Ungating</v>
          </cell>
          <cell r="AA1784" t="str">
            <v>$10K-$100K</v>
          </cell>
          <cell r="AB1784">
            <v>2012</v>
          </cell>
        </row>
        <row r="1785">
          <cell r="E1785">
            <v>21325.02</v>
          </cell>
          <cell r="Z1785" t="str">
            <v>Legacy</v>
          </cell>
          <cell r="AA1785" t="str">
            <v>$10K-$100K</v>
          </cell>
          <cell r="AB1785" t="str">
            <v>2010 or before</v>
          </cell>
        </row>
        <row r="1786">
          <cell r="E1786">
            <v>21288.68</v>
          </cell>
          <cell r="Z1786" t="str">
            <v>Legacy</v>
          </cell>
          <cell r="AA1786" t="str">
            <v>$10K-$100K</v>
          </cell>
          <cell r="AB1786" t="str">
            <v>2010 or before</v>
          </cell>
        </row>
        <row r="1787">
          <cell r="E1787">
            <v>21276.45</v>
          </cell>
          <cell r="Z1787" t="str">
            <v>Global</v>
          </cell>
          <cell r="AA1787" t="str">
            <v>$10K-$100K</v>
          </cell>
          <cell r="AB1787">
            <v>2012</v>
          </cell>
        </row>
        <row r="1788">
          <cell r="E1788">
            <v>21259.57</v>
          </cell>
          <cell r="Z1788" t="str">
            <v>Legacy</v>
          </cell>
          <cell r="AA1788" t="str">
            <v>$10K-$100K</v>
          </cell>
          <cell r="AB1788" t="str">
            <v>2010 or before</v>
          </cell>
        </row>
        <row r="1789">
          <cell r="E1789">
            <v>21172.78</v>
          </cell>
          <cell r="Z1789" t="str">
            <v>Ungating</v>
          </cell>
          <cell r="AA1789" t="str">
            <v>$10K-$100K</v>
          </cell>
          <cell r="AB1789">
            <v>2012</v>
          </cell>
        </row>
        <row r="1790">
          <cell r="E1790">
            <v>21156.32</v>
          </cell>
          <cell r="Z1790" t="str">
            <v>Legacy</v>
          </cell>
          <cell r="AA1790" t="str">
            <v>$10K-$100K</v>
          </cell>
          <cell r="AB1790" t="str">
            <v>2010 or before</v>
          </cell>
        </row>
        <row r="1791">
          <cell r="E1791">
            <v>21141</v>
          </cell>
          <cell r="Z1791" t="str">
            <v>Global</v>
          </cell>
          <cell r="AA1791" t="str">
            <v>$10K-$100K</v>
          </cell>
          <cell r="AB1791">
            <v>2012</v>
          </cell>
        </row>
        <row r="1792">
          <cell r="E1792">
            <v>21133.43</v>
          </cell>
          <cell r="Z1792" t="str">
            <v>Legacy</v>
          </cell>
          <cell r="AA1792" t="str">
            <v>$10K-$100K</v>
          </cell>
          <cell r="AB1792" t="str">
            <v>2010 or before</v>
          </cell>
        </row>
        <row r="1793">
          <cell r="E1793">
            <v>21091</v>
          </cell>
          <cell r="Z1793" t="str">
            <v>Legacy</v>
          </cell>
          <cell r="AA1793" t="str">
            <v>$10K-$100K</v>
          </cell>
          <cell r="AB1793" t="str">
            <v>2010 or before</v>
          </cell>
        </row>
        <row r="1794">
          <cell r="E1794">
            <v>20962.150000000001</v>
          </cell>
          <cell r="Z1794" t="str">
            <v>Legacy</v>
          </cell>
          <cell r="AA1794" t="str">
            <v>$10K-$100K</v>
          </cell>
          <cell r="AB1794" t="str">
            <v>2010 or before</v>
          </cell>
        </row>
        <row r="1795">
          <cell r="E1795">
            <v>20928.93</v>
          </cell>
          <cell r="Z1795" t="str">
            <v>Inbound</v>
          </cell>
          <cell r="AA1795" t="str">
            <v>$10K-$100K</v>
          </cell>
          <cell r="AB1795">
            <v>2011</v>
          </cell>
        </row>
        <row r="1796">
          <cell r="E1796">
            <v>20915.37</v>
          </cell>
          <cell r="Z1796" t="str">
            <v>Legacy</v>
          </cell>
          <cell r="AA1796" t="str">
            <v>$10K-$100K</v>
          </cell>
          <cell r="AB1796" t="str">
            <v>2010 or before</v>
          </cell>
        </row>
        <row r="1797">
          <cell r="E1797">
            <v>20842.63</v>
          </cell>
          <cell r="Z1797" t="str">
            <v>Legacy</v>
          </cell>
          <cell r="AA1797" t="str">
            <v>$10K-$100K</v>
          </cell>
          <cell r="AB1797" t="str">
            <v>2010 or before</v>
          </cell>
        </row>
        <row r="1798">
          <cell r="E1798">
            <v>20752.150000000001</v>
          </cell>
          <cell r="Z1798" t="str">
            <v>Ungating</v>
          </cell>
          <cell r="AA1798" t="str">
            <v>$10K-$100K</v>
          </cell>
          <cell r="AB1798">
            <v>2012</v>
          </cell>
        </row>
        <row r="1799">
          <cell r="E1799">
            <v>20719.07</v>
          </cell>
          <cell r="Z1799" t="str">
            <v>Legacy</v>
          </cell>
          <cell r="AA1799" t="str">
            <v>$10K-$100K</v>
          </cell>
          <cell r="AB1799">
            <v>2012</v>
          </cell>
        </row>
        <row r="1800">
          <cell r="E1800">
            <v>20705.54</v>
          </cell>
          <cell r="Z1800" t="str">
            <v>Legacy</v>
          </cell>
          <cell r="AA1800" t="str">
            <v>$10K-$100K</v>
          </cell>
          <cell r="AB1800" t="str">
            <v>2010 or before</v>
          </cell>
        </row>
        <row r="1801">
          <cell r="E1801">
            <v>20681.54</v>
          </cell>
          <cell r="Z1801" t="str">
            <v>Legacy</v>
          </cell>
          <cell r="AA1801" t="str">
            <v>$10K-$100K</v>
          </cell>
          <cell r="AB1801">
            <v>2012</v>
          </cell>
        </row>
        <row r="1802">
          <cell r="E1802">
            <v>20649.64</v>
          </cell>
          <cell r="Z1802" t="str">
            <v>Legacy</v>
          </cell>
          <cell r="AA1802" t="str">
            <v>$10K-$100K</v>
          </cell>
          <cell r="AB1802" t="str">
            <v>2010 or before</v>
          </cell>
        </row>
        <row r="1803">
          <cell r="E1803">
            <v>20614.990000000002</v>
          </cell>
          <cell r="Z1803" t="str">
            <v>Legacy</v>
          </cell>
          <cell r="AA1803" t="str">
            <v>$10K-$100K</v>
          </cell>
          <cell r="AB1803" t="str">
            <v>2010 or before</v>
          </cell>
        </row>
        <row r="1804">
          <cell r="E1804">
            <v>20601.52</v>
          </cell>
          <cell r="Z1804" t="str">
            <v>Legacy</v>
          </cell>
          <cell r="AA1804" t="str">
            <v>$10K-$100K</v>
          </cell>
          <cell r="AB1804" t="str">
            <v>2010 or before</v>
          </cell>
        </row>
        <row r="1805">
          <cell r="E1805">
            <v>20546.57</v>
          </cell>
          <cell r="Z1805" t="str">
            <v>Inbound</v>
          </cell>
          <cell r="AA1805" t="str">
            <v>$10K-$100K</v>
          </cell>
          <cell r="AB1805">
            <v>2012</v>
          </cell>
        </row>
        <row r="1806">
          <cell r="E1806">
            <v>20435.93</v>
          </cell>
          <cell r="Z1806" t="str">
            <v>Ungating</v>
          </cell>
          <cell r="AA1806" t="str">
            <v>$10K-$100K</v>
          </cell>
          <cell r="AB1806">
            <v>2012</v>
          </cell>
        </row>
        <row r="1807">
          <cell r="E1807">
            <v>20426.669999999998</v>
          </cell>
          <cell r="Z1807" t="str">
            <v>Legacy</v>
          </cell>
          <cell r="AA1807" t="str">
            <v>$10K-$100K</v>
          </cell>
          <cell r="AB1807" t="str">
            <v>2010 or before</v>
          </cell>
        </row>
        <row r="1808">
          <cell r="E1808">
            <v>20401.27</v>
          </cell>
          <cell r="Z1808" t="str">
            <v>Legacy</v>
          </cell>
          <cell r="AA1808" t="str">
            <v>$10K-$100K</v>
          </cell>
          <cell r="AB1808" t="str">
            <v>2010 or before</v>
          </cell>
        </row>
        <row r="1809">
          <cell r="E1809">
            <v>20345.990000000002</v>
          </cell>
          <cell r="Z1809" t="str">
            <v>Ungating</v>
          </cell>
          <cell r="AA1809" t="str">
            <v>$10K-$100K</v>
          </cell>
          <cell r="AB1809">
            <v>2012</v>
          </cell>
        </row>
        <row r="1810">
          <cell r="E1810">
            <v>20344.16</v>
          </cell>
          <cell r="Z1810" t="str">
            <v>Legacy</v>
          </cell>
          <cell r="AA1810" t="str">
            <v>$10K-$100K</v>
          </cell>
          <cell r="AB1810" t="str">
            <v>2010 or before</v>
          </cell>
        </row>
        <row r="1811">
          <cell r="E1811">
            <v>20339.669999999998</v>
          </cell>
          <cell r="Z1811" t="str">
            <v>Legacy</v>
          </cell>
          <cell r="AA1811" t="str">
            <v>$10K-$100K</v>
          </cell>
          <cell r="AB1811" t="str">
            <v>2010 or before</v>
          </cell>
        </row>
        <row r="1812">
          <cell r="E1812">
            <v>20335.11</v>
          </cell>
          <cell r="Z1812" t="str">
            <v>Legacy</v>
          </cell>
          <cell r="AA1812" t="str">
            <v>$10K-$100K</v>
          </cell>
          <cell r="AB1812" t="str">
            <v>2010 or before</v>
          </cell>
        </row>
        <row r="1813">
          <cell r="E1813">
            <v>20330.14</v>
          </cell>
          <cell r="Z1813" t="str">
            <v>Legacy</v>
          </cell>
          <cell r="AA1813" t="str">
            <v>$10K-$100K</v>
          </cell>
          <cell r="AB1813" t="str">
            <v>2010 or before</v>
          </cell>
        </row>
        <row r="1814">
          <cell r="E1814">
            <v>20301.98</v>
          </cell>
          <cell r="Z1814" t="str">
            <v>Legacy</v>
          </cell>
          <cell r="AA1814" t="str">
            <v>$10K-$100K</v>
          </cell>
          <cell r="AB1814">
            <v>2011</v>
          </cell>
        </row>
        <row r="1815">
          <cell r="E1815">
            <v>20238.490000000002</v>
          </cell>
          <cell r="Z1815" t="str">
            <v>Outbound</v>
          </cell>
          <cell r="AA1815" t="str">
            <v>$10K-$100K</v>
          </cell>
          <cell r="AB1815">
            <v>2012</v>
          </cell>
        </row>
        <row r="1816">
          <cell r="E1816">
            <v>20229.86</v>
          </cell>
          <cell r="Z1816" t="str">
            <v>Legacy</v>
          </cell>
          <cell r="AA1816" t="str">
            <v>$10K-$100K</v>
          </cell>
          <cell r="AB1816" t="str">
            <v>2010 or before</v>
          </cell>
        </row>
        <row r="1817">
          <cell r="E1817">
            <v>20209.55</v>
          </cell>
          <cell r="Z1817" t="str">
            <v>Inbound</v>
          </cell>
          <cell r="AA1817" t="str">
            <v>$10K-$100K</v>
          </cell>
          <cell r="AB1817">
            <v>2012</v>
          </cell>
        </row>
        <row r="1818">
          <cell r="E1818">
            <v>20179.39</v>
          </cell>
          <cell r="Z1818" t="str">
            <v>Legacy</v>
          </cell>
          <cell r="AA1818" t="str">
            <v>$10K-$100K</v>
          </cell>
          <cell r="AB1818" t="str">
            <v>2010 or before</v>
          </cell>
        </row>
        <row r="1819">
          <cell r="E1819">
            <v>20157.29</v>
          </cell>
          <cell r="Z1819" t="str">
            <v>Inbound</v>
          </cell>
          <cell r="AA1819" t="str">
            <v>$10K-$100K</v>
          </cell>
          <cell r="AB1819">
            <v>2012</v>
          </cell>
        </row>
        <row r="1820">
          <cell r="E1820">
            <v>20136.54</v>
          </cell>
          <cell r="Z1820" t="str">
            <v>Legacy</v>
          </cell>
          <cell r="AA1820" t="str">
            <v>$10K-$100K</v>
          </cell>
          <cell r="AB1820">
            <v>2011</v>
          </cell>
        </row>
        <row r="1821">
          <cell r="E1821">
            <v>20108.16</v>
          </cell>
          <cell r="Z1821" t="str">
            <v>Legacy</v>
          </cell>
          <cell r="AA1821" t="str">
            <v>$10K-$100K</v>
          </cell>
          <cell r="AB1821" t="str">
            <v>2010 or before</v>
          </cell>
        </row>
        <row r="1822">
          <cell r="E1822">
            <v>20099.22</v>
          </cell>
          <cell r="Z1822" t="str">
            <v>Ungating</v>
          </cell>
          <cell r="AA1822" t="str">
            <v>$10K-$100K</v>
          </cell>
          <cell r="AB1822">
            <v>2012</v>
          </cell>
        </row>
        <row r="1823">
          <cell r="E1823">
            <v>20098.03</v>
          </cell>
          <cell r="Z1823" t="str">
            <v>Legacy</v>
          </cell>
          <cell r="AA1823" t="str">
            <v>$10K-$100K</v>
          </cell>
          <cell r="AB1823">
            <v>2011</v>
          </cell>
        </row>
        <row r="1824">
          <cell r="E1824">
            <v>20087.060000000001</v>
          </cell>
          <cell r="Z1824" t="str">
            <v>Legacy</v>
          </cell>
          <cell r="AA1824" t="str">
            <v>$10K-$100K</v>
          </cell>
          <cell r="AB1824" t="str">
            <v>2010 or before</v>
          </cell>
        </row>
        <row r="1825">
          <cell r="E1825">
            <v>20081.18</v>
          </cell>
          <cell r="Z1825" t="str">
            <v>Legacy</v>
          </cell>
          <cell r="AA1825" t="str">
            <v>$10K-$100K</v>
          </cell>
          <cell r="AB1825" t="str">
            <v>2010 or before</v>
          </cell>
        </row>
        <row r="1826">
          <cell r="E1826">
            <v>20034.45</v>
          </cell>
          <cell r="Z1826" t="str">
            <v>Legacy</v>
          </cell>
          <cell r="AA1826" t="str">
            <v>$10K-$100K</v>
          </cell>
          <cell r="AB1826" t="str">
            <v>2010 or before</v>
          </cell>
        </row>
        <row r="1827">
          <cell r="E1827">
            <v>20020.330000000002</v>
          </cell>
          <cell r="Z1827" t="str">
            <v>Ungating</v>
          </cell>
          <cell r="AA1827" t="str">
            <v>$10K-$100K</v>
          </cell>
          <cell r="AB1827">
            <v>2012</v>
          </cell>
        </row>
        <row r="1828">
          <cell r="E1828">
            <v>19957.03</v>
          </cell>
          <cell r="Z1828" t="str">
            <v>Legacy</v>
          </cell>
          <cell r="AA1828" t="str">
            <v>$10K-$100K</v>
          </cell>
          <cell r="AB1828" t="str">
            <v>2010 or before</v>
          </cell>
        </row>
        <row r="1829">
          <cell r="E1829">
            <v>19865.650000000001</v>
          </cell>
          <cell r="Z1829" t="str">
            <v>Ungating</v>
          </cell>
          <cell r="AA1829" t="str">
            <v>$10K-$100K</v>
          </cell>
          <cell r="AB1829">
            <v>2012</v>
          </cell>
        </row>
        <row r="1830">
          <cell r="E1830">
            <v>19834.95</v>
          </cell>
          <cell r="Z1830" t="str">
            <v>Legacy</v>
          </cell>
          <cell r="AA1830" t="str">
            <v>$10K-$100K</v>
          </cell>
          <cell r="AB1830" t="str">
            <v>2010 or before</v>
          </cell>
        </row>
        <row r="1831">
          <cell r="E1831">
            <v>19808.86</v>
          </cell>
          <cell r="Z1831" t="str">
            <v>Inbound</v>
          </cell>
          <cell r="AA1831" t="str">
            <v>$10K-$100K</v>
          </cell>
          <cell r="AB1831">
            <v>2012</v>
          </cell>
        </row>
        <row r="1832">
          <cell r="E1832">
            <v>19792.04</v>
          </cell>
          <cell r="Z1832" t="str">
            <v>Ungating</v>
          </cell>
          <cell r="AA1832" t="str">
            <v>$10K-$100K</v>
          </cell>
          <cell r="AB1832">
            <v>2012</v>
          </cell>
        </row>
        <row r="1833">
          <cell r="E1833">
            <v>19708.349999999999</v>
          </cell>
          <cell r="Z1833" t="str">
            <v>Legacy</v>
          </cell>
          <cell r="AA1833" t="str">
            <v>$10K-$100K</v>
          </cell>
          <cell r="AB1833" t="str">
            <v>2010 or before</v>
          </cell>
        </row>
        <row r="1834">
          <cell r="E1834">
            <v>19627.48</v>
          </cell>
          <cell r="Z1834" t="str">
            <v>Inbound</v>
          </cell>
          <cell r="AA1834" t="str">
            <v>$10K-$100K</v>
          </cell>
          <cell r="AB1834">
            <v>2012</v>
          </cell>
        </row>
        <row r="1835">
          <cell r="E1835">
            <v>19608.38</v>
          </cell>
          <cell r="Z1835" t="str">
            <v>Legacy</v>
          </cell>
          <cell r="AA1835" t="str">
            <v>$10K-$100K</v>
          </cell>
          <cell r="AB1835">
            <v>2011</v>
          </cell>
        </row>
        <row r="1836">
          <cell r="E1836">
            <v>19557.72</v>
          </cell>
          <cell r="Z1836" t="str">
            <v>Legacy</v>
          </cell>
          <cell r="AA1836" t="str">
            <v>$10K-$100K</v>
          </cell>
          <cell r="AB1836" t="str">
            <v>2010 or before</v>
          </cell>
        </row>
        <row r="1837">
          <cell r="E1837">
            <v>19556.259999999998</v>
          </cell>
          <cell r="Z1837" t="str">
            <v>Inbound</v>
          </cell>
          <cell r="AA1837" t="str">
            <v>$10K-$100K</v>
          </cell>
          <cell r="AB1837">
            <v>2012</v>
          </cell>
        </row>
        <row r="1838">
          <cell r="E1838">
            <v>19538.5</v>
          </cell>
          <cell r="Z1838" t="str">
            <v>Legacy</v>
          </cell>
          <cell r="AA1838" t="str">
            <v>$10K-$100K</v>
          </cell>
          <cell r="AB1838" t="str">
            <v>2010 or before</v>
          </cell>
        </row>
        <row r="1839">
          <cell r="E1839">
            <v>19528.27</v>
          </cell>
          <cell r="Z1839" t="str">
            <v>Legacy</v>
          </cell>
          <cell r="AA1839" t="str">
            <v>$10K-$100K</v>
          </cell>
          <cell r="AB1839" t="str">
            <v>2010 or before</v>
          </cell>
        </row>
        <row r="1840">
          <cell r="E1840">
            <v>19468.87</v>
          </cell>
          <cell r="Z1840" t="str">
            <v>Legacy</v>
          </cell>
          <cell r="AA1840" t="str">
            <v>$10K-$100K</v>
          </cell>
          <cell r="AB1840" t="str">
            <v>2010 or before</v>
          </cell>
        </row>
        <row r="1841">
          <cell r="E1841">
            <v>19435.310000000001</v>
          </cell>
          <cell r="Z1841" t="str">
            <v>Legacy</v>
          </cell>
          <cell r="AA1841" t="str">
            <v>$10K-$100K</v>
          </cell>
          <cell r="AB1841" t="str">
            <v>2010 or before</v>
          </cell>
        </row>
        <row r="1842">
          <cell r="E1842">
            <v>19422.8</v>
          </cell>
          <cell r="Z1842" t="str">
            <v>Global</v>
          </cell>
          <cell r="AA1842" t="str">
            <v>$10K-$100K</v>
          </cell>
          <cell r="AB1842">
            <v>2011</v>
          </cell>
        </row>
        <row r="1843">
          <cell r="E1843">
            <v>19418.27</v>
          </cell>
          <cell r="Z1843" t="str">
            <v>Legacy</v>
          </cell>
          <cell r="AA1843" t="str">
            <v>$10K-$100K</v>
          </cell>
          <cell r="AB1843" t="str">
            <v>2010 or before</v>
          </cell>
        </row>
        <row r="1844">
          <cell r="E1844">
            <v>19346.66</v>
          </cell>
          <cell r="Z1844" t="str">
            <v>Legacy</v>
          </cell>
          <cell r="AA1844" t="str">
            <v>$10K-$100K</v>
          </cell>
          <cell r="AB1844" t="str">
            <v>2010 or before</v>
          </cell>
        </row>
        <row r="1845">
          <cell r="E1845">
            <v>19305.14</v>
          </cell>
          <cell r="Z1845" t="str">
            <v>Ungating</v>
          </cell>
          <cell r="AA1845" t="str">
            <v>$10K-$100K</v>
          </cell>
          <cell r="AB1845">
            <v>2012</v>
          </cell>
        </row>
        <row r="1846">
          <cell r="E1846">
            <v>19251.32</v>
          </cell>
          <cell r="Z1846" t="str">
            <v>Legacy</v>
          </cell>
          <cell r="AA1846" t="str">
            <v>$10K-$100K</v>
          </cell>
          <cell r="AB1846" t="str">
            <v>2010 or before</v>
          </cell>
        </row>
        <row r="1847">
          <cell r="E1847">
            <v>19164.62</v>
          </cell>
          <cell r="Z1847" t="str">
            <v>Inbound</v>
          </cell>
          <cell r="AA1847" t="str">
            <v>$10K-$100K</v>
          </cell>
          <cell r="AB1847">
            <v>2012</v>
          </cell>
        </row>
        <row r="1848">
          <cell r="E1848">
            <v>19127.849999999999</v>
          </cell>
          <cell r="Z1848" t="str">
            <v>Global</v>
          </cell>
          <cell r="AA1848" t="str">
            <v>$10K-$100K</v>
          </cell>
          <cell r="AB1848">
            <v>2012</v>
          </cell>
        </row>
        <row r="1849">
          <cell r="E1849">
            <v>19098.18</v>
          </cell>
          <cell r="Z1849" t="str">
            <v>Outbound</v>
          </cell>
          <cell r="AA1849" t="str">
            <v>$10K-$100K</v>
          </cell>
          <cell r="AB1849">
            <v>2012</v>
          </cell>
        </row>
        <row r="1850">
          <cell r="E1850">
            <v>19078</v>
          </cell>
          <cell r="Z1850" t="str">
            <v>Inbound</v>
          </cell>
          <cell r="AA1850" t="str">
            <v>$10K-$100K</v>
          </cell>
          <cell r="AB1850">
            <v>2012</v>
          </cell>
        </row>
        <row r="1851">
          <cell r="E1851">
            <v>19072.46</v>
          </cell>
          <cell r="Z1851" t="str">
            <v>Legacy</v>
          </cell>
          <cell r="AA1851" t="str">
            <v>$10K-$100K</v>
          </cell>
          <cell r="AB1851" t="str">
            <v>2010 or before</v>
          </cell>
        </row>
        <row r="1852">
          <cell r="E1852">
            <v>19004.77</v>
          </cell>
          <cell r="Z1852" t="str">
            <v>Legacy</v>
          </cell>
          <cell r="AA1852" t="str">
            <v>$10K-$100K</v>
          </cell>
          <cell r="AB1852" t="str">
            <v>2010 or before</v>
          </cell>
        </row>
        <row r="1853">
          <cell r="E1853">
            <v>18945.259999999998</v>
          </cell>
          <cell r="Z1853" t="str">
            <v>Ungating</v>
          </cell>
          <cell r="AA1853" t="str">
            <v>$10K-$100K</v>
          </cell>
          <cell r="AB1853">
            <v>2012</v>
          </cell>
        </row>
        <row r="1854">
          <cell r="E1854">
            <v>18943.580000000002</v>
          </cell>
          <cell r="Z1854" t="str">
            <v>Legacy</v>
          </cell>
          <cell r="AA1854" t="str">
            <v>$10K-$100K</v>
          </cell>
          <cell r="AB1854">
            <v>2011</v>
          </cell>
        </row>
        <row r="1855">
          <cell r="E1855">
            <v>18935.490000000002</v>
          </cell>
          <cell r="Z1855" t="str">
            <v>Inbound</v>
          </cell>
          <cell r="AA1855" t="str">
            <v>$10K-$100K</v>
          </cell>
          <cell r="AB1855">
            <v>2011</v>
          </cell>
        </row>
        <row r="1856">
          <cell r="E1856">
            <v>18932.77</v>
          </cell>
          <cell r="Z1856" t="str">
            <v>Ungating</v>
          </cell>
          <cell r="AA1856" t="str">
            <v>$10K-$100K</v>
          </cell>
          <cell r="AB1856">
            <v>2012</v>
          </cell>
        </row>
        <row r="1857">
          <cell r="E1857">
            <v>18895.580000000002</v>
          </cell>
          <cell r="Z1857" t="str">
            <v>Ungating</v>
          </cell>
          <cell r="AA1857" t="str">
            <v>$10K-$100K</v>
          </cell>
          <cell r="AB1857">
            <v>2011</v>
          </cell>
        </row>
        <row r="1858">
          <cell r="E1858">
            <v>18837.72</v>
          </cell>
          <cell r="Z1858" t="str">
            <v>Legacy</v>
          </cell>
          <cell r="AA1858" t="str">
            <v>$10K-$100K</v>
          </cell>
          <cell r="AB1858" t="str">
            <v>2010 or before</v>
          </cell>
        </row>
        <row r="1859">
          <cell r="E1859">
            <v>18780.53</v>
          </cell>
          <cell r="Z1859" t="str">
            <v>Legacy</v>
          </cell>
          <cell r="AA1859" t="str">
            <v>$10K-$100K</v>
          </cell>
          <cell r="AB1859" t="str">
            <v>2010 or before</v>
          </cell>
        </row>
        <row r="1860">
          <cell r="E1860">
            <v>18719</v>
          </cell>
          <cell r="Z1860" t="str">
            <v>Inbound</v>
          </cell>
          <cell r="AA1860" t="str">
            <v>$10K-$100K</v>
          </cell>
          <cell r="AB1860">
            <v>2011</v>
          </cell>
        </row>
        <row r="1861">
          <cell r="E1861">
            <v>18706.62</v>
          </cell>
          <cell r="Z1861" t="str">
            <v>Legacy</v>
          </cell>
          <cell r="AA1861" t="str">
            <v>$10K-$100K</v>
          </cell>
          <cell r="AB1861" t="str">
            <v>2010 or before</v>
          </cell>
        </row>
        <row r="1862">
          <cell r="E1862">
            <v>18671.900000000001</v>
          </cell>
          <cell r="Z1862" t="str">
            <v>Legacy</v>
          </cell>
          <cell r="AA1862" t="str">
            <v>$10K-$100K</v>
          </cell>
          <cell r="AB1862" t="str">
            <v>2010 or before</v>
          </cell>
        </row>
        <row r="1863">
          <cell r="E1863">
            <v>18667.21</v>
          </cell>
          <cell r="Z1863" t="str">
            <v>Global</v>
          </cell>
          <cell r="AA1863" t="str">
            <v>$10K-$100K</v>
          </cell>
          <cell r="AB1863">
            <v>2012</v>
          </cell>
        </row>
        <row r="1864">
          <cell r="E1864">
            <v>18649.7</v>
          </cell>
          <cell r="Z1864" t="str">
            <v>Inbound</v>
          </cell>
          <cell r="AA1864" t="str">
            <v>$10K-$100K</v>
          </cell>
          <cell r="AB1864">
            <v>2012</v>
          </cell>
        </row>
        <row r="1865">
          <cell r="E1865">
            <v>18609.28</v>
          </cell>
          <cell r="Z1865" t="str">
            <v>Ungating</v>
          </cell>
          <cell r="AA1865" t="str">
            <v>$10K-$100K</v>
          </cell>
          <cell r="AB1865">
            <v>2012</v>
          </cell>
        </row>
        <row r="1866">
          <cell r="E1866">
            <v>18533.41</v>
          </cell>
          <cell r="Z1866" t="str">
            <v>Ungating</v>
          </cell>
          <cell r="AA1866" t="str">
            <v>$10K-$100K</v>
          </cell>
          <cell r="AB1866">
            <v>2012</v>
          </cell>
        </row>
        <row r="1867">
          <cell r="E1867">
            <v>18529.88</v>
          </cell>
          <cell r="Z1867" t="str">
            <v>Legacy</v>
          </cell>
          <cell r="AA1867" t="str">
            <v>$10K-$100K</v>
          </cell>
          <cell r="AB1867" t="str">
            <v>2010 or before</v>
          </cell>
        </row>
        <row r="1868">
          <cell r="E1868">
            <v>18526.740000000002</v>
          </cell>
          <cell r="Z1868" t="str">
            <v>Legacy</v>
          </cell>
          <cell r="AA1868" t="str">
            <v>$10K-$100K</v>
          </cell>
          <cell r="AB1868">
            <v>2012</v>
          </cell>
        </row>
        <row r="1869">
          <cell r="E1869">
            <v>18447.5</v>
          </cell>
          <cell r="Z1869" t="str">
            <v>Ungating</v>
          </cell>
          <cell r="AA1869" t="str">
            <v>$10K-$100K</v>
          </cell>
          <cell r="AB1869">
            <v>2012</v>
          </cell>
        </row>
        <row r="1870">
          <cell r="E1870">
            <v>18337.349999999999</v>
          </cell>
          <cell r="Z1870" t="str">
            <v>Legacy</v>
          </cell>
          <cell r="AA1870" t="str">
            <v>$10K-$100K</v>
          </cell>
          <cell r="AB1870" t="str">
            <v>2010 or before</v>
          </cell>
        </row>
        <row r="1871">
          <cell r="E1871">
            <v>18308.900000000001</v>
          </cell>
          <cell r="Z1871" t="str">
            <v>Legacy</v>
          </cell>
          <cell r="AA1871" t="str">
            <v>$10K-$100K</v>
          </cell>
          <cell r="AB1871" t="str">
            <v>2010 or before</v>
          </cell>
        </row>
        <row r="1872">
          <cell r="E1872">
            <v>18280.36</v>
          </cell>
          <cell r="Z1872" t="str">
            <v>Legacy</v>
          </cell>
          <cell r="AA1872" t="str">
            <v>$10K-$100K</v>
          </cell>
          <cell r="AB1872">
            <v>2011</v>
          </cell>
        </row>
        <row r="1873">
          <cell r="E1873">
            <v>18270.7</v>
          </cell>
          <cell r="Z1873" t="str">
            <v>Legacy</v>
          </cell>
          <cell r="AA1873" t="str">
            <v>$10K-$100K</v>
          </cell>
          <cell r="AB1873" t="str">
            <v>2010 or before</v>
          </cell>
        </row>
        <row r="1874">
          <cell r="E1874">
            <v>18259.25</v>
          </cell>
          <cell r="Z1874" t="str">
            <v>Legacy</v>
          </cell>
          <cell r="AA1874" t="str">
            <v>$10K-$100K</v>
          </cell>
          <cell r="AB1874" t="str">
            <v>2010 or before</v>
          </cell>
        </row>
        <row r="1875">
          <cell r="E1875">
            <v>18255</v>
          </cell>
          <cell r="Z1875" t="str">
            <v>Legacy</v>
          </cell>
          <cell r="AA1875" t="str">
            <v>$10K-$100K</v>
          </cell>
          <cell r="AB1875" t="str">
            <v>2010 or before</v>
          </cell>
        </row>
        <row r="1876">
          <cell r="E1876">
            <v>18249.3</v>
          </cell>
          <cell r="Z1876" t="str">
            <v>Ungating</v>
          </cell>
          <cell r="AA1876" t="str">
            <v>$10K-$100K</v>
          </cell>
          <cell r="AB1876">
            <v>2012</v>
          </cell>
        </row>
        <row r="1877">
          <cell r="E1877">
            <v>18241.38</v>
          </cell>
          <cell r="Z1877" t="str">
            <v>Legacy</v>
          </cell>
          <cell r="AA1877" t="str">
            <v>$10K-$100K</v>
          </cell>
          <cell r="AB1877" t="str">
            <v>2010 or before</v>
          </cell>
        </row>
        <row r="1878">
          <cell r="E1878">
            <v>18208.43</v>
          </cell>
          <cell r="Z1878" t="str">
            <v>Outbound</v>
          </cell>
          <cell r="AA1878" t="str">
            <v>$10K-$100K</v>
          </cell>
          <cell r="AB1878">
            <v>2012</v>
          </cell>
        </row>
        <row r="1879">
          <cell r="E1879">
            <v>18201.16</v>
          </cell>
          <cell r="Z1879" t="str">
            <v>Legacy</v>
          </cell>
          <cell r="AA1879" t="str">
            <v>$10K-$100K</v>
          </cell>
          <cell r="AB1879" t="str">
            <v>2010 or before</v>
          </cell>
        </row>
        <row r="1880">
          <cell r="E1880">
            <v>18182.36</v>
          </cell>
          <cell r="Z1880" t="str">
            <v>Outbound</v>
          </cell>
          <cell r="AA1880" t="str">
            <v>$10K-$100K</v>
          </cell>
          <cell r="AB1880">
            <v>2011</v>
          </cell>
        </row>
        <row r="1881">
          <cell r="E1881">
            <v>18155.73</v>
          </cell>
          <cell r="Z1881" t="str">
            <v>Legacy</v>
          </cell>
          <cell r="AA1881" t="str">
            <v>$10K-$100K</v>
          </cell>
          <cell r="AB1881" t="str">
            <v>2010 or before</v>
          </cell>
        </row>
        <row r="1882">
          <cell r="E1882">
            <v>18149.22</v>
          </cell>
          <cell r="Z1882" t="str">
            <v>Inbound</v>
          </cell>
          <cell r="AA1882" t="str">
            <v>$10K-$100K</v>
          </cell>
          <cell r="AB1882">
            <v>2012</v>
          </cell>
        </row>
        <row r="1883">
          <cell r="E1883">
            <v>18144.47</v>
          </cell>
          <cell r="Z1883" t="str">
            <v>Legacy</v>
          </cell>
          <cell r="AA1883" t="str">
            <v>$10K-$100K</v>
          </cell>
          <cell r="AB1883" t="str">
            <v>2010 or before</v>
          </cell>
        </row>
        <row r="1884">
          <cell r="E1884">
            <v>18094.2</v>
          </cell>
          <cell r="Z1884" t="str">
            <v>Ungating</v>
          </cell>
          <cell r="AA1884" t="str">
            <v>$10K-$100K</v>
          </cell>
          <cell r="AB1884">
            <v>2011</v>
          </cell>
        </row>
        <row r="1885">
          <cell r="E1885">
            <v>18090.099999999999</v>
          </cell>
          <cell r="Z1885" t="str">
            <v>Legacy</v>
          </cell>
          <cell r="AA1885" t="str">
            <v>$10K-$100K</v>
          </cell>
          <cell r="AB1885">
            <v>2012</v>
          </cell>
        </row>
        <row r="1886">
          <cell r="E1886">
            <v>17842.330000000002</v>
          </cell>
          <cell r="Z1886" t="str">
            <v>Legacy</v>
          </cell>
          <cell r="AA1886" t="str">
            <v>$10K-$100K</v>
          </cell>
          <cell r="AB1886" t="str">
            <v>2010 or before</v>
          </cell>
        </row>
        <row r="1887">
          <cell r="E1887">
            <v>17837.88</v>
          </cell>
          <cell r="Z1887" t="str">
            <v>Legacy</v>
          </cell>
          <cell r="AA1887" t="str">
            <v>$10K-$100K</v>
          </cell>
          <cell r="AB1887" t="str">
            <v>2010 or before</v>
          </cell>
        </row>
        <row r="1888">
          <cell r="E1888">
            <v>17825.45</v>
          </cell>
          <cell r="Z1888" t="str">
            <v>Legacy</v>
          </cell>
          <cell r="AA1888" t="str">
            <v>$10K-$100K</v>
          </cell>
          <cell r="AB1888" t="str">
            <v>2010 or before</v>
          </cell>
        </row>
        <row r="1889">
          <cell r="E1889">
            <v>17821</v>
          </cell>
          <cell r="Z1889" t="str">
            <v>Inbound</v>
          </cell>
          <cell r="AA1889" t="str">
            <v>$10K-$100K</v>
          </cell>
          <cell r="AB1889">
            <v>2012</v>
          </cell>
        </row>
        <row r="1890">
          <cell r="E1890">
            <v>17790.95</v>
          </cell>
          <cell r="Z1890" t="str">
            <v>Legacy</v>
          </cell>
          <cell r="AA1890" t="str">
            <v>$10K-$100K</v>
          </cell>
          <cell r="AB1890" t="str">
            <v>2010 or before</v>
          </cell>
        </row>
        <row r="1891">
          <cell r="E1891">
            <v>17790.36</v>
          </cell>
          <cell r="Z1891" t="str">
            <v>Legacy</v>
          </cell>
          <cell r="AA1891" t="str">
            <v>$10K-$100K</v>
          </cell>
          <cell r="AB1891" t="str">
            <v>2010 or before</v>
          </cell>
        </row>
        <row r="1892">
          <cell r="E1892">
            <v>17786.150000000001</v>
          </cell>
          <cell r="Z1892" t="str">
            <v>Ungating</v>
          </cell>
          <cell r="AA1892" t="str">
            <v>$10K-$100K</v>
          </cell>
          <cell r="AB1892">
            <v>2012</v>
          </cell>
        </row>
        <row r="1893">
          <cell r="E1893">
            <v>17783.57</v>
          </cell>
          <cell r="Z1893" t="str">
            <v>Ungating</v>
          </cell>
          <cell r="AA1893" t="str">
            <v>$10K-$100K</v>
          </cell>
          <cell r="AB1893">
            <v>2012</v>
          </cell>
        </row>
        <row r="1894">
          <cell r="E1894">
            <v>17764.93</v>
          </cell>
          <cell r="Z1894" t="str">
            <v>Ungating</v>
          </cell>
          <cell r="AA1894" t="str">
            <v>$10K-$100K</v>
          </cell>
          <cell r="AB1894">
            <v>2012</v>
          </cell>
        </row>
        <row r="1895">
          <cell r="E1895">
            <v>17725.259999999998</v>
          </cell>
          <cell r="Z1895" t="str">
            <v>Legacy</v>
          </cell>
          <cell r="AA1895" t="str">
            <v>$10K-$100K</v>
          </cell>
          <cell r="AB1895" t="str">
            <v>2010 or before</v>
          </cell>
        </row>
        <row r="1896">
          <cell r="E1896">
            <v>17721.86</v>
          </cell>
          <cell r="Z1896" t="str">
            <v>Legacy</v>
          </cell>
          <cell r="AA1896" t="str">
            <v>$10K-$100K</v>
          </cell>
          <cell r="AB1896" t="str">
            <v>2010 or before</v>
          </cell>
        </row>
        <row r="1897">
          <cell r="E1897">
            <v>17688</v>
          </cell>
          <cell r="Z1897" t="str">
            <v>Legacy</v>
          </cell>
          <cell r="AA1897" t="str">
            <v>$10K-$100K</v>
          </cell>
          <cell r="AB1897">
            <v>2011</v>
          </cell>
        </row>
        <row r="1898">
          <cell r="E1898">
            <v>17682.240000000002</v>
          </cell>
          <cell r="Z1898" t="str">
            <v>Legacy</v>
          </cell>
          <cell r="AA1898" t="str">
            <v>$10K-$100K</v>
          </cell>
          <cell r="AB1898" t="str">
            <v>2010 or before</v>
          </cell>
        </row>
        <row r="1899">
          <cell r="E1899">
            <v>17659.53</v>
          </cell>
          <cell r="Z1899" t="str">
            <v>Global</v>
          </cell>
          <cell r="AA1899" t="str">
            <v>$10K-$100K</v>
          </cell>
          <cell r="AB1899">
            <v>2012</v>
          </cell>
        </row>
        <row r="1900">
          <cell r="E1900">
            <v>17655.22</v>
          </cell>
          <cell r="Z1900" t="str">
            <v>Legacy</v>
          </cell>
          <cell r="AA1900" t="str">
            <v>$10K-$100K</v>
          </cell>
          <cell r="AB1900" t="str">
            <v>2010 or before</v>
          </cell>
        </row>
        <row r="1901">
          <cell r="E1901">
            <v>17652.03</v>
          </cell>
          <cell r="Z1901" t="str">
            <v>Inbound</v>
          </cell>
          <cell r="AA1901" t="str">
            <v>$10K-$100K</v>
          </cell>
          <cell r="AB1901">
            <v>2011</v>
          </cell>
        </row>
        <row r="1902">
          <cell r="E1902">
            <v>17646.91</v>
          </cell>
          <cell r="Z1902" t="str">
            <v>Inbound</v>
          </cell>
          <cell r="AA1902" t="str">
            <v>$10K-$100K</v>
          </cell>
          <cell r="AB1902">
            <v>2012</v>
          </cell>
        </row>
        <row r="1903">
          <cell r="E1903">
            <v>17621.060000000001</v>
          </cell>
          <cell r="Z1903" t="str">
            <v>Legacy</v>
          </cell>
          <cell r="AA1903" t="str">
            <v>$10K-$100K</v>
          </cell>
          <cell r="AB1903" t="str">
            <v>2010 or before</v>
          </cell>
        </row>
        <row r="1904">
          <cell r="E1904">
            <v>17570.14</v>
          </cell>
          <cell r="Z1904" t="str">
            <v>Legacy</v>
          </cell>
          <cell r="AA1904" t="str">
            <v>$10K-$100K</v>
          </cell>
          <cell r="AB1904">
            <v>2011</v>
          </cell>
        </row>
        <row r="1905">
          <cell r="E1905">
            <v>17532.939999999999</v>
          </cell>
          <cell r="Z1905" t="str">
            <v>Legacy</v>
          </cell>
          <cell r="AA1905" t="str">
            <v>$10K-$100K</v>
          </cell>
          <cell r="AB1905" t="str">
            <v>2010 or before</v>
          </cell>
        </row>
        <row r="1906">
          <cell r="E1906">
            <v>17531.009999999998</v>
          </cell>
          <cell r="Z1906" t="str">
            <v>Ungating</v>
          </cell>
          <cell r="AA1906" t="str">
            <v>$10K-$100K</v>
          </cell>
          <cell r="AB1906">
            <v>2012</v>
          </cell>
        </row>
        <row r="1907">
          <cell r="E1907">
            <v>17524.759999999998</v>
          </cell>
          <cell r="Z1907" t="str">
            <v>Legacy</v>
          </cell>
          <cell r="AA1907" t="str">
            <v>$10K-$100K</v>
          </cell>
          <cell r="AB1907" t="str">
            <v>2010 or before</v>
          </cell>
        </row>
        <row r="1908">
          <cell r="E1908">
            <v>17498.240000000002</v>
          </cell>
          <cell r="Z1908" t="str">
            <v>Legacy</v>
          </cell>
          <cell r="AA1908" t="str">
            <v>$10K-$100K</v>
          </cell>
          <cell r="AB1908" t="str">
            <v>2010 or before</v>
          </cell>
        </row>
        <row r="1909">
          <cell r="E1909">
            <v>17461.88</v>
          </cell>
          <cell r="Z1909" t="str">
            <v>Ungating</v>
          </cell>
          <cell r="AA1909" t="str">
            <v>$10K-$100K</v>
          </cell>
          <cell r="AB1909">
            <v>2012</v>
          </cell>
        </row>
        <row r="1910">
          <cell r="E1910">
            <v>17420.05</v>
          </cell>
          <cell r="Z1910" t="str">
            <v>Legacy</v>
          </cell>
          <cell r="AA1910" t="str">
            <v>$10K-$100K</v>
          </cell>
          <cell r="AB1910" t="str">
            <v>2010 or before</v>
          </cell>
        </row>
        <row r="1911">
          <cell r="E1911">
            <v>17405.650000000001</v>
          </cell>
          <cell r="Z1911" t="str">
            <v>Outbound</v>
          </cell>
          <cell r="AA1911" t="str">
            <v>$10K-$100K</v>
          </cell>
          <cell r="AB1911">
            <v>2012</v>
          </cell>
        </row>
        <row r="1912">
          <cell r="E1912">
            <v>17401.68</v>
          </cell>
          <cell r="Z1912" t="str">
            <v>Ungating</v>
          </cell>
          <cell r="AA1912" t="str">
            <v>$10K-$100K</v>
          </cell>
          <cell r="AB1912">
            <v>2011</v>
          </cell>
        </row>
        <row r="1913">
          <cell r="E1913">
            <v>17384.21</v>
          </cell>
          <cell r="Z1913" t="str">
            <v>Legacy</v>
          </cell>
          <cell r="AA1913" t="str">
            <v>$10K-$100K</v>
          </cell>
          <cell r="AB1913" t="str">
            <v>2010 or before</v>
          </cell>
        </row>
        <row r="1914">
          <cell r="E1914">
            <v>17365.25</v>
          </cell>
          <cell r="Z1914" t="str">
            <v>Legacy</v>
          </cell>
          <cell r="AA1914" t="str">
            <v>$10K-$100K</v>
          </cell>
          <cell r="AB1914">
            <v>2011</v>
          </cell>
        </row>
        <row r="1915">
          <cell r="E1915">
            <v>17364.689999999999</v>
          </cell>
          <cell r="Z1915" t="str">
            <v>Global</v>
          </cell>
          <cell r="AA1915" t="str">
            <v>$10K-$100K</v>
          </cell>
          <cell r="AB1915">
            <v>2012</v>
          </cell>
        </row>
        <row r="1916">
          <cell r="E1916">
            <v>17356.919999999998</v>
          </cell>
          <cell r="Z1916" t="str">
            <v>Legacy</v>
          </cell>
          <cell r="AA1916" t="str">
            <v>$10K-$100K</v>
          </cell>
          <cell r="AB1916">
            <v>2011</v>
          </cell>
        </row>
        <row r="1917">
          <cell r="E1917">
            <v>17335.439999999999</v>
          </cell>
          <cell r="Z1917" t="str">
            <v>Inbound</v>
          </cell>
          <cell r="AA1917" t="str">
            <v>$10K-$100K</v>
          </cell>
          <cell r="AB1917">
            <v>2011</v>
          </cell>
        </row>
        <row r="1918">
          <cell r="E1918">
            <v>17333.04</v>
          </cell>
          <cell r="Z1918" t="str">
            <v>Ungating</v>
          </cell>
          <cell r="AA1918" t="str">
            <v>$10K-$100K</v>
          </cell>
          <cell r="AB1918">
            <v>2012</v>
          </cell>
        </row>
        <row r="1919">
          <cell r="E1919">
            <v>17330.009999999998</v>
          </cell>
          <cell r="Z1919" t="str">
            <v>Legacy</v>
          </cell>
          <cell r="AA1919" t="str">
            <v>$10K-$100K</v>
          </cell>
          <cell r="AB1919">
            <v>2011</v>
          </cell>
        </row>
        <row r="1920">
          <cell r="E1920">
            <v>17325.07</v>
          </cell>
          <cell r="Z1920" t="str">
            <v>Legacy</v>
          </cell>
          <cell r="AA1920" t="str">
            <v>$10K-$100K</v>
          </cell>
          <cell r="AB1920" t="str">
            <v>2010 or before</v>
          </cell>
        </row>
        <row r="1921">
          <cell r="E1921">
            <v>17317.509999999998</v>
          </cell>
          <cell r="Z1921" t="str">
            <v>Legacy</v>
          </cell>
          <cell r="AA1921" t="str">
            <v>$10K-$100K</v>
          </cell>
          <cell r="AB1921">
            <v>2011</v>
          </cell>
        </row>
        <row r="1922">
          <cell r="E1922">
            <v>17254.400000000001</v>
          </cell>
          <cell r="Z1922" t="str">
            <v>Outbound</v>
          </cell>
          <cell r="AA1922" t="str">
            <v>$10K-$100K</v>
          </cell>
          <cell r="AB1922">
            <v>2012</v>
          </cell>
        </row>
        <row r="1923">
          <cell r="E1923">
            <v>17236.66</v>
          </cell>
          <cell r="Z1923" t="str">
            <v>Legacy</v>
          </cell>
          <cell r="AA1923" t="str">
            <v>$10K-$100K</v>
          </cell>
          <cell r="AB1923">
            <v>2011</v>
          </cell>
        </row>
        <row r="1924">
          <cell r="E1924">
            <v>17227.2</v>
          </cell>
          <cell r="Z1924" t="str">
            <v>Ungating</v>
          </cell>
          <cell r="AA1924" t="str">
            <v>$10K-$100K</v>
          </cell>
          <cell r="AB1924">
            <v>2011</v>
          </cell>
        </row>
        <row r="1925">
          <cell r="E1925">
            <v>17220.84</v>
          </cell>
          <cell r="Z1925" t="str">
            <v>Legacy</v>
          </cell>
          <cell r="AA1925" t="str">
            <v>$10K-$100K</v>
          </cell>
          <cell r="AB1925" t="str">
            <v>2010 or before</v>
          </cell>
        </row>
        <row r="1926">
          <cell r="E1926">
            <v>17220.52</v>
          </cell>
          <cell r="Z1926" t="str">
            <v>Legacy</v>
          </cell>
          <cell r="AA1926" t="str">
            <v>$10K-$100K</v>
          </cell>
          <cell r="AB1926" t="str">
            <v>2010 or before</v>
          </cell>
        </row>
        <row r="1927">
          <cell r="E1927">
            <v>17154.509999999998</v>
          </cell>
          <cell r="Z1927" t="str">
            <v>Inbound</v>
          </cell>
          <cell r="AA1927" t="str">
            <v>$10K-$100K</v>
          </cell>
          <cell r="AB1927">
            <v>2012</v>
          </cell>
        </row>
        <row r="1928">
          <cell r="E1928">
            <v>17148</v>
          </cell>
          <cell r="Z1928" t="str">
            <v>Ungating</v>
          </cell>
          <cell r="AA1928" t="str">
            <v>$10K-$100K</v>
          </cell>
          <cell r="AB1928">
            <v>2012</v>
          </cell>
        </row>
        <row r="1929">
          <cell r="E1929">
            <v>17139.57</v>
          </cell>
          <cell r="Z1929" t="str">
            <v>Inbound</v>
          </cell>
          <cell r="AA1929" t="str">
            <v>$10K-$100K</v>
          </cell>
          <cell r="AB1929">
            <v>2012</v>
          </cell>
        </row>
        <row r="1930">
          <cell r="E1930">
            <v>17138.73</v>
          </cell>
          <cell r="Z1930" t="str">
            <v>Inbound</v>
          </cell>
          <cell r="AA1930" t="str">
            <v>$10K-$100K</v>
          </cell>
          <cell r="AB1930">
            <v>2012</v>
          </cell>
        </row>
        <row r="1931">
          <cell r="E1931">
            <v>17124.900000000001</v>
          </cell>
          <cell r="Z1931" t="str">
            <v>Inbound</v>
          </cell>
          <cell r="AA1931" t="str">
            <v>$10K-$100K</v>
          </cell>
          <cell r="AB1931">
            <v>2012</v>
          </cell>
        </row>
        <row r="1932">
          <cell r="E1932">
            <v>17109.59</v>
          </cell>
          <cell r="Z1932" t="str">
            <v>Legacy</v>
          </cell>
          <cell r="AA1932" t="str">
            <v>$10K-$100K</v>
          </cell>
          <cell r="AB1932" t="str">
            <v>2010 or before</v>
          </cell>
        </row>
        <row r="1933">
          <cell r="E1933">
            <v>17105.05</v>
          </cell>
          <cell r="Z1933" t="str">
            <v>Outbound</v>
          </cell>
          <cell r="AA1933" t="str">
            <v>$10K-$100K</v>
          </cell>
          <cell r="AB1933">
            <v>2012</v>
          </cell>
        </row>
        <row r="1934">
          <cell r="E1934">
            <v>17099.900000000001</v>
          </cell>
          <cell r="Z1934" t="str">
            <v>Legacy</v>
          </cell>
          <cell r="AA1934" t="str">
            <v>$10K-$100K</v>
          </cell>
          <cell r="AB1934" t="str">
            <v>2010 or before</v>
          </cell>
        </row>
        <row r="1935">
          <cell r="E1935">
            <v>17051.3</v>
          </cell>
          <cell r="Z1935" t="str">
            <v>Ungating</v>
          </cell>
          <cell r="AA1935" t="str">
            <v>$10K-$100K</v>
          </cell>
          <cell r="AB1935">
            <v>2011</v>
          </cell>
        </row>
        <row r="1936">
          <cell r="E1936">
            <v>17044.439999999999</v>
          </cell>
          <cell r="Z1936" t="str">
            <v>Inbound</v>
          </cell>
          <cell r="AA1936" t="str">
            <v>$10K-$100K</v>
          </cell>
          <cell r="AB1936">
            <v>2012</v>
          </cell>
        </row>
        <row r="1937">
          <cell r="E1937">
            <v>16972.73</v>
          </cell>
          <cell r="Z1937" t="str">
            <v>Legacy</v>
          </cell>
          <cell r="AA1937" t="str">
            <v>$10K-$100K</v>
          </cell>
          <cell r="AB1937">
            <v>2012</v>
          </cell>
        </row>
        <row r="1938">
          <cell r="E1938">
            <v>16965.240000000002</v>
          </cell>
          <cell r="Z1938" t="str">
            <v>Legacy</v>
          </cell>
          <cell r="AA1938" t="str">
            <v>$10K-$100K</v>
          </cell>
          <cell r="AB1938" t="str">
            <v>2010 or before</v>
          </cell>
        </row>
        <row r="1939">
          <cell r="E1939">
            <v>16941.650000000001</v>
          </cell>
          <cell r="Z1939" t="str">
            <v>Ungating</v>
          </cell>
          <cell r="AA1939" t="str">
            <v>$10K-$100K</v>
          </cell>
          <cell r="AB1939">
            <v>2012</v>
          </cell>
        </row>
        <row r="1940">
          <cell r="E1940">
            <v>16926.47</v>
          </cell>
          <cell r="Z1940" t="str">
            <v>Ungating</v>
          </cell>
          <cell r="AA1940" t="str">
            <v>$10K-$100K</v>
          </cell>
          <cell r="AB1940">
            <v>2011</v>
          </cell>
        </row>
        <row r="1941">
          <cell r="E1941">
            <v>16910.87</v>
          </cell>
          <cell r="Z1941" t="str">
            <v>Legacy</v>
          </cell>
          <cell r="AA1941" t="str">
            <v>$10K-$100K</v>
          </cell>
          <cell r="AB1941" t="str">
            <v>2010 or before</v>
          </cell>
        </row>
        <row r="1942">
          <cell r="E1942">
            <v>16902.2</v>
          </cell>
          <cell r="Z1942" t="str">
            <v>Legacy</v>
          </cell>
          <cell r="AA1942" t="str">
            <v>$10K-$100K</v>
          </cell>
          <cell r="AB1942" t="str">
            <v>2010 or before</v>
          </cell>
        </row>
        <row r="1943">
          <cell r="E1943">
            <v>16894.080000000002</v>
          </cell>
          <cell r="Z1943" t="str">
            <v>Ungating</v>
          </cell>
          <cell r="AA1943" t="str">
            <v>$10K-$100K</v>
          </cell>
          <cell r="AB1943">
            <v>2012</v>
          </cell>
        </row>
        <row r="1944">
          <cell r="E1944">
            <v>16894</v>
          </cell>
          <cell r="Z1944" t="str">
            <v>Legacy</v>
          </cell>
          <cell r="AA1944" t="str">
            <v>$10K-$100K</v>
          </cell>
          <cell r="AB1944" t="str">
            <v>2010 or before</v>
          </cell>
        </row>
        <row r="1945">
          <cell r="E1945">
            <v>16885</v>
          </cell>
          <cell r="Z1945" t="str">
            <v>Inbound</v>
          </cell>
          <cell r="AA1945" t="str">
            <v>$10K-$100K</v>
          </cell>
          <cell r="AB1945">
            <v>2012</v>
          </cell>
        </row>
        <row r="1946">
          <cell r="E1946">
            <v>16880.91</v>
          </cell>
          <cell r="Z1946" t="str">
            <v>Legacy</v>
          </cell>
          <cell r="AA1946" t="str">
            <v>$10K-$100K</v>
          </cell>
          <cell r="AB1946" t="str">
            <v>2010 or before</v>
          </cell>
        </row>
        <row r="1947">
          <cell r="E1947">
            <v>16845.490000000002</v>
          </cell>
          <cell r="Z1947" t="str">
            <v>Legacy</v>
          </cell>
          <cell r="AA1947" t="str">
            <v>$10K-$100K</v>
          </cell>
          <cell r="AB1947" t="str">
            <v>2010 or before</v>
          </cell>
        </row>
        <row r="1948">
          <cell r="E1948">
            <v>16839.09</v>
          </cell>
          <cell r="Z1948" t="str">
            <v>Legacy</v>
          </cell>
          <cell r="AA1948" t="str">
            <v>$10K-$100K</v>
          </cell>
          <cell r="AB1948" t="str">
            <v>2010 or before</v>
          </cell>
        </row>
        <row r="1949">
          <cell r="E1949">
            <v>16820.39</v>
          </cell>
          <cell r="Z1949" t="str">
            <v>Inbound</v>
          </cell>
          <cell r="AA1949" t="str">
            <v>$10K-$100K</v>
          </cell>
          <cell r="AB1949">
            <v>2012</v>
          </cell>
        </row>
        <row r="1950">
          <cell r="E1950">
            <v>16776.95</v>
          </cell>
          <cell r="Z1950" t="str">
            <v>Legacy</v>
          </cell>
          <cell r="AA1950" t="str">
            <v>$10K-$100K</v>
          </cell>
          <cell r="AB1950" t="str">
            <v>2010 or before</v>
          </cell>
        </row>
        <row r="1951">
          <cell r="E1951">
            <v>16769</v>
          </cell>
          <cell r="Z1951" t="str">
            <v>Inbound</v>
          </cell>
          <cell r="AA1951" t="str">
            <v>$10K-$100K</v>
          </cell>
          <cell r="AB1951">
            <v>2012</v>
          </cell>
        </row>
        <row r="1952">
          <cell r="E1952">
            <v>16768.61</v>
          </cell>
          <cell r="Z1952" t="str">
            <v>Legacy</v>
          </cell>
          <cell r="AA1952" t="str">
            <v>$10K-$100K</v>
          </cell>
          <cell r="AB1952" t="str">
            <v>2010 or before</v>
          </cell>
        </row>
        <row r="1953">
          <cell r="E1953">
            <v>16765.32</v>
          </cell>
          <cell r="Z1953" t="str">
            <v>Ungating</v>
          </cell>
          <cell r="AA1953" t="str">
            <v>$10K-$100K</v>
          </cell>
          <cell r="AB1953">
            <v>2012</v>
          </cell>
        </row>
        <row r="1954">
          <cell r="E1954">
            <v>16746.16</v>
          </cell>
          <cell r="Z1954" t="str">
            <v>Legacy</v>
          </cell>
          <cell r="AA1954" t="str">
            <v>$10K-$100K</v>
          </cell>
          <cell r="AB1954" t="str">
            <v>2010 or before</v>
          </cell>
        </row>
        <row r="1955">
          <cell r="E1955">
            <v>16732.509999999998</v>
          </cell>
          <cell r="Z1955" t="str">
            <v>Legacy</v>
          </cell>
          <cell r="AA1955" t="str">
            <v>$10K-$100K</v>
          </cell>
          <cell r="AB1955" t="str">
            <v>2010 or before</v>
          </cell>
        </row>
        <row r="1956">
          <cell r="E1956">
            <v>16723.439999999999</v>
          </cell>
          <cell r="Z1956" t="str">
            <v>Legacy</v>
          </cell>
          <cell r="AA1956" t="str">
            <v>$10K-$100K</v>
          </cell>
          <cell r="AB1956">
            <v>2011</v>
          </cell>
        </row>
        <row r="1957">
          <cell r="E1957">
            <v>16699.91</v>
          </cell>
          <cell r="Z1957" t="str">
            <v>Legacy</v>
          </cell>
          <cell r="AA1957" t="str">
            <v>$10K-$100K</v>
          </cell>
          <cell r="AB1957" t="str">
            <v>2010 or before</v>
          </cell>
        </row>
        <row r="1958">
          <cell r="E1958">
            <v>16675.07</v>
          </cell>
          <cell r="Z1958" t="str">
            <v>Legacy</v>
          </cell>
          <cell r="AA1958" t="str">
            <v>$10K-$100K</v>
          </cell>
          <cell r="AB1958" t="str">
            <v>2010 or before</v>
          </cell>
        </row>
        <row r="1959">
          <cell r="E1959">
            <v>16670.41</v>
          </cell>
          <cell r="Z1959" t="str">
            <v>Legacy</v>
          </cell>
          <cell r="AA1959" t="str">
            <v>$10K-$100K</v>
          </cell>
          <cell r="AB1959" t="str">
            <v>2010 or before</v>
          </cell>
        </row>
        <row r="1960">
          <cell r="E1960">
            <v>16658.169999999998</v>
          </cell>
          <cell r="Z1960" t="str">
            <v>Legacy</v>
          </cell>
          <cell r="AA1960" t="str">
            <v>$10K-$100K</v>
          </cell>
          <cell r="AB1960" t="str">
            <v>2010 or before</v>
          </cell>
        </row>
        <row r="1961">
          <cell r="E1961">
            <v>16621.919999999998</v>
          </cell>
          <cell r="Z1961" t="str">
            <v>Legacy</v>
          </cell>
          <cell r="AA1961" t="str">
            <v>$10K-$100K</v>
          </cell>
          <cell r="AB1961" t="str">
            <v>2010 or before</v>
          </cell>
        </row>
        <row r="1962">
          <cell r="E1962">
            <v>16567</v>
          </cell>
          <cell r="Z1962" t="str">
            <v>Legacy</v>
          </cell>
          <cell r="AA1962" t="str">
            <v>$10K-$100K</v>
          </cell>
          <cell r="AB1962" t="str">
            <v>2010 or before</v>
          </cell>
        </row>
        <row r="1963">
          <cell r="E1963">
            <v>16552.8</v>
          </cell>
          <cell r="Z1963" t="str">
            <v>Ungating</v>
          </cell>
          <cell r="AA1963" t="str">
            <v>$10K-$100K</v>
          </cell>
          <cell r="AB1963">
            <v>2011</v>
          </cell>
        </row>
        <row r="1964">
          <cell r="E1964">
            <v>16533.86</v>
          </cell>
          <cell r="Z1964" t="str">
            <v>Ungating</v>
          </cell>
          <cell r="AA1964" t="str">
            <v>$10K-$100K</v>
          </cell>
          <cell r="AB1964">
            <v>2012</v>
          </cell>
        </row>
        <row r="1965">
          <cell r="E1965">
            <v>16477.59</v>
          </cell>
          <cell r="Z1965" t="str">
            <v>Legacy</v>
          </cell>
          <cell r="AA1965" t="str">
            <v>$10K-$100K</v>
          </cell>
          <cell r="AB1965">
            <v>2011</v>
          </cell>
        </row>
        <row r="1966">
          <cell r="E1966">
            <v>16469.98</v>
          </cell>
          <cell r="Z1966" t="str">
            <v>Legacy</v>
          </cell>
          <cell r="AA1966" t="str">
            <v>$10K-$100K</v>
          </cell>
          <cell r="AB1966" t="str">
            <v>2010 or before</v>
          </cell>
        </row>
        <row r="1967">
          <cell r="E1967">
            <v>16431.79</v>
          </cell>
          <cell r="Z1967" t="str">
            <v>Legacy</v>
          </cell>
          <cell r="AA1967" t="str">
            <v>$10K-$100K</v>
          </cell>
          <cell r="AB1967" t="str">
            <v>2010 or before</v>
          </cell>
        </row>
        <row r="1968">
          <cell r="E1968">
            <v>16401.900000000001</v>
          </cell>
          <cell r="Z1968" t="str">
            <v>Legacy</v>
          </cell>
          <cell r="AA1968" t="str">
            <v>$10K-$100K</v>
          </cell>
          <cell r="AB1968" t="str">
            <v>2010 or before</v>
          </cell>
        </row>
        <row r="1969">
          <cell r="E1969">
            <v>16381.22</v>
          </cell>
          <cell r="Z1969" t="str">
            <v>Legacy</v>
          </cell>
          <cell r="AA1969" t="str">
            <v>$10K-$100K</v>
          </cell>
          <cell r="AB1969" t="str">
            <v>2010 or before</v>
          </cell>
        </row>
        <row r="1970">
          <cell r="E1970">
            <v>16337.44</v>
          </cell>
          <cell r="Z1970" t="str">
            <v>Ungating</v>
          </cell>
          <cell r="AA1970" t="str">
            <v>$10K-$100K</v>
          </cell>
          <cell r="AB1970">
            <v>2011</v>
          </cell>
        </row>
        <row r="1971">
          <cell r="E1971">
            <v>16314.58</v>
          </cell>
          <cell r="Z1971" t="str">
            <v>Legacy</v>
          </cell>
          <cell r="AA1971" t="str">
            <v>$10K-$100K</v>
          </cell>
          <cell r="AB1971" t="str">
            <v>2010 or before</v>
          </cell>
        </row>
        <row r="1972">
          <cell r="E1972">
            <v>16300.35</v>
          </cell>
          <cell r="Z1972" t="str">
            <v>Legacy</v>
          </cell>
          <cell r="AA1972" t="str">
            <v>$10K-$100K</v>
          </cell>
          <cell r="AB1972" t="str">
            <v>2010 or before</v>
          </cell>
        </row>
        <row r="1973">
          <cell r="E1973">
            <v>16283.72</v>
          </cell>
          <cell r="Z1973" t="str">
            <v>Legacy</v>
          </cell>
          <cell r="AA1973" t="str">
            <v>$10K-$100K</v>
          </cell>
          <cell r="AB1973" t="str">
            <v>2010 or before</v>
          </cell>
        </row>
        <row r="1974">
          <cell r="E1974">
            <v>16208.03</v>
          </cell>
          <cell r="Z1974" t="str">
            <v>Ungating</v>
          </cell>
          <cell r="AA1974" t="str">
            <v>$10K-$100K</v>
          </cell>
          <cell r="AB1974">
            <v>2012</v>
          </cell>
        </row>
        <row r="1975">
          <cell r="E1975">
            <v>16197.52</v>
          </cell>
          <cell r="Z1975" t="str">
            <v>Legacy</v>
          </cell>
          <cell r="AA1975" t="str">
            <v>$10K-$100K</v>
          </cell>
          <cell r="AB1975">
            <v>2011</v>
          </cell>
        </row>
        <row r="1976">
          <cell r="E1976">
            <v>16178.78</v>
          </cell>
          <cell r="Z1976" t="str">
            <v>Legacy</v>
          </cell>
          <cell r="AA1976" t="str">
            <v>$10K-$100K</v>
          </cell>
          <cell r="AB1976" t="str">
            <v>2010 or before</v>
          </cell>
        </row>
        <row r="1977">
          <cell r="E1977">
            <v>16123.39</v>
          </cell>
          <cell r="Z1977" t="str">
            <v>Legacy</v>
          </cell>
          <cell r="AA1977" t="str">
            <v>$10K-$100K</v>
          </cell>
          <cell r="AB1977" t="str">
            <v>2010 or before</v>
          </cell>
        </row>
        <row r="1978">
          <cell r="E1978">
            <v>16103.01</v>
          </cell>
          <cell r="Z1978" t="str">
            <v>Legacy</v>
          </cell>
          <cell r="AA1978" t="str">
            <v>$10K-$100K</v>
          </cell>
          <cell r="AB1978" t="str">
            <v>2010 or before</v>
          </cell>
        </row>
        <row r="1979">
          <cell r="E1979">
            <v>16088.33</v>
          </cell>
          <cell r="Z1979" t="str">
            <v>Inbound</v>
          </cell>
          <cell r="AA1979" t="str">
            <v>$10K-$100K</v>
          </cell>
          <cell r="AB1979">
            <v>2011</v>
          </cell>
        </row>
        <row r="1980">
          <cell r="E1980">
            <v>16024.55</v>
          </cell>
          <cell r="Z1980" t="str">
            <v>Legacy</v>
          </cell>
          <cell r="AA1980" t="str">
            <v>$10K-$100K</v>
          </cell>
          <cell r="AB1980" t="str">
            <v>2010 or before</v>
          </cell>
        </row>
        <row r="1981">
          <cell r="E1981">
            <v>15983</v>
          </cell>
          <cell r="Z1981" t="str">
            <v>Legacy</v>
          </cell>
          <cell r="AA1981" t="str">
            <v>$10K-$100K</v>
          </cell>
          <cell r="AB1981" t="str">
            <v>2010 or before</v>
          </cell>
        </row>
        <row r="1982">
          <cell r="E1982">
            <v>15980.05</v>
          </cell>
          <cell r="Z1982" t="str">
            <v>Ungating</v>
          </cell>
          <cell r="AA1982" t="str">
            <v>$10K-$100K</v>
          </cell>
          <cell r="AB1982">
            <v>2012</v>
          </cell>
        </row>
        <row r="1983">
          <cell r="E1983">
            <v>15979.95</v>
          </cell>
          <cell r="Z1983" t="str">
            <v>Legacy</v>
          </cell>
          <cell r="AA1983" t="str">
            <v>$10K-$100K</v>
          </cell>
          <cell r="AB1983" t="str">
            <v>2010 or before</v>
          </cell>
        </row>
        <row r="1984">
          <cell r="E1984">
            <v>15965.88</v>
          </cell>
          <cell r="Z1984" t="str">
            <v>Legacy</v>
          </cell>
          <cell r="AA1984" t="str">
            <v>$10K-$100K</v>
          </cell>
          <cell r="AB1984">
            <v>2011</v>
          </cell>
        </row>
        <row r="1985">
          <cell r="E1985">
            <v>15963.1</v>
          </cell>
          <cell r="Z1985" t="str">
            <v>Ungating</v>
          </cell>
          <cell r="AA1985" t="str">
            <v>$10K-$100K</v>
          </cell>
          <cell r="AB1985">
            <v>2012</v>
          </cell>
        </row>
        <row r="1986">
          <cell r="E1986">
            <v>15959.96</v>
          </cell>
          <cell r="Z1986" t="str">
            <v>Inbound</v>
          </cell>
          <cell r="AA1986" t="str">
            <v>$10K-$100K</v>
          </cell>
          <cell r="AB1986">
            <v>2011</v>
          </cell>
        </row>
        <row r="1987">
          <cell r="E1987">
            <v>15947.4</v>
          </cell>
          <cell r="Z1987" t="str">
            <v>Legacy</v>
          </cell>
          <cell r="AA1987" t="str">
            <v>$10K-$100K</v>
          </cell>
          <cell r="AB1987" t="str">
            <v>2010 or before</v>
          </cell>
        </row>
        <row r="1988">
          <cell r="E1988">
            <v>15911.09</v>
          </cell>
          <cell r="Z1988" t="str">
            <v>Legacy</v>
          </cell>
          <cell r="AA1988" t="str">
            <v>$10K-$100K</v>
          </cell>
          <cell r="AB1988" t="str">
            <v>2010 or before</v>
          </cell>
        </row>
        <row r="1989">
          <cell r="E1989">
            <v>15836.81</v>
          </cell>
          <cell r="Z1989" t="str">
            <v>Legacy</v>
          </cell>
          <cell r="AA1989" t="str">
            <v>$10K-$100K</v>
          </cell>
          <cell r="AB1989">
            <v>2012</v>
          </cell>
        </row>
        <row r="1990">
          <cell r="E1990">
            <v>15793.39</v>
          </cell>
          <cell r="Z1990" t="str">
            <v>Legacy</v>
          </cell>
          <cell r="AA1990" t="str">
            <v>$10K-$100K</v>
          </cell>
          <cell r="AB1990" t="str">
            <v>2010 or before</v>
          </cell>
        </row>
        <row r="1991">
          <cell r="E1991">
            <v>15791.3</v>
          </cell>
          <cell r="Z1991" t="str">
            <v>Legacy</v>
          </cell>
          <cell r="AA1991" t="str">
            <v>$10K-$100K</v>
          </cell>
          <cell r="AB1991" t="str">
            <v>2010 or before</v>
          </cell>
        </row>
        <row r="1992">
          <cell r="E1992">
            <v>15774.79</v>
          </cell>
          <cell r="Z1992" t="str">
            <v>Legacy</v>
          </cell>
          <cell r="AA1992" t="str">
            <v>$10K-$100K</v>
          </cell>
          <cell r="AB1992" t="str">
            <v>2010 or before</v>
          </cell>
        </row>
        <row r="1993">
          <cell r="E1993">
            <v>15768.27</v>
          </cell>
          <cell r="Z1993" t="str">
            <v>Legacy</v>
          </cell>
          <cell r="AA1993" t="str">
            <v>$10K-$100K</v>
          </cell>
          <cell r="AB1993">
            <v>2012</v>
          </cell>
        </row>
        <row r="1994">
          <cell r="E1994">
            <v>15727.06</v>
          </cell>
          <cell r="Z1994" t="str">
            <v>Legacy</v>
          </cell>
          <cell r="AA1994" t="str">
            <v>$10K-$100K</v>
          </cell>
          <cell r="AB1994" t="str">
            <v>2010 or before</v>
          </cell>
        </row>
        <row r="1995">
          <cell r="E1995">
            <v>15694.47</v>
          </cell>
          <cell r="Z1995" t="str">
            <v>Ungating</v>
          </cell>
          <cell r="AA1995" t="str">
            <v>$10K-$100K</v>
          </cell>
          <cell r="AB1995">
            <v>2011</v>
          </cell>
        </row>
        <row r="1996">
          <cell r="E1996">
            <v>15666.02</v>
          </cell>
          <cell r="Z1996" t="str">
            <v>Legacy</v>
          </cell>
          <cell r="AA1996" t="str">
            <v>$10K-$100K</v>
          </cell>
          <cell r="AB1996" t="str">
            <v>2010 or before</v>
          </cell>
        </row>
        <row r="1997">
          <cell r="E1997">
            <v>15599.24</v>
          </cell>
          <cell r="Z1997" t="str">
            <v>Legacy</v>
          </cell>
          <cell r="AA1997" t="str">
            <v>$10K-$100K</v>
          </cell>
          <cell r="AB1997" t="str">
            <v>2010 or before</v>
          </cell>
        </row>
        <row r="1998">
          <cell r="E1998">
            <v>15586.22</v>
          </cell>
          <cell r="Z1998" t="str">
            <v>Legacy</v>
          </cell>
          <cell r="AA1998" t="str">
            <v>$10K-$100K</v>
          </cell>
          <cell r="AB1998" t="str">
            <v>2010 or before</v>
          </cell>
        </row>
        <row r="1999">
          <cell r="E1999">
            <v>15585.97</v>
          </cell>
          <cell r="Z1999" t="str">
            <v>Legacy</v>
          </cell>
          <cell r="AA1999" t="str">
            <v>$10K-$100K</v>
          </cell>
          <cell r="AB1999" t="str">
            <v>2010 or before</v>
          </cell>
        </row>
        <row r="2000">
          <cell r="E2000">
            <v>15575.25</v>
          </cell>
          <cell r="Z2000" t="str">
            <v>Legacy</v>
          </cell>
          <cell r="AA2000" t="str">
            <v>$10K-$100K</v>
          </cell>
          <cell r="AB2000" t="str">
            <v>2010 or before</v>
          </cell>
        </row>
        <row r="2001">
          <cell r="E2001">
            <v>15574.27</v>
          </cell>
          <cell r="Z2001" t="str">
            <v>Legacy</v>
          </cell>
          <cell r="AA2001" t="str">
            <v>$10K-$100K</v>
          </cell>
          <cell r="AB2001">
            <v>2011</v>
          </cell>
        </row>
        <row r="2002">
          <cell r="E2002">
            <v>15510.16</v>
          </cell>
          <cell r="Z2002" t="str">
            <v>Outbound</v>
          </cell>
          <cell r="AA2002" t="str">
            <v>$10K-$100K</v>
          </cell>
          <cell r="AB2002">
            <v>2012</v>
          </cell>
        </row>
        <row r="2003">
          <cell r="E2003">
            <v>15478.52</v>
          </cell>
          <cell r="Z2003" t="str">
            <v>Ungating</v>
          </cell>
          <cell r="AA2003" t="str">
            <v>$10K-$100K</v>
          </cell>
          <cell r="AB2003">
            <v>2012</v>
          </cell>
        </row>
        <row r="2004">
          <cell r="E2004">
            <v>15472.55</v>
          </cell>
          <cell r="Z2004" t="str">
            <v>Legacy</v>
          </cell>
          <cell r="AA2004" t="str">
            <v>$10K-$100K</v>
          </cell>
          <cell r="AB2004" t="str">
            <v>2010 or before</v>
          </cell>
        </row>
        <row r="2005">
          <cell r="E2005">
            <v>15451.99</v>
          </cell>
          <cell r="Z2005" t="str">
            <v>Ungating</v>
          </cell>
          <cell r="AA2005" t="str">
            <v>$10K-$100K</v>
          </cell>
          <cell r="AB2005">
            <v>2012</v>
          </cell>
        </row>
        <row r="2006">
          <cell r="E2006">
            <v>15427.05</v>
          </cell>
          <cell r="Z2006" t="str">
            <v>Ungating</v>
          </cell>
          <cell r="AA2006" t="str">
            <v>$10K-$100K</v>
          </cell>
          <cell r="AB2006">
            <v>2011</v>
          </cell>
        </row>
        <row r="2007">
          <cell r="E2007">
            <v>15422.81</v>
          </cell>
          <cell r="Z2007" t="str">
            <v>Ungating</v>
          </cell>
          <cell r="AA2007" t="str">
            <v>$10K-$100K</v>
          </cell>
          <cell r="AB2007">
            <v>2012</v>
          </cell>
        </row>
        <row r="2008">
          <cell r="E2008">
            <v>15402.41</v>
          </cell>
          <cell r="Z2008" t="str">
            <v>Legacy</v>
          </cell>
          <cell r="AA2008" t="str">
            <v>$10K-$100K</v>
          </cell>
          <cell r="AB2008" t="str">
            <v>2010 or before</v>
          </cell>
        </row>
        <row r="2009">
          <cell r="E2009">
            <v>15391.89</v>
          </cell>
          <cell r="Z2009" t="str">
            <v>Legacy</v>
          </cell>
          <cell r="AA2009" t="str">
            <v>$10K-$100K</v>
          </cell>
          <cell r="AB2009" t="str">
            <v>2010 or before</v>
          </cell>
        </row>
        <row r="2010">
          <cell r="E2010">
            <v>15388.13</v>
          </cell>
          <cell r="Z2010" t="str">
            <v>Legacy</v>
          </cell>
          <cell r="AA2010" t="str">
            <v>$10K-$100K</v>
          </cell>
          <cell r="AB2010" t="str">
            <v>2010 or before</v>
          </cell>
        </row>
        <row r="2011">
          <cell r="E2011">
            <v>15378.76</v>
          </cell>
          <cell r="Z2011" t="str">
            <v>Legacy</v>
          </cell>
          <cell r="AA2011" t="str">
            <v>$10K-$100K</v>
          </cell>
          <cell r="AB2011" t="str">
            <v>2010 or before</v>
          </cell>
        </row>
        <row r="2012">
          <cell r="E2012">
            <v>15348.8</v>
          </cell>
          <cell r="Z2012" t="str">
            <v>Legacy</v>
          </cell>
          <cell r="AA2012" t="str">
            <v>$10K-$100K</v>
          </cell>
          <cell r="AB2012" t="str">
            <v>2010 or before</v>
          </cell>
        </row>
        <row r="2013">
          <cell r="E2013">
            <v>15330.3</v>
          </cell>
          <cell r="Z2013" t="str">
            <v>Ungating</v>
          </cell>
          <cell r="AA2013" t="str">
            <v>$10K-$100K</v>
          </cell>
          <cell r="AB2013">
            <v>2012</v>
          </cell>
        </row>
        <row r="2014">
          <cell r="E2014">
            <v>15275.9</v>
          </cell>
          <cell r="Z2014" t="str">
            <v>Legacy</v>
          </cell>
          <cell r="AA2014" t="str">
            <v>$10K-$100K</v>
          </cell>
          <cell r="AB2014" t="str">
            <v>2010 or before</v>
          </cell>
        </row>
        <row r="2015">
          <cell r="E2015">
            <v>15253.16</v>
          </cell>
          <cell r="Z2015" t="str">
            <v>Legacy</v>
          </cell>
          <cell r="AA2015" t="str">
            <v>$10K-$100K</v>
          </cell>
          <cell r="AB2015" t="str">
            <v>2010 or before</v>
          </cell>
        </row>
        <row r="2016">
          <cell r="E2016">
            <v>15250.51</v>
          </cell>
          <cell r="Z2016" t="str">
            <v>Legacy</v>
          </cell>
          <cell r="AA2016" t="str">
            <v>$10K-$100K</v>
          </cell>
          <cell r="AB2016">
            <v>2011</v>
          </cell>
        </row>
        <row r="2017">
          <cell r="E2017">
            <v>15239.12</v>
          </cell>
          <cell r="Z2017" t="str">
            <v>Legacy</v>
          </cell>
          <cell r="AA2017" t="str">
            <v>$10K-$100K</v>
          </cell>
          <cell r="AB2017" t="str">
            <v>2010 or before</v>
          </cell>
        </row>
        <row r="2018">
          <cell r="E2018">
            <v>15231.07</v>
          </cell>
          <cell r="Z2018" t="str">
            <v>Ungating</v>
          </cell>
          <cell r="AA2018" t="str">
            <v>$10K-$100K</v>
          </cell>
          <cell r="AB2018">
            <v>2012</v>
          </cell>
        </row>
        <row r="2019">
          <cell r="E2019">
            <v>15208.36</v>
          </cell>
          <cell r="Z2019" t="str">
            <v>Inbound</v>
          </cell>
          <cell r="AA2019" t="str">
            <v>$10K-$100K</v>
          </cell>
          <cell r="AB2019">
            <v>2012</v>
          </cell>
        </row>
        <row r="2020">
          <cell r="E2020">
            <v>15199.68</v>
          </cell>
          <cell r="Z2020" t="str">
            <v>Inbound</v>
          </cell>
          <cell r="AA2020" t="str">
            <v>$10K-$100K</v>
          </cell>
          <cell r="AB2020">
            <v>2012</v>
          </cell>
        </row>
        <row r="2021">
          <cell r="E2021">
            <v>15199.58</v>
          </cell>
          <cell r="Z2021" t="str">
            <v>Inbound</v>
          </cell>
          <cell r="AA2021" t="str">
            <v>$10K-$100K</v>
          </cell>
          <cell r="AB2021">
            <v>2012</v>
          </cell>
        </row>
        <row r="2022">
          <cell r="E2022">
            <v>15137.21</v>
          </cell>
          <cell r="Z2022" t="str">
            <v>Ungating</v>
          </cell>
          <cell r="AA2022" t="str">
            <v>$10K-$100K</v>
          </cell>
          <cell r="AB2022">
            <v>2012</v>
          </cell>
        </row>
        <row r="2023">
          <cell r="E2023">
            <v>15133.3</v>
          </cell>
          <cell r="Z2023" t="str">
            <v>Legacy</v>
          </cell>
          <cell r="AA2023" t="str">
            <v>$10K-$100K</v>
          </cell>
          <cell r="AB2023" t="str">
            <v>2010 or before</v>
          </cell>
        </row>
        <row r="2024">
          <cell r="E2024">
            <v>15133.02</v>
          </cell>
          <cell r="Z2024" t="str">
            <v>Inbound</v>
          </cell>
          <cell r="AA2024" t="str">
            <v>$10K-$100K</v>
          </cell>
          <cell r="AB2024">
            <v>2012</v>
          </cell>
        </row>
        <row r="2025">
          <cell r="E2025">
            <v>15128.2</v>
          </cell>
          <cell r="Z2025" t="str">
            <v>Inbound</v>
          </cell>
          <cell r="AA2025" t="str">
            <v>$10K-$100K</v>
          </cell>
          <cell r="AB2025">
            <v>2011</v>
          </cell>
        </row>
        <row r="2026">
          <cell r="E2026">
            <v>15078.4</v>
          </cell>
          <cell r="Z2026" t="str">
            <v>Ungating</v>
          </cell>
          <cell r="AA2026" t="str">
            <v>$10K-$100K</v>
          </cell>
          <cell r="AB2026">
            <v>2012</v>
          </cell>
        </row>
        <row r="2027">
          <cell r="E2027">
            <v>15036.1</v>
          </cell>
          <cell r="Z2027" t="str">
            <v>Inbound</v>
          </cell>
          <cell r="AA2027" t="str">
            <v>$10K-$100K</v>
          </cell>
          <cell r="AB2027">
            <v>2012</v>
          </cell>
        </row>
        <row r="2028">
          <cell r="E2028">
            <v>15033.87</v>
          </cell>
          <cell r="Z2028" t="str">
            <v>Legacy</v>
          </cell>
          <cell r="AA2028" t="str">
            <v>$10K-$100K</v>
          </cell>
          <cell r="AB2028">
            <v>2012</v>
          </cell>
        </row>
        <row r="2029">
          <cell r="E2029">
            <v>15020.33</v>
          </cell>
          <cell r="Z2029" t="str">
            <v>Legacy</v>
          </cell>
          <cell r="AA2029" t="str">
            <v>$10K-$100K</v>
          </cell>
          <cell r="AB2029" t="str">
            <v>2010 or before</v>
          </cell>
        </row>
        <row r="2030">
          <cell r="E2030">
            <v>14994.08</v>
          </cell>
          <cell r="Z2030" t="str">
            <v>Legacy</v>
          </cell>
          <cell r="AA2030" t="str">
            <v>$10K-$100K</v>
          </cell>
          <cell r="AB2030" t="str">
            <v>2010 or before</v>
          </cell>
        </row>
        <row r="2031">
          <cell r="E2031">
            <v>14964.52</v>
          </cell>
          <cell r="Z2031" t="str">
            <v>Global</v>
          </cell>
          <cell r="AA2031" t="str">
            <v>$10K-$100K</v>
          </cell>
          <cell r="AB2031">
            <v>2011</v>
          </cell>
        </row>
        <row r="2032">
          <cell r="E2032">
            <v>14953.55</v>
          </cell>
          <cell r="Z2032" t="str">
            <v>Legacy</v>
          </cell>
          <cell r="AA2032" t="str">
            <v>$10K-$100K</v>
          </cell>
          <cell r="AB2032" t="str">
            <v>2010 or before</v>
          </cell>
        </row>
        <row r="2033">
          <cell r="E2033">
            <v>14923.66</v>
          </cell>
          <cell r="Z2033" t="str">
            <v>Ungating</v>
          </cell>
          <cell r="AA2033" t="str">
            <v>$10K-$100K</v>
          </cell>
          <cell r="AB2033">
            <v>2011</v>
          </cell>
        </row>
        <row r="2034">
          <cell r="E2034">
            <v>14894.32</v>
          </cell>
          <cell r="Z2034" t="str">
            <v>Legacy</v>
          </cell>
          <cell r="AA2034" t="str">
            <v>$10K-$100K</v>
          </cell>
          <cell r="AB2034" t="str">
            <v>2010 or before</v>
          </cell>
        </row>
        <row r="2035">
          <cell r="E2035">
            <v>14874.64</v>
          </cell>
          <cell r="Z2035" t="str">
            <v>Ungating</v>
          </cell>
          <cell r="AA2035" t="str">
            <v>$10K-$100K</v>
          </cell>
          <cell r="AB2035">
            <v>2012</v>
          </cell>
        </row>
        <row r="2036">
          <cell r="E2036">
            <v>14871.65</v>
          </cell>
          <cell r="Z2036" t="str">
            <v>Legacy</v>
          </cell>
          <cell r="AA2036" t="str">
            <v>$10K-$100K</v>
          </cell>
          <cell r="AB2036" t="str">
            <v>2010 or before</v>
          </cell>
        </row>
        <row r="2037">
          <cell r="E2037">
            <v>14809.76</v>
          </cell>
          <cell r="Z2037" t="str">
            <v>Legacy</v>
          </cell>
          <cell r="AA2037" t="str">
            <v>$10K-$100K</v>
          </cell>
          <cell r="AB2037" t="str">
            <v>2010 or before</v>
          </cell>
        </row>
        <row r="2038">
          <cell r="E2038">
            <v>14794.85</v>
          </cell>
          <cell r="Z2038" t="str">
            <v>Legacy</v>
          </cell>
          <cell r="AA2038" t="str">
            <v>$10K-$100K</v>
          </cell>
          <cell r="AB2038" t="str">
            <v>2010 or before</v>
          </cell>
        </row>
        <row r="2039">
          <cell r="E2039">
            <v>14747.99</v>
          </cell>
          <cell r="Z2039" t="str">
            <v>Legacy</v>
          </cell>
          <cell r="AA2039" t="str">
            <v>$10K-$100K</v>
          </cell>
          <cell r="AB2039" t="str">
            <v>2010 or before</v>
          </cell>
        </row>
        <row r="2040">
          <cell r="E2040">
            <v>14725.93</v>
          </cell>
          <cell r="Z2040" t="str">
            <v>Legacy</v>
          </cell>
          <cell r="AA2040" t="str">
            <v>$10K-$100K</v>
          </cell>
          <cell r="AB2040" t="str">
            <v>2010 or before</v>
          </cell>
        </row>
        <row r="2041">
          <cell r="E2041">
            <v>14720.17</v>
          </cell>
          <cell r="Z2041" t="str">
            <v>Legacy</v>
          </cell>
          <cell r="AA2041" t="str">
            <v>$10K-$100K</v>
          </cell>
          <cell r="AB2041" t="str">
            <v>2010 or before</v>
          </cell>
        </row>
        <row r="2042">
          <cell r="E2042">
            <v>14690.99</v>
          </cell>
          <cell r="Z2042" t="str">
            <v>Legacy</v>
          </cell>
          <cell r="AA2042" t="str">
            <v>$10K-$100K</v>
          </cell>
          <cell r="AB2042" t="str">
            <v>2010 or before</v>
          </cell>
        </row>
        <row r="2043">
          <cell r="E2043">
            <v>14687.26</v>
          </cell>
          <cell r="Z2043" t="str">
            <v>Legacy</v>
          </cell>
          <cell r="AA2043" t="str">
            <v>$10K-$100K</v>
          </cell>
          <cell r="AB2043" t="str">
            <v>2010 or before</v>
          </cell>
        </row>
        <row r="2044">
          <cell r="E2044">
            <v>14670.4</v>
          </cell>
          <cell r="Z2044" t="str">
            <v>Legacy</v>
          </cell>
          <cell r="AA2044" t="str">
            <v>$10K-$100K</v>
          </cell>
          <cell r="AB2044" t="str">
            <v>2010 or before</v>
          </cell>
        </row>
        <row r="2045">
          <cell r="E2045">
            <v>14587.92</v>
          </cell>
          <cell r="Z2045" t="str">
            <v>Legacy</v>
          </cell>
          <cell r="AA2045" t="str">
            <v>$10K-$100K</v>
          </cell>
          <cell r="AB2045" t="str">
            <v>2010 or before</v>
          </cell>
        </row>
        <row r="2046">
          <cell r="E2046">
            <v>14580.43</v>
          </cell>
          <cell r="Z2046" t="str">
            <v>Ungating</v>
          </cell>
          <cell r="AA2046" t="str">
            <v>$10K-$100K</v>
          </cell>
          <cell r="AB2046">
            <v>2012</v>
          </cell>
        </row>
        <row r="2047">
          <cell r="E2047">
            <v>14565.2</v>
          </cell>
          <cell r="Z2047" t="str">
            <v>Ungating</v>
          </cell>
          <cell r="AA2047" t="str">
            <v>$10K-$100K</v>
          </cell>
          <cell r="AB2047">
            <v>2012</v>
          </cell>
        </row>
        <row r="2048">
          <cell r="E2048">
            <v>14555.75</v>
          </cell>
          <cell r="Z2048" t="str">
            <v>Ungating</v>
          </cell>
          <cell r="AA2048" t="str">
            <v>$10K-$100K</v>
          </cell>
          <cell r="AB2048">
            <v>2012</v>
          </cell>
        </row>
        <row r="2049">
          <cell r="E2049">
            <v>14517.79</v>
          </cell>
          <cell r="Z2049" t="str">
            <v>Ungating</v>
          </cell>
          <cell r="AA2049" t="str">
            <v>$10K-$100K</v>
          </cell>
          <cell r="AB2049">
            <v>2012</v>
          </cell>
        </row>
        <row r="2050">
          <cell r="E2050">
            <v>14502.45</v>
          </cell>
          <cell r="Z2050" t="str">
            <v>Inbound</v>
          </cell>
          <cell r="AA2050" t="str">
            <v>$10K-$100K</v>
          </cell>
          <cell r="AB2050">
            <v>2012</v>
          </cell>
        </row>
        <row r="2051">
          <cell r="E2051">
            <v>14449.86</v>
          </cell>
          <cell r="Z2051" t="str">
            <v>Inbound</v>
          </cell>
          <cell r="AA2051" t="str">
            <v>$10K-$100K</v>
          </cell>
          <cell r="AB2051">
            <v>2012</v>
          </cell>
        </row>
        <row r="2052">
          <cell r="E2052">
            <v>14440.37</v>
          </cell>
          <cell r="Z2052" t="str">
            <v>Inbound</v>
          </cell>
          <cell r="AA2052" t="str">
            <v>$10K-$100K</v>
          </cell>
          <cell r="AB2052">
            <v>2012</v>
          </cell>
        </row>
        <row r="2053">
          <cell r="E2053">
            <v>14431.97</v>
          </cell>
          <cell r="Z2053" t="str">
            <v>Legacy</v>
          </cell>
          <cell r="AA2053" t="str">
            <v>$10K-$100K</v>
          </cell>
          <cell r="AB2053" t="str">
            <v>2010 or before</v>
          </cell>
        </row>
        <row r="2054">
          <cell r="E2054">
            <v>14418.12</v>
          </cell>
          <cell r="Z2054" t="str">
            <v>Legacy</v>
          </cell>
          <cell r="AA2054" t="str">
            <v>$10K-$100K</v>
          </cell>
          <cell r="AB2054" t="str">
            <v>2010 or before</v>
          </cell>
        </row>
        <row r="2055">
          <cell r="E2055">
            <v>14377.22</v>
          </cell>
          <cell r="Z2055" t="str">
            <v>Legacy</v>
          </cell>
          <cell r="AA2055" t="str">
            <v>$10K-$100K</v>
          </cell>
          <cell r="AB2055" t="str">
            <v>2010 or before</v>
          </cell>
        </row>
        <row r="2056">
          <cell r="E2056">
            <v>14351.87</v>
          </cell>
          <cell r="Z2056" t="str">
            <v>Legacy</v>
          </cell>
          <cell r="AA2056" t="str">
            <v>$10K-$100K</v>
          </cell>
          <cell r="AB2056" t="str">
            <v>2010 or before</v>
          </cell>
        </row>
        <row r="2057">
          <cell r="E2057">
            <v>14335.67</v>
          </cell>
          <cell r="Z2057" t="str">
            <v>Legacy</v>
          </cell>
          <cell r="AA2057" t="str">
            <v>$10K-$100K</v>
          </cell>
          <cell r="AB2057" t="str">
            <v>2010 or before</v>
          </cell>
        </row>
        <row r="2058">
          <cell r="E2058">
            <v>14309.68</v>
          </cell>
          <cell r="Z2058" t="str">
            <v>Global</v>
          </cell>
          <cell r="AA2058" t="str">
            <v>$10K-$100K</v>
          </cell>
          <cell r="AB2058">
            <v>2012</v>
          </cell>
        </row>
        <row r="2059">
          <cell r="E2059">
            <v>14279.12</v>
          </cell>
          <cell r="Z2059" t="str">
            <v>Legacy</v>
          </cell>
          <cell r="AA2059" t="str">
            <v>$10K-$100K</v>
          </cell>
          <cell r="AB2059" t="str">
            <v>2010 or before</v>
          </cell>
        </row>
        <row r="2060">
          <cell r="E2060">
            <v>14262.32</v>
          </cell>
          <cell r="Z2060" t="str">
            <v>Global</v>
          </cell>
          <cell r="AA2060" t="str">
            <v>$10K-$100K</v>
          </cell>
          <cell r="AB2060">
            <v>2012</v>
          </cell>
        </row>
        <row r="2061">
          <cell r="E2061">
            <v>14254</v>
          </cell>
          <cell r="Z2061" t="str">
            <v>Legacy</v>
          </cell>
          <cell r="AA2061" t="str">
            <v>$10K-$100K</v>
          </cell>
          <cell r="AB2061" t="str">
            <v>2010 or before</v>
          </cell>
        </row>
        <row r="2062">
          <cell r="E2062">
            <v>14247.78</v>
          </cell>
          <cell r="Z2062" t="str">
            <v>Legacy</v>
          </cell>
          <cell r="AA2062" t="str">
            <v>$10K-$100K</v>
          </cell>
          <cell r="AB2062" t="str">
            <v>2010 or before</v>
          </cell>
        </row>
        <row r="2063">
          <cell r="E2063">
            <v>14187.97</v>
          </cell>
          <cell r="Z2063" t="str">
            <v>Legacy</v>
          </cell>
          <cell r="AA2063" t="str">
            <v>$10K-$100K</v>
          </cell>
          <cell r="AB2063" t="str">
            <v>2010 or before</v>
          </cell>
        </row>
        <row r="2064">
          <cell r="E2064">
            <v>14179.12</v>
          </cell>
          <cell r="Z2064" t="str">
            <v>Ungating</v>
          </cell>
          <cell r="AA2064" t="str">
            <v>$10K-$100K</v>
          </cell>
          <cell r="AB2064">
            <v>2012</v>
          </cell>
        </row>
        <row r="2065">
          <cell r="E2065">
            <v>14178.21</v>
          </cell>
          <cell r="Z2065" t="str">
            <v>Legacy</v>
          </cell>
          <cell r="AA2065" t="str">
            <v>$10K-$100K</v>
          </cell>
          <cell r="AB2065" t="str">
            <v>2010 or before</v>
          </cell>
        </row>
        <row r="2066">
          <cell r="E2066">
            <v>14172.74</v>
          </cell>
          <cell r="Z2066" t="str">
            <v>Inbound</v>
          </cell>
          <cell r="AA2066" t="str">
            <v>$10K-$100K</v>
          </cell>
          <cell r="AB2066">
            <v>2012</v>
          </cell>
        </row>
        <row r="2067">
          <cell r="E2067">
            <v>14155.9</v>
          </cell>
          <cell r="Z2067" t="str">
            <v>Legacy</v>
          </cell>
          <cell r="AA2067" t="str">
            <v>$10K-$100K</v>
          </cell>
          <cell r="AB2067" t="str">
            <v>2010 or before</v>
          </cell>
        </row>
        <row r="2068">
          <cell r="E2068">
            <v>14132.94</v>
          </cell>
          <cell r="Z2068" t="str">
            <v>Ungating</v>
          </cell>
          <cell r="AA2068" t="str">
            <v>$10K-$100K</v>
          </cell>
          <cell r="AB2068">
            <v>2012</v>
          </cell>
        </row>
        <row r="2069">
          <cell r="E2069">
            <v>14108.43</v>
          </cell>
          <cell r="Z2069" t="str">
            <v>Inbound</v>
          </cell>
          <cell r="AA2069" t="str">
            <v>$10K-$100K</v>
          </cell>
          <cell r="AB2069">
            <v>2011</v>
          </cell>
        </row>
        <row r="2070">
          <cell r="E2070">
            <v>14107.26</v>
          </cell>
          <cell r="Z2070" t="str">
            <v>Legacy</v>
          </cell>
          <cell r="AA2070" t="str">
            <v>$10K-$100K</v>
          </cell>
          <cell r="AB2070" t="str">
            <v>2010 or before</v>
          </cell>
        </row>
        <row r="2071">
          <cell r="E2071">
            <v>14089.84</v>
          </cell>
          <cell r="Z2071" t="str">
            <v>Ungating</v>
          </cell>
          <cell r="AA2071" t="str">
            <v>$10K-$100K</v>
          </cell>
          <cell r="AB2071">
            <v>2012</v>
          </cell>
        </row>
        <row r="2072">
          <cell r="E2072">
            <v>14080.8</v>
          </cell>
          <cell r="Z2072" t="str">
            <v>Legacy</v>
          </cell>
          <cell r="AA2072" t="str">
            <v>$10K-$100K</v>
          </cell>
          <cell r="AB2072" t="str">
            <v>2010 or before</v>
          </cell>
        </row>
        <row r="2073">
          <cell r="E2073">
            <v>14052.37</v>
          </cell>
          <cell r="Z2073" t="str">
            <v>Inbound</v>
          </cell>
          <cell r="AA2073" t="str">
            <v>$10K-$100K</v>
          </cell>
          <cell r="AB2073">
            <v>2012</v>
          </cell>
        </row>
        <row r="2074">
          <cell r="E2074">
            <v>14034.98</v>
          </cell>
          <cell r="Z2074" t="str">
            <v>Legacy</v>
          </cell>
          <cell r="AA2074" t="str">
            <v>$10K-$100K</v>
          </cell>
          <cell r="AB2074" t="str">
            <v>2010 or before</v>
          </cell>
        </row>
        <row r="2075">
          <cell r="E2075">
            <v>13987.11</v>
          </cell>
          <cell r="Z2075" t="str">
            <v>Legacy</v>
          </cell>
          <cell r="AA2075" t="str">
            <v>$10K-$100K</v>
          </cell>
          <cell r="AB2075" t="str">
            <v>2010 or before</v>
          </cell>
        </row>
        <row r="2076">
          <cell r="E2076">
            <v>13975.32</v>
          </cell>
          <cell r="Z2076" t="str">
            <v>Ungating</v>
          </cell>
          <cell r="AA2076" t="str">
            <v>$10K-$100K</v>
          </cell>
          <cell r="AB2076">
            <v>2012</v>
          </cell>
        </row>
        <row r="2077">
          <cell r="E2077">
            <v>13951.81</v>
          </cell>
          <cell r="Z2077" t="str">
            <v>Legacy</v>
          </cell>
          <cell r="AA2077" t="str">
            <v>$10K-$100K</v>
          </cell>
          <cell r="AB2077">
            <v>2011</v>
          </cell>
        </row>
        <row r="2078">
          <cell r="E2078">
            <v>13855.53</v>
          </cell>
          <cell r="Z2078" t="str">
            <v>Ungating</v>
          </cell>
          <cell r="AA2078" t="str">
            <v>$10K-$100K</v>
          </cell>
          <cell r="AB2078">
            <v>2012</v>
          </cell>
        </row>
        <row r="2079">
          <cell r="E2079">
            <v>13790.55</v>
          </cell>
          <cell r="Z2079" t="str">
            <v>Legacy</v>
          </cell>
          <cell r="AA2079" t="str">
            <v>$10K-$100K</v>
          </cell>
          <cell r="AB2079" t="str">
            <v>2010 or before</v>
          </cell>
        </row>
        <row r="2080">
          <cell r="E2080">
            <v>13781.68</v>
          </cell>
          <cell r="Z2080" t="str">
            <v>Legacy</v>
          </cell>
          <cell r="AA2080" t="str">
            <v>$10K-$100K</v>
          </cell>
          <cell r="AB2080">
            <v>2011</v>
          </cell>
        </row>
        <row r="2081">
          <cell r="E2081">
            <v>13765.28</v>
          </cell>
          <cell r="Z2081" t="str">
            <v>Ungating</v>
          </cell>
          <cell r="AA2081" t="str">
            <v>$10K-$100K</v>
          </cell>
          <cell r="AB2081">
            <v>2012</v>
          </cell>
        </row>
        <row r="2082">
          <cell r="E2082">
            <v>13764.55</v>
          </cell>
          <cell r="Z2082" t="str">
            <v>Ungating</v>
          </cell>
          <cell r="AA2082" t="str">
            <v>$10K-$100K</v>
          </cell>
          <cell r="AB2082">
            <v>2012</v>
          </cell>
        </row>
        <row r="2083">
          <cell r="E2083">
            <v>13747.4</v>
          </cell>
          <cell r="Z2083" t="str">
            <v>Ungating</v>
          </cell>
          <cell r="AA2083" t="str">
            <v>$10K-$100K</v>
          </cell>
          <cell r="AB2083">
            <v>2012</v>
          </cell>
        </row>
        <row r="2084">
          <cell r="E2084">
            <v>13656.3</v>
          </cell>
          <cell r="Z2084" t="str">
            <v>Legacy</v>
          </cell>
          <cell r="AA2084" t="str">
            <v>$10K-$100K</v>
          </cell>
          <cell r="AB2084" t="str">
            <v>2010 or before</v>
          </cell>
        </row>
        <row r="2085">
          <cell r="E2085">
            <v>13645.54</v>
          </cell>
          <cell r="Z2085" t="str">
            <v>Legacy</v>
          </cell>
          <cell r="AA2085" t="str">
            <v>$10K-$100K</v>
          </cell>
          <cell r="AB2085" t="str">
            <v>2010 or before</v>
          </cell>
        </row>
        <row r="2086">
          <cell r="E2086">
            <v>13638.4</v>
          </cell>
          <cell r="Z2086" t="str">
            <v>Ungating</v>
          </cell>
          <cell r="AA2086" t="str">
            <v>$10K-$100K</v>
          </cell>
          <cell r="AB2086">
            <v>2012</v>
          </cell>
        </row>
        <row r="2087">
          <cell r="E2087">
            <v>13626.65</v>
          </cell>
          <cell r="Z2087" t="str">
            <v>Legacy</v>
          </cell>
          <cell r="AA2087" t="str">
            <v>$10K-$100K</v>
          </cell>
          <cell r="AB2087">
            <v>2011</v>
          </cell>
        </row>
        <row r="2088">
          <cell r="E2088">
            <v>13617.32</v>
          </cell>
          <cell r="Z2088" t="str">
            <v>Legacy</v>
          </cell>
          <cell r="AA2088" t="str">
            <v>$10K-$100K</v>
          </cell>
          <cell r="AB2088">
            <v>2012</v>
          </cell>
        </row>
        <row r="2089">
          <cell r="E2089">
            <v>13534.61</v>
          </cell>
          <cell r="Z2089" t="str">
            <v>Legacy</v>
          </cell>
          <cell r="AA2089" t="str">
            <v>$10K-$100K</v>
          </cell>
          <cell r="AB2089" t="str">
            <v>2010 or before</v>
          </cell>
        </row>
        <row r="2090">
          <cell r="E2090">
            <v>13529.18</v>
          </cell>
          <cell r="Z2090" t="str">
            <v>Ungating</v>
          </cell>
          <cell r="AA2090" t="str">
            <v>$10K-$100K</v>
          </cell>
          <cell r="AB2090">
            <v>2012</v>
          </cell>
        </row>
        <row r="2091">
          <cell r="E2091">
            <v>13514.04</v>
          </cell>
          <cell r="Z2091" t="str">
            <v>Legacy</v>
          </cell>
          <cell r="AA2091" t="str">
            <v>$10K-$100K</v>
          </cell>
          <cell r="AB2091">
            <v>2011</v>
          </cell>
        </row>
        <row r="2092">
          <cell r="E2092">
            <v>13502.35</v>
          </cell>
          <cell r="Z2092" t="str">
            <v>Legacy</v>
          </cell>
          <cell r="AA2092" t="str">
            <v>$10K-$100K</v>
          </cell>
          <cell r="AB2092" t="str">
            <v>2010 or before</v>
          </cell>
        </row>
        <row r="2093">
          <cell r="E2093">
            <v>13500.62</v>
          </cell>
          <cell r="Z2093" t="str">
            <v>Legacy</v>
          </cell>
          <cell r="AA2093" t="str">
            <v>$10K-$100K</v>
          </cell>
          <cell r="AB2093">
            <v>2011</v>
          </cell>
        </row>
        <row r="2094">
          <cell r="E2094">
            <v>13490</v>
          </cell>
          <cell r="Z2094" t="str">
            <v>Legacy</v>
          </cell>
          <cell r="AA2094" t="str">
            <v>$10K-$100K</v>
          </cell>
          <cell r="AB2094" t="str">
            <v>2010 or before</v>
          </cell>
        </row>
        <row r="2095">
          <cell r="E2095">
            <v>13478.09</v>
          </cell>
          <cell r="Z2095" t="str">
            <v>Legacy</v>
          </cell>
          <cell r="AA2095" t="str">
            <v>$10K-$100K</v>
          </cell>
          <cell r="AB2095" t="str">
            <v>2010 or before</v>
          </cell>
        </row>
        <row r="2096">
          <cell r="E2096">
            <v>13364.05</v>
          </cell>
          <cell r="Z2096" t="str">
            <v>Legacy</v>
          </cell>
          <cell r="AA2096" t="str">
            <v>$10K-$100K</v>
          </cell>
          <cell r="AB2096" t="str">
            <v>2010 or before</v>
          </cell>
        </row>
        <row r="2097">
          <cell r="E2097">
            <v>13354.02</v>
          </cell>
          <cell r="Z2097" t="str">
            <v>Legacy</v>
          </cell>
          <cell r="AA2097" t="str">
            <v>$10K-$100K</v>
          </cell>
          <cell r="AB2097" t="str">
            <v>2010 or before</v>
          </cell>
        </row>
        <row r="2098">
          <cell r="E2098">
            <v>13346.65</v>
          </cell>
          <cell r="Z2098" t="str">
            <v>Legacy</v>
          </cell>
          <cell r="AA2098" t="str">
            <v>$10K-$100K</v>
          </cell>
          <cell r="AB2098" t="str">
            <v>2010 or before</v>
          </cell>
        </row>
        <row r="2099">
          <cell r="E2099">
            <v>13312.35</v>
          </cell>
          <cell r="Z2099" t="str">
            <v>Ungating</v>
          </cell>
          <cell r="AA2099" t="str">
            <v>$10K-$100K</v>
          </cell>
          <cell r="AB2099">
            <v>2012</v>
          </cell>
        </row>
        <row r="2100">
          <cell r="E2100">
            <v>13304.55</v>
          </cell>
          <cell r="Z2100" t="str">
            <v>Ungating</v>
          </cell>
          <cell r="AA2100" t="str">
            <v>$10K-$100K</v>
          </cell>
          <cell r="AB2100">
            <v>2012</v>
          </cell>
        </row>
        <row r="2101">
          <cell r="E2101">
            <v>13294.85</v>
          </cell>
          <cell r="Z2101" t="str">
            <v>Legacy</v>
          </cell>
          <cell r="AA2101" t="str">
            <v>$10K-$100K</v>
          </cell>
          <cell r="AB2101" t="str">
            <v>2010 or before</v>
          </cell>
        </row>
        <row r="2102">
          <cell r="E2102">
            <v>13241.42</v>
          </cell>
          <cell r="Z2102" t="str">
            <v>Legacy</v>
          </cell>
          <cell r="AA2102" t="str">
            <v>$10K-$100K</v>
          </cell>
          <cell r="AB2102" t="str">
            <v>2010 or before</v>
          </cell>
        </row>
        <row r="2103">
          <cell r="E2103">
            <v>13241</v>
          </cell>
          <cell r="Z2103" t="str">
            <v>Inbound</v>
          </cell>
          <cell r="AA2103" t="str">
            <v>$10K-$100K</v>
          </cell>
          <cell r="AB2103">
            <v>2012</v>
          </cell>
        </row>
        <row r="2104">
          <cell r="E2104">
            <v>13226.79</v>
          </cell>
          <cell r="Z2104" t="str">
            <v>Legacy</v>
          </cell>
          <cell r="AA2104" t="str">
            <v>$10K-$100K</v>
          </cell>
          <cell r="AB2104" t="str">
            <v>2010 or before</v>
          </cell>
        </row>
        <row r="2105">
          <cell r="E2105">
            <v>13198.98</v>
          </cell>
          <cell r="Z2105" t="str">
            <v>Legacy</v>
          </cell>
          <cell r="AA2105" t="str">
            <v>$10K-$100K</v>
          </cell>
          <cell r="AB2105">
            <v>2011</v>
          </cell>
        </row>
        <row r="2106">
          <cell r="E2106">
            <v>13189.72</v>
          </cell>
          <cell r="Z2106" t="str">
            <v>Legacy</v>
          </cell>
          <cell r="AA2106" t="str">
            <v>$10K-$100K</v>
          </cell>
          <cell r="AB2106">
            <v>2011</v>
          </cell>
        </row>
        <row r="2107">
          <cell r="E2107">
            <v>13106.9</v>
          </cell>
          <cell r="Z2107" t="str">
            <v>Inbound</v>
          </cell>
          <cell r="AA2107" t="str">
            <v>$10K-$100K</v>
          </cell>
          <cell r="AB2107">
            <v>2011</v>
          </cell>
        </row>
        <row r="2108">
          <cell r="E2108">
            <v>13096.57</v>
          </cell>
          <cell r="Z2108" t="str">
            <v>Global</v>
          </cell>
          <cell r="AA2108" t="str">
            <v>$10K-$100K</v>
          </cell>
          <cell r="AB2108">
            <v>2011</v>
          </cell>
        </row>
        <row r="2109">
          <cell r="E2109">
            <v>13086.73</v>
          </cell>
          <cell r="Z2109" t="str">
            <v>Legacy</v>
          </cell>
          <cell r="AA2109" t="str">
            <v>$10K-$100K</v>
          </cell>
          <cell r="AB2109" t="str">
            <v>2010 or before</v>
          </cell>
        </row>
        <row r="2110">
          <cell r="E2110">
            <v>13063.35</v>
          </cell>
          <cell r="Z2110" t="str">
            <v>Legacy</v>
          </cell>
          <cell r="AA2110" t="str">
            <v>$10K-$100K</v>
          </cell>
          <cell r="AB2110" t="str">
            <v>2010 or before</v>
          </cell>
        </row>
        <row r="2111">
          <cell r="E2111">
            <v>13061.2</v>
          </cell>
          <cell r="Z2111" t="str">
            <v>Legacy</v>
          </cell>
          <cell r="AA2111" t="str">
            <v>$10K-$100K</v>
          </cell>
          <cell r="AB2111">
            <v>2011</v>
          </cell>
        </row>
        <row r="2112">
          <cell r="E2112">
            <v>12998.43</v>
          </cell>
          <cell r="Z2112" t="str">
            <v>Ungating</v>
          </cell>
          <cell r="AA2112" t="str">
            <v>$10K-$100K</v>
          </cell>
          <cell r="AB2112">
            <v>2011</v>
          </cell>
        </row>
        <row r="2113">
          <cell r="E2113">
            <v>12997.06</v>
          </cell>
          <cell r="Z2113" t="str">
            <v>Inbound</v>
          </cell>
          <cell r="AA2113" t="str">
            <v>$10K-$100K</v>
          </cell>
          <cell r="AB2113">
            <v>2012</v>
          </cell>
        </row>
        <row r="2114">
          <cell r="E2114">
            <v>12968.26</v>
          </cell>
          <cell r="Z2114" t="str">
            <v>Legacy</v>
          </cell>
          <cell r="AA2114" t="str">
            <v>$10K-$100K</v>
          </cell>
          <cell r="AB2114" t="str">
            <v>2010 or before</v>
          </cell>
        </row>
        <row r="2115">
          <cell r="E2115">
            <v>12963.53</v>
          </cell>
          <cell r="Z2115" t="str">
            <v>Legacy</v>
          </cell>
          <cell r="AA2115" t="str">
            <v>$10K-$100K</v>
          </cell>
          <cell r="AB2115" t="str">
            <v>2010 or before</v>
          </cell>
        </row>
        <row r="2116">
          <cell r="E2116">
            <v>12947.78</v>
          </cell>
          <cell r="Z2116" t="str">
            <v>Legacy</v>
          </cell>
          <cell r="AA2116" t="str">
            <v>$10K-$100K</v>
          </cell>
          <cell r="AB2116" t="str">
            <v>2010 or before</v>
          </cell>
        </row>
        <row r="2117">
          <cell r="E2117">
            <v>12936.99</v>
          </cell>
          <cell r="Z2117" t="str">
            <v>Ungating</v>
          </cell>
          <cell r="AA2117" t="str">
            <v>$10K-$100K</v>
          </cell>
          <cell r="AB2117">
            <v>2012</v>
          </cell>
        </row>
        <row r="2118">
          <cell r="E2118">
            <v>12868.68</v>
          </cell>
          <cell r="Z2118" t="str">
            <v>Strategic</v>
          </cell>
          <cell r="AA2118" t="str">
            <v>$10K-$100K</v>
          </cell>
          <cell r="AB2118">
            <v>2012</v>
          </cell>
        </row>
        <row r="2119">
          <cell r="E2119">
            <v>12860.74</v>
          </cell>
          <cell r="Z2119" t="str">
            <v>Inbound</v>
          </cell>
          <cell r="AA2119" t="str">
            <v>$10K-$100K</v>
          </cell>
          <cell r="AB2119">
            <v>2011</v>
          </cell>
        </row>
        <row r="2120">
          <cell r="E2120">
            <v>12849.15</v>
          </cell>
          <cell r="Z2120" t="str">
            <v>Legacy</v>
          </cell>
          <cell r="AA2120" t="str">
            <v>$10K-$100K</v>
          </cell>
          <cell r="AB2120" t="str">
            <v>2010 or before</v>
          </cell>
        </row>
        <row r="2121">
          <cell r="E2121">
            <v>12848.65</v>
          </cell>
          <cell r="Z2121" t="str">
            <v>Inbound</v>
          </cell>
          <cell r="AA2121" t="str">
            <v>$10K-$100K</v>
          </cell>
          <cell r="AB2121">
            <v>2012</v>
          </cell>
        </row>
        <row r="2122">
          <cell r="E2122">
            <v>12840.01</v>
          </cell>
          <cell r="Z2122" t="str">
            <v>Legacy</v>
          </cell>
          <cell r="AA2122" t="str">
            <v>$10K-$100K</v>
          </cell>
          <cell r="AB2122" t="str">
            <v>2010 or before</v>
          </cell>
        </row>
        <row r="2123">
          <cell r="E2123">
            <v>12830</v>
          </cell>
          <cell r="Z2123" t="str">
            <v>Legacy</v>
          </cell>
          <cell r="AA2123" t="str">
            <v>$10K-$100K</v>
          </cell>
          <cell r="AB2123" t="str">
            <v>2010 or before</v>
          </cell>
        </row>
        <row r="2124">
          <cell r="E2124">
            <v>12822.25</v>
          </cell>
          <cell r="Z2124" t="str">
            <v>Legacy</v>
          </cell>
          <cell r="AA2124" t="str">
            <v>$10K-$100K</v>
          </cell>
          <cell r="AB2124" t="str">
            <v>2010 or before</v>
          </cell>
        </row>
        <row r="2125">
          <cell r="E2125">
            <v>12821.54</v>
          </cell>
          <cell r="Z2125" t="str">
            <v>Ungating</v>
          </cell>
          <cell r="AA2125" t="str">
            <v>$10K-$100K</v>
          </cell>
          <cell r="AB2125">
            <v>2012</v>
          </cell>
        </row>
        <row r="2126">
          <cell r="E2126">
            <v>12790.83</v>
          </cell>
          <cell r="Z2126" t="str">
            <v>Ungating</v>
          </cell>
          <cell r="AA2126" t="str">
            <v>$10K-$100K</v>
          </cell>
          <cell r="AB2126">
            <v>2012</v>
          </cell>
        </row>
        <row r="2127">
          <cell r="E2127">
            <v>12756.06</v>
          </cell>
          <cell r="Z2127" t="str">
            <v>Inbound</v>
          </cell>
          <cell r="AA2127" t="str">
            <v>$10K-$100K</v>
          </cell>
          <cell r="AB2127">
            <v>2012</v>
          </cell>
        </row>
        <row r="2128">
          <cell r="E2128">
            <v>12747.35</v>
          </cell>
          <cell r="Z2128" t="str">
            <v>Legacy</v>
          </cell>
          <cell r="AA2128" t="str">
            <v>$10K-$100K</v>
          </cell>
          <cell r="AB2128" t="str">
            <v>2010 or before</v>
          </cell>
        </row>
        <row r="2129">
          <cell r="E2129">
            <v>12742.25</v>
          </cell>
          <cell r="Z2129" t="str">
            <v>Legacy</v>
          </cell>
          <cell r="AA2129" t="str">
            <v>$10K-$100K</v>
          </cell>
          <cell r="AB2129" t="str">
            <v>2010 or before</v>
          </cell>
        </row>
        <row r="2130">
          <cell r="E2130">
            <v>12709.56</v>
          </cell>
          <cell r="Z2130" t="str">
            <v>Legacy</v>
          </cell>
          <cell r="AA2130" t="str">
            <v>$10K-$100K</v>
          </cell>
          <cell r="AB2130" t="str">
            <v>2010 or before</v>
          </cell>
        </row>
        <row r="2131">
          <cell r="E2131">
            <v>12698.67</v>
          </cell>
          <cell r="Z2131" t="str">
            <v>Legacy</v>
          </cell>
          <cell r="AA2131" t="str">
            <v>$10K-$100K</v>
          </cell>
          <cell r="AB2131" t="str">
            <v>2010 or before</v>
          </cell>
        </row>
        <row r="2132">
          <cell r="E2132">
            <v>12683.03</v>
          </cell>
          <cell r="Z2132" t="str">
            <v>Legacy</v>
          </cell>
          <cell r="AA2132" t="str">
            <v>$10K-$100K</v>
          </cell>
          <cell r="AB2132" t="str">
            <v>2010 or before</v>
          </cell>
        </row>
        <row r="2133">
          <cell r="E2133">
            <v>12677.7</v>
          </cell>
          <cell r="Z2133" t="str">
            <v>Ungating</v>
          </cell>
          <cell r="AA2133" t="str">
            <v>$10K-$100K</v>
          </cell>
          <cell r="AB2133">
            <v>2011</v>
          </cell>
        </row>
        <row r="2134">
          <cell r="E2134">
            <v>12669.7</v>
          </cell>
          <cell r="Z2134" t="str">
            <v>Global</v>
          </cell>
          <cell r="AA2134" t="str">
            <v>$10K-$100K</v>
          </cell>
          <cell r="AB2134">
            <v>2012</v>
          </cell>
        </row>
        <row r="2135">
          <cell r="E2135">
            <v>12667.06</v>
          </cell>
          <cell r="Z2135" t="str">
            <v>Ungating</v>
          </cell>
          <cell r="AA2135" t="str">
            <v>$10K-$100K</v>
          </cell>
          <cell r="AB2135">
            <v>2012</v>
          </cell>
        </row>
        <row r="2136">
          <cell r="E2136">
            <v>12662</v>
          </cell>
          <cell r="Z2136" t="str">
            <v>Global</v>
          </cell>
          <cell r="AA2136" t="str">
            <v>$10K-$100K</v>
          </cell>
          <cell r="AB2136">
            <v>2012</v>
          </cell>
        </row>
        <row r="2137">
          <cell r="E2137">
            <v>12658.84</v>
          </cell>
          <cell r="Z2137" t="str">
            <v>Legacy</v>
          </cell>
          <cell r="AA2137" t="str">
            <v>$10K-$100K</v>
          </cell>
          <cell r="AB2137" t="str">
            <v>2010 or before</v>
          </cell>
        </row>
        <row r="2138">
          <cell r="E2138">
            <v>12657.98</v>
          </cell>
          <cell r="Z2138" t="str">
            <v>Legacy</v>
          </cell>
          <cell r="AA2138" t="str">
            <v>$10K-$100K</v>
          </cell>
          <cell r="AB2138" t="str">
            <v>2010 or before</v>
          </cell>
        </row>
        <row r="2139">
          <cell r="E2139">
            <v>12633.22</v>
          </cell>
          <cell r="Z2139" t="str">
            <v>Outbound</v>
          </cell>
          <cell r="AA2139" t="str">
            <v>$10K-$100K</v>
          </cell>
          <cell r="AB2139">
            <v>2012</v>
          </cell>
        </row>
        <row r="2140">
          <cell r="E2140">
            <v>12615.85</v>
          </cell>
          <cell r="Z2140" t="str">
            <v>Legacy</v>
          </cell>
          <cell r="AA2140" t="str">
            <v>$10K-$100K</v>
          </cell>
          <cell r="AB2140" t="str">
            <v>2010 or before</v>
          </cell>
        </row>
        <row r="2141">
          <cell r="E2141">
            <v>12614.57</v>
          </cell>
          <cell r="Z2141" t="str">
            <v>Inbound</v>
          </cell>
          <cell r="AA2141" t="str">
            <v>$10K-$100K</v>
          </cell>
          <cell r="AB2141">
            <v>2012</v>
          </cell>
        </row>
        <row r="2142">
          <cell r="E2142">
            <v>12600.41</v>
          </cell>
          <cell r="Z2142" t="str">
            <v>Ungating</v>
          </cell>
          <cell r="AA2142" t="str">
            <v>$10K-$100K</v>
          </cell>
          <cell r="AB2142">
            <v>2012</v>
          </cell>
        </row>
        <row r="2143">
          <cell r="E2143">
            <v>12594.6</v>
          </cell>
          <cell r="Z2143" t="str">
            <v>Legacy</v>
          </cell>
          <cell r="AA2143" t="str">
            <v>$10K-$100K</v>
          </cell>
          <cell r="AB2143" t="str">
            <v>2010 or before</v>
          </cell>
        </row>
        <row r="2144">
          <cell r="E2144">
            <v>12590.99</v>
          </cell>
          <cell r="Z2144" t="str">
            <v>Legacy</v>
          </cell>
          <cell r="AA2144" t="str">
            <v>$10K-$100K</v>
          </cell>
          <cell r="AB2144" t="str">
            <v>2010 or before</v>
          </cell>
        </row>
        <row r="2145">
          <cell r="E2145">
            <v>12568.03</v>
          </cell>
          <cell r="Z2145" t="str">
            <v>Legacy</v>
          </cell>
          <cell r="AA2145" t="str">
            <v>$10K-$100K</v>
          </cell>
          <cell r="AB2145" t="str">
            <v>2010 or before</v>
          </cell>
        </row>
        <row r="2146">
          <cell r="E2146">
            <v>12517.55</v>
          </cell>
          <cell r="Z2146" t="str">
            <v>Ungating</v>
          </cell>
          <cell r="AA2146" t="str">
            <v>$10K-$100K</v>
          </cell>
          <cell r="AB2146">
            <v>2012</v>
          </cell>
        </row>
        <row r="2147">
          <cell r="E2147">
            <v>12494.03</v>
          </cell>
          <cell r="Z2147" t="str">
            <v>Legacy</v>
          </cell>
          <cell r="AA2147" t="str">
            <v>$10K-$100K</v>
          </cell>
          <cell r="AB2147" t="str">
            <v>2010 or before</v>
          </cell>
        </row>
        <row r="2148">
          <cell r="E2148">
            <v>12485.17</v>
          </cell>
          <cell r="Z2148" t="str">
            <v>Ungating</v>
          </cell>
          <cell r="AA2148" t="str">
            <v>$10K-$100K</v>
          </cell>
          <cell r="AB2148">
            <v>2012</v>
          </cell>
        </row>
        <row r="2149">
          <cell r="E2149">
            <v>12471.41</v>
          </cell>
          <cell r="Z2149" t="str">
            <v>Ungating</v>
          </cell>
          <cell r="AA2149" t="str">
            <v>$10K-$100K</v>
          </cell>
          <cell r="AB2149">
            <v>2012</v>
          </cell>
        </row>
        <row r="2150">
          <cell r="E2150">
            <v>12454.09</v>
          </cell>
          <cell r="Z2150" t="str">
            <v>Legacy</v>
          </cell>
          <cell r="AA2150" t="str">
            <v>$10K-$100K</v>
          </cell>
          <cell r="AB2150" t="str">
            <v>2010 or before</v>
          </cell>
        </row>
        <row r="2151">
          <cell r="E2151">
            <v>12451.34</v>
          </cell>
          <cell r="Z2151" t="str">
            <v>Legacy</v>
          </cell>
          <cell r="AA2151" t="str">
            <v>$10K-$100K</v>
          </cell>
          <cell r="AB2151" t="str">
            <v>2010 or before</v>
          </cell>
        </row>
        <row r="2152">
          <cell r="E2152">
            <v>12442.83</v>
          </cell>
          <cell r="Z2152" t="str">
            <v>Inbound</v>
          </cell>
          <cell r="AA2152" t="str">
            <v>$10K-$100K</v>
          </cell>
          <cell r="AB2152">
            <v>2012</v>
          </cell>
        </row>
        <row r="2153">
          <cell r="E2153">
            <v>12440.32</v>
          </cell>
          <cell r="Z2153" t="str">
            <v>Ungating</v>
          </cell>
          <cell r="AA2153" t="str">
            <v>$10K-$100K</v>
          </cell>
          <cell r="AB2153">
            <v>2011</v>
          </cell>
        </row>
        <row r="2154">
          <cell r="E2154">
            <v>12425.86</v>
          </cell>
          <cell r="Z2154" t="str">
            <v>Inbound</v>
          </cell>
          <cell r="AA2154" t="str">
            <v>$10K-$100K</v>
          </cell>
          <cell r="AB2154">
            <v>2012</v>
          </cell>
        </row>
        <row r="2155">
          <cell r="E2155">
            <v>12405.86</v>
          </cell>
          <cell r="Z2155" t="str">
            <v>Legacy</v>
          </cell>
          <cell r="AA2155" t="str">
            <v>$10K-$100K</v>
          </cell>
          <cell r="AB2155">
            <v>2011</v>
          </cell>
        </row>
        <row r="2156">
          <cell r="E2156">
            <v>12352.4</v>
          </cell>
          <cell r="Z2156" t="str">
            <v>Legacy</v>
          </cell>
          <cell r="AA2156" t="str">
            <v>$10K-$100K</v>
          </cell>
          <cell r="AB2156">
            <v>2012</v>
          </cell>
        </row>
        <row r="2157">
          <cell r="E2157">
            <v>12316.14</v>
          </cell>
          <cell r="Z2157" t="str">
            <v>Inbound</v>
          </cell>
          <cell r="AA2157" t="str">
            <v>$10K-$100K</v>
          </cell>
          <cell r="AB2157">
            <v>2012</v>
          </cell>
        </row>
        <row r="2158">
          <cell r="E2158">
            <v>12251.91</v>
          </cell>
          <cell r="Z2158" t="str">
            <v>Ungating</v>
          </cell>
          <cell r="AA2158" t="str">
            <v>$10K-$100K</v>
          </cell>
          <cell r="AB2158">
            <v>2012</v>
          </cell>
        </row>
        <row r="2159">
          <cell r="E2159">
            <v>12236.27</v>
          </cell>
          <cell r="Z2159" t="str">
            <v>Ungating</v>
          </cell>
          <cell r="AA2159" t="str">
            <v>$10K-$100K</v>
          </cell>
          <cell r="AB2159">
            <v>2012</v>
          </cell>
        </row>
        <row r="2160">
          <cell r="E2160">
            <v>12215.27</v>
          </cell>
          <cell r="Z2160" t="str">
            <v>Legacy</v>
          </cell>
          <cell r="AA2160" t="str">
            <v>$10K-$100K</v>
          </cell>
          <cell r="AB2160" t="str">
            <v>2010 or before</v>
          </cell>
        </row>
        <row r="2161">
          <cell r="E2161">
            <v>12189.77</v>
          </cell>
          <cell r="Z2161" t="str">
            <v>Global</v>
          </cell>
          <cell r="AA2161" t="str">
            <v>$10K-$100K</v>
          </cell>
          <cell r="AB2161">
            <v>2012</v>
          </cell>
        </row>
        <row r="2162">
          <cell r="E2162">
            <v>12180.85</v>
          </cell>
          <cell r="Z2162" t="str">
            <v>Ungating</v>
          </cell>
          <cell r="AA2162" t="str">
            <v>$10K-$100K</v>
          </cell>
          <cell r="AB2162">
            <v>2012</v>
          </cell>
        </row>
        <row r="2163">
          <cell r="E2163">
            <v>12164.7</v>
          </cell>
          <cell r="Z2163" t="str">
            <v>Legacy</v>
          </cell>
          <cell r="AA2163" t="str">
            <v>$10K-$100K</v>
          </cell>
          <cell r="AB2163" t="str">
            <v>2010 or before</v>
          </cell>
        </row>
        <row r="2164">
          <cell r="E2164">
            <v>12155.77</v>
          </cell>
          <cell r="Z2164" t="str">
            <v>Inbound</v>
          </cell>
          <cell r="AA2164" t="str">
            <v>$10K-$100K</v>
          </cell>
          <cell r="AB2164">
            <v>2012</v>
          </cell>
        </row>
        <row r="2165">
          <cell r="E2165">
            <v>12148.16</v>
          </cell>
          <cell r="Z2165" t="str">
            <v>Legacy</v>
          </cell>
          <cell r="AA2165" t="str">
            <v>$10K-$100K</v>
          </cell>
          <cell r="AB2165" t="str">
            <v>2010 or before</v>
          </cell>
        </row>
        <row r="2166">
          <cell r="E2166">
            <v>12148.07</v>
          </cell>
          <cell r="Z2166" t="str">
            <v>Inbound</v>
          </cell>
          <cell r="AA2166" t="str">
            <v>$10K-$100K</v>
          </cell>
          <cell r="AB2166">
            <v>2012</v>
          </cell>
        </row>
        <row r="2167">
          <cell r="E2167">
            <v>12144.47</v>
          </cell>
          <cell r="Z2167" t="str">
            <v>Outbound</v>
          </cell>
          <cell r="AA2167" t="str">
            <v>$10K-$100K</v>
          </cell>
          <cell r="AB2167">
            <v>2012</v>
          </cell>
        </row>
        <row r="2168">
          <cell r="E2168">
            <v>12138.63</v>
          </cell>
          <cell r="Z2168" t="str">
            <v>Legacy</v>
          </cell>
          <cell r="AA2168" t="str">
            <v>$10K-$100K</v>
          </cell>
          <cell r="AB2168" t="str">
            <v>2010 or before</v>
          </cell>
        </row>
        <row r="2169">
          <cell r="E2169">
            <v>12126.28</v>
          </cell>
          <cell r="Z2169" t="str">
            <v>Ungating</v>
          </cell>
          <cell r="AA2169" t="str">
            <v>$10K-$100K</v>
          </cell>
          <cell r="AB2169">
            <v>2011</v>
          </cell>
        </row>
        <row r="2170">
          <cell r="E2170">
            <v>12109.19</v>
          </cell>
          <cell r="Z2170" t="str">
            <v>Legacy</v>
          </cell>
          <cell r="AA2170" t="str">
            <v>$10K-$100K</v>
          </cell>
          <cell r="AB2170">
            <v>2011</v>
          </cell>
        </row>
        <row r="2171">
          <cell r="E2171">
            <v>12102.72</v>
          </cell>
          <cell r="Z2171" t="str">
            <v>Legacy</v>
          </cell>
          <cell r="AA2171" t="str">
            <v>$10K-$100K</v>
          </cell>
          <cell r="AB2171">
            <v>2012</v>
          </cell>
        </row>
        <row r="2172">
          <cell r="E2172">
            <v>12081.04</v>
          </cell>
          <cell r="Z2172" t="str">
            <v>Legacy</v>
          </cell>
          <cell r="AA2172" t="str">
            <v>$10K-$100K</v>
          </cell>
          <cell r="AB2172">
            <v>2012</v>
          </cell>
        </row>
        <row r="2173">
          <cell r="E2173">
            <v>12065.28</v>
          </cell>
          <cell r="Z2173" t="str">
            <v>Legacy</v>
          </cell>
          <cell r="AA2173" t="str">
            <v>$10K-$100K</v>
          </cell>
          <cell r="AB2173" t="str">
            <v>2010 or before</v>
          </cell>
        </row>
        <row r="2174">
          <cell r="E2174">
            <v>12041.14</v>
          </cell>
          <cell r="Z2174" t="str">
            <v>Legacy</v>
          </cell>
          <cell r="AA2174" t="str">
            <v>$10K-$100K</v>
          </cell>
          <cell r="AB2174" t="str">
            <v>2010 or before</v>
          </cell>
        </row>
        <row r="2175">
          <cell r="E2175">
            <v>12005.77</v>
          </cell>
          <cell r="Z2175" t="str">
            <v>Legacy</v>
          </cell>
          <cell r="AA2175" t="str">
            <v>$10K-$100K</v>
          </cell>
          <cell r="AB2175" t="str">
            <v>2010 or before</v>
          </cell>
        </row>
        <row r="2176">
          <cell r="E2176">
            <v>11983.48</v>
          </cell>
          <cell r="Z2176" t="str">
            <v>Inbound</v>
          </cell>
          <cell r="AA2176" t="str">
            <v>$10K-$100K</v>
          </cell>
          <cell r="AB2176">
            <v>2012</v>
          </cell>
        </row>
        <row r="2177">
          <cell r="E2177">
            <v>11982.89</v>
          </cell>
          <cell r="Z2177" t="str">
            <v>Inbound</v>
          </cell>
          <cell r="AA2177" t="str">
            <v>$10K-$100K</v>
          </cell>
          <cell r="AB2177">
            <v>2011</v>
          </cell>
        </row>
        <row r="2178">
          <cell r="E2178">
            <v>11957.74</v>
          </cell>
          <cell r="Z2178" t="str">
            <v>Legacy</v>
          </cell>
          <cell r="AA2178" t="str">
            <v>$10K-$100K</v>
          </cell>
          <cell r="AB2178" t="str">
            <v>2010 or before</v>
          </cell>
        </row>
        <row r="2179">
          <cell r="E2179">
            <v>11944.81</v>
          </cell>
          <cell r="Z2179" t="str">
            <v>Legacy</v>
          </cell>
          <cell r="AA2179" t="str">
            <v>$10K-$100K</v>
          </cell>
          <cell r="AB2179" t="str">
            <v>2010 or before</v>
          </cell>
        </row>
        <row r="2180">
          <cell r="E2180">
            <v>11943.28</v>
          </cell>
          <cell r="Z2180" t="str">
            <v>Ungating</v>
          </cell>
          <cell r="AA2180" t="str">
            <v>$10K-$100K</v>
          </cell>
          <cell r="AB2180">
            <v>2012</v>
          </cell>
        </row>
        <row r="2181">
          <cell r="E2181">
            <v>11916.53</v>
          </cell>
          <cell r="Z2181" t="str">
            <v>Legacy</v>
          </cell>
          <cell r="AA2181" t="str">
            <v>$10K-$100K</v>
          </cell>
          <cell r="AB2181" t="str">
            <v>2010 or before</v>
          </cell>
        </row>
        <row r="2182">
          <cell r="E2182">
            <v>11881.94</v>
          </cell>
          <cell r="Z2182" t="str">
            <v>Legacy</v>
          </cell>
          <cell r="AA2182" t="str">
            <v>$10K-$100K</v>
          </cell>
          <cell r="AB2182" t="str">
            <v>2010 or before</v>
          </cell>
        </row>
        <row r="2183">
          <cell r="E2183">
            <v>11873.13</v>
          </cell>
          <cell r="Z2183" t="str">
            <v>Legacy</v>
          </cell>
          <cell r="AA2183" t="str">
            <v>$10K-$100K</v>
          </cell>
          <cell r="AB2183" t="str">
            <v>2010 or before</v>
          </cell>
        </row>
        <row r="2184">
          <cell r="E2184">
            <v>11871.37</v>
          </cell>
          <cell r="Z2184" t="str">
            <v>Legacy</v>
          </cell>
          <cell r="AA2184" t="str">
            <v>$10K-$100K</v>
          </cell>
          <cell r="AB2184" t="str">
            <v>2010 or before</v>
          </cell>
        </row>
        <row r="2185">
          <cell r="E2185">
            <v>11870.95</v>
          </cell>
          <cell r="Z2185" t="str">
            <v>Legacy</v>
          </cell>
          <cell r="AA2185" t="str">
            <v>$10K-$100K</v>
          </cell>
          <cell r="AB2185" t="str">
            <v>2010 or before</v>
          </cell>
        </row>
        <row r="2186">
          <cell r="E2186">
            <v>11839.18</v>
          </cell>
          <cell r="Z2186" t="str">
            <v>Legacy</v>
          </cell>
          <cell r="AA2186" t="str">
            <v>$10K-$100K</v>
          </cell>
          <cell r="AB2186" t="str">
            <v>2010 or before</v>
          </cell>
        </row>
        <row r="2187">
          <cell r="E2187">
            <v>11776.27</v>
          </cell>
          <cell r="Z2187" t="str">
            <v>Legacy</v>
          </cell>
          <cell r="AA2187" t="str">
            <v>$10K-$100K</v>
          </cell>
          <cell r="AB2187" t="str">
            <v>2010 or before</v>
          </cell>
        </row>
        <row r="2188">
          <cell r="E2188">
            <v>11771.84</v>
          </cell>
          <cell r="Z2188" t="str">
            <v>Inbound</v>
          </cell>
          <cell r="AA2188" t="str">
            <v>$10K-$100K</v>
          </cell>
          <cell r="AB2188">
            <v>2012</v>
          </cell>
        </row>
        <row r="2189">
          <cell r="E2189">
            <v>11768.41</v>
          </cell>
          <cell r="Z2189" t="str">
            <v>Inbound</v>
          </cell>
          <cell r="AA2189" t="str">
            <v>$10K-$100K</v>
          </cell>
          <cell r="AB2189">
            <v>2012</v>
          </cell>
        </row>
        <row r="2190">
          <cell r="E2190">
            <v>11735.95</v>
          </cell>
          <cell r="Z2190" t="str">
            <v>Legacy</v>
          </cell>
          <cell r="AA2190" t="str">
            <v>$10K-$100K</v>
          </cell>
          <cell r="AB2190" t="str">
            <v>2010 or before</v>
          </cell>
        </row>
        <row r="2191">
          <cell r="E2191">
            <v>11707</v>
          </cell>
          <cell r="Z2191" t="str">
            <v>Ungating</v>
          </cell>
          <cell r="AA2191" t="str">
            <v>$10K-$100K</v>
          </cell>
          <cell r="AB2191">
            <v>2012</v>
          </cell>
        </row>
        <row r="2192">
          <cell r="E2192">
            <v>11700.86</v>
          </cell>
          <cell r="Z2192" t="str">
            <v>Legacy</v>
          </cell>
          <cell r="AA2192" t="str">
            <v>$10K-$100K</v>
          </cell>
          <cell r="AB2192" t="str">
            <v>2010 or before</v>
          </cell>
        </row>
        <row r="2193">
          <cell r="E2193">
            <v>11694.19</v>
          </cell>
          <cell r="Z2193" t="str">
            <v>Inbound</v>
          </cell>
          <cell r="AA2193" t="str">
            <v>$10K-$100K</v>
          </cell>
          <cell r="AB2193">
            <v>2011</v>
          </cell>
        </row>
        <row r="2194">
          <cell r="E2194">
            <v>11682.38</v>
          </cell>
          <cell r="Z2194" t="str">
            <v>Legacy</v>
          </cell>
          <cell r="AA2194" t="str">
            <v>$10K-$100K</v>
          </cell>
          <cell r="AB2194">
            <v>2011</v>
          </cell>
        </row>
        <row r="2195">
          <cell r="E2195">
            <v>11665.11</v>
          </cell>
          <cell r="Z2195" t="str">
            <v>Legacy</v>
          </cell>
          <cell r="AA2195" t="str">
            <v>$10K-$100K</v>
          </cell>
          <cell r="AB2195" t="str">
            <v>2010 or before</v>
          </cell>
        </row>
        <row r="2196">
          <cell r="E2196">
            <v>11654.34</v>
          </cell>
          <cell r="Z2196" t="str">
            <v>Legacy</v>
          </cell>
          <cell r="AA2196" t="str">
            <v>$10K-$100K</v>
          </cell>
          <cell r="AB2196" t="str">
            <v>2010 or before</v>
          </cell>
        </row>
        <row r="2197">
          <cell r="E2197">
            <v>11642.79</v>
          </cell>
          <cell r="Z2197" t="str">
            <v>Ungating</v>
          </cell>
          <cell r="AA2197" t="str">
            <v>$10K-$100K</v>
          </cell>
          <cell r="AB2197">
            <v>2011</v>
          </cell>
        </row>
        <row r="2198">
          <cell r="E2198">
            <v>11631.76</v>
          </cell>
          <cell r="Z2198" t="str">
            <v>Ungating</v>
          </cell>
          <cell r="AA2198" t="str">
            <v>$10K-$100K</v>
          </cell>
          <cell r="AB2198">
            <v>2012</v>
          </cell>
        </row>
        <row r="2199">
          <cell r="E2199">
            <v>11630.1</v>
          </cell>
          <cell r="Z2199" t="str">
            <v>Legacy</v>
          </cell>
          <cell r="AA2199" t="str">
            <v>$10K-$100K</v>
          </cell>
          <cell r="AB2199" t="str">
            <v>2010 or before</v>
          </cell>
        </row>
        <row r="2200">
          <cell r="E2200">
            <v>11628</v>
          </cell>
          <cell r="Z2200" t="str">
            <v>Ungating</v>
          </cell>
          <cell r="AA2200" t="str">
            <v>$10K-$100K</v>
          </cell>
          <cell r="AB2200">
            <v>2012</v>
          </cell>
        </row>
        <row r="2201">
          <cell r="E2201">
            <v>11623</v>
          </cell>
          <cell r="Z2201" t="str">
            <v>Legacy</v>
          </cell>
          <cell r="AA2201" t="str">
            <v>$10K-$100K</v>
          </cell>
          <cell r="AB2201" t="str">
            <v>2010 or before</v>
          </cell>
        </row>
        <row r="2202">
          <cell r="E2202">
            <v>11612.8</v>
          </cell>
          <cell r="Z2202" t="str">
            <v>Ungating</v>
          </cell>
          <cell r="AA2202" t="str">
            <v>$10K-$100K</v>
          </cell>
          <cell r="AB2202">
            <v>2012</v>
          </cell>
        </row>
        <row r="2203">
          <cell r="E2203">
            <v>11612.53</v>
          </cell>
          <cell r="Z2203" t="str">
            <v>Legacy</v>
          </cell>
          <cell r="AA2203" t="str">
            <v>$10K-$100K</v>
          </cell>
          <cell r="AB2203" t="str">
            <v>2010 or before</v>
          </cell>
        </row>
        <row r="2204">
          <cell r="E2204">
            <v>11594.2</v>
          </cell>
          <cell r="Z2204" t="str">
            <v>Ungating</v>
          </cell>
          <cell r="AA2204" t="str">
            <v>$10K-$100K</v>
          </cell>
          <cell r="AB2204">
            <v>2012</v>
          </cell>
        </row>
        <row r="2205">
          <cell r="E2205">
            <v>11575.95</v>
          </cell>
          <cell r="Z2205" t="str">
            <v>Legacy</v>
          </cell>
          <cell r="AA2205" t="str">
            <v>$10K-$100K</v>
          </cell>
          <cell r="AB2205" t="str">
            <v>2010 or before</v>
          </cell>
        </row>
        <row r="2206">
          <cell r="E2206">
            <v>11552.34</v>
          </cell>
          <cell r="Z2206" t="str">
            <v>Legacy</v>
          </cell>
          <cell r="AA2206" t="str">
            <v>$10K-$100K</v>
          </cell>
          <cell r="AB2206">
            <v>2011</v>
          </cell>
        </row>
        <row r="2207">
          <cell r="E2207">
            <v>11539.38</v>
          </cell>
          <cell r="Z2207" t="str">
            <v>Legacy</v>
          </cell>
          <cell r="AA2207" t="str">
            <v>$10K-$100K</v>
          </cell>
          <cell r="AB2207" t="str">
            <v>2010 or before</v>
          </cell>
        </row>
        <row r="2208">
          <cell r="E2208">
            <v>11523.12</v>
          </cell>
          <cell r="Z2208" t="str">
            <v>Legacy</v>
          </cell>
          <cell r="AA2208" t="str">
            <v>$10K-$100K</v>
          </cell>
          <cell r="AB2208" t="str">
            <v>2010 or before</v>
          </cell>
        </row>
        <row r="2209">
          <cell r="E2209">
            <v>11512.78</v>
          </cell>
          <cell r="Z2209" t="str">
            <v>Inbound</v>
          </cell>
          <cell r="AA2209" t="str">
            <v>$10K-$100K</v>
          </cell>
          <cell r="AB2209">
            <v>2012</v>
          </cell>
        </row>
        <row r="2210">
          <cell r="E2210">
            <v>11473.52</v>
          </cell>
          <cell r="Z2210" t="str">
            <v>Legacy</v>
          </cell>
          <cell r="AA2210" t="str">
            <v>$10K-$100K</v>
          </cell>
          <cell r="AB2210">
            <v>2011</v>
          </cell>
        </row>
        <row r="2211">
          <cell r="E2211">
            <v>11416.12</v>
          </cell>
          <cell r="Z2211" t="str">
            <v>Legacy</v>
          </cell>
          <cell r="AA2211" t="str">
            <v>$10K-$100K</v>
          </cell>
          <cell r="AB2211" t="str">
            <v>2010 or before</v>
          </cell>
        </row>
        <row r="2212">
          <cell r="E2212">
            <v>11361.03</v>
          </cell>
          <cell r="Z2212" t="str">
            <v>Inbound</v>
          </cell>
          <cell r="AA2212" t="str">
            <v>$10K-$100K</v>
          </cell>
          <cell r="AB2212">
            <v>2012</v>
          </cell>
        </row>
        <row r="2213">
          <cell r="E2213">
            <v>11360.79</v>
          </cell>
          <cell r="Z2213" t="str">
            <v>Legacy</v>
          </cell>
          <cell r="AA2213" t="str">
            <v>$10K-$100K</v>
          </cell>
          <cell r="AB2213" t="str">
            <v>2010 or before</v>
          </cell>
        </row>
        <row r="2214">
          <cell r="E2214">
            <v>11353.27</v>
          </cell>
          <cell r="Z2214" t="str">
            <v>Legacy</v>
          </cell>
          <cell r="AA2214" t="str">
            <v>$10K-$100K</v>
          </cell>
          <cell r="AB2214" t="str">
            <v>2010 or before</v>
          </cell>
        </row>
        <row r="2215">
          <cell r="E2215">
            <v>11333.63</v>
          </cell>
          <cell r="Z2215" t="str">
            <v>Legacy</v>
          </cell>
          <cell r="AA2215" t="str">
            <v>$10K-$100K</v>
          </cell>
          <cell r="AB2215">
            <v>2011</v>
          </cell>
        </row>
        <row r="2216">
          <cell r="E2216">
            <v>11331</v>
          </cell>
          <cell r="Z2216" t="str">
            <v>Legacy</v>
          </cell>
          <cell r="AA2216" t="str">
            <v>$10K-$100K</v>
          </cell>
          <cell r="AB2216" t="str">
            <v>2010 or before</v>
          </cell>
        </row>
        <row r="2217">
          <cell r="E2217">
            <v>11297.6</v>
          </cell>
          <cell r="Z2217" t="str">
            <v>Global</v>
          </cell>
          <cell r="AA2217" t="str">
            <v>$10K-$100K</v>
          </cell>
          <cell r="AB2217">
            <v>2011</v>
          </cell>
        </row>
        <row r="2218">
          <cell r="E2218">
            <v>11297.3</v>
          </cell>
          <cell r="Z2218" t="str">
            <v>Legacy</v>
          </cell>
          <cell r="AA2218" t="str">
            <v>$10K-$100K</v>
          </cell>
          <cell r="AB2218">
            <v>2012</v>
          </cell>
        </row>
        <row r="2219">
          <cell r="E2219">
            <v>11274.97</v>
          </cell>
          <cell r="Z2219" t="str">
            <v>Legacy</v>
          </cell>
          <cell r="AA2219" t="str">
            <v>$10K-$100K</v>
          </cell>
          <cell r="AB2219" t="str">
            <v>2010 or before</v>
          </cell>
        </row>
        <row r="2220">
          <cell r="E2220">
            <v>11273.1</v>
          </cell>
          <cell r="Z2220" t="str">
            <v>Legacy</v>
          </cell>
          <cell r="AA2220" t="str">
            <v>$10K-$100K</v>
          </cell>
          <cell r="AB2220" t="str">
            <v>2010 or before</v>
          </cell>
        </row>
        <row r="2221">
          <cell r="E2221">
            <v>11271.85</v>
          </cell>
          <cell r="Z2221" t="str">
            <v>Legacy</v>
          </cell>
          <cell r="AA2221" t="str">
            <v>$10K-$100K</v>
          </cell>
          <cell r="AB2221" t="str">
            <v>2010 or before</v>
          </cell>
        </row>
        <row r="2222">
          <cell r="E2222">
            <v>11262.17</v>
          </cell>
          <cell r="Z2222" t="str">
            <v>Legacy</v>
          </cell>
          <cell r="AA2222" t="str">
            <v>$10K-$100K</v>
          </cell>
          <cell r="AB2222" t="str">
            <v>2010 or before</v>
          </cell>
        </row>
        <row r="2223">
          <cell r="E2223">
            <v>11187.55</v>
          </cell>
          <cell r="Z2223" t="str">
            <v>Ungating</v>
          </cell>
          <cell r="AA2223" t="str">
            <v>$10K-$100K</v>
          </cell>
          <cell r="AB2223">
            <v>2012</v>
          </cell>
        </row>
        <row r="2224">
          <cell r="E2224">
            <v>11182.9</v>
          </cell>
          <cell r="Z2224" t="str">
            <v>Legacy</v>
          </cell>
          <cell r="AA2224" t="str">
            <v>$10K-$100K</v>
          </cell>
          <cell r="AB2224" t="str">
            <v>2010 or before</v>
          </cell>
        </row>
        <row r="2225">
          <cell r="E2225">
            <v>11173.51</v>
          </cell>
          <cell r="Z2225" t="str">
            <v>Ungating</v>
          </cell>
          <cell r="AA2225" t="str">
            <v>$10K-$100K</v>
          </cell>
          <cell r="AB2225">
            <v>2011</v>
          </cell>
        </row>
        <row r="2226">
          <cell r="E2226">
            <v>11172.18</v>
          </cell>
          <cell r="Z2226" t="str">
            <v>Ungating</v>
          </cell>
          <cell r="AA2226" t="str">
            <v>$10K-$100K</v>
          </cell>
          <cell r="AB2226">
            <v>2012</v>
          </cell>
        </row>
        <row r="2227">
          <cell r="E2227">
            <v>11057.65</v>
          </cell>
          <cell r="Z2227" t="str">
            <v>Inbound</v>
          </cell>
          <cell r="AA2227" t="str">
            <v>$10K-$100K</v>
          </cell>
          <cell r="AB2227">
            <v>2012</v>
          </cell>
        </row>
        <row r="2228">
          <cell r="E2228">
            <v>11031.07</v>
          </cell>
          <cell r="Z2228" t="str">
            <v>Legacy</v>
          </cell>
          <cell r="AA2228" t="str">
            <v>$10K-$100K</v>
          </cell>
          <cell r="AB2228" t="str">
            <v>2010 or before</v>
          </cell>
        </row>
        <row r="2229">
          <cell r="E2229">
            <v>11030.46</v>
          </cell>
          <cell r="Z2229" t="str">
            <v>Legacy</v>
          </cell>
          <cell r="AA2229" t="str">
            <v>$10K-$100K</v>
          </cell>
          <cell r="AB2229">
            <v>2012</v>
          </cell>
        </row>
        <row r="2230">
          <cell r="E2230">
            <v>11027.93</v>
          </cell>
          <cell r="Z2230" t="str">
            <v>Ungating</v>
          </cell>
          <cell r="AA2230" t="str">
            <v>$10K-$100K</v>
          </cell>
          <cell r="AB2230">
            <v>2012</v>
          </cell>
        </row>
        <row r="2231">
          <cell r="E2231">
            <v>11026.94</v>
          </cell>
          <cell r="Z2231" t="str">
            <v>Legacy</v>
          </cell>
          <cell r="AA2231" t="str">
            <v>$10K-$100K</v>
          </cell>
          <cell r="AB2231" t="str">
            <v>2010 or before</v>
          </cell>
        </row>
        <row r="2232">
          <cell r="E2232">
            <v>11025.47</v>
          </cell>
          <cell r="Z2232" t="str">
            <v>Ungating</v>
          </cell>
          <cell r="AA2232" t="str">
            <v>$10K-$100K</v>
          </cell>
          <cell r="AB2232">
            <v>2012</v>
          </cell>
        </row>
        <row r="2233">
          <cell r="E2233">
            <v>10989.78</v>
          </cell>
          <cell r="Z2233" t="str">
            <v>Ungating</v>
          </cell>
          <cell r="AA2233" t="str">
            <v>$10K-$100K</v>
          </cell>
          <cell r="AB2233">
            <v>2012</v>
          </cell>
        </row>
        <row r="2234">
          <cell r="E2234">
            <v>10951.1</v>
          </cell>
          <cell r="Z2234" t="str">
            <v>Legacy</v>
          </cell>
          <cell r="AA2234" t="str">
            <v>$10K-$100K</v>
          </cell>
          <cell r="AB2234" t="str">
            <v>2010 or before</v>
          </cell>
        </row>
        <row r="2235">
          <cell r="E2235">
            <v>10942.66</v>
          </cell>
          <cell r="Z2235" t="str">
            <v>Legacy</v>
          </cell>
          <cell r="AA2235" t="str">
            <v>$10K-$100K</v>
          </cell>
          <cell r="AB2235" t="str">
            <v>2010 or before</v>
          </cell>
        </row>
        <row r="2236">
          <cell r="E2236">
            <v>10912.29</v>
          </cell>
          <cell r="Z2236" t="str">
            <v>Legacy</v>
          </cell>
          <cell r="AA2236" t="str">
            <v>$10K-$100K</v>
          </cell>
          <cell r="AB2236" t="str">
            <v>2010 or before</v>
          </cell>
        </row>
        <row r="2237">
          <cell r="E2237">
            <v>10909.4</v>
          </cell>
          <cell r="Z2237" t="str">
            <v>Ungating</v>
          </cell>
          <cell r="AA2237" t="str">
            <v>$10K-$100K</v>
          </cell>
          <cell r="AB2237">
            <v>2012</v>
          </cell>
        </row>
        <row r="2238">
          <cell r="E2238">
            <v>10844.38</v>
          </cell>
          <cell r="Z2238" t="str">
            <v>Legacy</v>
          </cell>
          <cell r="AA2238" t="str">
            <v>$10K-$100K</v>
          </cell>
          <cell r="AB2238">
            <v>2012</v>
          </cell>
        </row>
        <row r="2239">
          <cell r="E2239">
            <v>10798.22</v>
          </cell>
          <cell r="Z2239" t="str">
            <v>Legacy</v>
          </cell>
          <cell r="AA2239" t="str">
            <v>$10K-$100K</v>
          </cell>
          <cell r="AB2239" t="str">
            <v>2010 or before</v>
          </cell>
        </row>
        <row r="2240">
          <cell r="E2240">
            <v>10790.82</v>
          </cell>
          <cell r="Z2240" t="str">
            <v>Legacy</v>
          </cell>
          <cell r="AA2240" t="str">
            <v>$10K-$100K</v>
          </cell>
          <cell r="AB2240">
            <v>2012</v>
          </cell>
        </row>
        <row r="2241">
          <cell r="E2241">
            <v>10779.22</v>
          </cell>
          <cell r="Z2241" t="str">
            <v>Legacy</v>
          </cell>
          <cell r="AA2241" t="str">
            <v>$10K-$100K</v>
          </cell>
          <cell r="AB2241" t="str">
            <v>2010 or before</v>
          </cell>
        </row>
        <row r="2242">
          <cell r="E2242">
            <v>10768.97</v>
          </cell>
          <cell r="Z2242" t="str">
            <v>Legacy</v>
          </cell>
          <cell r="AA2242" t="str">
            <v>$10K-$100K</v>
          </cell>
          <cell r="AB2242" t="str">
            <v>2010 or before</v>
          </cell>
        </row>
        <row r="2243">
          <cell r="E2243">
            <v>10761.61</v>
          </cell>
          <cell r="Z2243" t="str">
            <v>Ungating</v>
          </cell>
          <cell r="AA2243" t="str">
            <v>$10K-$100K</v>
          </cell>
          <cell r="AB2243">
            <v>2012</v>
          </cell>
        </row>
        <row r="2244">
          <cell r="E2244">
            <v>10746.35</v>
          </cell>
          <cell r="Z2244" t="str">
            <v>Legacy</v>
          </cell>
          <cell r="AA2244" t="str">
            <v>$10K-$100K</v>
          </cell>
          <cell r="AB2244" t="str">
            <v>2010 or before</v>
          </cell>
        </row>
        <row r="2245">
          <cell r="E2245">
            <v>10735.06</v>
          </cell>
          <cell r="Z2245" t="str">
            <v>Inbound</v>
          </cell>
          <cell r="AA2245" t="str">
            <v>$10K-$100K</v>
          </cell>
          <cell r="AB2245">
            <v>2012</v>
          </cell>
        </row>
        <row r="2246">
          <cell r="E2246">
            <v>10717.57</v>
          </cell>
          <cell r="Z2246" t="str">
            <v>Legacy</v>
          </cell>
          <cell r="AA2246" t="str">
            <v>$10K-$100K</v>
          </cell>
          <cell r="AB2246" t="str">
            <v>2010 or before</v>
          </cell>
        </row>
        <row r="2247">
          <cell r="E2247">
            <v>10714.32</v>
          </cell>
          <cell r="Z2247" t="str">
            <v>Ungating</v>
          </cell>
          <cell r="AA2247" t="str">
            <v>$10K-$100K</v>
          </cell>
          <cell r="AB2247">
            <v>2012</v>
          </cell>
        </row>
        <row r="2248">
          <cell r="E2248">
            <v>10702.93</v>
          </cell>
          <cell r="Z2248" t="str">
            <v>Strategic</v>
          </cell>
          <cell r="AA2248" t="str">
            <v>$10K-$100K</v>
          </cell>
          <cell r="AB2248">
            <v>2012</v>
          </cell>
        </row>
        <row r="2249">
          <cell r="E2249">
            <v>10699.71</v>
          </cell>
          <cell r="Z2249" t="str">
            <v>Legacy</v>
          </cell>
          <cell r="AA2249" t="str">
            <v>$10K-$100K</v>
          </cell>
          <cell r="AB2249" t="str">
            <v>2010 or before</v>
          </cell>
        </row>
        <row r="2250">
          <cell r="E2250">
            <v>10697.09</v>
          </cell>
          <cell r="Z2250" t="str">
            <v>Legacy</v>
          </cell>
          <cell r="AA2250" t="str">
            <v>$10K-$100K</v>
          </cell>
          <cell r="AB2250">
            <v>2011</v>
          </cell>
        </row>
        <row r="2251">
          <cell r="E2251">
            <v>10659.28</v>
          </cell>
          <cell r="Z2251" t="str">
            <v>Global</v>
          </cell>
          <cell r="AA2251" t="str">
            <v>$10K-$100K</v>
          </cell>
          <cell r="AB2251">
            <v>2012</v>
          </cell>
        </row>
        <row r="2252">
          <cell r="E2252">
            <v>10647.96</v>
          </cell>
          <cell r="Z2252" t="str">
            <v>Ungating</v>
          </cell>
          <cell r="AA2252" t="str">
            <v>$10K-$100K</v>
          </cell>
          <cell r="AB2252">
            <v>2012</v>
          </cell>
        </row>
        <row r="2253">
          <cell r="E2253">
            <v>10643.93</v>
          </cell>
          <cell r="Z2253" t="str">
            <v>Legacy</v>
          </cell>
          <cell r="AA2253" t="str">
            <v>$10K-$100K</v>
          </cell>
          <cell r="AB2253" t="str">
            <v>2010 or before</v>
          </cell>
        </row>
        <row r="2254">
          <cell r="E2254">
            <v>10632</v>
          </cell>
          <cell r="Z2254" t="str">
            <v>Global</v>
          </cell>
          <cell r="AA2254" t="str">
            <v>$10K-$100K</v>
          </cell>
          <cell r="AB2254">
            <v>2012</v>
          </cell>
        </row>
        <row r="2255">
          <cell r="E2255">
            <v>10626.38</v>
          </cell>
          <cell r="Z2255" t="str">
            <v>Global</v>
          </cell>
          <cell r="AA2255" t="str">
            <v>$10K-$100K</v>
          </cell>
          <cell r="AB2255">
            <v>2012</v>
          </cell>
        </row>
        <row r="2256">
          <cell r="E2256">
            <v>10621</v>
          </cell>
          <cell r="Z2256" t="str">
            <v>Inbound</v>
          </cell>
          <cell r="AA2256" t="str">
            <v>$10K-$100K</v>
          </cell>
          <cell r="AB2256">
            <v>2012</v>
          </cell>
        </row>
        <row r="2257">
          <cell r="E2257">
            <v>10617.82</v>
          </cell>
          <cell r="Z2257" t="str">
            <v>Legacy</v>
          </cell>
          <cell r="AA2257" t="str">
            <v>$10K-$100K</v>
          </cell>
          <cell r="AB2257" t="str">
            <v>2010 or before</v>
          </cell>
        </row>
        <row r="2258">
          <cell r="E2258">
            <v>10572.08</v>
          </cell>
          <cell r="Z2258" t="str">
            <v>Ungating</v>
          </cell>
          <cell r="AA2258" t="str">
            <v>$10K-$100K</v>
          </cell>
          <cell r="AB2258">
            <v>2012</v>
          </cell>
        </row>
        <row r="2259">
          <cell r="E2259">
            <v>10568.2</v>
          </cell>
          <cell r="Z2259" t="str">
            <v>Strategic</v>
          </cell>
          <cell r="AA2259" t="str">
            <v>$10K-$100K</v>
          </cell>
          <cell r="AB2259">
            <v>2012</v>
          </cell>
        </row>
        <row r="2260">
          <cell r="E2260">
            <v>10538.72</v>
          </cell>
          <cell r="Z2260" t="str">
            <v>Legacy</v>
          </cell>
          <cell r="AA2260" t="str">
            <v>$10K-$100K</v>
          </cell>
          <cell r="AB2260">
            <v>2011</v>
          </cell>
        </row>
        <row r="2261">
          <cell r="E2261">
            <v>10534.68</v>
          </cell>
          <cell r="Z2261" t="str">
            <v>Legacy</v>
          </cell>
          <cell r="AA2261" t="str">
            <v>$10K-$100K</v>
          </cell>
          <cell r="AB2261" t="str">
            <v>2010 or before</v>
          </cell>
        </row>
        <row r="2262">
          <cell r="E2262">
            <v>10530.82</v>
          </cell>
          <cell r="Z2262" t="str">
            <v>Legacy</v>
          </cell>
          <cell r="AA2262" t="str">
            <v>$10K-$100K</v>
          </cell>
          <cell r="AB2262" t="str">
            <v>2010 or before</v>
          </cell>
        </row>
        <row r="2263">
          <cell r="E2263">
            <v>10518.73</v>
          </cell>
          <cell r="Z2263" t="str">
            <v>Legacy</v>
          </cell>
          <cell r="AA2263" t="str">
            <v>$10K-$100K</v>
          </cell>
          <cell r="AB2263" t="str">
            <v>2010 or before</v>
          </cell>
        </row>
        <row r="2264">
          <cell r="E2264">
            <v>10508.56</v>
          </cell>
          <cell r="Z2264" t="str">
            <v>Legacy</v>
          </cell>
          <cell r="AA2264" t="str">
            <v>$10K-$100K</v>
          </cell>
          <cell r="AB2264" t="str">
            <v>2010 or before</v>
          </cell>
        </row>
        <row r="2265">
          <cell r="E2265">
            <v>10454.959999999999</v>
          </cell>
          <cell r="Z2265" t="str">
            <v>Legacy</v>
          </cell>
          <cell r="AA2265" t="str">
            <v>$10K-$100K</v>
          </cell>
          <cell r="AB2265" t="str">
            <v>2010 or before</v>
          </cell>
        </row>
        <row r="2266">
          <cell r="E2266">
            <v>10450.959999999999</v>
          </cell>
          <cell r="Z2266" t="str">
            <v>Legacy</v>
          </cell>
          <cell r="AA2266" t="str">
            <v>$10K-$100K</v>
          </cell>
          <cell r="AB2266">
            <v>2011</v>
          </cell>
        </row>
        <row r="2267">
          <cell r="E2267">
            <v>10448.370000000001</v>
          </cell>
          <cell r="Z2267" t="str">
            <v>Legacy</v>
          </cell>
          <cell r="AA2267" t="str">
            <v>$10K-$100K</v>
          </cell>
          <cell r="AB2267" t="str">
            <v>2010 or before</v>
          </cell>
        </row>
        <row r="2268">
          <cell r="E2268">
            <v>10430.99</v>
          </cell>
          <cell r="Z2268" t="str">
            <v>Inbound</v>
          </cell>
          <cell r="AA2268" t="str">
            <v>$10K-$100K</v>
          </cell>
          <cell r="AB2268">
            <v>2012</v>
          </cell>
        </row>
        <row r="2269">
          <cell r="E2269">
            <v>10413.75</v>
          </cell>
          <cell r="Z2269" t="str">
            <v>Inbound</v>
          </cell>
          <cell r="AA2269" t="str">
            <v>$10K-$100K</v>
          </cell>
          <cell r="AB2269">
            <v>2012</v>
          </cell>
        </row>
        <row r="2270">
          <cell r="E2270">
            <v>10351.200000000001</v>
          </cell>
          <cell r="Z2270" t="str">
            <v>Legacy</v>
          </cell>
          <cell r="AA2270" t="str">
            <v>$10K-$100K</v>
          </cell>
          <cell r="AB2270" t="str">
            <v>2010 or before</v>
          </cell>
        </row>
        <row r="2271">
          <cell r="E2271">
            <v>10343</v>
          </cell>
          <cell r="Z2271" t="str">
            <v>Ungating</v>
          </cell>
          <cell r="AA2271" t="str">
            <v>$10K-$100K</v>
          </cell>
          <cell r="AB2271">
            <v>2012</v>
          </cell>
        </row>
        <row r="2272">
          <cell r="E2272">
            <v>10334.09</v>
          </cell>
          <cell r="Z2272" t="str">
            <v>Legacy</v>
          </cell>
          <cell r="AA2272" t="str">
            <v>$10K-$100K</v>
          </cell>
          <cell r="AB2272" t="str">
            <v>2010 or before</v>
          </cell>
        </row>
        <row r="2273">
          <cell r="E2273">
            <v>10328</v>
          </cell>
          <cell r="Z2273" t="str">
            <v>Legacy</v>
          </cell>
          <cell r="AA2273" t="str">
            <v>$10K-$100K</v>
          </cell>
          <cell r="AB2273">
            <v>2011</v>
          </cell>
        </row>
        <row r="2274">
          <cell r="E2274">
            <v>10327.219999999999</v>
          </cell>
          <cell r="Z2274" t="str">
            <v>Global</v>
          </cell>
          <cell r="AA2274" t="str">
            <v>$10K-$100K</v>
          </cell>
          <cell r="AB2274">
            <v>2012</v>
          </cell>
        </row>
        <row r="2275">
          <cell r="E2275">
            <v>10313.9</v>
          </cell>
          <cell r="Z2275" t="str">
            <v>Legacy</v>
          </cell>
          <cell r="AA2275" t="str">
            <v>$10K-$100K</v>
          </cell>
          <cell r="AB2275" t="str">
            <v>2010 or before</v>
          </cell>
        </row>
        <row r="2276">
          <cell r="E2276">
            <v>10305.530000000001</v>
          </cell>
          <cell r="Z2276" t="str">
            <v>Legacy</v>
          </cell>
          <cell r="AA2276" t="str">
            <v>$10K-$100K</v>
          </cell>
          <cell r="AB2276" t="str">
            <v>2010 or before</v>
          </cell>
        </row>
        <row r="2277">
          <cell r="E2277">
            <v>10297.26</v>
          </cell>
          <cell r="Z2277" t="str">
            <v>Ungating</v>
          </cell>
          <cell r="AA2277" t="str">
            <v>$10K-$100K</v>
          </cell>
          <cell r="AB2277">
            <v>2012</v>
          </cell>
        </row>
        <row r="2278">
          <cell r="E2278">
            <v>10258.370000000001</v>
          </cell>
          <cell r="Z2278" t="str">
            <v>Legacy</v>
          </cell>
          <cell r="AA2278" t="str">
            <v>$10K-$100K</v>
          </cell>
          <cell r="AB2278" t="str">
            <v>2010 or before</v>
          </cell>
        </row>
        <row r="2279">
          <cell r="E2279">
            <v>10253.83</v>
          </cell>
          <cell r="Z2279" t="str">
            <v>Legacy</v>
          </cell>
          <cell r="AA2279" t="str">
            <v>$10K-$100K</v>
          </cell>
          <cell r="AB2279" t="str">
            <v>2010 or before</v>
          </cell>
        </row>
        <row r="2280">
          <cell r="E2280">
            <v>10216</v>
          </cell>
          <cell r="Z2280" t="str">
            <v>Global</v>
          </cell>
          <cell r="AA2280" t="str">
            <v>$10K-$100K</v>
          </cell>
          <cell r="AB2280">
            <v>2012</v>
          </cell>
        </row>
        <row r="2281">
          <cell r="E2281">
            <v>10181.75</v>
          </cell>
          <cell r="Z2281" t="str">
            <v>Legacy</v>
          </cell>
          <cell r="AA2281" t="str">
            <v>$10K-$100K</v>
          </cell>
          <cell r="AB2281">
            <v>2011</v>
          </cell>
        </row>
        <row r="2282">
          <cell r="E2282">
            <v>10146.469999999999</v>
          </cell>
          <cell r="Z2282" t="str">
            <v>Legacy</v>
          </cell>
          <cell r="AA2282" t="str">
            <v>$10K-$100K</v>
          </cell>
          <cell r="AB2282" t="str">
            <v>2010 or before</v>
          </cell>
        </row>
        <row r="2283">
          <cell r="E2283">
            <v>10130.39</v>
          </cell>
          <cell r="Z2283" t="str">
            <v>Legacy</v>
          </cell>
          <cell r="AA2283" t="str">
            <v>$10K-$100K</v>
          </cell>
          <cell r="AB2283" t="str">
            <v>2010 or before</v>
          </cell>
        </row>
        <row r="2284">
          <cell r="E2284">
            <v>10117.68</v>
          </cell>
          <cell r="Z2284" t="str">
            <v>Ungating</v>
          </cell>
          <cell r="AA2284" t="str">
            <v>$10K-$100K</v>
          </cell>
          <cell r="AB2284">
            <v>2012</v>
          </cell>
        </row>
        <row r="2285">
          <cell r="E2285">
            <v>10115.66</v>
          </cell>
          <cell r="Z2285" t="str">
            <v>Legacy</v>
          </cell>
          <cell r="AA2285" t="str">
            <v>$10K-$100K</v>
          </cell>
          <cell r="AB2285" t="str">
            <v>2010 or before</v>
          </cell>
        </row>
        <row r="2286">
          <cell r="E2286">
            <v>10105.620000000001</v>
          </cell>
          <cell r="Z2286" t="str">
            <v>Legacy</v>
          </cell>
          <cell r="AA2286" t="str">
            <v>$10K-$100K</v>
          </cell>
          <cell r="AB2286">
            <v>2011</v>
          </cell>
        </row>
        <row r="2287">
          <cell r="E2287">
            <v>10101.5</v>
          </cell>
          <cell r="Z2287" t="str">
            <v>Legacy</v>
          </cell>
          <cell r="AA2287" t="str">
            <v>$10K-$100K</v>
          </cell>
          <cell r="AB2287" t="str">
            <v>2010 or before</v>
          </cell>
        </row>
        <row r="2288">
          <cell r="E2288">
            <v>10090.969999999999</v>
          </cell>
          <cell r="Z2288" t="str">
            <v>Inbound</v>
          </cell>
          <cell r="AA2288" t="str">
            <v>$10K-$100K</v>
          </cell>
          <cell r="AB2288">
            <v>2011</v>
          </cell>
        </row>
        <row r="2289">
          <cell r="E2289">
            <v>10077.44</v>
          </cell>
          <cell r="Z2289" t="str">
            <v>Legacy</v>
          </cell>
          <cell r="AA2289" t="str">
            <v>$10K-$100K</v>
          </cell>
          <cell r="AB2289" t="str">
            <v>2010 or before</v>
          </cell>
        </row>
        <row r="2290">
          <cell r="E2290">
            <v>10048.120000000001</v>
          </cell>
          <cell r="Z2290" t="str">
            <v>Legacy</v>
          </cell>
          <cell r="AA2290" t="str">
            <v>$10K-$100K</v>
          </cell>
          <cell r="AB2290" t="str">
            <v>2010 or before</v>
          </cell>
        </row>
        <row r="2291">
          <cell r="E2291">
            <v>10045.41</v>
          </cell>
          <cell r="Z2291" t="str">
            <v>Legacy</v>
          </cell>
          <cell r="AA2291" t="str">
            <v>$10K-$100K</v>
          </cell>
          <cell r="AB2291">
            <v>2012</v>
          </cell>
        </row>
        <row r="2292">
          <cell r="E2292">
            <v>10041.950000000001</v>
          </cell>
          <cell r="Z2292" t="str">
            <v>Ungating</v>
          </cell>
          <cell r="AA2292" t="str">
            <v>$10K-$100K</v>
          </cell>
          <cell r="AB2292">
            <v>2012</v>
          </cell>
        </row>
        <row r="2293">
          <cell r="E2293">
            <v>9972.83</v>
          </cell>
          <cell r="Z2293" t="str">
            <v>Inbound</v>
          </cell>
          <cell r="AA2293" t="str">
            <v>$1K-$10K</v>
          </cell>
          <cell r="AB2293">
            <v>2011</v>
          </cell>
        </row>
        <row r="2294">
          <cell r="E2294">
            <v>9970</v>
          </cell>
          <cell r="Z2294" t="str">
            <v>Legacy</v>
          </cell>
          <cell r="AA2294" t="str">
            <v>$1K-$10K</v>
          </cell>
          <cell r="AB2294" t="str">
            <v>2010 or before</v>
          </cell>
        </row>
        <row r="2295">
          <cell r="E2295">
            <v>9954.1299999999992</v>
          </cell>
          <cell r="Z2295" t="str">
            <v>Legacy</v>
          </cell>
          <cell r="AA2295" t="str">
            <v>$1K-$10K</v>
          </cell>
          <cell r="AB2295" t="str">
            <v>2010 or before</v>
          </cell>
        </row>
        <row r="2296">
          <cell r="E2296">
            <v>9901.2999999999993</v>
          </cell>
          <cell r="Z2296" t="str">
            <v>Legacy</v>
          </cell>
          <cell r="AA2296" t="str">
            <v>$1K-$10K</v>
          </cell>
          <cell r="AB2296" t="str">
            <v>2010 or before</v>
          </cell>
        </row>
        <row r="2297">
          <cell r="E2297">
            <v>9900.2800000000007</v>
          </cell>
          <cell r="Z2297" t="str">
            <v>Legacy</v>
          </cell>
          <cell r="AA2297" t="str">
            <v>$1K-$10K</v>
          </cell>
          <cell r="AB2297" t="str">
            <v>2010 or before</v>
          </cell>
        </row>
        <row r="2298">
          <cell r="E2298">
            <v>9894.02</v>
          </cell>
          <cell r="Z2298" t="str">
            <v>Legacy</v>
          </cell>
          <cell r="AA2298" t="str">
            <v>$1K-$10K</v>
          </cell>
          <cell r="AB2298">
            <v>2012</v>
          </cell>
        </row>
        <row r="2299">
          <cell r="E2299">
            <v>9893.74</v>
          </cell>
          <cell r="Z2299" t="str">
            <v>Outbound</v>
          </cell>
          <cell r="AA2299" t="str">
            <v>$1K-$10K</v>
          </cell>
          <cell r="AB2299">
            <v>2012</v>
          </cell>
        </row>
        <row r="2300">
          <cell r="E2300">
            <v>9890.42</v>
          </cell>
          <cell r="Z2300" t="str">
            <v>Legacy</v>
          </cell>
          <cell r="AA2300" t="str">
            <v>$1K-$10K</v>
          </cell>
          <cell r="AB2300" t="str">
            <v>2010 or before</v>
          </cell>
        </row>
        <row r="2301">
          <cell r="E2301">
            <v>9873.5400000000009</v>
          </cell>
          <cell r="Z2301" t="str">
            <v>Legacy</v>
          </cell>
          <cell r="AA2301" t="str">
            <v>$1K-$10K</v>
          </cell>
          <cell r="AB2301" t="str">
            <v>2010 or before</v>
          </cell>
        </row>
        <row r="2302">
          <cell r="E2302">
            <v>9869.4699999999993</v>
          </cell>
          <cell r="Z2302" t="str">
            <v>Legacy</v>
          </cell>
          <cell r="AA2302" t="str">
            <v>$1K-$10K</v>
          </cell>
          <cell r="AB2302">
            <v>2012</v>
          </cell>
        </row>
        <row r="2303">
          <cell r="E2303">
            <v>9843.2099999999991</v>
          </cell>
          <cell r="Z2303" t="str">
            <v>Ungating</v>
          </cell>
          <cell r="AA2303" t="str">
            <v>$1K-$10K</v>
          </cell>
          <cell r="AB2303">
            <v>2011</v>
          </cell>
        </row>
        <row r="2304">
          <cell r="E2304">
            <v>9838.06</v>
          </cell>
          <cell r="Z2304" t="str">
            <v>Legacy</v>
          </cell>
          <cell r="AA2304" t="str">
            <v>$1K-$10K</v>
          </cell>
          <cell r="AB2304" t="str">
            <v>2010 or before</v>
          </cell>
        </row>
        <row r="2305">
          <cell r="E2305">
            <v>9814.67</v>
          </cell>
          <cell r="Z2305" t="str">
            <v>Inbound</v>
          </cell>
          <cell r="AA2305" t="str">
            <v>$1K-$10K</v>
          </cell>
          <cell r="AB2305">
            <v>2011</v>
          </cell>
        </row>
        <row r="2306">
          <cell r="E2306">
            <v>9803.26</v>
          </cell>
          <cell r="Z2306" t="str">
            <v>Legacy</v>
          </cell>
          <cell r="AA2306" t="str">
            <v>$1K-$10K</v>
          </cell>
          <cell r="AB2306" t="str">
            <v>2010 or before</v>
          </cell>
        </row>
        <row r="2307">
          <cell r="E2307">
            <v>9793.56</v>
          </cell>
          <cell r="Z2307" t="str">
            <v>Legacy</v>
          </cell>
          <cell r="AA2307" t="str">
            <v>$1K-$10K</v>
          </cell>
          <cell r="AB2307" t="str">
            <v>2010 or before</v>
          </cell>
        </row>
        <row r="2308">
          <cell r="E2308">
            <v>9781.57</v>
          </cell>
          <cell r="Z2308" t="str">
            <v>Legacy</v>
          </cell>
          <cell r="AA2308" t="str">
            <v>$1K-$10K</v>
          </cell>
          <cell r="AB2308" t="str">
            <v>2010 or before</v>
          </cell>
        </row>
        <row r="2309">
          <cell r="E2309">
            <v>9775.4</v>
          </cell>
          <cell r="Z2309" t="str">
            <v>Ungating</v>
          </cell>
          <cell r="AA2309" t="str">
            <v>$1K-$10K</v>
          </cell>
          <cell r="AB2309">
            <v>2012</v>
          </cell>
        </row>
        <row r="2310">
          <cell r="E2310">
            <v>9771</v>
          </cell>
          <cell r="Z2310" t="str">
            <v>Ungating</v>
          </cell>
          <cell r="AA2310" t="str">
            <v>$1K-$10K</v>
          </cell>
          <cell r="AB2310">
            <v>2012</v>
          </cell>
        </row>
        <row r="2311">
          <cell r="E2311">
            <v>9749.0300000000007</v>
          </cell>
          <cell r="Z2311" t="str">
            <v>Inbound</v>
          </cell>
          <cell r="AA2311" t="str">
            <v>$1K-$10K</v>
          </cell>
          <cell r="AB2311">
            <v>2012</v>
          </cell>
        </row>
        <row r="2312">
          <cell r="E2312">
            <v>9746.66</v>
          </cell>
          <cell r="Z2312" t="str">
            <v>Inbound</v>
          </cell>
          <cell r="AA2312" t="str">
            <v>$1K-$10K</v>
          </cell>
          <cell r="AB2312">
            <v>2012</v>
          </cell>
        </row>
        <row r="2313">
          <cell r="E2313">
            <v>9737.26</v>
          </cell>
          <cell r="Z2313" t="str">
            <v>Inbound</v>
          </cell>
          <cell r="AA2313" t="str">
            <v>$1K-$10K</v>
          </cell>
          <cell r="AB2313">
            <v>2011</v>
          </cell>
        </row>
        <row r="2314">
          <cell r="E2314">
            <v>9727.6200000000008</v>
          </cell>
          <cell r="Z2314" t="str">
            <v>Inbound</v>
          </cell>
          <cell r="AA2314" t="str">
            <v>$1K-$10K</v>
          </cell>
          <cell r="AB2314">
            <v>2011</v>
          </cell>
        </row>
        <row r="2315">
          <cell r="E2315">
            <v>9707.2999999999993</v>
          </cell>
          <cell r="Z2315" t="str">
            <v>Inbound</v>
          </cell>
          <cell r="AA2315" t="str">
            <v>$1K-$10K</v>
          </cell>
          <cell r="AB2315">
            <v>2012</v>
          </cell>
        </row>
        <row r="2316">
          <cell r="E2316">
            <v>9685.81</v>
          </cell>
          <cell r="Z2316" t="str">
            <v>Ungating</v>
          </cell>
          <cell r="AA2316" t="str">
            <v>$1K-$10K</v>
          </cell>
          <cell r="AB2316">
            <v>2012</v>
          </cell>
        </row>
        <row r="2317">
          <cell r="E2317">
            <v>9643.6200000000008</v>
          </cell>
          <cell r="Z2317" t="str">
            <v>Legacy</v>
          </cell>
          <cell r="AA2317" t="str">
            <v>$1K-$10K</v>
          </cell>
          <cell r="AB2317" t="str">
            <v>2010 or before</v>
          </cell>
        </row>
        <row r="2318">
          <cell r="E2318">
            <v>9625.83</v>
          </cell>
          <cell r="Z2318" t="str">
            <v>Legacy</v>
          </cell>
          <cell r="AA2318" t="str">
            <v>$1K-$10K</v>
          </cell>
          <cell r="AB2318" t="str">
            <v>2010 or before</v>
          </cell>
        </row>
        <row r="2319">
          <cell r="E2319">
            <v>9606.3700000000008</v>
          </cell>
          <cell r="Z2319" t="str">
            <v>Legacy</v>
          </cell>
          <cell r="AA2319" t="str">
            <v>$1K-$10K</v>
          </cell>
          <cell r="AB2319" t="str">
            <v>2010 or before</v>
          </cell>
        </row>
        <row r="2320">
          <cell r="E2320">
            <v>9604.98</v>
          </cell>
          <cell r="Z2320" t="str">
            <v>Ungating</v>
          </cell>
          <cell r="AA2320" t="str">
            <v>$1K-$10K</v>
          </cell>
          <cell r="AB2320">
            <v>2011</v>
          </cell>
        </row>
        <row r="2321">
          <cell r="E2321">
            <v>9559.3799999999992</v>
          </cell>
          <cell r="Z2321" t="str">
            <v>Legacy</v>
          </cell>
          <cell r="AA2321" t="str">
            <v>$1K-$10K</v>
          </cell>
          <cell r="AB2321">
            <v>2012</v>
          </cell>
        </row>
        <row r="2322">
          <cell r="E2322">
            <v>9557.74</v>
          </cell>
          <cell r="Z2322" t="str">
            <v>Legacy</v>
          </cell>
          <cell r="AA2322" t="str">
            <v>$1K-$10K</v>
          </cell>
          <cell r="AB2322" t="str">
            <v>2010 or before</v>
          </cell>
        </row>
        <row r="2323">
          <cell r="E2323">
            <v>9523.49</v>
          </cell>
          <cell r="Z2323" t="str">
            <v>Legacy</v>
          </cell>
          <cell r="AA2323" t="str">
            <v>$1K-$10K</v>
          </cell>
          <cell r="AB2323" t="str">
            <v>2010 or before</v>
          </cell>
        </row>
        <row r="2324">
          <cell r="E2324">
            <v>9510.2999999999993</v>
          </cell>
          <cell r="Z2324" t="str">
            <v>Inbound</v>
          </cell>
          <cell r="AA2324" t="str">
            <v>$1K-$10K</v>
          </cell>
          <cell r="AB2324">
            <v>2012</v>
          </cell>
        </row>
        <row r="2325">
          <cell r="E2325">
            <v>9502.08</v>
          </cell>
          <cell r="Z2325" t="str">
            <v>Ungating</v>
          </cell>
          <cell r="AA2325" t="str">
            <v>$1K-$10K</v>
          </cell>
          <cell r="AB2325">
            <v>2012</v>
          </cell>
        </row>
        <row r="2326">
          <cell r="E2326">
            <v>9453.8700000000008</v>
          </cell>
          <cell r="Z2326" t="str">
            <v>Ungating</v>
          </cell>
          <cell r="AA2326" t="str">
            <v>$1K-$10K</v>
          </cell>
          <cell r="AB2326">
            <v>2012</v>
          </cell>
        </row>
        <row r="2327">
          <cell r="E2327">
            <v>9438.14</v>
          </cell>
          <cell r="Z2327" t="str">
            <v>Legacy</v>
          </cell>
          <cell r="AA2327" t="str">
            <v>$1K-$10K</v>
          </cell>
          <cell r="AB2327" t="str">
            <v>2010 or before</v>
          </cell>
        </row>
        <row r="2328">
          <cell r="E2328">
            <v>9435.65</v>
          </cell>
          <cell r="Z2328" t="str">
            <v>Ungating</v>
          </cell>
          <cell r="AA2328" t="str">
            <v>$1K-$10K</v>
          </cell>
          <cell r="AB2328">
            <v>2012</v>
          </cell>
        </row>
        <row r="2329">
          <cell r="E2329">
            <v>9426.98</v>
          </cell>
          <cell r="Z2329" t="str">
            <v>Legacy</v>
          </cell>
          <cell r="AA2329" t="str">
            <v>$1K-$10K</v>
          </cell>
          <cell r="AB2329" t="str">
            <v>2010 or before</v>
          </cell>
        </row>
        <row r="2330">
          <cell r="E2330">
            <v>9424.8700000000008</v>
          </cell>
          <cell r="Z2330" t="str">
            <v>Legacy</v>
          </cell>
          <cell r="AA2330" t="str">
            <v>$1K-$10K</v>
          </cell>
          <cell r="AB2330" t="str">
            <v>2010 or before</v>
          </cell>
        </row>
        <row r="2331">
          <cell r="E2331">
            <v>9423.75</v>
          </cell>
          <cell r="Z2331" t="str">
            <v>Ungating</v>
          </cell>
          <cell r="AA2331" t="str">
            <v>$1K-$10K</v>
          </cell>
          <cell r="AB2331">
            <v>2012</v>
          </cell>
        </row>
        <row r="2332">
          <cell r="E2332">
            <v>9419.43</v>
          </cell>
          <cell r="Z2332" t="str">
            <v>Legacy</v>
          </cell>
          <cell r="AA2332" t="str">
            <v>$1K-$10K</v>
          </cell>
          <cell r="AB2332" t="str">
            <v>2010 or before</v>
          </cell>
        </row>
        <row r="2333">
          <cell r="E2333">
            <v>9402.89</v>
          </cell>
          <cell r="Z2333" t="str">
            <v>Global</v>
          </cell>
          <cell r="AA2333" t="str">
            <v>$1K-$10K</v>
          </cell>
          <cell r="AB2333">
            <v>2012</v>
          </cell>
        </row>
        <row r="2334">
          <cell r="E2334">
            <v>9400.5</v>
          </cell>
          <cell r="Z2334" t="str">
            <v>Legacy</v>
          </cell>
          <cell r="AA2334" t="str">
            <v>$1K-$10K</v>
          </cell>
          <cell r="AB2334" t="str">
            <v>2010 or before</v>
          </cell>
        </row>
        <row r="2335">
          <cell r="E2335">
            <v>9317.1</v>
          </cell>
          <cell r="Z2335" t="str">
            <v>Legacy</v>
          </cell>
          <cell r="AA2335" t="str">
            <v>$1K-$10K</v>
          </cell>
          <cell r="AB2335" t="str">
            <v>2010 or before</v>
          </cell>
        </row>
        <row r="2336">
          <cell r="E2336">
            <v>9315.99</v>
          </cell>
          <cell r="Z2336" t="str">
            <v>Legacy</v>
          </cell>
          <cell r="AA2336" t="str">
            <v>$1K-$10K</v>
          </cell>
          <cell r="AB2336" t="str">
            <v>2010 or before</v>
          </cell>
        </row>
        <row r="2337">
          <cell r="E2337">
            <v>9283.74</v>
          </cell>
          <cell r="Z2337" t="str">
            <v>Legacy</v>
          </cell>
          <cell r="AA2337" t="str">
            <v>$1K-$10K</v>
          </cell>
          <cell r="AB2337" t="str">
            <v>2010 or before</v>
          </cell>
        </row>
        <row r="2338">
          <cell r="E2338">
            <v>9282</v>
          </cell>
          <cell r="Z2338" t="str">
            <v>Inbound</v>
          </cell>
          <cell r="AA2338" t="str">
            <v>$1K-$10K</v>
          </cell>
          <cell r="AB2338">
            <v>2012</v>
          </cell>
        </row>
        <row r="2339">
          <cell r="E2339">
            <v>9270.51</v>
          </cell>
          <cell r="Z2339" t="str">
            <v>Legacy</v>
          </cell>
          <cell r="AA2339" t="str">
            <v>$1K-$10K</v>
          </cell>
          <cell r="AB2339" t="str">
            <v>2010 or before</v>
          </cell>
        </row>
        <row r="2340">
          <cell r="E2340">
            <v>9249.2900000000009</v>
          </cell>
          <cell r="Z2340" t="str">
            <v>Legacy</v>
          </cell>
          <cell r="AA2340" t="str">
            <v>$1K-$10K</v>
          </cell>
          <cell r="AB2340" t="str">
            <v>2010 or before</v>
          </cell>
        </row>
        <row r="2341">
          <cell r="E2341">
            <v>9243.49</v>
          </cell>
          <cell r="Z2341" t="str">
            <v>Outbound</v>
          </cell>
          <cell r="AA2341" t="str">
            <v>$1K-$10K</v>
          </cell>
          <cell r="AB2341">
            <v>2012</v>
          </cell>
        </row>
        <row r="2342">
          <cell r="E2342">
            <v>9215.4599999999991</v>
          </cell>
          <cell r="Z2342" t="str">
            <v>Legacy</v>
          </cell>
          <cell r="AA2342" t="str">
            <v>$1K-$10K</v>
          </cell>
          <cell r="AB2342">
            <v>2011</v>
          </cell>
        </row>
        <row r="2343">
          <cell r="E2343">
            <v>9214.67</v>
          </cell>
          <cell r="Z2343" t="str">
            <v>Legacy</v>
          </cell>
          <cell r="AA2343" t="str">
            <v>$1K-$10K</v>
          </cell>
          <cell r="AB2343" t="str">
            <v>2010 or before</v>
          </cell>
        </row>
        <row r="2344">
          <cell r="E2344">
            <v>9210.34</v>
          </cell>
          <cell r="Z2344" t="str">
            <v>Legacy</v>
          </cell>
          <cell r="AA2344" t="str">
            <v>$1K-$10K</v>
          </cell>
          <cell r="AB2344" t="str">
            <v>2010 or before</v>
          </cell>
        </row>
        <row r="2345">
          <cell r="E2345">
            <v>9203.82</v>
          </cell>
          <cell r="Z2345" t="str">
            <v>Legacy</v>
          </cell>
          <cell r="AA2345" t="str">
            <v>$1K-$10K</v>
          </cell>
          <cell r="AB2345" t="str">
            <v>2010 or before</v>
          </cell>
        </row>
        <row r="2346">
          <cell r="E2346">
            <v>9190.01</v>
          </cell>
          <cell r="Z2346" t="str">
            <v>Legacy</v>
          </cell>
          <cell r="AA2346" t="str">
            <v>$1K-$10K</v>
          </cell>
          <cell r="AB2346" t="str">
            <v>2010 or before</v>
          </cell>
        </row>
        <row r="2347">
          <cell r="E2347">
            <v>9187.2800000000007</v>
          </cell>
          <cell r="Z2347" t="str">
            <v>Legacy</v>
          </cell>
          <cell r="AA2347" t="str">
            <v>$1K-$10K</v>
          </cell>
          <cell r="AB2347" t="str">
            <v>2010 or before</v>
          </cell>
        </row>
        <row r="2348">
          <cell r="E2348">
            <v>9179.18</v>
          </cell>
          <cell r="Z2348" t="str">
            <v>Legacy</v>
          </cell>
          <cell r="AA2348" t="str">
            <v>$1K-$10K</v>
          </cell>
          <cell r="AB2348" t="str">
            <v>2010 or before</v>
          </cell>
        </row>
        <row r="2349">
          <cell r="E2349">
            <v>9169.27</v>
          </cell>
          <cell r="Z2349" t="str">
            <v>Legacy</v>
          </cell>
          <cell r="AA2349" t="str">
            <v>$1K-$10K</v>
          </cell>
          <cell r="AB2349" t="str">
            <v>2010 or before</v>
          </cell>
        </row>
        <row r="2350">
          <cell r="E2350">
            <v>9169.07</v>
          </cell>
          <cell r="Z2350" t="str">
            <v>Legacy</v>
          </cell>
          <cell r="AA2350" t="str">
            <v>$1K-$10K</v>
          </cell>
          <cell r="AB2350" t="str">
            <v>2010 or before</v>
          </cell>
        </row>
        <row r="2351">
          <cell r="E2351">
            <v>9167.91</v>
          </cell>
          <cell r="Z2351" t="str">
            <v>Inbound</v>
          </cell>
          <cell r="AA2351" t="str">
            <v>$1K-$10K</v>
          </cell>
          <cell r="AB2351">
            <v>2011</v>
          </cell>
        </row>
        <row r="2352">
          <cell r="E2352">
            <v>9137.61</v>
          </cell>
          <cell r="Z2352" t="str">
            <v>Legacy</v>
          </cell>
          <cell r="AA2352" t="str">
            <v>$1K-$10K</v>
          </cell>
          <cell r="AB2352" t="str">
            <v>2010 or before</v>
          </cell>
        </row>
        <row r="2353">
          <cell r="E2353">
            <v>9116.2099999999991</v>
          </cell>
          <cell r="Z2353" t="str">
            <v>Ungating</v>
          </cell>
          <cell r="AA2353" t="str">
            <v>$1K-$10K</v>
          </cell>
          <cell r="AB2353">
            <v>2011</v>
          </cell>
        </row>
        <row r="2354">
          <cell r="E2354">
            <v>9110.4699999999993</v>
          </cell>
          <cell r="Z2354" t="str">
            <v>Inbound</v>
          </cell>
          <cell r="AA2354" t="str">
            <v>$1K-$10K</v>
          </cell>
          <cell r="AB2354">
            <v>2012</v>
          </cell>
        </row>
        <row r="2355">
          <cell r="E2355">
            <v>9104.3700000000008</v>
          </cell>
          <cell r="Z2355" t="str">
            <v>Legacy</v>
          </cell>
          <cell r="AA2355" t="str">
            <v>$1K-$10K</v>
          </cell>
          <cell r="AB2355" t="str">
            <v>2010 or before</v>
          </cell>
        </row>
        <row r="2356">
          <cell r="E2356">
            <v>9098.85</v>
          </cell>
          <cell r="Z2356" t="str">
            <v>Legacy</v>
          </cell>
          <cell r="AA2356" t="str">
            <v>$1K-$10K</v>
          </cell>
          <cell r="AB2356">
            <v>2012</v>
          </cell>
        </row>
        <row r="2357">
          <cell r="E2357">
            <v>9096.85</v>
          </cell>
          <cell r="Z2357" t="str">
            <v>Legacy</v>
          </cell>
          <cell r="AA2357" t="str">
            <v>$1K-$10K</v>
          </cell>
          <cell r="AB2357" t="str">
            <v>2010 or before</v>
          </cell>
        </row>
        <row r="2358">
          <cell r="E2358">
            <v>9089.9500000000007</v>
          </cell>
          <cell r="Z2358" t="str">
            <v>Legacy</v>
          </cell>
          <cell r="AA2358" t="str">
            <v>$1K-$10K</v>
          </cell>
          <cell r="AB2358" t="str">
            <v>2010 or before</v>
          </cell>
        </row>
        <row r="2359">
          <cell r="E2359">
            <v>9069.5499999999993</v>
          </cell>
          <cell r="Z2359" t="str">
            <v>Legacy</v>
          </cell>
          <cell r="AA2359" t="str">
            <v>$1K-$10K</v>
          </cell>
          <cell r="AB2359">
            <v>2011</v>
          </cell>
        </row>
        <row r="2360">
          <cell r="E2360">
            <v>9054.52</v>
          </cell>
          <cell r="Z2360" t="str">
            <v>Legacy</v>
          </cell>
          <cell r="AA2360" t="str">
            <v>$1K-$10K</v>
          </cell>
          <cell r="AB2360" t="str">
            <v>2010 or before</v>
          </cell>
        </row>
        <row r="2361">
          <cell r="E2361">
            <v>9037.68</v>
          </cell>
          <cell r="Z2361" t="str">
            <v>Legacy</v>
          </cell>
          <cell r="AA2361" t="str">
            <v>$1K-$10K</v>
          </cell>
          <cell r="AB2361" t="str">
            <v>2010 or before</v>
          </cell>
        </row>
        <row r="2362">
          <cell r="E2362">
            <v>9015.02</v>
          </cell>
          <cell r="Z2362" t="str">
            <v>Inbound</v>
          </cell>
          <cell r="AA2362" t="str">
            <v>$1K-$10K</v>
          </cell>
          <cell r="AB2362">
            <v>2012</v>
          </cell>
        </row>
        <row r="2363">
          <cell r="E2363">
            <v>8997.15</v>
          </cell>
          <cell r="Z2363" t="str">
            <v>Global</v>
          </cell>
          <cell r="AA2363" t="str">
            <v>$1K-$10K</v>
          </cell>
          <cell r="AB2363">
            <v>2011</v>
          </cell>
        </row>
        <row r="2364">
          <cell r="E2364">
            <v>8993.25</v>
          </cell>
          <cell r="Z2364" t="str">
            <v>Legacy</v>
          </cell>
          <cell r="AA2364" t="str">
            <v>$1K-$10K</v>
          </cell>
          <cell r="AB2364" t="str">
            <v>2010 or before</v>
          </cell>
        </row>
        <row r="2365">
          <cell r="E2365">
            <v>8991.86</v>
          </cell>
          <cell r="Z2365" t="str">
            <v>Legacy</v>
          </cell>
          <cell r="AA2365" t="str">
            <v>$1K-$10K</v>
          </cell>
          <cell r="AB2365" t="str">
            <v>2010 or before</v>
          </cell>
        </row>
        <row r="2366">
          <cell r="E2366">
            <v>8984</v>
          </cell>
          <cell r="Z2366" t="str">
            <v>Outbound</v>
          </cell>
          <cell r="AA2366" t="str">
            <v>$1K-$10K</v>
          </cell>
          <cell r="AB2366">
            <v>2012</v>
          </cell>
        </row>
        <row r="2367">
          <cell r="E2367">
            <v>8969.84</v>
          </cell>
          <cell r="Z2367" t="str">
            <v>Legacy</v>
          </cell>
          <cell r="AA2367" t="str">
            <v>$1K-$10K</v>
          </cell>
          <cell r="AB2367" t="str">
            <v>2010 or before</v>
          </cell>
        </row>
        <row r="2368">
          <cell r="E2368">
            <v>8953.19</v>
          </cell>
          <cell r="Z2368" t="str">
            <v>Inbound</v>
          </cell>
          <cell r="AA2368" t="str">
            <v>$1K-$10K</v>
          </cell>
          <cell r="AB2368">
            <v>2011</v>
          </cell>
        </row>
        <row r="2369">
          <cell r="E2369">
            <v>8951.92</v>
          </cell>
          <cell r="Z2369" t="str">
            <v>Legacy</v>
          </cell>
          <cell r="AA2369" t="str">
            <v>$1K-$10K</v>
          </cell>
          <cell r="AB2369" t="str">
            <v>2010 or before</v>
          </cell>
        </row>
        <row r="2370">
          <cell r="E2370">
            <v>8925.27</v>
          </cell>
          <cell r="Z2370" t="str">
            <v>Legacy</v>
          </cell>
          <cell r="AA2370" t="str">
            <v>$1K-$10K</v>
          </cell>
          <cell r="AB2370" t="str">
            <v>2010 or before</v>
          </cell>
        </row>
        <row r="2371">
          <cell r="E2371">
            <v>8925</v>
          </cell>
          <cell r="Z2371" t="str">
            <v>Ungating</v>
          </cell>
          <cell r="AA2371" t="str">
            <v>$1K-$10K</v>
          </cell>
          <cell r="AB2371">
            <v>2012</v>
          </cell>
        </row>
        <row r="2372">
          <cell r="E2372">
            <v>8913.43</v>
          </cell>
          <cell r="Z2372" t="str">
            <v>Legacy</v>
          </cell>
          <cell r="AA2372" t="str">
            <v>$1K-$10K</v>
          </cell>
          <cell r="AB2372" t="str">
            <v>2010 or before</v>
          </cell>
        </row>
        <row r="2373">
          <cell r="E2373">
            <v>8883.35</v>
          </cell>
          <cell r="Z2373" t="str">
            <v>Legacy</v>
          </cell>
          <cell r="AA2373" t="str">
            <v>$1K-$10K</v>
          </cell>
          <cell r="AB2373" t="str">
            <v>2010 or before</v>
          </cell>
        </row>
        <row r="2374">
          <cell r="E2374">
            <v>8847.56</v>
          </cell>
          <cell r="Z2374" t="str">
            <v>Legacy</v>
          </cell>
          <cell r="AA2374" t="str">
            <v>$1K-$10K</v>
          </cell>
          <cell r="AB2374" t="str">
            <v>2010 or before</v>
          </cell>
        </row>
        <row r="2375">
          <cell r="E2375">
            <v>8844.5</v>
          </cell>
          <cell r="Z2375" t="str">
            <v>Outbound</v>
          </cell>
          <cell r="AA2375" t="str">
            <v>$1K-$10K</v>
          </cell>
          <cell r="AB2375">
            <v>2012</v>
          </cell>
        </row>
        <row r="2376">
          <cell r="E2376">
            <v>8840.57</v>
          </cell>
          <cell r="Z2376" t="str">
            <v>Legacy</v>
          </cell>
          <cell r="AA2376" t="str">
            <v>$1K-$10K</v>
          </cell>
          <cell r="AB2376" t="str">
            <v>2010 or before</v>
          </cell>
        </row>
        <row r="2377">
          <cell r="E2377">
            <v>8840</v>
          </cell>
          <cell r="Z2377" t="str">
            <v>Inbound</v>
          </cell>
          <cell r="AA2377" t="str">
            <v>$1K-$10K</v>
          </cell>
          <cell r="AB2377">
            <v>2012</v>
          </cell>
        </row>
        <row r="2378">
          <cell r="E2378">
            <v>8811.65</v>
          </cell>
          <cell r="Z2378" t="str">
            <v>Legacy</v>
          </cell>
          <cell r="AA2378" t="str">
            <v>$1K-$10K</v>
          </cell>
          <cell r="AB2378">
            <v>2012</v>
          </cell>
        </row>
        <row r="2379">
          <cell r="E2379">
            <v>8811.27</v>
          </cell>
          <cell r="Z2379" t="str">
            <v>Legacy</v>
          </cell>
          <cell r="AA2379" t="str">
            <v>$1K-$10K</v>
          </cell>
          <cell r="AB2379" t="str">
            <v>2010 or before</v>
          </cell>
        </row>
        <row r="2380">
          <cell r="E2380">
            <v>8779.5</v>
          </cell>
          <cell r="Z2380" t="str">
            <v>Legacy</v>
          </cell>
          <cell r="AA2380" t="str">
            <v>$1K-$10K</v>
          </cell>
          <cell r="AB2380" t="str">
            <v>2010 or before</v>
          </cell>
        </row>
        <row r="2381">
          <cell r="E2381">
            <v>8778.91</v>
          </cell>
          <cell r="Z2381" t="str">
            <v>Ungating</v>
          </cell>
          <cell r="AA2381" t="str">
            <v>$1K-$10K</v>
          </cell>
          <cell r="AB2381">
            <v>2012</v>
          </cell>
        </row>
        <row r="2382">
          <cell r="E2382">
            <v>8769.93</v>
          </cell>
          <cell r="Z2382" t="str">
            <v>Legacy</v>
          </cell>
          <cell r="AA2382" t="str">
            <v>$1K-$10K</v>
          </cell>
          <cell r="AB2382" t="str">
            <v>2010 or before</v>
          </cell>
        </row>
        <row r="2383">
          <cell r="E2383">
            <v>8758.99</v>
          </cell>
          <cell r="Z2383" t="str">
            <v>Legacy</v>
          </cell>
          <cell r="AA2383" t="str">
            <v>$1K-$10K</v>
          </cell>
          <cell r="AB2383" t="str">
            <v>2010 or before</v>
          </cell>
        </row>
        <row r="2384">
          <cell r="E2384">
            <v>8702.34</v>
          </cell>
          <cell r="Z2384" t="str">
            <v>Legacy</v>
          </cell>
          <cell r="AA2384" t="str">
            <v>$1K-$10K</v>
          </cell>
          <cell r="AB2384" t="str">
            <v>2010 or before</v>
          </cell>
        </row>
        <row r="2385">
          <cell r="E2385">
            <v>8695.5499999999993</v>
          </cell>
          <cell r="Z2385" t="str">
            <v>Inbound</v>
          </cell>
          <cell r="AA2385" t="str">
            <v>$1K-$10K</v>
          </cell>
          <cell r="AB2385">
            <v>2012</v>
          </cell>
        </row>
        <row r="2386">
          <cell r="E2386">
            <v>8693.01</v>
          </cell>
          <cell r="Z2386" t="str">
            <v>Ungating</v>
          </cell>
          <cell r="AA2386" t="str">
            <v>$1K-$10K</v>
          </cell>
          <cell r="AB2386">
            <v>2012</v>
          </cell>
        </row>
        <row r="2387">
          <cell r="E2387">
            <v>8682.85</v>
          </cell>
          <cell r="Z2387" t="str">
            <v>Legacy</v>
          </cell>
          <cell r="AA2387" t="str">
            <v>$1K-$10K</v>
          </cell>
          <cell r="AB2387" t="str">
            <v>2010 or before</v>
          </cell>
        </row>
        <row r="2388">
          <cell r="E2388">
            <v>8682.5400000000009</v>
          </cell>
          <cell r="Z2388" t="str">
            <v>Legacy</v>
          </cell>
          <cell r="AA2388" t="str">
            <v>$1K-$10K</v>
          </cell>
          <cell r="AB2388">
            <v>2011</v>
          </cell>
        </row>
        <row r="2389">
          <cell r="E2389">
            <v>8679.24</v>
          </cell>
          <cell r="Z2389" t="str">
            <v>Legacy</v>
          </cell>
          <cell r="AA2389" t="str">
            <v>$1K-$10K</v>
          </cell>
          <cell r="AB2389" t="str">
            <v>2010 or before</v>
          </cell>
        </row>
        <row r="2390">
          <cell r="E2390">
            <v>8666.48</v>
          </cell>
          <cell r="Z2390" t="str">
            <v>Ungating</v>
          </cell>
          <cell r="AA2390" t="str">
            <v>$1K-$10K</v>
          </cell>
          <cell r="AB2390">
            <v>2012</v>
          </cell>
        </row>
        <row r="2391">
          <cell r="E2391">
            <v>8653.69</v>
          </cell>
          <cell r="Z2391" t="str">
            <v>Ungating</v>
          </cell>
          <cell r="AA2391" t="str">
            <v>$1K-$10K</v>
          </cell>
          <cell r="AB2391">
            <v>2012</v>
          </cell>
        </row>
        <row r="2392">
          <cell r="E2392">
            <v>8645.85</v>
          </cell>
          <cell r="Z2392" t="str">
            <v>Inbound</v>
          </cell>
          <cell r="AA2392" t="str">
            <v>$1K-$10K</v>
          </cell>
          <cell r="AB2392">
            <v>2011</v>
          </cell>
        </row>
        <row r="2393">
          <cell r="E2393">
            <v>8645.34</v>
          </cell>
          <cell r="Z2393" t="str">
            <v>Legacy</v>
          </cell>
          <cell r="AA2393" t="str">
            <v>$1K-$10K</v>
          </cell>
          <cell r="AB2393" t="str">
            <v>2010 or before</v>
          </cell>
        </row>
        <row r="2394">
          <cell r="E2394">
            <v>8640.92</v>
          </cell>
          <cell r="Z2394" t="str">
            <v>Ungating</v>
          </cell>
          <cell r="AA2394" t="str">
            <v>$1K-$10K</v>
          </cell>
          <cell r="AB2394">
            <v>2012</v>
          </cell>
        </row>
        <row r="2395">
          <cell r="E2395">
            <v>8640.65</v>
          </cell>
          <cell r="Z2395" t="str">
            <v>Ungating</v>
          </cell>
          <cell r="AA2395" t="str">
            <v>$1K-$10K</v>
          </cell>
          <cell r="AB2395">
            <v>2012</v>
          </cell>
        </row>
        <row r="2396">
          <cell r="E2396">
            <v>8619.7000000000007</v>
          </cell>
          <cell r="Z2396" t="str">
            <v>Legacy</v>
          </cell>
          <cell r="AA2396" t="str">
            <v>$1K-$10K</v>
          </cell>
          <cell r="AB2396" t="str">
            <v>2010 or before</v>
          </cell>
        </row>
        <row r="2397">
          <cell r="E2397">
            <v>8615.5</v>
          </cell>
          <cell r="Z2397" t="str">
            <v>Ungating</v>
          </cell>
          <cell r="AA2397" t="str">
            <v>$1K-$10K</v>
          </cell>
          <cell r="AB2397">
            <v>2012</v>
          </cell>
        </row>
        <row r="2398">
          <cell r="E2398">
            <v>8613.69</v>
          </cell>
          <cell r="Z2398" t="str">
            <v>Legacy</v>
          </cell>
          <cell r="AA2398" t="str">
            <v>$1K-$10K</v>
          </cell>
          <cell r="AB2398" t="str">
            <v>2010 or before</v>
          </cell>
        </row>
        <row r="2399">
          <cell r="E2399">
            <v>8612.74</v>
          </cell>
          <cell r="Z2399" t="str">
            <v>Ungating</v>
          </cell>
          <cell r="AA2399" t="str">
            <v>$1K-$10K</v>
          </cell>
          <cell r="AB2399">
            <v>2011</v>
          </cell>
        </row>
        <row r="2400">
          <cell r="E2400">
            <v>8601.5400000000009</v>
          </cell>
          <cell r="Z2400" t="str">
            <v>Legacy</v>
          </cell>
          <cell r="AA2400" t="str">
            <v>$1K-$10K</v>
          </cell>
          <cell r="AB2400" t="str">
            <v>2010 or before</v>
          </cell>
        </row>
        <row r="2401">
          <cell r="E2401">
            <v>8597.9699999999993</v>
          </cell>
          <cell r="Z2401" t="str">
            <v>Legacy</v>
          </cell>
          <cell r="AA2401" t="str">
            <v>$1K-$10K</v>
          </cell>
          <cell r="AB2401">
            <v>2012</v>
          </cell>
        </row>
        <row r="2402">
          <cell r="E2402">
            <v>8592.31</v>
          </cell>
          <cell r="Z2402" t="str">
            <v>Inbound</v>
          </cell>
          <cell r="AA2402" t="str">
            <v>$1K-$10K</v>
          </cell>
          <cell r="AB2402">
            <v>2012</v>
          </cell>
        </row>
        <row r="2403">
          <cell r="E2403">
            <v>8586.76</v>
          </cell>
          <cell r="Z2403" t="str">
            <v>Legacy</v>
          </cell>
          <cell r="AA2403" t="str">
            <v>$1K-$10K</v>
          </cell>
          <cell r="AB2403">
            <v>2012</v>
          </cell>
        </row>
        <row r="2404">
          <cell r="E2404">
            <v>8577.5</v>
          </cell>
          <cell r="Z2404" t="str">
            <v>Legacy</v>
          </cell>
          <cell r="AA2404" t="str">
            <v>$1K-$10K</v>
          </cell>
          <cell r="AB2404" t="str">
            <v>2010 or before</v>
          </cell>
        </row>
        <row r="2405">
          <cell r="E2405">
            <v>8550.7999999999993</v>
          </cell>
          <cell r="Z2405" t="str">
            <v>Inbound</v>
          </cell>
          <cell r="AA2405" t="str">
            <v>$1K-$10K</v>
          </cell>
          <cell r="AB2405">
            <v>2012</v>
          </cell>
        </row>
        <row r="2406">
          <cell r="E2406">
            <v>8550.4</v>
          </cell>
          <cell r="Z2406" t="str">
            <v>Legacy</v>
          </cell>
          <cell r="AA2406" t="str">
            <v>$1K-$10K</v>
          </cell>
          <cell r="AB2406" t="str">
            <v>2010 or before</v>
          </cell>
        </row>
        <row r="2407">
          <cell r="E2407">
            <v>8539.17</v>
          </cell>
          <cell r="Z2407" t="str">
            <v>Legacy</v>
          </cell>
          <cell r="AA2407" t="str">
            <v>$1K-$10K</v>
          </cell>
          <cell r="AB2407" t="str">
            <v>2010 or before</v>
          </cell>
        </row>
        <row r="2408">
          <cell r="E2408">
            <v>8535.2000000000007</v>
          </cell>
          <cell r="Z2408" t="str">
            <v>Ungating</v>
          </cell>
          <cell r="AA2408" t="str">
            <v>$1K-$10K</v>
          </cell>
          <cell r="AB2408">
            <v>2012</v>
          </cell>
        </row>
        <row r="2409">
          <cell r="E2409">
            <v>8527.26</v>
          </cell>
          <cell r="Z2409" t="str">
            <v>Outbound</v>
          </cell>
          <cell r="AA2409" t="str">
            <v>$1K-$10K</v>
          </cell>
          <cell r="AB2409">
            <v>2012</v>
          </cell>
        </row>
        <row r="2410">
          <cell r="E2410">
            <v>8524</v>
          </cell>
          <cell r="Z2410" t="str">
            <v>Ungating</v>
          </cell>
          <cell r="AA2410" t="str">
            <v>$1K-$10K</v>
          </cell>
          <cell r="AB2410">
            <v>2012</v>
          </cell>
        </row>
        <row r="2411">
          <cell r="E2411">
            <v>8496</v>
          </cell>
          <cell r="Z2411" t="str">
            <v>Legacy</v>
          </cell>
          <cell r="AA2411" t="str">
            <v>$1K-$10K</v>
          </cell>
          <cell r="AB2411" t="str">
            <v>2010 or before</v>
          </cell>
        </row>
        <row r="2412">
          <cell r="E2412">
            <v>8489.02</v>
          </cell>
          <cell r="Z2412" t="str">
            <v>Legacy</v>
          </cell>
          <cell r="AA2412" t="str">
            <v>$1K-$10K</v>
          </cell>
          <cell r="AB2412" t="str">
            <v>2010 or before</v>
          </cell>
        </row>
        <row r="2413">
          <cell r="E2413">
            <v>8449.25</v>
          </cell>
          <cell r="Z2413" t="str">
            <v>Legacy</v>
          </cell>
          <cell r="AA2413" t="str">
            <v>$1K-$10K</v>
          </cell>
          <cell r="AB2413" t="str">
            <v>2010 or before</v>
          </cell>
        </row>
        <row r="2414">
          <cell r="E2414">
            <v>8426.42</v>
          </cell>
          <cell r="Z2414" t="str">
            <v>Ungating</v>
          </cell>
          <cell r="AA2414" t="str">
            <v>$1K-$10K</v>
          </cell>
          <cell r="AB2414">
            <v>2012</v>
          </cell>
        </row>
        <row r="2415">
          <cell r="E2415">
            <v>8411.7000000000007</v>
          </cell>
          <cell r="Z2415" t="str">
            <v>Legacy</v>
          </cell>
          <cell r="AA2415" t="str">
            <v>$1K-$10K</v>
          </cell>
          <cell r="AB2415" t="str">
            <v>2010 or before</v>
          </cell>
        </row>
        <row r="2416">
          <cell r="E2416">
            <v>8410.75</v>
          </cell>
          <cell r="Z2416" t="str">
            <v>Outbound</v>
          </cell>
          <cell r="AA2416" t="str">
            <v>$1K-$10K</v>
          </cell>
          <cell r="AB2416">
            <v>2012</v>
          </cell>
        </row>
        <row r="2417">
          <cell r="E2417">
            <v>8391.85</v>
          </cell>
          <cell r="Z2417" t="str">
            <v>Legacy</v>
          </cell>
          <cell r="AA2417" t="str">
            <v>$1K-$10K</v>
          </cell>
          <cell r="AB2417">
            <v>2012</v>
          </cell>
        </row>
        <row r="2418">
          <cell r="E2418">
            <v>8357.33</v>
          </cell>
          <cell r="Z2418" t="str">
            <v>Ungating</v>
          </cell>
          <cell r="AA2418" t="str">
            <v>$1K-$10K</v>
          </cell>
          <cell r="AB2418">
            <v>2012</v>
          </cell>
        </row>
        <row r="2419">
          <cell r="E2419">
            <v>8357.1299999999992</v>
          </cell>
          <cell r="Z2419" t="str">
            <v>Legacy</v>
          </cell>
          <cell r="AA2419" t="str">
            <v>$1K-$10K</v>
          </cell>
          <cell r="AB2419" t="str">
            <v>2010 or before</v>
          </cell>
        </row>
        <row r="2420">
          <cell r="E2420">
            <v>8337.58</v>
          </cell>
          <cell r="Z2420" t="str">
            <v>Ungating</v>
          </cell>
          <cell r="AA2420" t="str">
            <v>$1K-$10K</v>
          </cell>
          <cell r="AB2420">
            <v>2012</v>
          </cell>
        </row>
        <row r="2421">
          <cell r="E2421">
            <v>8331.92</v>
          </cell>
          <cell r="Z2421" t="str">
            <v>Legacy</v>
          </cell>
          <cell r="AA2421" t="str">
            <v>$1K-$10K</v>
          </cell>
          <cell r="AB2421" t="str">
            <v>2010 or before</v>
          </cell>
        </row>
        <row r="2422">
          <cell r="E2422">
            <v>8330.07</v>
          </cell>
          <cell r="Z2422" t="str">
            <v>Legacy</v>
          </cell>
          <cell r="AA2422" t="str">
            <v>$1K-$10K</v>
          </cell>
          <cell r="AB2422" t="str">
            <v>2010 or before</v>
          </cell>
        </row>
        <row r="2423">
          <cell r="E2423">
            <v>8311.9</v>
          </cell>
          <cell r="Z2423" t="str">
            <v>Ungating</v>
          </cell>
          <cell r="AA2423" t="str">
            <v>$1K-$10K</v>
          </cell>
          <cell r="AB2423">
            <v>2011</v>
          </cell>
        </row>
        <row r="2424">
          <cell r="E2424">
            <v>8305.1200000000008</v>
          </cell>
          <cell r="Z2424" t="str">
            <v>Legacy</v>
          </cell>
          <cell r="AA2424" t="str">
            <v>$1K-$10K</v>
          </cell>
          <cell r="AB2424" t="str">
            <v>2010 or before</v>
          </cell>
        </row>
        <row r="2425">
          <cell r="E2425">
            <v>8301.44</v>
          </cell>
          <cell r="Z2425" t="str">
            <v>Ungating</v>
          </cell>
          <cell r="AA2425" t="str">
            <v>$1K-$10K</v>
          </cell>
          <cell r="AB2425">
            <v>2012</v>
          </cell>
        </row>
        <row r="2426">
          <cell r="E2426">
            <v>8294.61</v>
          </cell>
          <cell r="Z2426" t="str">
            <v>Legacy</v>
          </cell>
          <cell r="AA2426" t="str">
            <v>$1K-$10K</v>
          </cell>
          <cell r="AB2426" t="str">
            <v>2010 or before</v>
          </cell>
        </row>
        <row r="2427">
          <cell r="E2427">
            <v>8292.58</v>
          </cell>
          <cell r="Z2427" t="str">
            <v>Legacy</v>
          </cell>
          <cell r="AA2427" t="str">
            <v>$1K-$10K</v>
          </cell>
          <cell r="AB2427" t="str">
            <v>2010 or before</v>
          </cell>
        </row>
        <row r="2428">
          <cell r="E2428">
            <v>8291.43</v>
          </cell>
          <cell r="Z2428" t="str">
            <v>Ungating</v>
          </cell>
          <cell r="AA2428" t="str">
            <v>$1K-$10K</v>
          </cell>
          <cell r="AB2428">
            <v>2012</v>
          </cell>
        </row>
        <row r="2429">
          <cell r="E2429">
            <v>8287</v>
          </cell>
          <cell r="Z2429" t="str">
            <v>Ungating</v>
          </cell>
          <cell r="AA2429" t="str">
            <v>$1K-$10K</v>
          </cell>
          <cell r="AB2429">
            <v>2012</v>
          </cell>
        </row>
        <row r="2430">
          <cell r="E2430">
            <v>8268.2800000000007</v>
          </cell>
          <cell r="Z2430" t="str">
            <v>Legacy</v>
          </cell>
          <cell r="AA2430" t="str">
            <v>$1K-$10K</v>
          </cell>
          <cell r="AB2430" t="str">
            <v>2010 or before</v>
          </cell>
        </row>
        <row r="2431">
          <cell r="E2431">
            <v>8257.39</v>
          </cell>
          <cell r="Z2431" t="str">
            <v>Legacy</v>
          </cell>
          <cell r="AA2431" t="str">
            <v>$1K-$10K</v>
          </cell>
          <cell r="AB2431" t="str">
            <v>2010 or before</v>
          </cell>
        </row>
        <row r="2432">
          <cell r="E2432">
            <v>8254.81</v>
          </cell>
          <cell r="Z2432" t="str">
            <v>Legacy</v>
          </cell>
          <cell r="AA2432" t="str">
            <v>$1K-$10K</v>
          </cell>
          <cell r="AB2432" t="str">
            <v>2010 or before</v>
          </cell>
        </row>
        <row r="2433">
          <cell r="E2433">
            <v>8217.84</v>
          </cell>
          <cell r="Z2433" t="str">
            <v>Legacy</v>
          </cell>
          <cell r="AA2433" t="str">
            <v>$1K-$10K</v>
          </cell>
          <cell r="AB2433" t="str">
            <v>2010 or before</v>
          </cell>
        </row>
        <row r="2434">
          <cell r="E2434">
            <v>8177.07</v>
          </cell>
          <cell r="Z2434" t="str">
            <v>Outbound</v>
          </cell>
          <cell r="AA2434" t="str">
            <v>$1K-$10K</v>
          </cell>
          <cell r="AB2434">
            <v>2011</v>
          </cell>
        </row>
        <row r="2435">
          <cell r="E2435">
            <v>8166.77</v>
          </cell>
          <cell r="Z2435" t="str">
            <v>Legacy</v>
          </cell>
          <cell r="AA2435" t="str">
            <v>$1K-$10K</v>
          </cell>
          <cell r="AB2435" t="str">
            <v>2010 or before</v>
          </cell>
        </row>
        <row r="2436">
          <cell r="E2436">
            <v>8158.38</v>
          </cell>
          <cell r="Z2436" t="str">
            <v>Legacy</v>
          </cell>
          <cell r="AA2436" t="str">
            <v>$1K-$10K</v>
          </cell>
          <cell r="AB2436" t="str">
            <v>2010 or before</v>
          </cell>
        </row>
        <row r="2437">
          <cell r="E2437">
            <v>8090.58</v>
          </cell>
          <cell r="Z2437" t="str">
            <v>Legacy</v>
          </cell>
          <cell r="AA2437" t="str">
            <v>$1K-$10K</v>
          </cell>
          <cell r="AB2437" t="str">
            <v>2010 or before</v>
          </cell>
        </row>
        <row r="2438">
          <cell r="E2438">
            <v>8054.32</v>
          </cell>
          <cell r="Z2438" t="str">
            <v>Legacy</v>
          </cell>
          <cell r="AA2438" t="str">
            <v>$1K-$10K</v>
          </cell>
          <cell r="AB2438" t="str">
            <v>2010 or before</v>
          </cell>
        </row>
        <row r="2439">
          <cell r="E2439">
            <v>8038.07</v>
          </cell>
          <cell r="Z2439" t="str">
            <v>Ungating</v>
          </cell>
          <cell r="AA2439" t="str">
            <v>$1K-$10K</v>
          </cell>
          <cell r="AB2439">
            <v>2012</v>
          </cell>
        </row>
        <row r="2440">
          <cell r="E2440">
            <v>8031.81</v>
          </cell>
          <cell r="Z2440" t="str">
            <v>Outbound</v>
          </cell>
          <cell r="AA2440" t="str">
            <v>$1K-$10K</v>
          </cell>
          <cell r="AB2440">
            <v>2012</v>
          </cell>
        </row>
        <row r="2441">
          <cell r="E2441">
            <v>8023.56</v>
          </cell>
          <cell r="Z2441" t="str">
            <v>Inbound</v>
          </cell>
          <cell r="AA2441" t="str">
            <v>$1K-$10K</v>
          </cell>
          <cell r="AB2441">
            <v>2012</v>
          </cell>
        </row>
        <row r="2442">
          <cell r="E2442">
            <v>7999.53</v>
          </cell>
          <cell r="Z2442" t="str">
            <v>Legacy</v>
          </cell>
          <cell r="AA2442" t="str">
            <v>$1K-$10K</v>
          </cell>
          <cell r="AB2442" t="str">
            <v>2010 or before</v>
          </cell>
        </row>
        <row r="2443">
          <cell r="E2443">
            <v>7984.45</v>
          </cell>
          <cell r="Z2443" t="str">
            <v>Legacy</v>
          </cell>
          <cell r="AA2443" t="str">
            <v>$1K-$10K</v>
          </cell>
          <cell r="AB2443" t="str">
            <v>2010 or before</v>
          </cell>
        </row>
        <row r="2444">
          <cell r="E2444">
            <v>7973.97</v>
          </cell>
          <cell r="Z2444" t="str">
            <v>Legacy</v>
          </cell>
          <cell r="AA2444" t="str">
            <v>$1K-$10K</v>
          </cell>
          <cell r="AB2444" t="str">
            <v>2010 or before</v>
          </cell>
        </row>
        <row r="2445">
          <cell r="E2445">
            <v>7966</v>
          </cell>
          <cell r="Z2445" t="str">
            <v>Legacy</v>
          </cell>
          <cell r="AA2445" t="str">
            <v>$1K-$10K</v>
          </cell>
          <cell r="AB2445">
            <v>2011</v>
          </cell>
        </row>
        <row r="2446">
          <cell r="E2446">
            <v>7958.2</v>
          </cell>
          <cell r="Z2446" t="str">
            <v>Legacy</v>
          </cell>
          <cell r="AA2446" t="str">
            <v>$1K-$10K</v>
          </cell>
          <cell r="AB2446" t="str">
            <v>2010 or before</v>
          </cell>
        </row>
        <row r="2447">
          <cell r="E2447">
            <v>7924.2</v>
          </cell>
          <cell r="Z2447" t="str">
            <v>Ungating</v>
          </cell>
          <cell r="AA2447" t="str">
            <v>$1K-$10K</v>
          </cell>
          <cell r="AB2447">
            <v>2012</v>
          </cell>
        </row>
        <row r="2448">
          <cell r="E2448">
            <v>7907.69</v>
          </cell>
          <cell r="Z2448" t="str">
            <v>Legacy</v>
          </cell>
          <cell r="AA2448" t="str">
            <v>$1K-$10K</v>
          </cell>
          <cell r="AB2448" t="str">
            <v>2010 or before</v>
          </cell>
        </row>
        <row r="2449">
          <cell r="E2449">
            <v>7903.24</v>
          </cell>
          <cell r="Z2449" t="str">
            <v>Ungating</v>
          </cell>
          <cell r="AA2449" t="str">
            <v>$1K-$10K</v>
          </cell>
          <cell r="AB2449">
            <v>2012</v>
          </cell>
        </row>
        <row r="2450">
          <cell r="E2450">
            <v>7901.8</v>
          </cell>
          <cell r="Z2450" t="str">
            <v>Legacy</v>
          </cell>
          <cell r="AA2450" t="str">
            <v>$1K-$10K</v>
          </cell>
          <cell r="AB2450" t="str">
            <v>2010 or before</v>
          </cell>
        </row>
        <row r="2451">
          <cell r="E2451">
            <v>7883.31</v>
          </cell>
          <cell r="Z2451" t="str">
            <v>Legacy</v>
          </cell>
          <cell r="AA2451" t="str">
            <v>$1K-$10K</v>
          </cell>
          <cell r="AB2451" t="str">
            <v>2010 or before</v>
          </cell>
        </row>
        <row r="2452">
          <cell r="E2452">
            <v>7869.62</v>
          </cell>
          <cell r="Z2452" t="str">
            <v>Legacy</v>
          </cell>
          <cell r="AA2452" t="str">
            <v>$1K-$10K</v>
          </cell>
          <cell r="AB2452">
            <v>2012</v>
          </cell>
        </row>
        <row r="2453">
          <cell r="E2453">
            <v>7863.02</v>
          </cell>
          <cell r="Z2453" t="str">
            <v>Legacy</v>
          </cell>
          <cell r="AA2453" t="str">
            <v>$1K-$10K</v>
          </cell>
          <cell r="AB2453">
            <v>2011</v>
          </cell>
        </row>
        <row r="2454">
          <cell r="E2454">
            <v>7850.62</v>
          </cell>
          <cell r="Z2454" t="str">
            <v>Legacy</v>
          </cell>
          <cell r="AA2454" t="str">
            <v>$1K-$10K</v>
          </cell>
          <cell r="AB2454" t="str">
            <v>2010 or before</v>
          </cell>
        </row>
        <row r="2455">
          <cell r="E2455">
            <v>7827.73</v>
          </cell>
          <cell r="Z2455" t="str">
            <v>Legacy</v>
          </cell>
          <cell r="AA2455" t="str">
            <v>$1K-$10K</v>
          </cell>
          <cell r="AB2455">
            <v>2011</v>
          </cell>
        </row>
        <row r="2456">
          <cell r="E2456">
            <v>7786.94</v>
          </cell>
          <cell r="Z2456" t="str">
            <v>Legacy</v>
          </cell>
          <cell r="AA2456" t="str">
            <v>$1K-$10K</v>
          </cell>
          <cell r="AB2456" t="str">
            <v>2010 or before</v>
          </cell>
        </row>
        <row r="2457">
          <cell r="E2457">
            <v>7764.11</v>
          </cell>
          <cell r="Z2457" t="str">
            <v>Legacy</v>
          </cell>
          <cell r="AA2457" t="str">
            <v>$1K-$10K</v>
          </cell>
          <cell r="AB2457" t="str">
            <v>2010 or before</v>
          </cell>
        </row>
        <row r="2458">
          <cell r="E2458">
            <v>7760.9</v>
          </cell>
          <cell r="Z2458" t="str">
            <v>Legacy</v>
          </cell>
          <cell r="AA2458" t="str">
            <v>$1K-$10K</v>
          </cell>
          <cell r="AB2458" t="str">
            <v>2010 or before</v>
          </cell>
        </row>
        <row r="2459">
          <cell r="E2459">
            <v>7719.04</v>
          </cell>
          <cell r="Z2459" t="str">
            <v>Legacy</v>
          </cell>
          <cell r="AA2459" t="str">
            <v>$1K-$10K</v>
          </cell>
          <cell r="AB2459" t="str">
            <v>2010 or before</v>
          </cell>
        </row>
        <row r="2460">
          <cell r="E2460">
            <v>7687.18</v>
          </cell>
          <cell r="Z2460" t="str">
            <v>Legacy</v>
          </cell>
          <cell r="AA2460" t="str">
            <v>$1K-$10K</v>
          </cell>
          <cell r="AB2460" t="str">
            <v>2010 or before</v>
          </cell>
        </row>
        <row r="2461">
          <cell r="E2461">
            <v>7684.42</v>
          </cell>
          <cell r="Z2461" t="str">
            <v>Legacy</v>
          </cell>
          <cell r="AA2461" t="str">
            <v>$1K-$10K</v>
          </cell>
          <cell r="AB2461" t="str">
            <v>2010 or before</v>
          </cell>
        </row>
        <row r="2462">
          <cell r="E2462">
            <v>7678.96</v>
          </cell>
          <cell r="Z2462" t="str">
            <v>Legacy</v>
          </cell>
          <cell r="AA2462" t="str">
            <v>$1K-$10K</v>
          </cell>
          <cell r="AB2462">
            <v>2012</v>
          </cell>
        </row>
        <row r="2463">
          <cell r="E2463">
            <v>7621.32</v>
          </cell>
          <cell r="Z2463" t="str">
            <v>Legacy</v>
          </cell>
          <cell r="AA2463" t="str">
            <v>$1K-$10K</v>
          </cell>
          <cell r="AB2463" t="str">
            <v>2010 or before</v>
          </cell>
        </row>
        <row r="2464">
          <cell r="E2464">
            <v>7619.94</v>
          </cell>
          <cell r="Z2464" t="str">
            <v>Ungating</v>
          </cell>
          <cell r="AA2464" t="str">
            <v>$1K-$10K</v>
          </cell>
          <cell r="AB2464">
            <v>2012</v>
          </cell>
        </row>
        <row r="2465">
          <cell r="E2465">
            <v>7590.71</v>
          </cell>
          <cell r="Z2465" t="str">
            <v>Legacy</v>
          </cell>
          <cell r="AA2465" t="str">
            <v>$1K-$10K</v>
          </cell>
          <cell r="AB2465" t="str">
            <v>2010 or before</v>
          </cell>
        </row>
        <row r="2466">
          <cell r="E2466">
            <v>7571.4</v>
          </cell>
          <cell r="Z2466" t="str">
            <v>Outbound</v>
          </cell>
          <cell r="AA2466" t="str">
            <v>$1K-$10K</v>
          </cell>
          <cell r="AB2466">
            <v>2012</v>
          </cell>
        </row>
        <row r="2467">
          <cell r="E2467">
            <v>7557.88</v>
          </cell>
          <cell r="Z2467" t="str">
            <v>Legacy</v>
          </cell>
          <cell r="AA2467" t="str">
            <v>$1K-$10K</v>
          </cell>
          <cell r="AB2467" t="str">
            <v>2010 or before</v>
          </cell>
        </row>
        <row r="2468">
          <cell r="E2468">
            <v>7541.37</v>
          </cell>
          <cell r="Z2468" t="str">
            <v>Legacy</v>
          </cell>
          <cell r="AA2468" t="str">
            <v>$1K-$10K</v>
          </cell>
          <cell r="AB2468" t="str">
            <v>2010 or before</v>
          </cell>
        </row>
        <row r="2469">
          <cell r="E2469">
            <v>7531.57</v>
          </cell>
          <cell r="Z2469" t="str">
            <v>Legacy</v>
          </cell>
          <cell r="AA2469" t="str">
            <v>$1K-$10K</v>
          </cell>
          <cell r="AB2469" t="str">
            <v>2010 or before</v>
          </cell>
        </row>
        <row r="2470">
          <cell r="E2470">
            <v>7513.49</v>
          </cell>
          <cell r="Z2470" t="str">
            <v>Legacy</v>
          </cell>
          <cell r="AA2470" t="str">
            <v>$1K-$10K</v>
          </cell>
          <cell r="AB2470" t="str">
            <v>2010 or before</v>
          </cell>
        </row>
        <row r="2471">
          <cell r="E2471">
            <v>7512.37</v>
          </cell>
          <cell r="Z2471" t="str">
            <v>Legacy</v>
          </cell>
          <cell r="AA2471" t="str">
            <v>$1K-$10K</v>
          </cell>
          <cell r="AB2471" t="str">
            <v>2010 or before</v>
          </cell>
        </row>
        <row r="2472">
          <cell r="E2472">
            <v>7492.85</v>
          </cell>
          <cell r="Z2472" t="str">
            <v>Legacy</v>
          </cell>
          <cell r="AA2472" t="str">
            <v>$1K-$10K</v>
          </cell>
          <cell r="AB2472" t="str">
            <v>2010 or before</v>
          </cell>
        </row>
        <row r="2473">
          <cell r="E2473">
            <v>7489.2</v>
          </cell>
          <cell r="Z2473" t="str">
            <v>Ungating</v>
          </cell>
          <cell r="AA2473" t="str">
            <v>$1K-$10K</v>
          </cell>
          <cell r="AB2473">
            <v>2011</v>
          </cell>
        </row>
        <row r="2474">
          <cell r="E2474">
            <v>7481.41</v>
          </cell>
          <cell r="Z2474" t="str">
            <v>Legacy</v>
          </cell>
          <cell r="AA2474" t="str">
            <v>$1K-$10K</v>
          </cell>
          <cell r="AB2474">
            <v>2011</v>
          </cell>
        </row>
        <row r="2475">
          <cell r="E2475">
            <v>7446.95</v>
          </cell>
          <cell r="Z2475" t="str">
            <v>Legacy</v>
          </cell>
          <cell r="AA2475" t="str">
            <v>$1K-$10K</v>
          </cell>
          <cell r="AB2475">
            <v>2011</v>
          </cell>
        </row>
        <row r="2476">
          <cell r="E2476">
            <v>7444.95</v>
          </cell>
          <cell r="Z2476" t="str">
            <v>Legacy</v>
          </cell>
          <cell r="AA2476" t="str">
            <v>$1K-$10K</v>
          </cell>
          <cell r="AB2476" t="str">
            <v>2010 or before</v>
          </cell>
        </row>
        <row r="2477">
          <cell r="E2477">
            <v>7437.15</v>
          </cell>
          <cell r="Z2477" t="str">
            <v>Inbound</v>
          </cell>
          <cell r="AA2477" t="str">
            <v>$1K-$10K</v>
          </cell>
          <cell r="AB2477">
            <v>2012</v>
          </cell>
        </row>
        <row r="2478">
          <cell r="E2478">
            <v>7430.83</v>
          </cell>
          <cell r="Z2478" t="str">
            <v>Legacy</v>
          </cell>
          <cell r="AA2478" t="str">
            <v>$1K-$10K</v>
          </cell>
          <cell r="AB2478" t="str">
            <v>2010 or before</v>
          </cell>
        </row>
        <row r="2479">
          <cell r="E2479">
            <v>7397.37</v>
          </cell>
          <cell r="Z2479" t="str">
            <v>Legacy</v>
          </cell>
          <cell r="AA2479" t="str">
            <v>$1K-$10K</v>
          </cell>
          <cell r="AB2479" t="str">
            <v>2010 or before</v>
          </cell>
        </row>
        <row r="2480">
          <cell r="E2480">
            <v>7383.85</v>
          </cell>
          <cell r="Z2480" t="str">
            <v>Legacy</v>
          </cell>
          <cell r="AA2480" t="str">
            <v>$1K-$10K</v>
          </cell>
          <cell r="AB2480">
            <v>2011</v>
          </cell>
        </row>
        <row r="2481">
          <cell r="E2481">
            <v>7383.7</v>
          </cell>
          <cell r="Z2481" t="str">
            <v>Legacy</v>
          </cell>
          <cell r="AA2481" t="str">
            <v>$1K-$10K</v>
          </cell>
          <cell r="AB2481" t="str">
            <v>2010 or before</v>
          </cell>
        </row>
        <row r="2482">
          <cell r="E2482">
            <v>7379.07</v>
          </cell>
          <cell r="Z2482" t="str">
            <v>Legacy</v>
          </cell>
          <cell r="AA2482" t="str">
            <v>$1K-$10K</v>
          </cell>
          <cell r="AB2482" t="str">
            <v>2010 or before</v>
          </cell>
        </row>
        <row r="2483">
          <cell r="E2483">
            <v>7376.48</v>
          </cell>
          <cell r="Z2483" t="str">
            <v>Inbound</v>
          </cell>
          <cell r="AA2483" t="str">
            <v>$1K-$10K</v>
          </cell>
          <cell r="AB2483">
            <v>2012</v>
          </cell>
        </row>
        <row r="2484">
          <cell r="E2484">
            <v>7375.44</v>
          </cell>
          <cell r="Z2484" t="str">
            <v>Legacy</v>
          </cell>
          <cell r="AA2484" t="str">
            <v>$1K-$10K</v>
          </cell>
          <cell r="AB2484" t="str">
            <v>2010 or before</v>
          </cell>
        </row>
        <row r="2485">
          <cell r="E2485">
            <v>7353.01</v>
          </cell>
          <cell r="Z2485" t="str">
            <v>Legacy</v>
          </cell>
          <cell r="AA2485" t="str">
            <v>$1K-$10K</v>
          </cell>
          <cell r="AB2485" t="str">
            <v>2010 or before</v>
          </cell>
        </row>
        <row r="2486">
          <cell r="E2486">
            <v>7343.05</v>
          </cell>
          <cell r="Z2486" t="str">
            <v>Legacy</v>
          </cell>
          <cell r="AA2486" t="str">
            <v>$1K-$10K</v>
          </cell>
          <cell r="AB2486" t="str">
            <v>2010 or before</v>
          </cell>
        </row>
        <row r="2487">
          <cell r="E2487">
            <v>7341.18</v>
          </cell>
          <cell r="Z2487" t="str">
            <v>Legacy</v>
          </cell>
          <cell r="AA2487" t="str">
            <v>$1K-$10K</v>
          </cell>
          <cell r="AB2487">
            <v>2011</v>
          </cell>
        </row>
        <row r="2488">
          <cell r="E2488">
            <v>7338.41</v>
          </cell>
          <cell r="Z2488" t="str">
            <v>Inbound</v>
          </cell>
          <cell r="AA2488" t="str">
            <v>$1K-$10K</v>
          </cell>
          <cell r="AB2488">
            <v>2012</v>
          </cell>
        </row>
        <row r="2489">
          <cell r="E2489">
            <v>7315.96</v>
          </cell>
          <cell r="Z2489" t="str">
            <v>Inbound</v>
          </cell>
          <cell r="AA2489" t="str">
            <v>$1K-$10K</v>
          </cell>
          <cell r="AB2489">
            <v>2012</v>
          </cell>
        </row>
        <row r="2490">
          <cell r="E2490">
            <v>7314.91</v>
          </cell>
          <cell r="Z2490" t="str">
            <v>Inbound</v>
          </cell>
          <cell r="AA2490" t="str">
            <v>$1K-$10K</v>
          </cell>
          <cell r="AB2490">
            <v>2012</v>
          </cell>
        </row>
        <row r="2491">
          <cell r="E2491">
            <v>7308.4</v>
          </cell>
          <cell r="Z2491" t="str">
            <v>Legacy</v>
          </cell>
          <cell r="AA2491" t="str">
            <v>$1K-$10K</v>
          </cell>
          <cell r="AB2491" t="str">
            <v>2010 or before</v>
          </cell>
        </row>
        <row r="2492">
          <cell r="E2492">
            <v>7304.36</v>
          </cell>
          <cell r="Z2492" t="str">
            <v>Legacy</v>
          </cell>
          <cell r="AA2492" t="str">
            <v>$1K-$10K</v>
          </cell>
          <cell r="AB2492" t="str">
            <v>2010 or before</v>
          </cell>
        </row>
        <row r="2493">
          <cell r="E2493">
            <v>7263.9</v>
          </cell>
          <cell r="Z2493" t="str">
            <v>Inbound</v>
          </cell>
          <cell r="AA2493" t="str">
            <v>$1K-$10K</v>
          </cell>
          <cell r="AB2493">
            <v>2012</v>
          </cell>
        </row>
        <row r="2494">
          <cell r="E2494">
            <v>7245.35</v>
          </cell>
          <cell r="Z2494" t="str">
            <v>Legacy</v>
          </cell>
          <cell r="AA2494" t="str">
            <v>$1K-$10K</v>
          </cell>
          <cell r="AB2494" t="str">
            <v>2010 or before</v>
          </cell>
        </row>
        <row r="2495">
          <cell r="E2495">
            <v>7243.54</v>
          </cell>
          <cell r="Z2495" t="str">
            <v>Ungating</v>
          </cell>
          <cell r="AA2495" t="str">
            <v>$1K-$10K</v>
          </cell>
          <cell r="AB2495">
            <v>2012</v>
          </cell>
        </row>
        <row r="2496">
          <cell r="E2496">
            <v>7227.83</v>
          </cell>
          <cell r="Z2496" t="str">
            <v>Legacy</v>
          </cell>
          <cell r="AA2496" t="str">
            <v>$1K-$10K</v>
          </cell>
          <cell r="AB2496">
            <v>2012</v>
          </cell>
        </row>
        <row r="2497">
          <cell r="E2497">
            <v>7217.22</v>
          </cell>
          <cell r="Z2497" t="str">
            <v>Legacy</v>
          </cell>
          <cell r="AA2497" t="str">
            <v>$1K-$10K</v>
          </cell>
          <cell r="AB2497" t="str">
            <v>2010 or before</v>
          </cell>
        </row>
        <row r="2498">
          <cell r="E2498">
            <v>7203.79</v>
          </cell>
          <cell r="Z2498" t="str">
            <v>Legacy</v>
          </cell>
          <cell r="AA2498" t="str">
            <v>$1K-$10K</v>
          </cell>
          <cell r="AB2498" t="str">
            <v>2010 or before</v>
          </cell>
        </row>
        <row r="2499">
          <cell r="E2499">
            <v>7196.26</v>
          </cell>
          <cell r="Z2499" t="str">
            <v>Legacy</v>
          </cell>
          <cell r="AA2499" t="str">
            <v>$1K-$10K</v>
          </cell>
          <cell r="AB2499" t="str">
            <v>2010 or before</v>
          </cell>
        </row>
        <row r="2500">
          <cell r="E2500">
            <v>7192.81</v>
          </cell>
          <cell r="Z2500" t="str">
            <v>Legacy</v>
          </cell>
          <cell r="AA2500" t="str">
            <v>$1K-$10K</v>
          </cell>
          <cell r="AB2500">
            <v>2011</v>
          </cell>
        </row>
        <row r="2501">
          <cell r="E2501">
            <v>7187.76</v>
          </cell>
          <cell r="Z2501" t="str">
            <v>Legacy</v>
          </cell>
          <cell r="AA2501" t="str">
            <v>$1K-$10K</v>
          </cell>
          <cell r="AB2501" t="str">
            <v>2010 or before</v>
          </cell>
        </row>
        <row r="2502">
          <cell r="E2502">
            <v>7156.75</v>
          </cell>
          <cell r="Z2502" t="str">
            <v>Legacy</v>
          </cell>
          <cell r="AA2502" t="str">
            <v>$1K-$10K</v>
          </cell>
          <cell r="AB2502" t="str">
            <v>2010 or before</v>
          </cell>
        </row>
        <row r="2503">
          <cell r="E2503">
            <v>7154.76</v>
          </cell>
          <cell r="Z2503" t="str">
            <v>Legacy</v>
          </cell>
          <cell r="AA2503" t="str">
            <v>$1K-$10K</v>
          </cell>
          <cell r="AB2503" t="str">
            <v>2010 or before</v>
          </cell>
        </row>
        <row r="2504">
          <cell r="E2504">
            <v>7152.98</v>
          </cell>
          <cell r="Z2504" t="str">
            <v>Legacy</v>
          </cell>
          <cell r="AA2504" t="str">
            <v>$1K-$10K</v>
          </cell>
          <cell r="AB2504" t="str">
            <v>2010 or before</v>
          </cell>
        </row>
        <row r="2505">
          <cell r="E2505">
            <v>7149.61</v>
          </cell>
          <cell r="Z2505" t="str">
            <v>Legacy</v>
          </cell>
          <cell r="AA2505" t="str">
            <v>$1K-$10K</v>
          </cell>
          <cell r="AB2505">
            <v>2011</v>
          </cell>
        </row>
        <row r="2506">
          <cell r="E2506">
            <v>7145.97</v>
          </cell>
          <cell r="Z2506" t="str">
            <v>Legacy</v>
          </cell>
          <cell r="AA2506" t="str">
            <v>$1K-$10K</v>
          </cell>
          <cell r="AB2506">
            <v>2011</v>
          </cell>
        </row>
        <row r="2507">
          <cell r="E2507">
            <v>7133.21</v>
          </cell>
          <cell r="Z2507" t="str">
            <v>Legacy</v>
          </cell>
          <cell r="AA2507" t="str">
            <v>$1K-$10K</v>
          </cell>
          <cell r="AB2507" t="str">
            <v>2010 or before</v>
          </cell>
        </row>
        <row r="2508">
          <cell r="E2508">
            <v>7132.29</v>
          </cell>
          <cell r="Z2508" t="str">
            <v>Inbound</v>
          </cell>
          <cell r="AA2508" t="str">
            <v>$1K-$10K</v>
          </cell>
          <cell r="AB2508">
            <v>2012</v>
          </cell>
        </row>
        <row r="2509">
          <cell r="E2509">
            <v>7115</v>
          </cell>
          <cell r="Z2509" t="str">
            <v>Legacy</v>
          </cell>
          <cell r="AA2509" t="str">
            <v>$1K-$10K</v>
          </cell>
          <cell r="AB2509" t="str">
            <v>2010 or before</v>
          </cell>
        </row>
        <row r="2510">
          <cell r="E2510">
            <v>7101.4</v>
          </cell>
          <cell r="Z2510" t="str">
            <v>Inbound</v>
          </cell>
          <cell r="AA2510" t="str">
            <v>$1K-$10K</v>
          </cell>
          <cell r="AB2510">
            <v>2011</v>
          </cell>
        </row>
        <row r="2511">
          <cell r="E2511">
            <v>7094.62</v>
          </cell>
          <cell r="Z2511" t="str">
            <v>Ungating</v>
          </cell>
          <cell r="AA2511" t="str">
            <v>$1K-$10K</v>
          </cell>
          <cell r="AB2511">
            <v>2012</v>
          </cell>
        </row>
        <row r="2512">
          <cell r="E2512">
            <v>7088</v>
          </cell>
          <cell r="Z2512" t="str">
            <v>Legacy</v>
          </cell>
          <cell r="AA2512" t="str">
            <v>$1K-$10K</v>
          </cell>
          <cell r="AB2512" t="str">
            <v>2010 or before</v>
          </cell>
        </row>
        <row r="2513">
          <cell r="E2513">
            <v>7071.16</v>
          </cell>
          <cell r="Z2513" t="str">
            <v>Legacy</v>
          </cell>
          <cell r="AA2513" t="str">
            <v>$1K-$10K</v>
          </cell>
          <cell r="AB2513" t="str">
            <v>2010 or before</v>
          </cell>
        </row>
        <row r="2514">
          <cell r="E2514">
            <v>7056.92</v>
          </cell>
          <cell r="Z2514" t="str">
            <v>Legacy</v>
          </cell>
          <cell r="AA2514" t="str">
            <v>$1K-$10K</v>
          </cell>
          <cell r="AB2514" t="str">
            <v>2010 or before</v>
          </cell>
        </row>
        <row r="2515">
          <cell r="E2515">
            <v>7041.26</v>
          </cell>
          <cell r="Z2515" t="str">
            <v>Legacy</v>
          </cell>
          <cell r="AA2515" t="str">
            <v>$1K-$10K</v>
          </cell>
          <cell r="AB2515" t="str">
            <v>2010 or before</v>
          </cell>
        </row>
        <row r="2516">
          <cell r="E2516">
            <v>7041.22</v>
          </cell>
          <cell r="Z2516" t="str">
            <v>Legacy</v>
          </cell>
          <cell r="AA2516" t="str">
            <v>$1K-$10K</v>
          </cell>
          <cell r="AB2516" t="str">
            <v>2010 or before</v>
          </cell>
        </row>
        <row r="2517">
          <cell r="E2517">
            <v>7041.07</v>
          </cell>
          <cell r="Z2517" t="str">
            <v>Legacy</v>
          </cell>
          <cell r="AA2517" t="str">
            <v>$1K-$10K</v>
          </cell>
          <cell r="AB2517" t="str">
            <v>2010 or before</v>
          </cell>
        </row>
        <row r="2518">
          <cell r="E2518">
            <v>7031.43</v>
          </cell>
          <cell r="Z2518" t="str">
            <v>Legacy</v>
          </cell>
          <cell r="AA2518" t="str">
            <v>$1K-$10K</v>
          </cell>
          <cell r="AB2518" t="str">
            <v>2010 or before</v>
          </cell>
        </row>
        <row r="2519">
          <cell r="E2519">
            <v>7022.69</v>
          </cell>
          <cell r="Z2519" t="str">
            <v>Legacy</v>
          </cell>
          <cell r="AA2519" t="str">
            <v>$1K-$10K</v>
          </cell>
          <cell r="AB2519" t="str">
            <v>2010 or before</v>
          </cell>
        </row>
        <row r="2520">
          <cell r="E2520">
            <v>7012.4</v>
          </cell>
          <cell r="Z2520" t="str">
            <v>Legacy</v>
          </cell>
          <cell r="AA2520" t="str">
            <v>$1K-$10K</v>
          </cell>
          <cell r="AB2520" t="str">
            <v>2010 or before</v>
          </cell>
        </row>
        <row r="2521">
          <cell r="E2521">
            <v>7012.32</v>
          </cell>
          <cell r="Z2521" t="str">
            <v>Legacy</v>
          </cell>
          <cell r="AA2521" t="str">
            <v>$1K-$10K</v>
          </cell>
          <cell r="AB2521" t="str">
            <v>2010 or before</v>
          </cell>
        </row>
        <row r="2522">
          <cell r="E2522">
            <v>6985.73</v>
          </cell>
          <cell r="Z2522" t="str">
            <v>Legacy</v>
          </cell>
          <cell r="AA2522" t="str">
            <v>$1K-$10K</v>
          </cell>
          <cell r="AB2522" t="str">
            <v>2010 or before</v>
          </cell>
        </row>
        <row r="2523">
          <cell r="E2523">
            <v>6981.06</v>
          </cell>
          <cell r="Z2523" t="str">
            <v>Legacy</v>
          </cell>
          <cell r="AA2523" t="str">
            <v>$1K-$10K</v>
          </cell>
          <cell r="AB2523" t="str">
            <v>2010 or before</v>
          </cell>
        </row>
        <row r="2524">
          <cell r="E2524">
            <v>6972.9</v>
          </cell>
          <cell r="Z2524" t="str">
            <v>Ungating</v>
          </cell>
          <cell r="AA2524" t="str">
            <v>$1K-$10K</v>
          </cell>
          <cell r="AB2524">
            <v>2012</v>
          </cell>
        </row>
        <row r="2525">
          <cell r="E2525">
            <v>6951.26</v>
          </cell>
          <cell r="Z2525" t="str">
            <v>Legacy</v>
          </cell>
          <cell r="AA2525" t="str">
            <v>$1K-$10K</v>
          </cell>
          <cell r="AB2525">
            <v>2012</v>
          </cell>
        </row>
        <row r="2526">
          <cell r="E2526">
            <v>6948.97</v>
          </cell>
          <cell r="Z2526" t="str">
            <v>Legacy</v>
          </cell>
          <cell r="AA2526" t="str">
            <v>$1K-$10K</v>
          </cell>
          <cell r="AB2526" t="str">
            <v>2010 or before</v>
          </cell>
        </row>
        <row r="2527">
          <cell r="E2527">
            <v>6947.27</v>
          </cell>
          <cell r="Z2527" t="str">
            <v>Ungating</v>
          </cell>
          <cell r="AA2527" t="str">
            <v>$1K-$10K</v>
          </cell>
          <cell r="AB2527">
            <v>2012</v>
          </cell>
        </row>
        <row r="2528">
          <cell r="E2528">
            <v>6904.5</v>
          </cell>
          <cell r="Z2528" t="str">
            <v>Legacy</v>
          </cell>
          <cell r="AA2528" t="str">
            <v>$1K-$10K</v>
          </cell>
          <cell r="AB2528" t="str">
            <v>2010 or before</v>
          </cell>
        </row>
        <row r="2529">
          <cell r="E2529">
            <v>6901.82</v>
          </cell>
          <cell r="Z2529" t="str">
            <v>Ungating</v>
          </cell>
          <cell r="AA2529" t="str">
            <v>$1K-$10K</v>
          </cell>
          <cell r="AB2529">
            <v>2011</v>
          </cell>
        </row>
        <row r="2530">
          <cell r="E2530">
            <v>6899.13</v>
          </cell>
          <cell r="Z2530" t="str">
            <v>Legacy</v>
          </cell>
          <cell r="AA2530" t="str">
            <v>$1K-$10K</v>
          </cell>
          <cell r="AB2530" t="str">
            <v>2010 or before</v>
          </cell>
        </row>
        <row r="2531">
          <cell r="E2531">
            <v>6898.5</v>
          </cell>
          <cell r="Z2531" t="str">
            <v>Ungating</v>
          </cell>
          <cell r="AA2531" t="str">
            <v>$1K-$10K</v>
          </cell>
          <cell r="AB2531">
            <v>2011</v>
          </cell>
        </row>
        <row r="2532">
          <cell r="E2532">
            <v>6897.6</v>
          </cell>
          <cell r="Z2532" t="str">
            <v>Inbound</v>
          </cell>
          <cell r="AA2532" t="str">
            <v>$1K-$10K</v>
          </cell>
          <cell r="AB2532">
            <v>2012</v>
          </cell>
        </row>
        <row r="2533">
          <cell r="E2533">
            <v>6858.89</v>
          </cell>
          <cell r="Z2533" t="str">
            <v>Legacy</v>
          </cell>
          <cell r="AA2533" t="str">
            <v>$1K-$10K</v>
          </cell>
          <cell r="AB2533" t="str">
            <v>2010 or before</v>
          </cell>
        </row>
        <row r="2534">
          <cell r="E2534">
            <v>6858.61</v>
          </cell>
          <cell r="Z2534" t="str">
            <v>Ungating</v>
          </cell>
          <cell r="AA2534" t="str">
            <v>$1K-$10K</v>
          </cell>
          <cell r="AB2534">
            <v>2012</v>
          </cell>
        </row>
        <row r="2535">
          <cell r="E2535">
            <v>6849.01</v>
          </cell>
          <cell r="Z2535" t="str">
            <v>Legacy</v>
          </cell>
          <cell r="AA2535" t="str">
            <v>$1K-$10K</v>
          </cell>
          <cell r="AB2535" t="str">
            <v>2010 or before</v>
          </cell>
        </row>
        <row r="2536">
          <cell r="E2536">
            <v>6840.03</v>
          </cell>
          <cell r="Z2536" t="str">
            <v>Ungating</v>
          </cell>
          <cell r="AA2536" t="str">
            <v>$1K-$10K</v>
          </cell>
          <cell r="AB2536">
            <v>2012</v>
          </cell>
        </row>
        <row r="2537">
          <cell r="E2537">
            <v>6839.04</v>
          </cell>
          <cell r="Z2537" t="str">
            <v>Legacy</v>
          </cell>
          <cell r="AA2537" t="str">
            <v>$1K-$10K</v>
          </cell>
          <cell r="AB2537">
            <v>2011</v>
          </cell>
        </row>
        <row r="2538">
          <cell r="E2538">
            <v>6826</v>
          </cell>
          <cell r="Z2538" t="str">
            <v>Inbound</v>
          </cell>
          <cell r="AA2538" t="str">
            <v>$1K-$10K</v>
          </cell>
          <cell r="AB2538">
            <v>2012</v>
          </cell>
        </row>
        <row r="2539">
          <cell r="E2539">
            <v>6819.53</v>
          </cell>
          <cell r="Z2539" t="str">
            <v>Legacy</v>
          </cell>
          <cell r="AA2539" t="str">
            <v>$1K-$10K</v>
          </cell>
          <cell r="AB2539" t="str">
            <v>2010 or before</v>
          </cell>
        </row>
        <row r="2540">
          <cell r="E2540">
            <v>6793.05</v>
          </cell>
          <cell r="Z2540" t="str">
            <v>Ungating</v>
          </cell>
          <cell r="AA2540" t="str">
            <v>$1K-$10K</v>
          </cell>
          <cell r="AB2540">
            <v>2011</v>
          </cell>
        </row>
        <row r="2541">
          <cell r="E2541">
            <v>6763.43</v>
          </cell>
          <cell r="Z2541" t="str">
            <v>Legacy</v>
          </cell>
          <cell r="AA2541" t="str">
            <v>$1K-$10K</v>
          </cell>
          <cell r="AB2541" t="str">
            <v>2010 or before</v>
          </cell>
        </row>
        <row r="2542">
          <cell r="E2542">
            <v>6754.06</v>
          </cell>
          <cell r="Z2542" t="str">
            <v>Legacy</v>
          </cell>
          <cell r="AA2542" t="str">
            <v>$1K-$10K</v>
          </cell>
          <cell r="AB2542">
            <v>2012</v>
          </cell>
        </row>
        <row r="2543">
          <cell r="E2543">
            <v>6748.38</v>
          </cell>
          <cell r="Z2543" t="str">
            <v>Outbound</v>
          </cell>
          <cell r="AA2543" t="str">
            <v>$1K-$10K</v>
          </cell>
          <cell r="AB2543">
            <v>2012</v>
          </cell>
        </row>
        <row r="2544">
          <cell r="E2544">
            <v>6713.91</v>
          </cell>
          <cell r="Z2544" t="str">
            <v>Inbound</v>
          </cell>
          <cell r="AA2544" t="str">
            <v>$1K-$10K</v>
          </cell>
          <cell r="AB2544">
            <v>2012</v>
          </cell>
        </row>
        <row r="2545">
          <cell r="E2545">
            <v>6698.38</v>
          </cell>
          <cell r="Z2545" t="str">
            <v>Legacy</v>
          </cell>
          <cell r="AA2545" t="str">
            <v>$1K-$10K</v>
          </cell>
          <cell r="AB2545" t="str">
            <v>2010 or before</v>
          </cell>
        </row>
        <row r="2546">
          <cell r="E2546">
            <v>6697.81</v>
          </cell>
          <cell r="Z2546" t="str">
            <v>Legacy</v>
          </cell>
          <cell r="AA2546" t="str">
            <v>$1K-$10K</v>
          </cell>
          <cell r="AB2546">
            <v>2012</v>
          </cell>
        </row>
        <row r="2547">
          <cell r="E2547">
            <v>6652.08</v>
          </cell>
          <cell r="Z2547" t="str">
            <v>Legacy</v>
          </cell>
          <cell r="AA2547" t="str">
            <v>$1K-$10K</v>
          </cell>
          <cell r="AB2547" t="str">
            <v>2010 or before</v>
          </cell>
        </row>
        <row r="2548">
          <cell r="E2548">
            <v>6646.1</v>
          </cell>
          <cell r="Z2548" t="str">
            <v>Legacy</v>
          </cell>
          <cell r="AA2548" t="str">
            <v>$1K-$10K</v>
          </cell>
          <cell r="AB2548" t="str">
            <v>2010 or before</v>
          </cell>
        </row>
        <row r="2549">
          <cell r="E2549">
            <v>6639.53</v>
          </cell>
          <cell r="Z2549" t="str">
            <v>Strategic</v>
          </cell>
          <cell r="AA2549" t="str">
            <v>$1K-$10K</v>
          </cell>
          <cell r="AB2549">
            <v>2012</v>
          </cell>
        </row>
        <row r="2550">
          <cell r="E2550">
            <v>6630.2</v>
          </cell>
          <cell r="Z2550" t="str">
            <v>Legacy</v>
          </cell>
          <cell r="AA2550" t="str">
            <v>$1K-$10K</v>
          </cell>
          <cell r="AB2550" t="str">
            <v>2010 or before</v>
          </cell>
        </row>
        <row r="2551">
          <cell r="E2551">
            <v>6623.33</v>
          </cell>
          <cell r="Z2551" t="str">
            <v>Legacy</v>
          </cell>
          <cell r="AA2551" t="str">
            <v>$1K-$10K</v>
          </cell>
          <cell r="AB2551" t="str">
            <v>2010 or before</v>
          </cell>
        </row>
        <row r="2552">
          <cell r="E2552">
            <v>6622.34</v>
          </cell>
          <cell r="Z2552" t="str">
            <v>Global</v>
          </cell>
          <cell r="AA2552" t="str">
            <v>$1K-$10K</v>
          </cell>
          <cell r="AB2552">
            <v>2012</v>
          </cell>
        </row>
        <row r="2553">
          <cell r="E2553">
            <v>6611.11</v>
          </cell>
          <cell r="Z2553" t="str">
            <v>Inbound</v>
          </cell>
          <cell r="AA2553" t="str">
            <v>$1K-$10K</v>
          </cell>
          <cell r="AB2553">
            <v>2012</v>
          </cell>
        </row>
        <row r="2554">
          <cell r="E2554">
            <v>6607.34</v>
          </cell>
          <cell r="Z2554" t="str">
            <v>Legacy</v>
          </cell>
          <cell r="AA2554" t="str">
            <v>$1K-$10K</v>
          </cell>
          <cell r="AB2554">
            <v>2011</v>
          </cell>
        </row>
        <row r="2555">
          <cell r="E2555">
            <v>6602.17</v>
          </cell>
          <cell r="Z2555" t="str">
            <v>Outbound</v>
          </cell>
          <cell r="AA2555" t="str">
            <v>$1K-$10K</v>
          </cell>
          <cell r="AB2555">
            <v>2012</v>
          </cell>
        </row>
        <row r="2556">
          <cell r="E2556">
            <v>6569.04</v>
          </cell>
          <cell r="Z2556" t="str">
            <v>Inbound</v>
          </cell>
          <cell r="AA2556" t="str">
            <v>$1K-$10K</v>
          </cell>
          <cell r="AB2556">
            <v>2012</v>
          </cell>
        </row>
        <row r="2557">
          <cell r="E2557">
            <v>6567.36</v>
          </cell>
          <cell r="Z2557" t="str">
            <v>Legacy</v>
          </cell>
          <cell r="AA2557" t="str">
            <v>$1K-$10K</v>
          </cell>
          <cell r="AB2557" t="str">
            <v>2010 or before</v>
          </cell>
        </row>
        <row r="2558">
          <cell r="E2558">
            <v>6554.82</v>
          </cell>
          <cell r="Z2558" t="str">
            <v>Legacy</v>
          </cell>
          <cell r="AA2558" t="str">
            <v>$1K-$10K</v>
          </cell>
          <cell r="AB2558" t="str">
            <v>2010 or before</v>
          </cell>
        </row>
        <row r="2559">
          <cell r="E2559">
            <v>6541.53</v>
          </cell>
          <cell r="Z2559" t="str">
            <v>Legacy</v>
          </cell>
          <cell r="AA2559" t="str">
            <v>$1K-$10K</v>
          </cell>
          <cell r="AB2559" t="str">
            <v>2010 or before</v>
          </cell>
        </row>
        <row r="2560">
          <cell r="E2560">
            <v>6527.13</v>
          </cell>
          <cell r="Z2560" t="str">
            <v>Legacy</v>
          </cell>
          <cell r="AA2560" t="str">
            <v>$1K-$10K</v>
          </cell>
          <cell r="AB2560" t="str">
            <v>2010 or before</v>
          </cell>
        </row>
        <row r="2561">
          <cell r="E2561">
            <v>6523.49</v>
          </cell>
          <cell r="Z2561" t="str">
            <v>Legacy</v>
          </cell>
          <cell r="AA2561" t="str">
            <v>$1K-$10K</v>
          </cell>
          <cell r="AB2561">
            <v>2011</v>
          </cell>
        </row>
        <row r="2562">
          <cell r="E2562">
            <v>6518.75</v>
          </cell>
          <cell r="Z2562" t="str">
            <v>Legacy</v>
          </cell>
          <cell r="AA2562" t="str">
            <v>$1K-$10K</v>
          </cell>
          <cell r="AB2562" t="str">
            <v>2010 or before</v>
          </cell>
        </row>
        <row r="2563">
          <cell r="E2563">
            <v>6502.23</v>
          </cell>
          <cell r="Z2563" t="str">
            <v>Legacy</v>
          </cell>
          <cell r="AA2563" t="str">
            <v>$1K-$10K</v>
          </cell>
          <cell r="AB2563" t="str">
            <v>2010 or before</v>
          </cell>
        </row>
        <row r="2564">
          <cell r="E2564">
            <v>6500.39</v>
          </cell>
          <cell r="Z2564" t="str">
            <v>Legacy</v>
          </cell>
          <cell r="AA2564" t="str">
            <v>$1K-$10K</v>
          </cell>
          <cell r="AB2564" t="str">
            <v>2010 or before</v>
          </cell>
        </row>
        <row r="2565">
          <cell r="E2565">
            <v>6474.2</v>
          </cell>
          <cell r="Z2565" t="str">
            <v>Ungating</v>
          </cell>
          <cell r="AA2565" t="str">
            <v>$1K-$10K</v>
          </cell>
          <cell r="AB2565">
            <v>2012</v>
          </cell>
        </row>
        <row r="2566">
          <cell r="E2566">
            <v>6466.13</v>
          </cell>
          <cell r="Z2566" t="str">
            <v>Ungating</v>
          </cell>
          <cell r="AA2566" t="str">
            <v>$1K-$10K</v>
          </cell>
          <cell r="AB2566">
            <v>2012</v>
          </cell>
        </row>
        <row r="2567">
          <cell r="E2567">
            <v>6462.39</v>
          </cell>
          <cell r="Z2567" t="str">
            <v>Legacy</v>
          </cell>
          <cell r="AA2567" t="str">
            <v>$1K-$10K</v>
          </cell>
          <cell r="AB2567" t="str">
            <v>2010 or before</v>
          </cell>
        </row>
        <row r="2568">
          <cell r="E2568">
            <v>6456.89</v>
          </cell>
          <cell r="Z2568" t="str">
            <v>Legacy</v>
          </cell>
          <cell r="AA2568" t="str">
            <v>$1K-$10K</v>
          </cell>
          <cell r="AB2568" t="str">
            <v>2010 or before</v>
          </cell>
        </row>
        <row r="2569">
          <cell r="E2569">
            <v>6449.75</v>
          </cell>
          <cell r="Z2569" t="str">
            <v>Legacy</v>
          </cell>
          <cell r="AA2569" t="str">
            <v>$1K-$10K</v>
          </cell>
          <cell r="AB2569" t="str">
            <v>2010 or before</v>
          </cell>
        </row>
        <row r="2570">
          <cell r="E2570">
            <v>6449.48</v>
          </cell>
          <cell r="Z2570" t="str">
            <v>Legacy</v>
          </cell>
          <cell r="AA2570" t="str">
            <v>$1K-$10K</v>
          </cell>
          <cell r="AB2570" t="str">
            <v>2010 or before</v>
          </cell>
        </row>
        <row r="2571">
          <cell r="E2571">
            <v>6423.34</v>
          </cell>
          <cell r="Z2571" t="str">
            <v>Ungating</v>
          </cell>
          <cell r="AA2571" t="str">
            <v>$1K-$10K</v>
          </cell>
          <cell r="AB2571">
            <v>2012</v>
          </cell>
        </row>
        <row r="2572">
          <cell r="E2572">
            <v>6417.32</v>
          </cell>
          <cell r="Z2572" t="str">
            <v>Ungating</v>
          </cell>
          <cell r="AA2572" t="str">
            <v>$1K-$10K</v>
          </cell>
          <cell r="AB2572">
            <v>2011</v>
          </cell>
        </row>
        <row r="2573">
          <cell r="E2573">
            <v>6414.67</v>
          </cell>
          <cell r="Z2573" t="str">
            <v>Global</v>
          </cell>
          <cell r="AA2573" t="str">
            <v>$1K-$10K</v>
          </cell>
          <cell r="AB2573">
            <v>2012</v>
          </cell>
        </row>
        <row r="2574">
          <cell r="E2574">
            <v>6414.41</v>
          </cell>
          <cell r="Z2574" t="str">
            <v>Legacy</v>
          </cell>
          <cell r="AA2574" t="str">
            <v>$1K-$10K</v>
          </cell>
          <cell r="AB2574" t="str">
            <v>2010 or before</v>
          </cell>
        </row>
        <row r="2575">
          <cell r="E2575">
            <v>6406.49</v>
          </cell>
          <cell r="Z2575" t="str">
            <v>Outbound</v>
          </cell>
          <cell r="AA2575" t="str">
            <v>$1K-$10K</v>
          </cell>
          <cell r="AB2575">
            <v>2012</v>
          </cell>
        </row>
        <row r="2576">
          <cell r="E2576">
            <v>6394.3</v>
          </cell>
          <cell r="Z2576" t="str">
            <v>Inbound</v>
          </cell>
          <cell r="AA2576" t="str">
            <v>$1K-$10K</v>
          </cell>
          <cell r="AB2576">
            <v>2012</v>
          </cell>
        </row>
        <row r="2577">
          <cell r="E2577">
            <v>6381.3</v>
          </cell>
          <cell r="Z2577" t="str">
            <v>Outbound</v>
          </cell>
          <cell r="AA2577" t="str">
            <v>$1K-$10K</v>
          </cell>
          <cell r="AB2577">
            <v>2012</v>
          </cell>
        </row>
        <row r="2578">
          <cell r="E2578">
            <v>6374.4</v>
          </cell>
          <cell r="Z2578" t="str">
            <v>Global</v>
          </cell>
          <cell r="AA2578" t="str">
            <v>$1K-$10K</v>
          </cell>
          <cell r="AB2578">
            <v>2012</v>
          </cell>
        </row>
        <row r="2579">
          <cell r="E2579">
            <v>6365.94</v>
          </cell>
          <cell r="Z2579" t="str">
            <v>Legacy</v>
          </cell>
          <cell r="AA2579" t="str">
            <v>$1K-$10K</v>
          </cell>
          <cell r="AB2579" t="str">
            <v>2010 or before</v>
          </cell>
        </row>
        <row r="2580">
          <cell r="E2580">
            <v>6365.66</v>
          </cell>
          <cell r="Z2580" t="str">
            <v>Legacy</v>
          </cell>
          <cell r="AA2580" t="str">
            <v>$1K-$10K</v>
          </cell>
          <cell r="AB2580" t="str">
            <v>2010 or before</v>
          </cell>
        </row>
        <row r="2581">
          <cell r="E2581">
            <v>6364.4</v>
          </cell>
          <cell r="Z2581" t="str">
            <v>Legacy</v>
          </cell>
          <cell r="AA2581" t="str">
            <v>$1K-$10K</v>
          </cell>
          <cell r="AB2581" t="str">
            <v>2010 or before</v>
          </cell>
        </row>
        <row r="2582">
          <cell r="E2582">
            <v>6361.42</v>
          </cell>
          <cell r="Z2582" t="str">
            <v>Legacy</v>
          </cell>
          <cell r="AA2582" t="str">
            <v>$1K-$10K</v>
          </cell>
          <cell r="AB2582" t="str">
            <v>2010 or before</v>
          </cell>
        </row>
        <row r="2583">
          <cell r="E2583">
            <v>6344.33</v>
          </cell>
          <cell r="Z2583" t="str">
            <v>Ungating</v>
          </cell>
          <cell r="AA2583" t="str">
            <v>$1K-$10K</v>
          </cell>
          <cell r="AB2583">
            <v>2012</v>
          </cell>
        </row>
        <row r="2584">
          <cell r="E2584">
            <v>6333.09</v>
          </cell>
          <cell r="Z2584" t="str">
            <v>Legacy</v>
          </cell>
          <cell r="AA2584" t="str">
            <v>$1K-$10K</v>
          </cell>
          <cell r="AB2584" t="str">
            <v>2010 or before</v>
          </cell>
        </row>
        <row r="2585">
          <cell r="E2585">
            <v>6318.41</v>
          </cell>
          <cell r="Z2585" t="str">
            <v>Ungating</v>
          </cell>
          <cell r="AA2585" t="str">
            <v>$1K-$10K</v>
          </cell>
          <cell r="AB2585">
            <v>2012</v>
          </cell>
        </row>
        <row r="2586">
          <cell r="E2586">
            <v>6312.82</v>
          </cell>
          <cell r="Z2586" t="str">
            <v>Legacy</v>
          </cell>
          <cell r="AA2586" t="str">
            <v>$1K-$10K</v>
          </cell>
          <cell r="AB2586">
            <v>2011</v>
          </cell>
        </row>
        <row r="2587">
          <cell r="E2587">
            <v>6312.47</v>
          </cell>
          <cell r="Z2587" t="str">
            <v>Legacy</v>
          </cell>
          <cell r="AA2587" t="str">
            <v>$1K-$10K</v>
          </cell>
          <cell r="AB2587" t="str">
            <v>2010 or before</v>
          </cell>
        </row>
        <row r="2588">
          <cell r="E2588">
            <v>6305.77</v>
          </cell>
          <cell r="Z2588" t="str">
            <v>Inbound</v>
          </cell>
          <cell r="AA2588" t="str">
            <v>$1K-$10K</v>
          </cell>
          <cell r="AB2588">
            <v>2011</v>
          </cell>
        </row>
        <row r="2589">
          <cell r="E2589">
            <v>6290.65</v>
          </cell>
          <cell r="Z2589" t="str">
            <v>Ungating</v>
          </cell>
          <cell r="AA2589" t="str">
            <v>$1K-$10K</v>
          </cell>
          <cell r="AB2589">
            <v>2012</v>
          </cell>
        </row>
        <row r="2590">
          <cell r="E2590">
            <v>6290.63</v>
          </cell>
          <cell r="Z2590" t="str">
            <v>Legacy</v>
          </cell>
          <cell r="AA2590" t="str">
            <v>$1K-$10K</v>
          </cell>
          <cell r="AB2590">
            <v>2011</v>
          </cell>
        </row>
        <row r="2591">
          <cell r="E2591">
            <v>6275</v>
          </cell>
          <cell r="Z2591" t="str">
            <v>Legacy</v>
          </cell>
          <cell r="AA2591" t="str">
            <v>$1K-$10K</v>
          </cell>
          <cell r="AB2591" t="str">
            <v>2010 or before</v>
          </cell>
        </row>
        <row r="2592">
          <cell r="E2592">
            <v>6228</v>
          </cell>
          <cell r="Z2592" t="str">
            <v>Ungating</v>
          </cell>
          <cell r="AA2592" t="str">
            <v>$1K-$10K</v>
          </cell>
          <cell r="AB2592">
            <v>2012</v>
          </cell>
        </row>
        <row r="2593">
          <cell r="E2593">
            <v>6223.26</v>
          </cell>
          <cell r="Z2593" t="str">
            <v>Legacy</v>
          </cell>
          <cell r="AA2593" t="str">
            <v>$1K-$10K</v>
          </cell>
          <cell r="AB2593" t="str">
            <v>2010 or before</v>
          </cell>
        </row>
        <row r="2594">
          <cell r="E2594">
            <v>6218.77</v>
          </cell>
          <cell r="Z2594" t="str">
            <v>Legacy</v>
          </cell>
          <cell r="AA2594" t="str">
            <v>$1K-$10K</v>
          </cell>
          <cell r="AB2594" t="str">
            <v>2010 or before</v>
          </cell>
        </row>
        <row r="2595">
          <cell r="E2595">
            <v>6216.93</v>
          </cell>
          <cell r="Z2595" t="str">
            <v>Legacy</v>
          </cell>
          <cell r="AA2595" t="str">
            <v>$1K-$10K</v>
          </cell>
          <cell r="AB2595" t="str">
            <v>2010 or before</v>
          </cell>
        </row>
        <row r="2596">
          <cell r="E2596">
            <v>6198.58</v>
          </cell>
          <cell r="Z2596" t="str">
            <v>Legacy</v>
          </cell>
          <cell r="AA2596" t="str">
            <v>$1K-$10K</v>
          </cell>
          <cell r="AB2596" t="str">
            <v>2010 or before</v>
          </cell>
        </row>
        <row r="2597">
          <cell r="E2597">
            <v>6158.5</v>
          </cell>
          <cell r="Z2597" t="str">
            <v>Ungating</v>
          </cell>
          <cell r="AA2597" t="str">
            <v>$1K-$10K</v>
          </cell>
          <cell r="AB2597">
            <v>2012</v>
          </cell>
        </row>
        <row r="2598">
          <cell r="E2598">
            <v>6153.05</v>
          </cell>
          <cell r="Z2598" t="str">
            <v>Global</v>
          </cell>
          <cell r="AA2598" t="str">
            <v>$1K-$10K</v>
          </cell>
          <cell r="AB2598">
            <v>2012</v>
          </cell>
        </row>
        <row r="2599">
          <cell r="E2599">
            <v>6148.21</v>
          </cell>
          <cell r="Z2599" t="str">
            <v>Legacy</v>
          </cell>
          <cell r="AA2599" t="str">
            <v>$1K-$10K</v>
          </cell>
          <cell r="AB2599">
            <v>2011</v>
          </cell>
        </row>
        <row r="2600">
          <cell r="E2600">
            <v>6116.44</v>
          </cell>
          <cell r="Z2600" t="str">
            <v>Ungating</v>
          </cell>
          <cell r="AA2600" t="str">
            <v>$1K-$10K</v>
          </cell>
          <cell r="AB2600">
            <v>2012</v>
          </cell>
        </row>
        <row r="2601">
          <cell r="E2601">
            <v>6103.48</v>
          </cell>
          <cell r="Z2601" t="str">
            <v>Ungating</v>
          </cell>
          <cell r="AA2601" t="str">
            <v>$1K-$10K</v>
          </cell>
          <cell r="AB2601">
            <v>2012</v>
          </cell>
        </row>
        <row r="2602">
          <cell r="E2602">
            <v>6078.06</v>
          </cell>
          <cell r="Z2602" t="str">
            <v>Legacy</v>
          </cell>
          <cell r="AA2602" t="str">
            <v>$1K-$10K</v>
          </cell>
          <cell r="AB2602" t="str">
            <v>2010 or before</v>
          </cell>
        </row>
        <row r="2603">
          <cell r="E2603">
            <v>6068.89</v>
          </cell>
          <cell r="Z2603" t="str">
            <v>Legacy</v>
          </cell>
          <cell r="AA2603" t="str">
            <v>$1K-$10K</v>
          </cell>
          <cell r="AB2603">
            <v>2012</v>
          </cell>
        </row>
        <row r="2604">
          <cell r="E2604">
            <v>6055.18</v>
          </cell>
          <cell r="Z2604" t="str">
            <v>Legacy</v>
          </cell>
          <cell r="AA2604" t="str">
            <v>$1K-$10K</v>
          </cell>
          <cell r="AB2604" t="str">
            <v>2010 or before</v>
          </cell>
        </row>
        <row r="2605">
          <cell r="E2605">
            <v>6051.85</v>
          </cell>
          <cell r="Z2605" t="str">
            <v>Outbound</v>
          </cell>
          <cell r="AA2605" t="str">
            <v>$1K-$10K</v>
          </cell>
          <cell r="AB2605">
            <v>2012</v>
          </cell>
        </row>
        <row r="2606">
          <cell r="E2606">
            <v>6050.65</v>
          </cell>
          <cell r="Z2606" t="str">
            <v>Legacy</v>
          </cell>
          <cell r="AA2606" t="str">
            <v>$1K-$10K</v>
          </cell>
          <cell r="AB2606" t="str">
            <v>2010 or before</v>
          </cell>
        </row>
        <row r="2607">
          <cell r="E2607">
            <v>6050</v>
          </cell>
          <cell r="Z2607" t="str">
            <v>Ungating</v>
          </cell>
          <cell r="AA2607" t="str">
            <v>$1K-$10K</v>
          </cell>
          <cell r="AB2607">
            <v>2012</v>
          </cell>
        </row>
        <row r="2608">
          <cell r="E2608">
            <v>6046.62</v>
          </cell>
          <cell r="Z2608" t="str">
            <v>Legacy</v>
          </cell>
          <cell r="AA2608" t="str">
            <v>$1K-$10K</v>
          </cell>
          <cell r="AB2608" t="str">
            <v>2010 or before</v>
          </cell>
        </row>
        <row r="2609">
          <cell r="E2609">
            <v>6046.25</v>
          </cell>
          <cell r="Z2609" t="str">
            <v>Legacy</v>
          </cell>
          <cell r="AA2609" t="str">
            <v>$1K-$10K</v>
          </cell>
          <cell r="AB2609" t="str">
            <v>2010 or before</v>
          </cell>
        </row>
        <row r="2610">
          <cell r="E2610">
            <v>6030.43</v>
          </cell>
          <cell r="Z2610" t="str">
            <v>Legacy</v>
          </cell>
          <cell r="AA2610" t="str">
            <v>$1K-$10K</v>
          </cell>
          <cell r="AB2610" t="str">
            <v>2010 or before</v>
          </cell>
        </row>
        <row r="2611">
          <cell r="E2611">
            <v>6028.34</v>
          </cell>
          <cell r="Z2611" t="str">
            <v>Legacy</v>
          </cell>
          <cell r="AA2611" t="str">
            <v>$1K-$10K</v>
          </cell>
          <cell r="AB2611" t="str">
            <v>2010 or before</v>
          </cell>
        </row>
        <row r="2612">
          <cell r="E2612">
            <v>6020.19</v>
          </cell>
          <cell r="Z2612" t="str">
            <v>Legacy</v>
          </cell>
          <cell r="AA2612" t="str">
            <v>$1K-$10K</v>
          </cell>
          <cell r="AB2612" t="str">
            <v>2010 or before</v>
          </cell>
        </row>
        <row r="2613">
          <cell r="E2613">
            <v>6008.89</v>
          </cell>
          <cell r="Z2613" t="str">
            <v>Legacy</v>
          </cell>
          <cell r="AA2613" t="str">
            <v>$1K-$10K</v>
          </cell>
          <cell r="AB2613" t="str">
            <v>2010 or before</v>
          </cell>
        </row>
        <row r="2614">
          <cell r="E2614">
            <v>5999.4</v>
          </cell>
          <cell r="Z2614" t="str">
            <v>Legacy</v>
          </cell>
          <cell r="AA2614" t="str">
            <v>$1K-$10K</v>
          </cell>
          <cell r="AB2614" t="str">
            <v>2010 or before</v>
          </cell>
        </row>
        <row r="2615">
          <cell r="E2615">
            <v>5994.01</v>
          </cell>
          <cell r="Z2615" t="str">
            <v>Legacy</v>
          </cell>
          <cell r="AA2615" t="str">
            <v>$1K-$10K</v>
          </cell>
          <cell r="AB2615" t="str">
            <v>2010 or before</v>
          </cell>
        </row>
        <row r="2616">
          <cell r="E2616">
            <v>5984.6</v>
          </cell>
          <cell r="Z2616" t="str">
            <v>Legacy</v>
          </cell>
          <cell r="AA2616" t="str">
            <v>$1K-$10K</v>
          </cell>
          <cell r="AB2616">
            <v>2012</v>
          </cell>
        </row>
        <row r="2617">
          <cell r="E2617">
            <v>5983.1</v>
          </cell>
          <cell r="Z2617" t="str">
            <v>Legacy</v>
          </cell>
          <cell r="AA2617" t="str">
            <v>$1K-$10K</v>
          </cell>
          <cell r="AB2617" t="str">
            <v>2010 or before</v>
          </cell>
        </row>
        <row r="2618">
          <cell r="E2618">
            <v>5968.58</v>
          </cell>
          <cell r="Z2618" t="str">
            <v>Legacy</v>
          </cell>
          <cell r="AA2618" t="str">
            <v>$1K-$10K</v>
          </cell>
          <cell r="AB2618" t="str">
            <v>2010 or before</v>
          </cell>
        </row>
        <row r="2619">
          <cell r="E2619">
            <v>5966.43</v>
          </cell>
          <cell r="Z2619" t="str">
            <v>Legacy</v>
          </cell>
          <cell r="AA2619" t="str">
            <v>$1K-$10K</v>
          </cell>
          <cell r="AB2619">
            <v>2012</v>
          </cell>
        </row>
        <row r="2620">
          <cell r="E2620">
            <v>5963.78</v>
          </cell>
          <cell r="Z2620" t="str">
            <v>Legacy</v>
          </cell>
          <cell r="AA2620" t="str">
            <v>$1K-$10K</v>
          </cell>
          <cell r="AB2620" t="str">
            <v>2010 or before</v>
          </cell>
        </row>
        <row r="2621">
          <cell r="E2621">
            <v>5955.09</v>
          </cell>
          <cell r="Z2621" t="str">
            <v>Inbound</v>
          </cell>
          <cell r="AA2621" t="str">
            <v>$1K-$10K</v>
          </cell>
          <cell r="AB2621">
            <v>2012</v>
          </cell>
        </row>
        <row r="2622">
          <cell r="E2622">
            <v>5931.59</v>
          </cell>
          <cell r="Z2622" t="str">
            <v>Legacy</v>
          </cell>
          <cell r="AA2622" t="str">
            <v>$1K-$10K</v>
          </cell>
          <cell r="AB2622" t="str">
            <v>2010 or before</v>
          </cell>
        </row>
        <row r="2623">
          <cell r="E2623">
            <v>5927.19</v>
          </cell>
          <cell r="Z2623" t="str">
            <v>Ungating</v>
          </cell>
          <cell r="AA2623" t="str">
            <v>$1K-$10K</v>
          </cell>
          <cell r="AB2623">
            <v>2012</v>
          </cell>
        </row>
        <row r="2624">
          <cell r="E2624">
            <v>5912.81</v>
          </cell>
          <cell r="Z2624" t="str">
            <v>Legacy</v>
          </cell>
          <cell r="AA2624" t="str">
            <v>$1K-$10K</v>
          </cell>
          <cell r="AB2624" t="str">
            <v>2010 or before</v>
          </cell>
        </row>
        <row r="2625">
          <cell r="E2625">
            <v>5901.18</v>
          </cell>
          <cell r="Z2625" t="str">
            <v>Inbound</v>
          </cell>
          <cell r="AA2625" t="str">
            <v>$1K-$10K</v>
          </cell>
          <cell r="AB2625">
            <v>2012</v>
          </cell>
        </row>
        <row r="2626">
          <cell r="E2626">
            <v>5892.32</v>
          </cell>
          <cell r="Z2626" t="str">
            <v>Legacy</v>
          </cell>
          <cell r="AA2626" t="str">
            <v>$1K-$10K</v>
          </cell>
          <cell r="AB2626" t="str">
            <v>2010 or before</v>
          </cell>
        </row>
        <row r="2627">
          <cell r="E2627">
            <v>5891.25</v>
          </cell>
          <cell r="Z2627" t="str">
            <v>Legacy</v>
          </cell>
          <cell r="AA2627" t="str">
            <v>$1K-$10K</v>
          </cell>
          <cell r="AB2627" t="str">
            <v>2010 or before</v>
          </cell>
        </row>
        <row r="2628">
          <cell r="E2628">
            <v>5889.24</v>
          </cell>
          <cell r="Z2628" t="str">
            <v>Legacy</v>
          </cell>
          <cell r="AA2628" t="str">
            <v>$1K-$10K</v>
          </cell>
          <cell r="AB2628" t="str">
            <v>2010 or before</v>
          </cell>
        </row>
        <row r="2629">
          <cell r="E2629">
            <v>5872.42</v>
          </cell>
          <cell r="Z2629" t="str">
            <v>Inbound</v>
          </cell>
          <cell r="AA2629" t="str">
            <v>$1K-$10K</v>
          </cell>
          <cell r="AB2629">
            <v>2011</v>
          </cell>
        </row>
        <row r="2630">
          <cell r="E2630">
            <v>5861.42</v>
          </cell>
          <cell r="Z2630" t="str">
            <v>Legacy</v>
          </cell>
          <cell r="AA2630" t="str">
            <v>$1K-$10K</v>
          </cell>
          <cell r="AB2630" t="str">
            <v>2010 or before</v>
          </cell>
        </row>
        <row r="2631">
          <cell r="E2631">
            <v>5854.65</v>
          </cell>
          <cell r="Z2631" t="str">
            <v>Ungating</v>
          </cell>
          <cell r="AA2631" t="str">
            <v>$1K-$10K</v>
          </cell>
          <cell r="AB2631">
            <v>2012</v>
          </cell>
        </row>
        <row r="2632">
          <cell r="E2632">
            <v>5837.02</v>
          </cell>
          <cell r="Z2632" t="str">
            <v>Legacy</v>
          </cell>
          <cell r="AA2632" t="str">
            <v>$1K-$10K</v>
          </cell>
          <cell r="AB2632" t="str">
            <v>2010 or before</v>
          </cell>
        </row>
        <row r="2633">
          <cell r="E2633">
            <v>5834.71</v>
          </cell>
          <cell r="Z2633" t="str">
            <v>Ungating</v>
          </cell>
          <cell r="AA2633" t="str">
            <v>$1K-$10K</v>
          </cell>
          <cell r="AB2633">
            <v>2011</v>
          </cell>
        </row>
        <row r="2634">
          <cell r="E2634">
            <v>5832.62</v>
          </cell>
          <cell r="Z2634" t="str">
            <v>Inbound</v>
          </cell>
          <cell r="AA2634" t="str">
            <v>$1K-$10K</v>
          </cell>
          <cell r="AB2634">
            <v>2012</v>
          </cell>
        </row>
        <row r="2635">
          <cell r="E2635">
            <v>5828.29</v>
          </cell>
          <cell r="Z2635" t="str">
            <v>Legacy</v>
          </cell>
          <cell r="AA2635" t="str">
            <v>$1K-$10K</v>
          </cell>
          <cell r="AB2635">
            <v>2011</v>
          </cell>
        </row>
        <row r="2636">
          <cell r="E2636">
            <v>5827.25</v>
          </cell>
          <cell r="Z2636" t="str">
            <v>Inbound</v>
          </cell>
          <cell r="AA2636" t="str">
            <v>$1K-$10K</v>
          </cell>
          <cell r="AB2636">
            <v>2012</v>
          </cell>
        </row>
        <row r="2637">
          <cell r="E2637">
            <v>5826.24</v>
          </cell>
          <cell r="Z2637" t="str">
            <v>Legacy</v>
          </cell>
          <cell r="AA2637" t="str">
            <v>$1K-$10K</v>
          </cell>
          <cell r="AB2637" t="str">
            <v>2010 or before</v>
          </cell>
        </row>
        <row r="2638">
          <cell r="E2638">
            <v>5819.38</v>
          </cell>
          <cell r="Z2638" t="str">
            <v>Legacy</v>
          </cell>
          <cell r="AA2638" t="str">
            <v>$1K-$10K</v>
          </cell>
          <cell r="AB2638" t="str">
            <v>2010 or before</v>
          </cell>
        </row>
        <row r="2639">
          <cell r="E2639">
            <v>5815</v>
          </cell>
          <cell r="Z2639" t="str">
            <v>Legacy</v>
          </cell>
          <cell r="AA2639" t="str">
            <v>$1K-$10K</v>
          </cell>
          <cell r="AB2639">
            <v>2012</v>
          </cell>
        </row>
        <row r="2640">
          <cell r="E2640">
            <v>5803.28</v>
          </cell>
          <cell r="Z2640" t="str">
            <v>Inbound</v>
          </cell>
          <cell r="AA2640" t="str">
            <v>$1K-$10K</v>
          </cell>
          <cell r="AB2640">
            <v>2011</v>
          </cell>
        </row>
        <row r="2641">
          <cell r="E2641">
            <v>5799.95</v>
          </cell>
          <cell r="Z2641" t="str">
            <v>Inbound</v>
          </cell>
          <cell r="AA2641" t="str">
            <v>$1K-$10K</v>
          </cell>
          <cell r="AB2641">
            <v>2012</v>
          </cell>
        </row>
        <row r="2642">
          <cell r="E2642">
            <v>5799.49</v>
          </cell>
          <cell r="Z2642" t="str">
            <v>Ungating</v>
          </cell>
          <cell r="AA2642" t="str">
            <v>$1K-$10K</v>
          </cell>
          <cell r="AB2642">
            <v>2012</v>
          </cell>
        </row>
        <row r="2643">
          <cell r="E2643">
            <v>5793.08</v>
          </cell>
          <cell r="Z2643" t="str">
            <v>Ungating</v>
          </cell>
          <cell r="AA2643" t="str">
            <v>$1K-$10K</v>
          </cell>
          <cell r="AB2643">
            <v>2012</v>
          </cell>
        </row>
        <row r="2644">
          <cell r="E2644">
            <v>5783.2</v>
          </cell>
          <cell r="Z2644" t="str">
            <v>Legacy</v>
          </cell>
          <cell r="AA2644" t="str">
            <v>$1K-$10K</v>
          </cell>
          <cell r="AB2644">
            <v>2012</v>
          </cell>
        </row>
        <row r="2645">
          <cell r="E2645">
            <v>5774.95</v>
          </cell>
          <cell r="Z2645" t="str">
            <v>Legacy</v>
          </cell>
          <cell r="AA2645" t="str">
            <v>$1K-$10K</v>
          </cell>
          <cell r="AB2645" t="str">
            <v>2010 or before</v>
          </cell>
        </row>
        <row r="2646">
          <cell r="E2646">
            <v>5770.32</v>
          </cell>
          <cell r="Z2646" t="str">
            <v>Legacy</v>
          </cell>
          <cell r="AA2646" t="str">
            <v>$1K-$10K</v>
          </cell>
          <cell r="AB2646" t="str">
            <v>2010 or before</v>
          </cell>
        </row>
        <row r="2647">
          <cell r="E2647">
            <v>5763.92</v>
          </cell>
          <cell r="Z2647" t="str">
            <v>Legacy</v>
          </cell>
          <cell r="AA2647" t="str">
            <v>$1K-$10K</v>
          </cell>
          <cell r="AB2647" t="str">
            <v>2010 or before</v>
          </cell>
        </row>
        <row r="2648">
          <cell r="E2648">
            <v>5757.25</v>
          </cell>
          <cell r="Z2648" t="str">
            <v>Global</v>
          </cell>
          <cell r="AA2648" t="str">
            <v>$1K-$10K</v>
          </cell>
          <cell r="AB2648">
            <v>2012</v>
          </cell>
        </row>
        <row r="2649">
          <cell r="E2649">
            <v>5752.63</v>
          </cell>
          <cell r="Z2649" t="str">
            <v>Ungating</v>
          </cell>
          <cell r="AA2649" t="str">
            <v>$1K-$10K</v>
          </cell>
          <cell r="AB2649">
            <v>2012</v>
          </cell>
        </row>
        <row r="2650">
          <cell r="E2650">
            <v>5751.49</v>
          </cell>
          <cell r="Z2650" t="str">
            <v>Legacy</v>
          </cell>
          <cell r="AA2650" t="str">
            <v>$1K-$10K</v>
          </cell>
          <cell r="AB2650" t="str">
            <v>2010 or before</v>
          </cell>
        </row>
        <row r="2651">
          <cell r="E2651">
            <v>5729.45</v>
          </cell>
          <cell r="Z2651" t="str">
            <v>Ungating</v>
          </cell>
          <cell r="AA2651" t="str">
            <v>$1K-$10K</v>
          </cell>
          <cell r="AB2651">
            <v>2012</v>
          </cell>
        </row>
        <row r="2652">
          <cell r="E2652">
            <v>5726.03</v>
          </cell>
          <cell r="Z2652" t="str">
            <v>Ungating</v>
          </cell>
          <cell r="AA2652" t="str">
            <v>$1K-$10K</v>
          </cell>
          <cell r="AB2652">
            <v>2012</v>
          </cell>
        </row>
        <row r="2653">
          <cell r="E2653">
            <v>5725.14</v>
          </cell>
          <cell r="Z2653" t="str">
            <v>Outbound</v>
          </cell>
          <cell r="AA2653" t="str">
            <v>$1K-$10K</v>
          </cell>
          <cell r="AB2653">
            <v>2011</v>
          </cell>
        </row>
        <row r="2654">
          <cell r="E2654">
            <v>5720.17</v>
          </cell>
          <cell r="Z2654" t="str">
            <v>Legacy</v>
          </cell>
          <cell r="AA2654" t="str">
            <v>$1K-$10K</v>
          </cell>
          <cell r="AB2654" t="str">
            <v>2010 or before</v>
          </cell>
        </row>
        <row r="2655">
          <cell r="E2655">
            <v>5706.65</v>
          </cell>
          <cell r="Z2655" t="str">
            <v>Global</v>
          </cell>
          <cell r="AA2655" t="str">
            <v>$1K-$10K</v>
          </cell>
          <cell r="AB2655">
            <v>2012</v>
          </cell>
        </row>
        <row r="2656">
          <cell r="E2656">
            <v>5702.95</v>
          </cell>
          <cell r="Z2656" t="str">
            <v>Legacy</v>
          </cell>
          <cell r="AA2656" t="str">
            <v>$1K-$10K</v>
          </cell>
          <cell r="AB2656" t="str">
            <v>2010 or before</v>
          </cell>
        </row>
        <row r="2657">
          <cell r="E2657">
            <v>5699.5</v>
          </cell>
          <cell r="Z2657" t="str">
            <v>Ungating</v>
          </cell>
          <cell r="AA2657" t="str">
            <v>$1K-$10K</v>
          </cell>
          <cell r="AB2657">
            <v>2011</v>
          </cell>
        </row>
        <row r="2658">
          <cell r="E2658">
            <v>5697.89</v>
          </cell>
          <cell r="Z2658" t="str">
            <v>Legacy</v>
          </cell>
          <cell r="AA2658" t="str">
            <v>$1K-$10K</v>
          </cell>
          <cell r="AB2658" t="str">
            <v>2010 or before</v>
          </cell>
        </row>
        <row r="2659">
          <cell r="E2659">
            <v>5695.76</v>
          </cell>
          <cell r="Z2659" t="str">
            <v>Legacy</v>
          </cell>
          <cell r="AA2659" t="str">
            <v>$1K-$10K</v>
          </cell>
          <cell r="AB2659" t="str">
            <v>2010 or before</v>
          </cell>
        </row>
        <row r="2660">
          <cell r="E2660">
            <v>5693.96</v>
          </cell>
          <cell r="Z2660" t="str">
            <v>Legacy</v>
          </cell>
          <cell r="AA2660" t="str">
            <v>$1K-$10K</v>
          </cell>
          <cell r="AB2660" t="str">
            <v>2010 or before</v>
          </cell>
        </row>
        <row r="2661">
          <cell r="E2661">
            <v>5693.82</v>
          </cell>
          <cell r="Z2661" t="str">
            <v>Legacy</v>
          </cell>
          <cell r="AA2661" t="str">
            <v>$1K-$10K</v>
          </cell>
          <cell r="AB2661" t="str">
            <v>2010 or before</v>
          </cell>
        </row>
        <row r="2662">
          <cell r="E2662">
            <v>5692.21</v>
          </cell>
          <cell r="Z2662" t="str">
            <v>Legacy</v>
          </cell>
          <cell r="AA2662" t="str">
            <v>$1K-$10K</v>
          </cell>
          <cell r="AB2662" t="str">
            <v>2010 or before</v>
          </cell>
        </row>
        <row r="2663">
          <cell r="E2663">
            <v>5688.67</v>
          </cell>
          <cell r="Z2663" t="str">
            <v>Ungating</v>
          </cell>
          <cell r="AA2663" t="str">
            <v>$1K-$10K</v>
          </cell>
          <cell r="AB2663">
            <v>2011</v>
          </cell>
        </row>
        <row r="2664">
          <cell r="E2664">
            <v>5688.07</v>
          </cell>
          <cell r="Z2664" t="str">
            <v>Legacy</v>
          </cell>
          <cell r="AA2664" t="str">
            <v>$1K-$10K</v>
          </cell>
          <cell r="AB2664" t="str">
            <v>2010 or before</v>
          </cell>
        </row>
        <row r="2665">
          <cell r="E2665">
            <v>5676.68</v>
          </cell>
          <cell r="Z2665" t="str">
            <v>Ungating</v>
          </cell>
          <cell r="AA2665" t="str">
            <v>$1K-$10K</v>
          </cell>
          <cell r="AB2665">
            <v>2012</v>
          </cell>
        </row>
        <row r="2666">
          <cell r="E2666">
            <v>5667.11</v>
          </cell>
          <cell r="Z2666" t="str">
            <v>Legacy</v>
          </cell>
          <cell r="AA2666" t="str">
            <v>$1K-$10K</v>
          </cell>
          <cell r="AB2666" t="str">
            <v>2010 or before</v>
          </cell>
        </row>
        <row r="2667">
          <cell r="E2667">
            <v>5647.22</v>
          </cell>
          <cell r="Z2667" t="str">
            <v>Legacy</v>
          </cell>
          <cell r="AA2667" t="str">
            <v>$1K-$10K</v>
          </cell>
          <cell r="AB2667" t="str">
            <v>2010 or before</v>
          </cell>
        </row>
        <row r="2668">
          <cell r="E2668">
            <v>5626.18</v>
          </cell>
          <cell r="Z2668" t="str">
            <v>Legacy</v>
          </cell>
          <cell r="AA2668" t="str">
            <v>$1K-$10K</v>
          </cell>
          <cell r="AB2668">
            <v>2012</v>
          </cell>
        </row>
        <row r="2669">
          <cell r="E2669">
            <v>5617.28</v>
          </cell>
          <cell r="Z2669" t="str">
            <v>Legacy</v>
          </cell>
          <cell r="AA2669" t="str">
            <v>$1K-$10K</v>
          </cell>
          <cell r="AB2669" t="str">
            <v>2010 or before</v>
          </cell>
        </row>
        <row r="2670">
          <cell r="E2670">
            <v>5592.49</v>
          </cell>
          <cell r="Z2670" t="str">
            <v>Legacy</v>
          </cell>
          <cell r="AA2670" t="str">
            <v>$1K-$10K</v>
          </cell>
          <cell r="AB2670" t="str">
            <v>2010 or before</v>
          </cell>
        </row>
        <row r="2671">
          <cell r="E2671">
            <v>5588.63</v>
          </cell>
          <cell r="Z2671" t="str">
            <v>Ungating</v>
          </cell>
          <cell r="AA2671" t="str">
            <v>$1K-$10K</v>
          </cell>
          <cell r="AB2671">
            <v>2012</v>
          </cell>
        </row>
        <row r="2672">
          <cell r="E2672">
            <v>5578.49</v>
          </cell>
          <cell r="Z2672" t="str">
            <v>Legacy</v>
          </cell>
          <cell r="AA2672" t="str">
            <v>$1K-$10K</v>
          </cell>
          <cell r="AB2672" t="str">
            <v>2010 or before</v>
          </cell>
        </row>
        <row r="2673">
          <cell r="E2673">
            <v>5573.14</v>
          </cell>
          <cell r="Z2673" t="str">
            <v>Ungating</v>
          </cell>
          <cell r="AA2673" t="str">
            <v>$1K-$10K</v>
          </cell>
          <cell r="AB2673">
            <v>2012</v>
          </cell>
        </row>
        <row r="2674">
          <cell r="E2674">
            <v>5565.6</v>
          </cell>
          <cell r="Z2674" t="str">
            <v>Ungating</v>
          </cell>
          <cell r="AA2674" t="str">
            <v>$1K-$10K</v>
          </cell>
          <cell r="AB2674">
            <v>2012</v>
          </cell>
        </row>
        <row r="2675">
          <cell r="E2675">
            <v>5564.63</v>
          </cell>
          <cell r="Z2675" t="str">
            <v>Legacy</v>
          </cell>
          <cell r="AA2675" t="str">
            <v>$1K-$10K</v>
          </cell>
          <cell r="AB2675" t="str">
            <v>2010 or before</v>
          </cell>
        </row>
        <row r="2676">
          <cell r="E2676">
            <v>5559.8</v>
          </cell>
          <cell r="Z2676" t="str">
            <v>Legacy</v>
          </cell>
          <cell r="AA2676" t="str">
            <v>$1K-$10K</v>
          </cell>
          <cell r="AB2676" t="str">
            <v>2010 or before</v>
          </cell>
        </row>
        <row r="2677">
          <cell r="E2677">
            <v>5547.85</v>
          </cell>
          <cell r="Z2677" t="str">
            <v>Legacy</v>
          </cell>
          <cell r="AA2677" t="str">
            <v>$1K-$10K</v>
          </cell>
          <cell r="AB2677" t="str">
            <v>2010 or before</v>
          </cell>
        </row>
        <row r="2678">
          <cell r="E2678">
            <v>5530.29</v>
          </cell>
          <cell r="Z2678" t="str">
            <v>Ungating</v>
          </cell>
          <cell r="AA2678" t="str">
            <v>$1K-$10K</v>
          </cell>
          <cell r="AB2678">
            <v>2012</v>
          </cell>
        </row>
        <row r="2679">
          <cell r="E2679">
            <v>5522.76</v>
          </cell>
          <cell r="Z2679" t="str">
            <v>Legacy</v>
          </cell>
          <cell r="AA2679" t="str">
            <v>$1K-$10K</v>
          </cell>
          <cell r="AB2679" t="str">
            <v>2010 or before</v>
          </cell>
        </row>
        <row r="2680">
          <cell r="E2680">
            <v>5515.27</v>
          </cell>
          <cell r="Z2680" t="str">
            <v>Legacy</v>
          </cell>
          <cell r="AA2680" t="str">
            <v>$1K-$10K</v>
          </cell>
          <cell r="AB2680" t="str">
            <v>2010 or before</v>
          </cell>
        </row>
        <row r="2681">
          <cell r="E2681">
            <v>5504.21</v>
          </cell>
          <cell r="Z2681" t="str">
            <v>Inbound</v>
          </cell>
          <cell r="AA2681" t="str">
            <v>$1K-$10K</v>
          </cell>
          <cell r="AB2681">
            <v>2012</v>
          </cell>
        </row>
        <row r="2682">
          <cell r="E2682">
            <v>5502.66</v>
          </cell>
          <cell r="Z2682" t="str">
            <v>Legacy</v>
          </cell>
          <cell r="AA2682" t="str">
            <v>$1K-$10K</v>
          </cell>
          <cell r="AB2682">
            <v>2012</v>
          </cell>
        </row>
        <row r="2683">
          <cell r="E2683">
            <v>5493.1</v>
          </cell>
          <cell r="Z2683" t="str">
            <v>Legacy</v>
          </cell>
          <cell r="AA2683" t="str">
            <v>$1K-$10K</v>
          </cell>
          <cell r="AB2683" t="str">
            <v>2010 or before</v>
          </cell>
        </row>
        <row r="2684">
          <cell r="E2684">
            <v>5490.65</v>
          </cell>
          <cell r="Z2684" t="str">
            <v>Legacy</v>
          </cell>
          <cell r="AA2684" t="str">
            <v>$1K-$10K</v>
          </cell>
          <cell r="AB2684" t="str">
            <v>2010 or before</v>
          </cell>
        </row>
        <row r="2685">
          <cell r="E2685">
            <v>5469.36</v>
          </cell>
          <cell r="Z2685" t="str">
            <v>Legacy</v>
          </cell>
          <cell r="AA2685" t="str">
            <v>$1K-$10K</v>
          </cell>
          <cell r="AB2685" t="str">
            <v>2010 or before</v>
          </cell>
        </row>
        <row r="2686">
          <cell r="E2686">
            <v>5467.69</v>
          </cell>
          <cell r="Z2686" t="str">
            <v>Legacy</v>
          </cell>
          <cell r="AA2686" t="str">
            <v>$1K-$10K</v>
          </cell>
          <cell r="AB2686">
            <v>2011</v>
          </cell>
        </row>
        <row r="2687">
          <cell r="E2687">
            <v>5456.02</v>
          </cell>
          <cell r="Z2687" t="str">
            <v>Legacy</v>
          </cell>
          <cell r="AA2687" t="str">
            <v>$1K-$10K</v>
          </cell>
          <cell r="AB2687" t="str">
            <v>2010 or before</v>
          </cell>
        </row>
        <row r="2688">
          <cell r="E2688">
            <v>5454.35</v>
          </cell>
          <cell r="Z2688" t="str">
            <v>Legacy</v>
          </cell>
          <cell r="AA2688" t="str">
            <v>$1K-$10K</v>
          </cell>
          <cell r="AB2688" t="str">
            <v>2010 or before</v>
          </cell>
        </row>
        <row r="2689">
          <cell r="E2689">
            <v>5447.43</v>
          </cell>
          <cell r="Z2689" t="str">
            <v>Ungating</v>
          </cell>
          <cell r="AA2689" t="str">
            <v>$1K-$10K</v>
          </cell>
          <cell r="AB2689">
            <v>2012</v>
          </cell>
        </row>
        <row r="2690">
          <cell r="E2690">
            <v>5446.97</v>
          </cell>
          <cell r="Z2690" t="str">
            <v>Legacy</v>
          </cell>
          <cell r="AA2690" t="str">
            <v>$1K-$10K</v>
          </cell>
          <cell r="AB2690" t="str">
            <v>2010 or before</v>
          </cell>
        </row>
        <row r="2691">
          <cell r="E2691">
            <v>5439.77</v>
          </cell>
          <cell r="Z2691" t="str">
            <v>Ungating</v>
          </cell>
          <cell r="AA2691" t="str">
            <v>$1K-$10K</v>
          </cell>
          <cell r="AB2691">
            <v>2012</v>
          </cell>
        </row>
        <row r="2692">
          <cell r="E2692">
            <v>5430.74</v>
          </cell>
          <cell r="Z2692" t="str">
            <v>Global</v>
          </cell>
          <cell r="AA2692" t="str">
            <v>$1K-$10K</v>
          </cell>
          <cell r="AB2692">
            <v>2012</v>
          </cell>
        </row>
        <row r="2693">
          <cell r="E2693">
            <v>5426.13</v>
          </cell>
          <cell r="Z2693" t="str">
            <v>Legacy</v>
          </cell>
          <cell r="AA2693" t="str">
            <v>$1K-$10K</v>
          </cell>
          <cell r="AB2693" t="str">
            <v>2010 or before</v>
          </cell>
        </row>
        <row r="2694">
          <cell r="E2694">
            <v>5424.29</v>
          </cell>
          <cell r="Z2694" t="str">
            <v>Legacy</v>
          </cell>
          <cell r="AA2694" t="str">
            <v>$1K-$10K</v>
          </cell>
          <cell r="AB2694" t="str">
            <v>2010 or before</v>
          </cell>
        </row>
        <row r="2695">
          <cell r="E2695">
            <v>5416.05</v>
          </cell>
          <cell r="Z2695" t="str">
            <v>Legacy</v>
          </cell>
          <cell r="AA2695" t="str">
            <v>$1K-$10K</v>
          </cell>
          <cell r="AB2695" t="str">
            <v>2010 or before</v>
          </cell>
        </row>
        <row r="2696">
          <cell r="E2696">
            <v>5409.01</v>
          </cell>
          <cell r="Z2696" t="str">
            <v>Ungating</v>
          </cell>
          <cell r="AA2696" t="str">
            <v>$1K-$10K</v>
          </cell>
          <cell r="AB2696">
            <v>2012</v>
          </cell>
        </row>
        <row r="2697">
          <cell r="E2697">
            <v>5402.6</v>
          </cell>
          <cell r="Z2697" t="str">
            <v>Legacy</v>
          </cell>
          <cell r="AA2697" t="str">
            <v>$1K-$10K</v>
          </cell>
          <cell r="AB2697">
            <v>2011</v>
          </cell>
        </row>
        <row r="2698">
          <cell r="E2698">
            <v>5401.47</v>
          </cell>
          <cell r="Z2698" t="str">
            <v>Ungating</v>
          </cell>
          <cell r="AA2698" t="str">
            <v>$1K-$10K</v>
          </cell>
          <cell r="AB2698">
            <v>2012</v>
          </cell>
        </row>
        <row r="2699">
          <cell r="E2699">
            <v>5394.78</v>
          </cell>
          <cell r="Z2699" t="str">
            <v>Legacy</v>
          </cell>
          <cell r="AA2699" t="str">
            <v>$1K-$10K</v>
          </cell>
          <cell r="AB2699" t="str">
            <v>2010 or before</v>
          </cell>
        </row>
        <row r="2700">
          <cell r="E2700">
            <v>5387.8</v>
          </cell>
          <cell r="Z2700" t="str">
            <v>Legacy</v>
          </cell>
          <cell r="AA2700" t="str">
            <v>$1K-$10K</v>
          </cell>
          <cell r="AB2700" t="str">
            <v>2010 or before</v>
          </cell>
        </row>
        <row r="2701">
          <cell r="E2701">
            <v>5383.27</v>
          </cell>
          <cell r="Z2701" t="str">
            <v>Ungating</v>
          </cell>
          <cell r="AA2701" t="str">
            <v>$1K-$10K</v>
          </cell>
          <cell r="AB2701">
            <v>2012</v>
          </cell>
        </row>
        <row r="2702">
          <cell r="E2702">
            <v>5376.62</v>
          </cell>
          <cell r="Z2702" t="str">
            <v>Inbound</v>
          </cell>
          <cell r="AA2702" t="str">
            <v>$1K-$10K</v>
          </cell>
          <cell r="AB2702">
            <v>2012</v>
          </cell>
        </row>
        <row r="2703">
          <cell r="E2703">
            <v>5373.16</v>
          </cell>
          <cell r="Z2703" t="str">
            <v>Global</v>
          </cell>
          <cell r="AA2703" t="str">
            <v>$1K-$10K</v>
          </cell>
          <cell r="AB2703">
            <v>2012</v>
          </cell>
        </row>
        <row r="2704">
          <cell r="E2704">
            <v>5367.49</v>
          </cell>
          <cell r="Z2704" t="str">
            <v>Legacy</v>
          </cell>
          <cell r="AA2704" t="str">
            <v>$1K-$10K</v>
          </cell>
          <cell r="AB2704" t="str">
            <v>2010 or before</v>
          </cell>
        </row>
        <row r="2705">
          <cell r="E2705">
            <v>5365.65</v>
          </cell>
          <cell r="Z2705" t="str">
            <v>Ungating</v>
          </cell>
          <cell r="AA2705" t="str">
            <v>$1K-$10K</v>
          </cell>
          <cell r="AB2705">
            <v>2011</v>
          </cell>
        </row>
        <row r="2706">
          <cell r="E2706">
            <v>5357.21</v>
          </cell>
          <cell r="Z2706" t="str">
            <v>Legacy</v>
          </cell>
          <cell r="AA2706" t="str">
            <v>$1K-$10K</v>
          </cell>
          <cell r="AB2706" t="str">
            <v>2010 or before</v>
          </cell>
        </row>
        <row r="2707">
          <cell r="E2707">
            <v>5352.75</v>
          </cell>
          <cell r="Z2707" t="str">
            <v>Outbound</v>
          </cell>
          <cell r="AA2707" t="str">
            <v>$1K-$10K</v>
          </cell>
          <cell r="AB2707">
            <v>2012</v>
          </cell>
        </row>
        <row r="2708">
          <cell r="E2708">
            <v>5338.89</v>
          </cell>
          <cell r="Z2708" t="str">
            <v>Legacy</v>
          </cell>
          <cell r="AA2708" t="str">
            <v>$1K-$10K</v>
          </cell>
          <cell r="AB2708" t="str">
            <v>2010 or before</v>
          </cell>
        </row>
        <row r="2709">
          <cell r="E2709">
            <v>5331.58</v>
          </cell>
          <cell r="Z2709" t="str">
            <v>Legacy</v>
          </cell>
          <cell r="AA2709" t="str">
            <v>$1K-$10K</v>
          </cell>
          <cell r="AB2709" t="str">
            <v>2010 or before</v>
          </cell>
        </row>
        <row r="2710">
          <cell r="E2710">
            <v>5329.78</v>
          </cell>
          <cell r="Z2710" t="str">
            <v>Legacy</v>
          </cell>
          <cell r="AA2710" t="str">
            <v>$1K-$10K</v>
          </cell>
          <cell r="AB2710">
            <v>2012</v>
          </cell>
        </row>
        <row r="2711">
          <cell r="E2711">
            <v>5316.26</v>
          </cell>
          <cell r="Z2711" t="str">
            <v>Legacy</v>
          </cell>
          <cell r="AA2711" t="str">
            <v>$1K-$10K</v>
          </cell>
          <cell r="AB2711" t="str">
            <v>2010 or before</v>
          </cell>
        </row>
        <row r="2712">
          <cell r="E2712">
            <v>5312.62</v>
          </cell>
          <cell r="Z2712" t="str">
            <v>Legacy</v>
          </cell>
          <cell r="AA2712" t="str">
            <v>$1K-$10K</v>
          </cell>
          <cell r="AB2712">
            <v>2012</v>
          </cell>
        </row>
        <row r="2713">
          <cell r="E2713">
            <v>5300.72</v>
          </cell>
          <cell r="Z2713" t="str">
            <v>Ungating</v>
          </cell>
          <cell r="AA2713" t="str">
            <v>$1K-$10K</v>
          </cell>
          <cell r="AB2713">
            <v>2011</v>
          </cell>
        </row>
        <row r="2714">
          <cell r="E2714">
            <v>5298.41</v>
          </cell>
          <cell r="Z2714" t="str">
            <v>Legacy</v>
          </cell>
          <cell r="AA2714" t="str">
            <v>$1K-$10K</v>
          </cell>
          <cell r="AB2714" t="str">
            <v>2010 or before</v>
          </cell>
        </row>
        <row r="2715">
          <cell r="E2715">
            <v>5295.16</v>
          </cell>
          <cell r="Z2715" t="str">
            <v>Legacy</v>
          </cell>
          <cell r="AA2715" t="str">
            <v>$1K-$10K</v>
          </cell>
          <cell r="AB2715" t="str">
            <v>2010 or before</v>
          </cell>
        </row>
        <row r="2716">
          <cell r="E2716">
            <v>5278.67</v>
          </cell>
          <cell r="Z2716" t="str">
            <v>Legacy</v>
          </cell>
          <cell r="AA2716" t="str">
            <v>$1K-$10K</v>
          </cell>
          <cell r="AB2716" t="str">
            <v>2010 or before</v>
          </cell>
        </row>
        <row r="2717">
          <cell r="E2717">
            <v>5273.28</v>
          </cell>
          <cell r="Z2717" t="str">
            <v>Legacy</v>
          </cell>
          <cell r="AA2717" t="str">
            <v>$1K-$10K</v>
          </cell>
          <cell r="AB2717" t="str">
            <v>2010 or before</v>
          </cell>
        </row>
        <row r="2718">
          <cell r="E2718">
            <v>5264.2</v>
          </cell>
          <cell r="Z2718" t="str">
            <v>Legacy</v>
          </cell>
          <cell r="AA2718" t="str">
            <v>$1K-$10K</v>
          </cell>
          <cell r="AB2718" t="str">
            <v>2010 or before</v>
          </cell>
        </row>
        <row r="2719">
          <cell r="E2719">
            <v>5260.25</v>
          </cell>
          <cell r="Z2719" t="str">
            <v>Legacy</v>
          </cell>
          <cell r="AA2719" t="str">
            <v>$1K-$10K</v>
          </cell>
          <cell r="AB2719" t="str">
            <v>2010 or before</v>
          </cell>
        </row>
        <row r="2720">
          <cell r="E2720">
            <v>5242.25</v>
          </cell>
          <cell r="Z2720" t="str">
            <v>Inbound</v>
          </cell>
          <cell r="AA2720" t="str">
            <v>$1K-$10K</v>
          </cell>
          <cell r="AB2720">
            <v>2011</v>
          </cell>
        </row>
        <row r="2721">
          <cell r="E2721">
            <v>5235.01</v>
          </cell>
          <cell r="Z2721" t="str">
            <v>Ungating</v>
          </cell>
          <cell r="AA2721" t="str">
            <v>$1K-$10K</v>
          </cell>
          <cell r="AB2721">
            <v>2012</v>
          </cell>
        </row>
        <row r="2722">
          <cell r="E2722">
            <v>5234.8999999999996</v>
          </cell>
          <cell r="Z2722" t="str">
            <v>Legacy</v>
          </cell>
          <cell r="AA2722" t="str">
            <v>$1K-$10K</v>
          </cell>
          <cell r="AB2722" t="str">
            <v>2010 or before</v>
          </cell>
        </row>
        <row r="2723">
          <cell r="E2723">
            <v>5227.74</v>
          </cell>
          <cell r="Z2723" t="str">
            <v>Ungating</v>
          </cell>
          <cell r="AA2723" t="str">
            <v>$1K-$10K</v>
          </cell>
          <cell r="AB2723">
            <v>2012</v>
          </cell>
        </row>
        <row r="2724">
          <cell r="E2724">
            <v>5224</v>
          </cell>
          <cell r="Z2724" t="str">
            <v>Legacy</v>
          </cell>
          <cell r="AA2724" t="str">
            <v>$1K-$10K</v>
          </cell>
          <cell r="AB2724" t="str">
            <v>2010 or before</v>
          </cell>
        </row>
        <row r="2725">
          <cell r="E2725">
            <v>5221.55</v>
          </cell>
          <cell r="Z2725" t="str">
            <v>Legacy</v>
          </cell>
          <cell r="AA2725" t="str">
            <v>$1K-$10K</v>
          </cell>
          <cell r="AB2725" t="str">
            <v>2010 or before</v>
          </cell>
        </row>
        <row r="2726">
          <cell r="E2726">
            <v>5212.26</v>
          </cell>
          <cell r="Z2726" t="str">
            <v>Legacy</v>
          </cell>
          <cell r="AA2726" t="str">
            <v>$1K-$10K</v>
          </cell>
          <cell r="AB2726" t="str">
            <v>2010 or before</v>
          </cell>
        </row>
        <row r="2727">
          <cell r="E2727">
            <v>5203.0200000000004</v>
          </cell>
          <cell r="Z2727" t="str">
            <v>Outbound</v>
          </cell>
          <cell r="AA2727" t="str">
            <v>$1K-$10K</v>
          </cell>
          <cell r="AB2727">
            <v>2012</v>
          </cell>
        </row>
        <row r="2728">
          <cell r="E2728">
            <v>5198.97</v>
          </cell>
          <cell r="Z2728" t="str">
            <v>Legacy</v>
          </cell>
          <cell r="AA2728" t="str">
            <v>$1K-$10K</v>
          </cell>
          <cell r="AB2728" t="str">
            <v>2010 or before</v>
          </cell>
        </row>
        <row r="2729">
          <cell r="E2729">
            <v>5198.2299999999996</v>
          </cell>
          <cell r="Z2729" t="str">
            <v>Inbound</v>
          </cell>
          <cell r="AA2729" t="str">
            <v>$1K-$10K</v>
          </cell>
          <cell r="AB2729">
            <v>2012</v>
          </cell>
        </row>
        <row r="2730">
          <cell r="E2730">
            <v>5190.8100000000004</v>
          </cell>
          <cell r="Z2730" t="str">
            <v>Global</v>
          </cell>
          <cell r="AA2730" t="str">
            <v>$1K-$10K</v>
          </cell>
          <cell r="AB2730">
            <v>2012</v>
          </cell>
        </row>
        <row r="2731">
          <cell r="E2731">
            <v>5188.66</v>
          </cell>
          <cell r="Z2731" t="str">
            <v>Legacy</v>
          </cell>
          <cell r="AA2731" t="str">
            <v>$1K-$10K</v>
          </cell>
          <cell r="AB2731">
            <v>2011</v>
          </cell>
        </row>
        <row r="2732">
          <cell r="E2732">
            <v>5185.07</v>
          </cell>
          <cell r="Z2732" t="str">
            <v>Legacy</v>
          </cell>
          <cell r="AA2732" t="str">
            <v>$1K-$10K</v>
          </cell>
          <cell r="AB2732" t="str">
            <v>2010 or before</v>
          </cell>
        </row>
        <row r="2733">
          <cell r="E2733">
            <v>5169.53</v>
          </cell>
          <cell r="Z2733" t="str">
            <v>Legacy</v>
          </cell>
          <cell r="AA2733" t="str">
            <v>$1K-$10K</v>
          </cell>
          <cell r="AB2733" t="str">
            <v>2010 or before</v>
          </cell>
        </row>
        <row r="2734">
          <cell r="E2734">
            <v>5164.32</v>
          </cell>
          <cell r="Z2734" t="str">
            <v>Outbound</v>
          </cell>
          <cell r="AA2734" t="str">
            <v>$1K-$10K</v>
          </cell>
          <cell r="AB2734">
            <v>2012</v>
          </cell>
        </row>
        <row r="2735">
          <cell r="E2735">
            <v>5156.6499999999996</v>
          </cell>
          <cell r="Z2735" t="str">
            <v>Legacy</v>
          </cell>
          <cell r="AA2735" t="str">
            <v>$1K-$10K</v>
          </cell>
          <cell r="AB2735">
            <v>2011</v>
          </cell>
        </row>
        <row r="2736">
          <cell r="E2736">
            <v>5151.03</v>
          </cell>
          <cell r="Z2736" t="str">
            <v>Legacy</v>
          </cell>
          <cell r="AA2736" t="str">
            <v>$1K-$10K</v>
          </cell>
          <cell r="AB2736" t="str">
            <v>2010 or before</v>
          </cell>
        </row>
        <row r="2737">
          <cell r="E2737">
            <v>5147.7</v>
          </cell>
          <cell r="Z2737" t="str">
            <v>Legacy</v>
          </cell>
          <cell r="AA2737" t="str">
            <v>$1K-$10K</v>
          </cell>
          <cell r="AB2737">
            <v>2011</v>
          </cell>
        </row>
        <row r="2738">
          <cell r="E2738">
            <v>5134.88</v>
          </cell>
          <cell r="Z2738" t="str">
            <v>Inbound</v>
          </cell>
          <cell r="AA2738" t="str">
            <v>$1K-$10K</v>
          </cell>
          <cell r="AB2738">
            <v>2012</v>
          </cell>
        </row>
        <row r="2739">
          <cell r="E2739">
            <v>5134.2</v>
          </cell>
          <cell r="Z2739" t="str">
            <v>Legacy</v>
          </cell>
          <cell r="AA2739" t="str">
            <v>$1K-$10K</v>
          </cell>
          <cell r="AB2739" t="str">
            <v>2010 or before</v>
          </cell>
        </row>
        <row r="2740">
          <cell r="E2740">
            <v>5111.2700000000004</v>
          </cell>
          <cell r="Z2740" t="str">
            <v>Inbound</v>
          </cell>
          <cell r="AA2740" t="str">
            <v>$1K-$10K</v>
          </cell>
          <cell r="AB2740">
            <v>2012</v>
          </cell>
        </row>
        <row r="2741">
          <cell r="E2741">
            <v>5104.75</v>
          </cell>
          <cell r="Z2741" t="str">
            <v>Ungating</v>
          </cell>
          <cell r="AA2741" t="str">
            <v>$1K-$10K</v>
          </cell>
          <cell r="AB2741">
            <v>2012</v>
          </cell>
        </row>
        <row r="2742">
          <cell r="E2742">
            <v>5087.33</v>
          </cell>
          <cell r="Z2742" t="str">
            <v>Ungating</v>
          </cell>
          <cell r="AA2742" t="str">
            <v>$1K-$10K</v>
          </cell>
          <cell r="AB2742">
            <v>2012</v>
          </cell>
        </row>
        <row r="2743">
          <cell r="E2743">
            <v>5073.76</v>
          </cell>
          <cell r="Z2743" t="str">
            <v>Legacy</v>
          </cell>
          <cell r="AA2743" t="str">
            <v>$1K-$10K</v>
          </cell>
          <cell r="AB2743">
            <v>2011</v>
          </cell>
        </row>
        <row r="2744">
          <cell r="E2744">
            <v>5069.8</v>
          </cell>
          <cell r="Z2744" t="str">
            <v>Inbound</v>
          </cell>
          <cell r="AA2744" t="str">
            <v>$1K-$10K</v>
          </cell>
          <cell r="AB2744">
            <v>2012</v>
          </cell>
        </row>
        <row r="2745">
          <cell r="E2745">
            <v>5057.82</v>
          </cell>
          <cell r="Z2745" t="str">
            <v>Legacy</v>
          </cell>
          <cell r="AA2745" t="str">
            <v>$1K-$10K</v>
          </cell>
          <cell r="AB2745" t="str">
            <v>2010 or before</v>
          </cell>
        </row>
        <row r="2746">
          <cell r="E2746">
            <v>5039.97</v>
          </cell>
          <cell r="Z2746" t="str">
            <v>Legacy</v>
          </cell>
          <cell r="AA2746" t="str">
            <v>$1K-$10K</v>
          </cell>
          <cell r="AB2746" t="str">
            <v>2010 or before</v>
          </cell>
        </row>
        <row r="2747">
          <cell r="E2747">
            <v>5031.09</v>
          </cell>
          <cell r="Z2747" t="str">
            <v>Strategic</v>
          </cell>
          <cell r="AA2747" t="str">
            <v>$1K-$10K</v>
          </cell>
          <cell r="AB2747">
            <v>2012</v>
          </cell>
        </row>
        <row r="2748">
          <cell r="E2748">
            <v>5021.83</v>
          </cell>
          <cell r="Z2748" t="str">
            <v>Legacy</v>
          </cell>
          <cell r="AA2748" t="str">
            <v>$1K-$10K</v>
          </cell>
          <cell r="AB2748" t="str">
            <v>2010 or before</v>
          </cell>
        </row>
        <row r="2749">
          <cell r="E2749">
            <v>5021.45</v>
          </cell>
          <cell r="Z2749" t="str">
            <v>Inbound</v>
          </cell>
          <cell r="AA2749" t="str">
            <v>$1K-$10K</v>
          </cell>
          <cell r="AB2749">
            <v>2012</v>
          </cell>
        </row>
        <row r="2750">
          <cell r="E2750">
            <v>5016.37</v>
          </cell>
          <cell r="Z2750" t="str">
            <v>Ungating</v>
          </cell>
          <cell r="AA2750" t="str">
            <v>$1K-$10K</v>
          </cell>
          <cell r="AB2750">
            <v>2011</v>
          </cell>
        </row>
        <row r="2751">
          <cell r="E2751">
            <v>5014.38</v>
          </cell>
          <cell r="Z2751" t="str">
            <v>Legacy</v>
          </cell>
          <cell r="AA2751" t="str">
            <v>$1K-$10K</v>
          </cell>
          <cell r="AB2751" t="str">
            <v>2010 or before</v>
          </cell>
        </row>
        <row r="2752">
          <cell r="E2752">
            <v>5008.12</v>
          </cell>
          <cell r="Z2752" t="str">
            <v>Legacy</v>
          </cell>
          <cell r="AA2752" t="str">
            <v>$1K-$10K</v>
          </cell>
          <cell r="AB2752" t="str">
            <v>2010 or before</v>
          </cell>
        </row>
        <row r="2753">
          <cell r="E2753">
            <v>4994.91</v>
          </cell>
          <cell r="Z2753" t="str">
            <v>Legacy</v>
          </cell>
          <cell r="AA2753" t="str">
            <v>$1K-$10K</v>
          </cell>
          <cell r="AB2753" t="str">
            <v>2010 or before</v>
          </cell>
        </row>
        <row r="2754">
          <cell r="E2754">
            <v>4990.7</v>
          </cell>
          <cell r="Z2754" t="str">
            <v>Legacy</v>
          </cell>
          <cell r="AA2754" t="str">
            <v>$1K-$10K</v>
          </cell>
          <cell r="AB2754" t="str">
            <v>2010 or before</v>
          </cell>
        </row>
        <row r="2755">
          <cell r="E2755">
            <v>4987.6000000000004</v>
          </cell>
          <cell r="Z2755" t="str">
            <v>Legacy</v>
          </cell>
          <cell r="AA2755" t="str">
            <v>$1K-$10K</v>
          </cell>
          <cell r="AB2755" t="str">
            <v>2010 or before</v>
          </cell>
        </row>
        <row r="2756">
          <cell r="E2756">
            <v>4986.4399999999996</v>
          </cell>
          <cell r="Z2756" t="str">
            <v>Legacy</v>
          </cell>
          <cell r="AA2756" t="str">
            <v>$1K-$10K</v>
          </cell>
          <cell r="AB2756" t="str">
            <v>2010 or before</v>
          </cell>
        </row>
        <row r="2757">
          <cell r="E2757">
            <v>4984.78</v>
          </cell>
          <cell r="Z2757" t="str">
            <v>Legacy</v>
          </cell>
          <cell r="AA2757" t="str">
            <v>$1K-$10K</v>
          </cell>
          <cell r="AB2757" t="str">
            <v>2010 or before</v>
          </cell>
        </row>
        <row r="2758">
          <cell r="E2758">
            <v>4984.63</v>
          </cell>
          <cell r="Z2758" t="str">
            <v>Legacy</v>
          </cell>
          <cell r="AA2758" t="str">
            <v>$1K-$10K</v>
          </cell>
          <cell r="AB2758" t="str">
            <v>2010 or before</v>
          </cell>
        </row>
        <row r="2759">
          <cell r="E2759">
            <v>4975.12</v>
          </cell>
          <cell r="Z2759" t="str">
            <v>Legacy</v>
          </cell>
          <cell r="AA2759" t="str">
            <v>$1K-$10K</v>
          </cell>
          <cell r="AB2759">
            <v>2011</v>
          </cell>
        </row>
        <row r="2760">
          <cell r="E2760">
            <v>4966.41</v>
          </cell>
          <cell r="Z2760" t="str">
            <v>Inbound</v>
          </cell>
          <cell r="AA2760" t="str">
            <v>$1K-$10K</v>
          </cell>
          <cell r="AB2760">
            <v>2012</v>
          </cell>
        </row>
        <row r="2761">
          <cell r="E2761">
            <v>4964.6499999999996</v>
          </cell>
          <cell r="Z2761" t="str">
            <v>Legacy</v>
          </cell>
          <cell r="AA2761" t="str">
            <v>$1K-$10K</v>
          </cell>
          <cell r="AB2761" t="str">
            <v>2010 or before</v>
          </cell>
        </row>
        <row r="2762">
          <cell r="E2762">
            <v>4953.99</v>
          </cell>
          <cell r="Z2762" t="str">
            <v>Legacy</v>
          </cell>
          <cell r="AA2762" t="str">
            <v>$1K-$10K</v>
          </cell>
          <cell r="AB2762" t="str">
            <v>2010 or before</v>
          </cell>
        </row>
        <row r="2763">
          <cell r="E2763">
            <v>4953.6400000000003</v>
          </cell>
          <cell r="Z2763" t="str">
            <v>Legacy</v>
          </cell>
          <cell r="AA2763" t="str">
            <v>$1K-$10K</v>
          </cell>
          <cell r="AB2763" t="str">
            <v>2010 or before</v>
          </cell>
        </row>
        <row r="2764">
          <cell r="E2764">
            <v>4926</v>
          </cell>
          <cell r="Z2764" t="str">
            <v>Outbound</v>
          </cell>
          <cell r="AA2764" t="str">
            <v>$1K-$10K</v>
          </cell>
          <cell r="AB2764">
            <v>2012</v>
          </cell>
        </row>
        <row r="2765">
          <cell r="E2765">
            <v>4904.59</v>
          </cell>
          <cell r="Z2765" t="str">
            <v>Legacy</v>
          </cell>
          <cell r="AA2765" t="str">
            <v>$1K-$10K</v>
          </cell>
          <cell r="AB2765">
            <v>2011</v>
          </cell>
        </row>
        <row r="2766">
          <cell r="E2766">
            <v>4898.13</v>
          </cell>
          <cell r="Z2766" t="str">
            <v>Ungating</v>
          </cell>
          <cell r="AA2766" t="str">
            <v>$1K-$10K</v>
          </cell>
          <cell r="AB2766">
            <v>2011</v>
          </cell>
        </row>
        <row r="2767">
          <cell r="E2767">
            <v>4895.88</v>
          </cell>
          <cell r="Z2767" t="str">
            <v>Legacy</v>
          </cell>
          <cell r="AA2767" t="str">
            <v>$1K-$10K</v>
          </cell>
          <cell r="AB2767" t="str">
            <v>2010 or before</v>
          </cell>
        </row>
        <row r="2768">
          <cell r="E2768">
            <v>4893.91</v>
          </cell>
          <cell r="Z2768" t="str">
            <v>Inbound</v>
          </cell>
          <cell r="AA2768" t="str">
            <v>$1K-$10K</v>
          </cell>
          <cell r="AB2768">
            <v>2011</v>
          </cell>
        </row>
        <row r="2769">
          <cell r="E2769">
            <v>4882.37</v>
          </cell>
          <cell r="Z2769" t="str">
            <v>Ungating</v>
          </cell>
          <cell r="AA2769" t="str">
            <v>$1K-$10K</v>
          </cell>
          <cell r="AB2769">
            <v>2012</v>
          </cell>
        </row>
        <row r="2770">
          <cell r="E2770">
            <v>4880.55</v>
          </cell>
          <cell r="Z2770" t="str">
            <v>Inbound</v>
          </cell>
          <cell r="AA2770" t="str">
            <v>$1K-$10K</v>
          </cell>
          <cell r="AB2770">
            <v>2012</v>
          </cell>
        </row>
        <row r="2771">
          <cell r="E2771">
            <v>4880.29</v>
          </cell>
          <cell r="Z2771" t="str">
            <v>Legacy</v>
          </cell>
          <cell r="AA2771" t="str">
            <v>$1K-$10K</v>
          </cell>
          <cell r="AB2771">
            <v>2011</v>
          </cell>
        </row>
        <row r="2772">
          <cell r="E2772">
            <v>4869.63</v>
          </cell>
          <cell r="Z2772" t="str">
            <v>Legacy</v>
          </cell>
          <cell r="AA2772" t="str">
            <v>$1K-$10K</v>
          </cell>
          <cell r="AB2772" t="str">
            <v>2010 or before</v>
          </cell>
        </row>
        <row r="2773">
          <cell r="E2773">
            <v>4861.7700000000004</v>
          </cell>
          <cell r="Z2773" t="str">
            <v>Inbound</v>
          </cell>
          <cell r="AA2773" t="str">
            <v>$1K-$10K</v>
          </cell>
          <cell r="AB2773">
            <v>2012</v>
          </cell>
        </row>
        <row r="2774">
          <cell r="E2774">
            <v>4856.6000000000004</v>
          </cell>
          <cell r="Z2774" t="str">
            <v>Ungating</v>
          </cell>
          <cell r="AA2774" t="str">
            <v>$1K-$10K</v>
          </cell>
          <cell r="AB2774">
            <v>2012</v>
          </cell>
        </row>
        <row r="2775">
          <cell r="E2775">
            <v>4851.13</v>
          </cell>
          <cell r="Z2775" t="str">
            <v>Legacy</v>
          </cell>
          <cell r="AA2775" t="str">
            <v>$1K-$10K</v>
          </cell>
          <cell r="AB2775">
            <v>2011</v>
          </cell>
        </row>
        <row r="2776">
          <cell r="E2776">
            <v>4840.95</v>
          </cell>
          <cell r="Z2776" t="str">
            <v>Legacy</v>
          </cell>
          <cell r="AA2776" t="str">
            <v>$1K-$10K</v>
          </cell>
          <cell r="AB2776" t="str">
            <v>2010 or before</v>
          </cell>
        </row>
        <row r="2777">
          <cell r="E2777">
            <v>4837.5</v>
          </cell>
          <cell r="Z2777" t="str">
            <v>Inbound</v>
          </cell>
          <cell r="AA2777" t="str">
            <v>$1K-$10K</v>
          </cell>
          <cell r="AB2777">
            <v>2012</v>
          </cell>
        </row>
        <row r="2778">
          <cell r="E2778">
            <v>4827.7</v>
          </cell>
          <cell r="Z2778" t="str">
            <v>Legacy</v>
          </cell>
          <cell r="AA2778" t="str">
            <v>$1K-$10K</v>
          </cell>
          <cell r="AB2778" t="str">
            <v>2010 or before</v>
          </cell>
        </row>
        <row r="2779">
          <cell r="E2779">
            <v>4821.07</v>
          </cell>
          <cell r="Z2779" t="str">
            <v>Inbound</v>
          </cell>
          <cell r="AA2779" t="str">
            <v>$1K-$10K</v>
          </cell>
          <cell r="AB2779">
            <v>2012</v>
          </cell>
        </row>
        <row r="2780">
          <cell r="E2780">
            <v>4820.75</v>
          </cell>
          <cell r="Z2780" t="str">
            <v>Legacy</v>
          </cell>
          <cell r="AA2780" t="str">
            <v>$1K-$10K</v>
          </cell>
          <cell r="AB2780" t="str">
            <v>2010 or before</v>
          </cell>
        </row>
        <row r="2781">
          <cell r="E2781">
            <v>4818.91</v>
          </cell>
          <cell r="Z2781" t="str">
            <v>Legacy</v>
          </cell>
          <cell r="AA2781" t="str">
            <v>$1K-$10K</v>
          </cell>
          <cell r="AB2781" t="str">
            <v>2010 or before</v>
          </cell>
        </row>
        <row r="2782">
          <cell r="E2782">
            <v>4810.91</v>
          </cell>
          <cell r="Z2782" t="str">
            <v>Ungating</v>
          </cell>
          <cell r="AA2782" t="str">
            <v>$1K-$10K</v>
          </cell>
          <cell r="AB2782">
            <v>2012</v>
          </cell>
        </row>
        <row r="2783">
          <cell r="E2783">
            <v>4810.55</v>
          </cell>
          <cell r="Z2783" t="str">
            <v>Inbound</v>
          </cell>
          <cell r="AA2783" t="str">
            <v>$1K-$10K</v>
          </cell>
          <cell r="AB2783">
            <v>2012</v>
          </cell>
        </row>
        <row r="2784">
          <cell r="E2784">
            <v>4809.83</v>
          </cell>
          <cell r="Z2784" t="str">
            <v>Legacy</v>
          </cell>
          <cell r="AA2784" t="str">
            <v>$1K-$10K</v>
          </cell>
          <cell r="AB2784">
            <v>2011</v>
          </cell>
        </row>
        <row r="2785">
          <cell r="E2785">
            <v>4805.8100000000004</v>
          </cell>
          <cell r="Z2785" t="str">
            <v>Ungating</v>
          </cell>
          <cell r="AA2785" t="str">
            <v>$1K-$10K</v>
          </cell>
          <cell r="AB2785">
            <v>2011</v>
          </cell>
        </row>
        <row r="2786">
          <cell r="E2786">
            <v>4803.05</v>
          </cell>
          <cell r="Z2786" t="str">
            <v>Legacy</v>
          </cell>
          <cell r="AA2786" t="str">
            <v>$1K-$10K</v>
          </cell>
          <cell r="AB2786" t="str">
            <v>2010 or before</v>
          </cell>
        </row>
        <row r="2787">
          <cell r="E2787">
            <v>4789.7</v>
          </cell>
          <cell r="Z2787" t="str">
            <v>Ungating</v>
          </cell>
          <cell r="AA2787" t="str">
            <v>$1K-$10K</v>
          </cell>
          <cell r="AB2787">
            <v>2012</v>
          </cell>
        </row>
        <row r="2788">
          <cell r="E2788">
            <v>4787.8599999999997</v>
          </cell>
          <cell r="Z2788" t="str">
            <v>Inbound</v>
          </cell>
          <cell r="AA2788" t="str">
            <v>$1K-$10K</v>
          </cell>
          <cell r="AB2788">
            <v>2012</v>
          </cell>
        </row>
        <row r="2789">
          <cell r="E2789">
            <v>4782.3599999999997</v>
          </cell>
          <cell r="Z2789" t="str">
            <v>Inbound</v>
          </cell>
          <cell r="AA2789" t="str">
            <v>$1K-$10K</v>
          </cell>
          <cell r="AB2789">
            <v>2012</v>
          </cell>
        </row>
        <row r="2790">
          <cell r="E2790">
            <v>4773</v>
          </cell>
          <cell r="Z2790" t="str">
            <v>Inbound</v>
          </cell>
          <cell r="AA2790" t="str">
            <v>$1K-$10K</v>
          </cell>
          <cell r="AB2790">
            <v>2012</v>
          </cell>
        </row>
        <row r="2791">
          <cell r="E2791">
            <v>4771.22</v>
          </cell>
          <cell r="Z2791" t="str">
            <v>Ungating</v>
          </cell>
          <cell r="AA2791" t="str">
            <v>$1K-$10K</v>
          </cell>
          <cell r="AB2791">
            <v>2012</v>
          </cell>
        </row>
        <row r="2792">
          <cell r="E2792">
            <v>4771.13</v>
          </cell>
          <cell r="Z2792" t="str">
            <v>Inbound</v>
          </cell>
          <cell r="AA2792" t="str">
            <v>$1K-$10K</v>
          </cell>
          <cell r="AB2792">
            <v>2012</v>
          </cell>
        </row>
        <row r="2793">
          <cell r="E2793">
            <v>4769.88</v>
          </cell>
          <cell r="Z2793" t="str">
            <v>Ungating</v>
          </cell>
          <cell r="AA2793" t="str">
            <v>$1K-$10K</v>
          </cell>
          <cell r="AB2793">
            <v>2012</v>
          </cell>
        </row>
        <row r="2794">
          <cell r="E2794">
            <v>4763.68</v>
          </cell>
          <cell r="Z2794" t="str">
            <v>Ungating</v>
          </cell>
          <cell r="AA2794" t="str">
            <v>$1K-$10K</v>
          </cell>
          <cell r="AB2794">
            <v>2013</v>
          </cell>
        </row>
        <row r="2795">
          <cell r="E2795">
            <v>4754.03</v>
          </cell>
          <cell r="Z2795" t="str">
            <v>Legacy</v>
          </cell>
          <cell r="AA2795" t="str">
            <v>$1K-$10K</v>
          </cell>
          <cell r="AB2795" t="str">
            <v>2010 or before</v>
          </cell>
        </row>
        <row r="2796">
          <cell r="E2796">
            <v>4751.34</v>
          </cell>
          <cell r="Z2796" t="str">
            <v>Legacy</v>
          </cell>
          <cell r="AA2796" t="str">
            <v>$1K-$10K</v>
          </cell>
          <cell r="AB2796" t="str">
            <v>2010 or before</v>
          </cell>
        </row>
        <row r="2797">
          <cell r="E2797">
            <v>4748.66</v>
          </cell>
          <cell r="Z2797" t="str">
            <v>Legacy</v>
          </cell>
          <cell r="AA2797" t="str">
            <v>$1K-$10K</v>
          </cell>
          <cell r="AB2797" t="str">
            <v>2010 or before</v>
          </cell>
        </row>
        <row r="2798">
          <cell r="E2798">
            <v>4735.07</v>
          </cell>
          <cell r="Z2798" t="str">
            <v>Ungating</v>
          </cell>
          <cell r="AA2798" t="str">
            <v>$1K-$10K</v>
          </cell>
          <cell r="AB2798">
            <v>2011</v>
          </cell>
        </row>
        <row r="2799">
          <cell r="E2799">
            <v>4717.5200000000004</v>
          </cell>
          <cell r="Z2799" t="str">
            <v>Ungating</v>
          </cell>
          <cell r="AA2799" t="str">
            <v>$1K-$10K</v>
          </cell>
          <cell r="AB2799">
            <v>2011</v>
          </cell>
        </row>
        <row r="2800">
          <cell r="E2800">
            <v>4714.1400000000003</v>
          </cell>
          <cell r="Z2800" t="str">
            <v>Global</v>
          </cell>
          <cell r="AA2800" t="str">
            <v>$1K-$10K</v>
          </cell>
          <cell r="AB2800">
            <v>2012</v>
          </cell>
        </row>
        <row r="2801">
          <cell r="E2801">
            <v>4710.2700000000004</v>
          </cell>
          <cell r="Z2801" t="str">
            <v>Legacy</v>
          </cell>
          <cell r="AA2801" t="str">
            <v>$1K-$10K</v>
          </cell>
          <cell r="AB2801" t="str">
            <v>2010 or before</v>
          </cell>
        </row>
        <row r="2802">
          <cell r="E2802">
            <v>4709.95</v>
          </cell>
          <cell r="Z2802" t="str">
            <v>Legacy</v>
          </cell>
          <cell r="AA2802" t="str">
            <v>$1K-$10K</v>
          </cell>
          <cell r="AB2802" t="str">
            <v>2010 or before</v>
          </cell>
        </row>
        <row r="2803">
          <cell r="E2803">
            <v>4708.1899999999996</v>
          </cell>
          <cell r="Z2803" t="str">
            <v>Legacy</v>
          </cell>
          <cell r="AA2803" t="str">
            <v>$1K-$10K</v>
          </cell>
          <cell r="AB2803" t="str">
            <v>2010 or before</v>
          </cell>
        </row>
        <row r="2804">
          <cell r="E2804">
            <v>4707.03</v>
          </cell>
          <cell r="Z2804" t="str">
            <v>Legacy</v>
          </cell>
          <cell r="AA2804" t="str">
            <v>$1K-$10K</v>
          </cell>
          <cell r="AB2804" t="str">
            <v>2010 or before</v>
          </cell>
        </row>
        <row r="2805">
          <cell r="E2805">
            <v>4694.0200000000004</v>
          </cell>
          <cell r="Z2805" t="str">
            <v>Ungating</v>
          </cell>
          <cell r="AA2805" t="str">
            <v>$1K-$10K</v>
          </cell>
          <cell r="AB2805">
            <v>2012</v>
          </cell>
        </row>
        <row r="2806">
          <cell r="E2806">
            <v>4686.47</v>
          </cell>
          <cell r="Z2806" t="str">
            <v>Legacy</v>
          </cell>
          <cell r="AA2806" t="str">
            <v>$1K-$10K</v>
          </cell>
          <cell r="AB2806" t="str">
            <v>2010 or before</v>
          </cell>
        </row>
        <row r="2807">
          <cell r="E2807">
            <v>4677.3100000000004</v>
          </cell>
          <cell r="Z2807" t="str">
            <v>Legacy</v>
          </cell>
          <cell r="AA2807" t="str">
            <v>$1K-$10K</v>
          </cell>
          <cell r="AB2807" t="str">
            <v>2010 or before</v>
          </cell>
        </row>
        <row r="2808">
          <cell r="E2808">
            <v>4672.34</v>
          </cell>
          <cell r="Z2808" t="str">
            <v>Legacy</v>
          </cell>
          <cell r="AA2808" t="str">
            <v>$1K-$10K</v>
          </cell>
          <cell r="AB2808" t="str">
            <v>2010 or before</v>
          </cell>
        </row>
        <row r="2809">
          <cell r="E2809">
            <v>4670.4399999999996</v>
          </cell>
          <cell r="Z2809" t="str">
            <v>Legacy</v>
          </cell>
          <cell r="AA2809" t="str">
            <v>$1K-$10K</v>
          </cell>
          <cell r="AB2809" t="str">
            <v>2010 or before</v>
          </cell>
        </row>
        <row r="2810">
          <cell r="E2810">
            <v>4664.3999999999996</v>
          </cell>
          <cell r="Z2810" t="str">
            <v>Legacy</v>
          </cell>
          <cell r="AA2810" t="str">
            <v>$1K-$10K</v>
          </cell>
          <cell r="AB2810" t="str">
            <v>2010 or before</v>
          </cell>
        </row>
        <row r="2811">
          <cell r="E2811">
            <v>4657.03</v>
          </cell>
          <cell r="Z2811" t="str">
            <v>Legacy</v>
          </cell>
          <cell r="AA2811" t="str">
            <v>$1K-$10K</v>
          </cell>
          <cell r="AB2811" t="str">
            <v>2010 or before</v>
          </cell>
        </row>
        <row r="2812">
          <cell r="E2812">
            <v>4655.8900000000003</v>
          </cell>
          <cell r="Z2812" t="str">
            <v>Legacy</v>
          </cell>
          <cell r="AA2812" t="str">
            <v>$1K-$10K</v>
          </cell>
          <cell r="AB2812">
            <v>2011</v>
          </cell>
        </row>
        <row r="2813">
          <cell r="E2813">
            <v>4651.58</v>
          </cell>
          <cell r="Z2813" t="str">
            <v>Legacy</v>
          </cell>
          <cell r="AA2813" t="str">
            <v>$1K-$10K</v>
          </cell>
          <cell r="AB2813" t="str">
            <v>2010 or before</v>
          </cell>
        </row>
        <row r="2814">
          <cell r="E2814">
            <v>4644.57</v>
          </cell>
          <cell r="Z2814" t="str">
            <v>Legacy</v>
          </cell>
          <cell r="AA2814" t="str">
            <v>$1K-$10K</v>
          </cell>
          <cell r="AB2814" t="str">
            <v>2010 or before</v>
          </cell>
        </row>
        <row r="2815">
          <cell r="E2815">
            <v>4636</v>
          </cell>
          <cell r="Z2815" t="str">
            <v>Outbound</v>
          </cell>
          <cell r="AA2815" t="str">
            <v>$1K-$10K</v>
          </cell>
          <cell r="AB2815">
            <v>2012</v>
          </cell>
        </row>
        <row r="2816">
          <cell r="E2816">
            <v>4625.8999999999996</v>
          </cell>
          <cell r="Z2816" t="str">
            <v>Legacy</v>
          </cell>
          <cell r="AA2816" t="str">
            <v>$1K-$10K</v>
          </cell>
          <cell r="AB2816">
            <v>2011</v>
          </cell>
        </row>
        <row r="2817">
          <cell r="E2817">
            <v>4619</v>
          </cell>
          <cell r="Z2817" t="str">
            <v>Legacy</v>
          </cell>
          <cell r="AA2817" t="str">
            <v>$1K-$10K</v>
          </cell>
          <cell r="AB2817" t="str">
            <v>2010 or before</v>
          </cell>
        </row>
        <row r="2818">
          <cell r="E2818">
            <v>4618.47</v>
          </cell>
          <cell r="Z2818" t="str">
            <v>Legacy</v>
          </cell>
          <cell r="AA2818" t="str">
            <v>$1K-$10K</v>
          </cell>
          <cell r="AB2818">
            <v>2011</v>
          </cell>
        </row>
        <row r="2819">
          <cell r="E2819">
            <v>4618</v>
          </cell>
          <cell r="Z2819" t="str">
            <v>Global</v>
          </cell>
          <cell r="AA2819" t="str">
            <v>$1K-$10K</v>
          </cell>
          <cell r="AB2819">
            <v>2012</v>
          </cell>
        </row>
        <row r="2820">
          <cell r="E2820">
            <v>4615.1099999999997</v>
          </cell>
          <cell r="Z2820" t="str">
            <v>Legacy</v>
          </cell>
          <cell r="AA2820" t="str">
            <v>$1K-$10K</v>
          </cell>
          <cell r="AB2820" t="str">
            <v>2010 or before</v>
          </cell>
        </row>
        <row r="2821">
          <cell r="E2821">
            <v>4614.1499999999996</v>
          </cell>
          <cell r="Z2821" t="str">
            <v>Inbound</v>
          </cell>
          <cell r="AA2821" t="str">
            <v>$1K-$10K</v>
          </cell>
          <cell r="AB2821">
            <v>2011</v>
          </cell>
        </row>
        <row r="2822">
          <cell r="E2822">
            <v>4612.78</v>
          </cell>
          <cell r="Z2822" t="str">
            <v>Legacy</v>
          </cell>
          <cell r="AA2822" t="str">
            <v>$1K-$10K</v>
          </cell>
          <cell r="AB2822" t="str">
            <v>2010 or before</v>
          </cell>
        </row>
        <row r="2823">
          <cell r="E2823">
            <v>4610.37</v>
          </cell>
          <cell r="Z2823" t="str">
            <v>Legacy</v>
          </cell>
          <cell r="AA2823" t="str">
            <v>$1K-$10K</v>
          </cell>
          <cell r="AB2823" t="str">
            <v>2010 or before</v>
          </cell>
        </row>
        <row r="2824">
          <cell r="E2824">
            <v>4598.16</v>
          </cell>
          <cell r="Z2824" t="str">
            <v>Legacy</v>
          </cell>
          <cell r="AA2824" t="str">
            <v>$1K-$10K</v>
          </cell>
          <cell r="AB2824" t="str">
            <v>2010 or before</v>
          </cell>
        </row>
        <row r="2825">
          <cell r="E2825">
            <v>4576.7299999999996</v>
          </cell>
          <cell r="Z2825" t="str">
            <v>Ungating</v>
          </cell>
          <cell r="AA2825" t="str">
            <v>$1K-$10K</v>
          </cell>
          <cell r="AB2825">
            <v>2012</v>
          </cell>
        </row>
        <row r="2826">
          <cell r="E2826">
            <v>4576.29</v>
          </cell>
          <cell r="Z2826" t="str">
            <v>Legacy</v>
          </cell>
          <cell r="AA2826" t="str">
            <v>$1K-$10K</v>
          </cell>
          <cell r="AB2826" t="str">
            <v>2010 or before</v>
          </cell>
        </row>
        <row r="2827">
          <cell r="E2827">
            <v>4573.4399999999996</v>
          </cell>
          <cell r="Z2827" t="str">
            <v>Legacy</v>
          </cell>
          <cell r="AA2827" t="str">
            <v>$1K-$10K</v>
          </cell>
          <cell r="AB2827" t="str">
            <v>2010 or before</v>
          </cell>
        </row>
        <row r="2828">
          <cell r="E2828">
            <v>4572.26</v>
          </cell>
          <cell r="Z2828" t="str">
            <v>Legacy</v>
          </cell>
          <cell r="AA2828" t="str">
            <v>$1K-$10K</v>
          </cell>
          <cell r="AB2828" t="str">
            <v>2010 or before</v>
          </cell>
        </row>
        <row r="2829">
          <cell r="E2829">
            <v>4570.25</v>
          </cell>
          <cell r="Z2829" t="str">
            <v>Legacy</v>
          </cell>
          <cell r="AA2829" t="str">
            <v>$1K-$10K</v>
          </cell>
          <cell r="AB2829" t="str">
            <v>2010 or before</v>
          </cell>
        </row>
        <row r="2830">
          <cell r="E2830">
            <v>4569.95</v>
          </cell>
          <cell r="Z2830" t="str">
            <v>Legacy</v>
          </cell>
          <cell r="AA2830" t="str">
            <v>$1K-$10K</v>
          </cell>
          <cell r="AB2830" t="str">
            <v>2010 or before</v>
          </cell>
        </row>
        <row r="2831">
          <cell r="E2831">
            <v>4568.1499999999996</v>
          </cell>
          <cell r="Z2831" t="str">
            <v>Inbound</v>
          </cell>
          <cell r="AA2831" t="str">
            <v>$1K-$10K</v>
          </cell>
          <cell r="AB2831">
            <v>2012</v>
          </cell>
        </row>
        <row r="2832">
          <cell r="E2832">
            <v>4559.05</v>
          </cell>
          <cell r="Z2832" t="str">
            <v>Legacy</v>
          </cell>
          <cell r="AA2832" t="str">
            <v>$1K-$10K</v>
          </cell>
          <cell r="AB2832" t="str">
            <v>2010 or before</v>
          </cell>
        </row>
        <row r="2833">
          <cell r="E2833">
            <v>4552.79</v>
          </cell>
          <cell r="Z2833" t="str">
            <v>Legacy</v>
          </cell>
          <cell r="AA2833" t="str">
            <v>$1K-$10K</v>
          </cell>
          <cell r="AB2833" t="str">
            <v>2010 or before</v>
          </cell>
        </row>
        <row r="2834">
          <cell r="E2834">
            <v>4546.1000000000004</v>
          </cell>
          <cell r="Z2834" t="str">
            <v>Legacy</v>
          </cell>
          <cell r="AA2834" t="str">
            <v>$1K-$10K</v>
          </cell>
          <cell r="AB2834" t="str">
            <v>2010 or before</v>
          </cell>
        </row>
        <row r="2835">
          <cell r="E2835">
            <v>4536.67</v>
          </cell>
          <cell r="Z2835" t="str">
            <v>Global</v>
          </cell>
          <cell r="AA2835" t="str">
            <v>$1K-$10K</v>
          </cell>
          <cell r="AB2835">
            <v>2012</v>
          </cell>
        </row>
        <row r="2836">
          <cell r="E2836">
            <v>4529.5</v>
          </cell>
          <cell r="Z2836" t="str">
            <v>Global</v>
          </cell>
          <cell r="AA2836" t="str">
            <v>$1K-$10K</v>
          </cell>
          <cell r="AB2836">
            <v>2012</v>
          </cell>
        </row>
        <row r="2837">
          <cell r="E2837">
            <v>4524.07</v>
          </cell>
          <cell r="Z2837" t="str">
            <v>Legacy</v>
          </cell>
          <cell r="AA2837" t="str">
            <v>$1K-$10K</v>
          </cell>
          <cell r="AB2837" t="str">
            <v>2010 or before</v>
          </cell>
        </row>
        <row r="2838">
          <cell r="E2838">
            <v>4520.8</v>
          </cell>
          <cell r="Z2838" t="str">
            <v>Legacy</v>
          </cell>
          <cell r="AA2838" t="str">
            <v>$1K-$10K</v>
          </cell>
          <cell r="AB2838">
            <v>2012</v>
          </cell>
        </row>
        <row r="2839">
          <cell r="E2839">
            <v>4507.22</v>
          </cell>
          <cell r="Z2839" t="str">
            <v>Ungating</v>
          </cell>
          <cell r="AA2839" t="str">
            <v>$1K-$10K</v>
          </cell>
          <cell r="AB2839">
            <v>2011</v>
          </cell>
        </row>
        <row r="2840">
          <cell r="E2840">
            <v>4494.26</v>
          </cell>
          <cell r="Z2840" t="str">
            <v>Legacy</v>
          </cell>
          <cell r="AA2840" t="str">
            <v>$1K-$10K</v>
          </cell>
          <cell r="AB2840" t="str">
            <v>2010 or before</v>
          </cell>
        </row>
        <row r="2841">
          <cell r="E2841">
            <v>4487.8100000000004</v>
          </cell>
          <cell r="Z2841" t="str">
            <v>Legacy</v>
          </cell>
          <cell r="AA2841" t="str">
            <v>$1K-$10K</v>
          </cell>
          <cell r="AB2841" t="str">
            <v>2010 or before</v>
          </cell>
        </row>
        <row r="2842">
          <cell r="E2842">
            <v>4459.2700000000004</v>
          </cell>
          <cell r="Z2842" t="str">
            <v>Inbound</v>
          </cell>
          <cell r="AA2842" t="str">
            <v>$1K-$10K</v>
          </cell>
          <cell r="AB2842">
            <v>2012</v>
          </cell>
        </row>
        <row r="2843">
          <cell r="E2843">
            <v>4455.3500000000004</v>
          </cell>
          <cell r="Z2843" t="str">
            <v>Inbound</v>
          </cell>
          <cell r="AA2843" t="str">
            <v>$1K-$10K</v>
          </cell>
          <cell r="AB2843">
            <v>2012</v>
          </cell>
        </row>
        <row r="2844">
          <cell r="E2844">
            <v>4452.16</v>
          </cell>
          <cell r="Z2844" t="str">
            <v>Legacy</v>
          </cell>
          <cell r="AA2844" t="str">
            <v>$1K-$10K</v>
          </cell>
          <cell r="AB2844" t="str">
            <v>2010 or before</v>
          </cell>
        </row>
        <row r="2845">
          <cell r="E2845">
            <v>4451.84</v>
          </cell>
          <cell r="Z2845" t="str">
            <v>Legacy</v>
          </cell>
          <cell r="AA2845" t="str">
            <v>$1K-$10K</v>
          </cell>
          <cell r="AB2845">
            <v>2012</v>
          </cell>
        </row>
        <row r="2846">
          <cell r="E2846">
            <v>4447.25</v>
          </cell>
          <cell r="Z2846" t="str">
            <v>Legacy</v>
          </cell>
          <cell r="AA2846" t="str">
            <v>$1K-$10K</v>
          </cell>
          <cell r="AB2846">
            <v>2012</v>
          </cell>
        </row>
        <row r="2847">
          <cell r="E2847">
            <v>4438</v>
          </cell>
          <cell r="Z2847" t="str">
            <v>Ungating</v>
          </cell>
          <cell r="AA2847" t="str">
            <v>$1K-$10K</v>
          </cell>
          <cell r="AB2847">
            <v>2012</v>
          </cell>
        </row>
        <row r="2848">
          <cell r="E2848">
            <v>4422</v>
          </cell>
          <cell r="Z2848" t="str">
            <v>Global</v>
          </cell>
          <cell r="AA2848" t="str">
            <v>$1K-$10K</v>
          </cell>
          <cell r="AB2848">
            <v>2012</v>
          </cell>
        </row>
        <row r="2849">
          <cell r="E2849">
            <v>4413.72</v>
          </cell>
          <cell r="Z2849" t="str">
            <v>Ungating</v>
          </cell>
          <cell r="AA2849" t="str">
            <v>$1K-$10K</v>
          </cell>
          <cell r="AB2849">
            <v>2012</v>
          </cell>
        </row>
        <row r="2850">
          <cell r="E2850">
            <v>4411.7700000000004</v>
          </cell>
          <cell r="Z2850" t="str">
            <v>Inbound</v>
          </cell>
          <cell r="AA2850" t="str">
            <v>$1K-$10K</v>
          </cell>
          <cell r="AB2850">
            <v>2012</v>
          </cell>
        </row>
        <row r="2851">
          <cell r="E2851">
            <v>4409.54</v>
          </cell>
          <cell r="Z2851" t="str">
            <v>Legacy</v>
          </cell>
          <cell r="AA2851" t="str">
            <v>$1K-$10K</v>
          </cell>
          <cell r="AB2851" t="str">
            <v>2010 or before</v>
          </cell>
        </row>
        <row r="2852">
          <cell r="E2852">
            <v>4401.75</v>
          </cell>
          <cell r="Z2852" t="str">
            <v>Outbound</v>
          </cell>
          <cell r="AA2852" t="str">
            <v>$1K-$10K</v>
          </cell>
          <cell r="AB2852">
            <v>2012</v>
          </cell>
        </row>
        <row r="2853">
          <cell r="E2853">
            <v>4398.57</v>
          </cell>
          <cell r="Z2853" t="str">
            <v>Legacy</v>
          </cell>
          <cell r="AA2853" t="str">
            <v>$1K-$10K</v>
          </cell>
          <cell r="AB2853">
            <v>2012</v>
          </cell>
        </row>
        <row r="2854">
          <cell r="E2854">
            <v>4398.13</v>
          </cell>
          <cell r="Z2854" t="str">
            <v>Inbound</v>
          </cell>
          <cell r="AA2854" t="str">
            <v>$1K-$10K</v>
          </cell>
          <cell r="AB2854">
            <v>2012</v>
          </cell>
        </row>
        <row r="2855">
          <cell r="E2855">
            <v>4382.6499999999996</v>
          </cell>
          <cell r="Z2855" t="str">
            <v>Legacy</v>
          </cell>
          <cell r="AA2855" t="str">
            <v>$1K-$10K</v>
          </cell>
          <cell r="AB2855" t="str">
            <v>2010 or before</v>
          </cell>
        </row>
        <row r="2856">
          <cell r="E2856">
            <v>4369.3599999999997</v>
          </cell>
          <cell r="Z2856" t="str">
            <v>Ungating</v>
          </cell>
          <cell r="AA2856" t="str">
            <v>$1K-$10K</v>
          </cell>
          <cell r="AB2856">
            <v>2012</v>
          </cell>
        </row>
        <row r="2857">
          <cell r="E2857">
            <v>4367.54</v>
          </cell>
          <cell r="Z2857" t="str">
            <v>Legacy</v>
          </cell>
          <cell r="AA2857" t="str">
            <v>$1K-$10K</v>
          </cell>
          <cell r="AB2857" t="str">
            <v>2010 or before</v>
          </cell>
        </row>
        <row r="2858">
          <cell r="E2858">
            <v>4353.6400000000003</v>
          </cell>
          <cell r="Z2858" t="str">
            <v>Legacy</v>
          </cell>
          <cell r="AA2858" t="str">
            <v>$1K-$10K</v>
          </cell>
          <cell r="AB2858">
            <v>2012</v>
          </cell>
        </row>
        <row r="2859">
          <cell r="E2859">
            <v>4352.49</v>
          </cell>
          <cell r="Z2859" t="str">
            <v>Ungating</v>
          </cell>
          <cell r="AA2859" t="str">
            <v>$1K-$10K</v>
          </cell>
          <cell r="AB2859">
            <v>2012</v>
          </cell>
        </row>
        <row r="2860">
          <cell r="E2860">
            <v>4329.9399999999996</v>
          </cell>
          <cell r="Z2860" t="str">
            <v>Inbound</v>
          </cell>
          <cell r="AA2860" t="str">
            <v>$1K-$10K</v>
          </cell>
          <cell r="AB2860">
            <v>2012</v>
          </cell>
        </row>
        <row r="2861">
          <cell r="E2861">
            <v>4328.75</v>
          </cell>
          <cell r="Z2861" t="str">
            <v>Inbound</v>
          </cell>
          <cell r="AA2861" t="str">
            <v>$1K-$10K</v>
          </cell>
          <cell r="AB2861">
            <v>2012</v>
          </cell>
        </row>
        <row r="2862">
          <cell r="E2862">
            <v>4328.17</v>
          </cell>
          <cell r="Z2862" t="str">
            <v>Outbound</v>
          </cell>
          <cell r="AA2862" t="str">
            <v>$1K-$10K</v>
          </cell>
          <cell r="AB2862">
            <v>2012</v>
          </cell>
        </row>
        <row r="2863">
          <cell r="E2863">
            <v>4327.2</v>
          </cell>
          <cell r="Z2863" t="str">
            <v>Legacy</v>
          </cell>
          <cell r="AA2863" t="str">
            <v>$1K-$10K</v>
          </cell>
          <cell r="AB2863" t="str">
            <v>2010 or before</v>
          </cell>
        </row>
        <row r="2864">
          <cell r="E2864">
            <v>4319.8999999999996</v>
          </cell>
          <cell r="Z2864" t="str">
            <v>Legacy</v>
          </cell>
          <cell r="AA2864" t="str">
            <v>$1K-$10K</v>
          </cell>
          <cell r="AB2864" t="str">
            <v>2010 or before</v>
          </cell>
        </row>
        <row r="2865">
          <cell r="E2865">
            <v>4314.1400000000003</v>
          </cell>
          <cell r="Z2865" t="str">
            <v>Legacy</v>
          </cell>
          <cell r="AA2865" t="str">
            <v>$1K-$10K</v>
          </cell>
          <cell r="AB2865" t="str">
            <v>2010 or before</v>
          </cell>
        </row>
        <row r="2866">
          <cell r="E2866">
            <v>4310.5</v>
          </cell>
          <cell r="Z2866" t="str">
            <v>Inbound</v>
          </cell>
          <cell r="AA2866" t="str">
            <v>$1K-$10K</v>
          </cell>
          <cell r="AB2866">
            <v>2012</v>
          </cell>
        </row>
        <row r="2867">
          <cell r="E2867">
            <v>4309.71</v>
          </cell>
          <cell r="Z2867" t="str">
            <v>Legacy</v>
          </cell>
          <cell r="AA2867" t="str">
            <v>$1K-$10K</v>
          </cell>
          <cell r="AB2867" t="str">
            <v>2010 or before</v>
          </cell>
        </row>
        <row r="2868">
          <cell r="E2868">
            <v>4302.1899999999996</v>
          </cell>
          <cell r="Z2868" t="str">
            <v>Legacy</v>
          </cell>
          <cell r="AA2868" t="str">
            <v>$1K-$10K</v>
          </cell>
          <cell r="AB2868" t="str">
            <v>2010 or before</v>
          </cell>
        </row>
        <row r="2869">
          <cell r="E2869">
            <v>4301.29</v>
          </cell>
          <cell r="Z2869" t="str">
            <v>Inbound</v>
          </cell>
          <cell r="AA2869" t="str">
            <v>$1K-$10K</v>
          </cell>
          <cell r="AB2869">
            <v>2012</v>
          </cell>
        </row>
        <row r="2870">
          <cell r="E2870">
            <v>4295</v>
          </cell>
          <cell r="Z2870" t="str">
            <v>Legacy</v>
          </cell>
          <cell r="AA2870" t="str">
            <v>$1K-$10K</v>
          </cell>
          <cell r="AB2870" t="str">
            <v>2010 or before</v>
          </cell>
        </row>
        <row r="2871">
          <cell r="E2871">
            <v>4292.43</v>
          </cell>
          <cell r="Z2871" t="str">
            <v>Ungating</v>
          </cell>
          <cell r="AA2871" t="str">
            <v>$1K-$10K</v>
          </cell>
          <cell r="AB2871">
            <v>2012</v>
          </cell>
        </row>
        <row r="2872">
          <cell r="E2872">
            <v>4291.1899999999996</v>
          </cell>
          <cell r="Z2872" t="str">
            <v>Legacy</v>
          </cell>
          <cell r="AA2872" t="str">
            <v>$1K-$10K</v>
          </cell>
          <cell r="AB2872" t="str">
            <v>2010 or before</v>
          </cell>
        </row>
        <row r="2873">
          <cell r="E2873">
            <v>4289.13</v>
          </cell>
          <cell r="Z2873" t="str">
            <v>Ungating</v>
          </cell>
          <cell r="AA2873" t="str">
            <v>$1K-$10K</v>
          </cell>
          <cell r="AB2873">
            <v>2012</v>
          </cell>
        </row>
        <row r="2874">
          <cell r="E2874">
            <v>4278.34</v>
          </cell>
          <cell r="Z2874" t="str">
            <v>Legacy</v>
          </cell>
          <cell r="AA2874" t="str">
            <v>$1K-$10K</v>
          </cell>
          <cell r="AB2874">
            <v>2011</v>
          </cell>
        </row>
        <row r="2875">
          <cell r="E2875">
            <v>4273.78</v>
          </cell>
          <cell r="Z2875" t="str">
            <v>Legacy</v>
          </cell>
          <cell r="AA2875" t="str">
            <v>$1K-$10K</v>
          </cell>
          <cell r="AB2875" t="str">
            <v>2010 or before</v>
          </cell>
        </row>
        <row r="2876">
          <cell r="E2876">
            <v>4272.34</v>
          </cell>
          <cell r="Z2876" t="str">
            <v>Legacy</v>
          </cell>
          <cell r="AA2876" t="str">
            <v>$1K-$10K</v>
          </cell>
          <cell r="AB2876" t="str">
            <v>2010 or before</v>
          </cell>
        </row>
        <row r="2877">
          <cell r="E2877">
            <v>4268.07</v>
          </cell>
          <cell r="Z2877" t="str">
            <v>Inbound</v>
          </cell>
          <cell r="AA2877" t="str">
            <v>$1K-$10K</v>
          </cell>
          <cell r="AB2877">
            <v>2012</v>
          </cell>
        </row>
        <row r="2878">
          <cell r="E2878">
            <v>4265.71</v>
          </cell>
          <cell r="Z2878" t="str">
            <v>Legacy</v>
          </cell>
          <cell r="AA2878" t="str">
            <v>$1K-$10K</v>
          </cell>
          <cell r="AB2878" t="str">
            <v>2010 or before</v>
          </cell>
        </row>
        <row r="2879">
          <cell r="E2879">
            <v>4264.51</v>
          </cell>
          <cell r="Z2879" t="str">
            <v>Ungating</v>
          </cell>
          <cell r="AA2879" t="str">
            <v>$1K-$10K</v>
          </cell>
          <cell r="AB2879">
            <v>2012</v>
          </cell>
        </row>
        <row r="2880">
          <cell r="E2880">
            <v>4260.5</v>
          </cell>
          <cell r="Z2880" t="str">
            <v>Outbound</v>
          </cell>
          <cell r="AA2880" t="str">
            <v>$1K-$10K</v>
          </cell>
          <cell r="AB2880">
            <v>2012</v>
          </cell>
        </row>
        <row r="2881">
          <cell r="E2881">
            <v>4259.18</v>
          </cell>
          <cell r="Z2881" t="str">
            <v>Legacy</v>
          </cell>
          <cell r="AA2881" t="str">
            <v>$1K-$10K</v>
          </cell>
          <cell r="AB2881">
            <v>2011</v>
          </cell>
        </row>
        <row r="2882">
          <cell r="E2882">
            <v>4256.95</v>
          </cell>
          <cell r="Z2882" t="str">
            <v>Legacy</v>
          </cell>
          <cell r="AA2882" t="str">
            <v>$1K-$10K</v>
          </cell>
          <cell r="AB2882" t="str">
            <v>2010 or before</v>
          </cell>
        </row>
        <row r="2883">
          <cell r="E2883">
            <v>4252.74</v>
          </cell>
          <cell r="Z2883" t="str">
            <v>Legacy</v>
          </cell>
          <cell r="AA2883" t="str">
            <v>$1K-$10K</v>
          </cell>
          <cell r="AB2883" t="str">
            <v>2010 or before</v>
          </cell>
        </row>
        <row r="2884">
          <cell r="E2884">
            <v>4247.92</v>
          </cell>
          <cell r="Z2884" t="str">
            <v>Legacy</v>
          </cell>
          <cell r="AA2884" t="str">
            <v>$1K-$10K</v>
          </cell>
          <cell r="AB2884" t="str">
            <v>2010 or before</v>
          </cell>
        </row>
        <row r="2885">
          <cell r="E2885">
            <v>4243.58</v>
          </cell>
          <cell r="Z2885" t="str">
            <v>Legacy</v>
          </cell>
          <cell r="AA2885" t="str">
            <v>$1K-$10K</v>
          </cell>
          <cell r="AB2885" t="str">
            <v>2010 or before</v>
          </cell>
        </row>
        <row r="2886">
          <cell r="E2886">
            <v>4233.1899999999996</v>
          </cell>
          <cell r="Z2886" t="str">
            <v>Ungating</v>
          </cell>
          <cell r="AA2886" t="str">
            <v>$1K-$10K</v>
          </cell>
          <cell r="AB2886">
            <v>2012</v>
          </cell>
        </row>
        <row r="2887">
          <cell r="E2887">
            <v>4223.75</v>
          </cell>
          <cell r="Z2887" t="str">
            <v>Ungating</v>
          </cell>
          <cell r="AA2887" t="str">
            <v>$1K-$10K</v>
          </cell>
          <cell r="AB2887">
            <v>2012</v>
          </cell>
        </row>
        <row r="2888">
          <cell r="E2888">
            <v>4210.83</v>
          </cell>
          <cell r="Z2888" t="str">
            <v>Legacy</v>
          </cell>
          <cell r="AA2888" t="str">
            <v>$1K-$10K</v>
          </cell>
          <cell r="AB2888" t="str">
            <v>2010 or before</v>
          </cell>
        </row>
        <row r="2889">
          <cell r="E2889">
            <v>4195.51</v>
          </cell>
          <cell r="Z2889" t="str">
            <v>Legacy</v>
          </cell>
          <cell r="AA2889" t="str">
            <v>$1K-$10K</v>
          </cell>
          <cell r="AB2889" t="str">
            <v>2010 or before</v>
          </cell>
        </row>
        <row r="2890">
          <cell r="E2890">
            <v>4182.75</v>
          </cell>
          <cell r="Z2890" t="str">
            <v>Ungating</v>
          </cell>
          <cell r="AA2890" t="str">
            <v>$1K-$10K</v>
          </cell>
          <cell r="AB2890">
            <v>2012</v>
          </cell>
        </row>
        <row r="2891">
          <cell r="E2891">
            <v>4182.5</v>
          </cell>
          <cell r="Z2891" t="str">
            <v>Global</v>
          </cell>
          <cell r="AA2891" t="str">
            <v>$1K-$10K</v>
          </cell>
          <cell r="AB2891">
            <v>2012</v>
          </cell>
        </row>
        <row r="2892">
          <cell r="E2892">
            <v>4181.41</v>
          </cell>
          <cell r="Z2892" t="str">
            <v>Ungating</v>
          </cell>
          <cell r="AA2892" t="str">
            <v>$1K-$10K</v>
          </cell>
          <cell r="AB2892">
            <v>2012</v>
          </cell>
        </row>
        <row r="2893">
          <cell r="E2893">
            <v>4174.8500000000004</v>
          </cell>
          <cell r="Z2893" t="str">
            <v>Strategic</v>
          </cell>
          <cell r="AA2893" t="str">
            <v>$1K-$10K</v>
          </cell>
          <cell r="AB2893">
            <v>2012</v>
          </cell>
        </row>
        <row r="2894">
          <cell r="E2894">
            <v>4173.34</v>
          </cell>
          <cell r="Z2894" t="str">
            <v>Inbound</v>
          </cell>
          <cell r="AA2894" t="str">
            <v>$1K-$10K</v>
          </cell>
          <cell r="AB2894">
            <v>2011</v>
          </cell>
        </row>
        <row r="2895">
          <cell r="E2895">
            <v>4161.92</v>
          </cell>
          <cell r="Z2895" t="str">
            <v>Legacy</v>
          </cell>
          <cell r="AA2895" t="str">
            <v>$1K-$10K</v>
          </cell>
          <cell r="AB2895" t="str">
            <v>2010 or before</v>
          </cell>
        </row>
        <row r="2896">
          <cell r="E2896">
            <v>4158.54</v>
          </cell>
          <cell r="Z2896" t="str">
            <v>Legacy</v>
          </cell>
          <cell r="AA2896" t="str">
            <v>$1K-$10K</v>
          </cell>
          <cell r="AB2896" t="str">
            <v>2010 or before</v>
          </cell>
        </row>
        <row r="2897">
          <cell r="E2897">
            <v>4154.37</v>
          </cell>
          <cell r="Z2897" t="str">
            <v>Legacy</v>
          </cell>
          <cell r="AA2897" t="str">
            <v>$1K-$10K</v>
          </cell>
          <cell r="AB2897" t="str">
            <v>2010 or before</v>
          </cell>
        </row>
        <row r="2898">
          <cell r="E2898">
            <v>4150.78</v>
          </cell>
          <cell r="Z2898" t="str">
            <v>Ungating</v>
          </cell>
          <cell r="AA2898" t="str">
            <v>$1K-$10K</v>
          </cell>
          <cell r="AB2898">
            <v>2012</v>
          </cell>
        </row>
        <row r="2899">
          <cell r="E2899">
            <v>4150.66</v>
          </cell>
          <cell r="Z2899" t="str">
            <v>Legacy</v>
          </cell>
          <cell r="AA2899" t="str">
            <v>$1K-$10K</v>
          </cell>
          <cell r="AB2899" t="str">
            <v>2010 or before</v>
          </cell>
        </row>
        <row r="2900">
          <cell r="E2900">
            <v>4145.6499999999996</v>
          </cell>
          <cell r="Z2900" t="str">
            <v>Legacy</v>
          </cell>
          <cell r="AA2900" t="str">
            <v>$1K-$10K</v>
          </cell>
          <cell r="AB2900" t="str">
            <v>2010 or before</v>
          </cell>
        </row>
        <row r="2901">
          <cell r="E2901">
            <v>4142.9399999999996</v>
          </cell>
          <cell r="Z2901" t="str">
            <v>Legacy</v>
          </cell>
          <cell r="AA2901" t="str">
            <v>$1K-$10K</v>
          </cell>
          <cell r="AB2901" t="str">
            <v>2010 or before</v>
          </cell>
        </row>
        <row r="2902">
          <cell r="E2902">
            <v>4140.66</v>
          </cell>
          <cell r="Z2902" t="str">
            <v>Legacy</v>
          </cell>
          <cell r="AA2902" t="str">
            <v>$1K-$10K</v>
          </cell>
          <cell r="AB2902" t="str">
            <v>2010 or before</v>
          </cell>
        </row>
        <row r="2903">
          <cell r="E2903">
            <v>4128.7</v>
          </cell>
          <cell r="Z2903" t="str">
            <v>Legacy</v>
          </cell>
          <cell r="AA2903" t="str">
            <v>$1K-$10K</v>
          </cell>
          <cell r="AB2903" t="str">
            <v>2010 or before</v>
          </cell>
        </row>
        <row r="2904">
          <cell r="E2904">
            <v>4126.07</v>
          </cell>
          <cell r="Z2904" t="str">
            <v>Inbound</v>
          </cell>
          <cell r="AA2904" t="str">
            <v>$1K-$10K</v>
          </cell>
          <cell r="AB2904">
            <v>2011</v>
          </cell>
        </row>
        <row r="2905">
          <cell r="E2905">
            <v>4112.34</v>
          </cell>
          <cell r="Z2905" t="str">
            <v>Ungating</v>
          </cell>
          <cell r="AA2905" t="str">
            <v>$1K-$10K</v>
          </cell>
          <cell r="AB2905">
            <v>2011</v>
          </cell>
        </row>
        <row r="2906">
          <cell r="E2906">
            <v>4105.6400000000003</v>
          </cell>
          <cell r="Z2906" t="str">
            <v>Strategic</v>
          </cell>
          <cell r="AA2906" t="str">
            <v>$1K-$10K</v>
          </cell>
          <cell r="AB2906">
            <v>2013</v>
          </cell>
        </row>
        <row r="2907">
          <cell r="E2907">
            <v>4100.5</v>
          </cell>
          <cell r="Z2907" t="str">
            <v>Legacy</v>
          </cell>
          <cell r="AA2907" t="str">
            <v>$1K-$10K</v>
          </cell>
          <cell r="AB2907" t="str">
            <v>2010 or before</v>
          </cell>
        </row>
        <row r="2908">
          <cell r="E2908">
            <v>4097.6000000000004</v>
          </cell>
          <cell r="Z2908" t="str">
            <v>Legacy</v>
          </cell>
          <cell r="AA2908" t="str">
            <v>$1K-$10K</v>
          </cell>
          <cell r="AB2908" t="str">
            <v>2010 or before</v>
          </cell>
        </row>
        <row r="2909">
          <cell r="E2909">
            <v>4095.78</v>
          </cell>
          <cell r="Z2909" t="str">
            <v>Legacy</v>
          </cell>
          <cell r="AA2909" t="str">
            <v>$1K-$10K</v>
          </cell>
          <cell r="AB2909" t="str">
            <v>2010 or before</v>
          </cell>
        </row>
        <row r="2910">
          <cell r="E2910">
            <v>4095.71</v>
          </cell>
          <cell r="Z2910" t="str">
            <v>Legacy</v>
          </cell>
          <cell r="AA2910" t="str">
            <v>$1K-$10K</v>
          </cell>
          <cell r="AB2910" t="str">
            <v>2010 or before</v>
          </cell>
        </row>
        <row r="2911">
          <cell r="E2911">
            <v>4095.25</v>
          </cell>
          <cell r="Z2911" t="str">
            <v>Legacy</v>
          </cell>
          <cell r="AA2911" t="str">
            <v>$1K-$10K</v>
          </cell>
          <cell r="AB2911" t="str">
            <v>2010 or before</v>
          </cell>
        </row>
        <row r="2912">
          <cell r="E2912">
            <v>4092.26</v>
          </cell>
          <cell r="Z2912" t="str">
            <v>Inbound</v>
          </cell>
          <cell r="AA2912" t="str">
            <v>$1K-$10K</v>
          </cell>
          <cell r="AB2912">
            <v>2011</v>
          </cell>
        </row>
        <row r="2913">
          <cell r="E2913">
            <v>4087.75</v>
          </cell>
          <cell r="Z2913" t="str">
            <v>Inbound</v>
          </cell>
          <cell r="AA2913" t="str">
            <v>$1K-$10K</v>
          </cell>
          <cell r="AB2913">
            <v>2012</v>
          </cell>
        </row>
        <row r="2914">
          <cell r="E2914">
            <v>4085.45</v>
          </cell>
          <cell r="Z2914" t="str">
            <v>Legacy</v>
          </cell>
          <cell r="AA2914" t="str">
            <v>$1K-$10K</v>
          </cell>
          <cell r="AB2914" t="str">
            <v>2010 or before</v>
          </cell>
        </row>
        <row r="2915">
          <cell r="E2915">
            <v>4076.19</v>
          </cell>
          <cell r="Z2915" t="str">
            <v>Ungating</v>
          </cell>
          <cell r="AA2915" t="str">
            <v>$1K-$10K</v>
          </cell>
          <cell r="AB2915">
            <v>2012</v>
          </cell>
        </row>
        <row r="2916">
          <cell r="E2916">
            <v>4075.13</v>
          </cell>
          <cell r="Z2916" t="str">
            <v>Ungating</v>
          </cell>
          <cell r="AA2916" t="str">
            <v>$1K-$10K</v>
          </cell>
          <cell r="AB2916">
            <v>2012</v>
          </cell>
        </row>
        <row r="2917">
          <cell r="E2917">
            <v>4072.28</v>
          </cell>
          <cell r="Z2917" t="str">
            <v>Legacy</v>
          </cell>
          <cell r="AA2917" t="str">
            <v>$1K-$10K</v>
          </cell>
          <cell r="AB2917" t="str">
            <v>2010 or before</v>
          </cell>
        </row>
        <row r="2918">
          <cell r="E2918">
            <v>4066.18</v>
          </cell>
          <cell r="Z2918" t="str">
            <v>Inbound</v>
          </cell>
          <cell r="AA2918" t="str">
            <v>$1K-$10K</v>
          </cell>
          <cell r="AB2918">
            <v>2012</v>
          </cell>
        </row>
        <row r="2919">
          <cell r="E2919">
            <v>4046.43</v>
          </cell>
          <cell r="Z2919" t="str">
            <v>Legacy</v>
          </cell>
          <cell r="AA2919" t="str">
            <v>$1K-$10K</v>
          </cell>
          <cell r="AB2919" t="str">
            <v>2010 or before</v>
          </cell>
        </row>
        <row r="2920">
          <cell r="E2920">
            <v>4046.02</v>
          </cell>
          <cell r="Z2920" t="str">
            <v>Legacy</v>
          </cell>
          <cell r="AA2920" t="str">
            <v>$1K-$10K</v>
          </cell>
          <cell r="AB2920" t="str">
            <v>2010 or before</v>
          </cell>
        </row>
        <row r="2921">
          <cell r="E2921">
            <v>4033.22</v>
          </cell>
          <cell r="Z2921" t="str">
            <v>Ungating</v>
          </cell>
          <cell r="AA2921" t="str">
            <v>$1K-$10K</v>
          </cell>
          <cell r="AB2921">
            <v>2011</v>
          </cell>
        </row>
        <row r="2922">
          <cell r="E2922">
            <v>4029.57</v>
          </cell>
          <cell r="Z2922" t="str">
            <v>Inbound</v>
          </cell>
          <cell r="AA2922" t="str">
            <v>$1K-$10K</v>
          </cell>
          <cell r="AB2922">
            <v>2011</v>
          </cell>
        </row>
        <row r="2923">
          <cell r="E2923">
            <v>4018.8</v>
          </cell>
          <cell r="Z2923" t="str">
            <v>Ungating</v>
          </cell>
          <cell r="AA2923" t="str">
            <v>$1K-$10K</v>
          </cell>
          <cell r="AB2923">
            <v>2012</v>
          </cell>
        </row>
        <row r="2924">
          <cell r="E2924">
            <v>4010.94</v>
          </cell>
          <cell r="Z2924" t="str">
            <v>Legacy</v>
          </cell>
          <cell r="AA2924" t="str">
            <v>$1K-$10K</v>
          </cell>
          <cell r="AB2924" t="str">
            <v>2010 or before</v>
          </cell>
        </row>
        <row r="2925">
          <cell r="E2925">
            <v>4005.27</v>
          </cell>
          <cell r="Z2925" t="str">
            <v>Legacy</v>
          </cell>
          <cell r="AA2925" t="str">
            <v>$1K-$10K</v>
          </cell>
          <cell r="AB2925" t="str">
            <v>2010 or before</v>
          </cell>
        </row>
        <row r="2926">
          <cell r="E2926">
            <v>4000.74</v>
          </cell>
          <cell r="Z2926" t="str">
            <v>Legacy</v>
          </cell>
          <cell r="AA2926" t="str">
            <v>$1K-$10K</v>
          </cell>
          <cell r="AB2926" t="str">
            <v>2010 or before</v>
          </cell>
        </row>
        <row r="2927">
          <cell r="E2927">
            <v>3997.59</v>
          </cell>
          <cell r="Z2927" t="str">
            <v>Inbound</v>
          </cell>
          <cell r="AA2927" t="str">
            <v>$1K-$10K</v>
          </cell>
          <cell r="AB2927">
            <v>2011</v>
          </cell>
        </row>
        <row r="2928">
          <cell r="E2928">
            <v>3994.93</v>
          </cell>
          <cell r="Z2928" t="str">
            <v>Legacy</v>
          </cell>
          <cell r="AA2928" t="str">
            <v>$1K-$10K</v>
          </cell>
          <cell r="AB2928" t="str">
            <v>2010 or before</v>
          </cell>
        </row>
        <row r="2929">
          <cell r="E2929">
            <v>3991.29</v>
          </cell>
          <cell r="Z2929" t="str">
            <v>Legacy</v>
          </cell>
          <cell r="AA2929" t="str">
            <v>$1K-$10K</v>
          </cell>
          <cell r="AB2929" t="str">
            <v>2010 or before</v>
          </cell>
        </row>
        <row r="2930">
          <cell r="E2930">
            <v>3987.01</v>
          </cell>
          <cell r="Z2930" t="str">
            <v>Legacy</v>
          </cell>
          <cell r="AA2930" t="str">
            <v>$1K-$10K</v>
          </cell>
          <cell r="AB2930" t="str">
            <v>2010 or before</v>
          </cell>
        </row>
        <row r="2931">
          <cell r="E2931">
            <v>3980.21</v>
          </cell>
          <cell r="Z2931" t="str">
            <v>Legacy</v>
          </cell>
          <cell r="AA2931" t="str">
            <v>$1K-$10K</v>
          </cell>
          <cell r="AB2931" t="str">
            <v>2010 or before</v>
          </cell>
        </row>
        <row r="2932">
          <cell r="E2932">
            <v>3978.29</v>
          </cell>
          <cell r="Z2932" t="str">
            <v>Legacy</v>
          </cell>
          <cell r="AA2932" t="str">
            <v>$1K-$10K</v>
          </cell>
          <cell r="AB2932" t="str">
            <v>2010 or before</v>
          </cell>
        </row>
        <row r="2933">
          <cell r="E2933">
            <v>3975.35</v>
          </cell>
          <cell r="Z2933" t="str">
            <v>Inbound</v>
          </cell>
          <cell r="AA2933" t="str">
            <v>$1K-$10K</v>
          </cell>
          <cell r="AB2933">
            <v>2012</v>
          </cell>
        </row>
        <row r="2934">
          <cell r="E2934">
            <v>3970</v>
          </cell>
          <cell r="Z2934" t="str">
            <v>Global</v>
          </cell>
          <cell r="AA2934" t="str">
            <v>$1K-$10K</v>
          </cell>
          <cell r="AB2934">
            <v>2012</v>
          </cell>
        </row>
        <row r="2935">
          <cell r="E2935">
            <v>3969.63</v>
          </cell>
          <cell r="Z2935" t="str">
            <v>Inbound</v>
          </cell>
          <cell r="AA2935" t="str">
            <v>$1K-$10K</v>
          </cell>
          <cell r="AB2935">
            <v>2012</v>
          </cell>
        </row>
        <row r="2936">
          <cell r="E2936">
            <v>3960.95</v>
          </cell>
          <cell r="Z2936" t="str">
            <v>Ungating</v>
          </cell>
          <cell r="AA2936" t="str">
            <v>$1K-$10K</v>
          </cell>
          <cell r="AB2936">
            <v>2012</v>
          </cell>
        </row>
        <row r="2937">
          <cell r="E2937">
            <v>3958.81</v>
          </cell>
          <cell r="Z2937" t="str">
            <v>Legacy</v>
          </cell>
          <cell r="AA2937" t="str">
            <v>$1K-$10K</v>
          </cell>
          <cell r="AB2937" t="str">
            <v>2010 or before</v>
          </cell>
        </row>
        <row r="2938">
          <cell r="E2938">
            <v>3958.15</v>
          </cell>
          <cell r="Z2938" t="str">
            <v>Ungating</v>
          </cell>
          <cell r="AA2938" t="str">
            <v>$1K-$10K</v>
          </cell>
          <cell r="AB2938">
            <v>2012</v>
          </cell>
        </row>
        <row r="2939">
          <cell r="E2939">
            <v>3953.1</v>
          </cell>
          <cell r="Z2939" t="str">
            <v>Ungating</v>
          </cell>
          <cell r="AA2939" t="str">
            <v>$1K-$10K</v>
          </cell>
          <cell r="AB2939">
            <v>2011</v>
          </cell>
        </row>
        <row r="2940">
          <cell r="E2940">
            <v>3944.45</v>
          </cell>
          <cell r="Z2940" t="str">
            <v>Outbound</v>
          </cell>
          <cell r="AA2940" t="str">
            <v>$1K-$10K</v>
          </cell>
          <cell r="AB2940">
            <v>2012</v>
          </cell>
        </row>
        <row r="2941">
          <cell r="E2941">
            <v>3943.87</v>
          </cell>
          <cell r="Z2941" t="str">
            <v>Legacy</v>
          </cell>
          <cell r="AA2941" t="str">
            <v>$1K-$10K</v>
          </cell>
          <cell r="AB2941" t="str">
            <v>2010 or before</v>
          </cell>
        </row>
        <row r="2942">
          <cell r="E2942">
            <v>3931.69</v>
          </cell>
          <cell r="Z2942" t="str">
            <v>Legacy</v>
          </cell>
          <cell r="AA2942" t="str">
            <v>$1K-$10K</v>
          </cell>
          <cell r="AB2942" t="str">
            <v>2010 or before</v>
          </cell>
        </row>
        <row r="2943">
          <cell r="E2943">
            <v>3930.54</v>
          </cell>
          <cell r="Z2943" t="str">
            <v>Legacy</v>
          </cell>
          <cell r="AA2943" t="str">
            <v>$1K-$10K</v>
          </cell>
          <cell r="AB2943" t="str">
            <v>2010 or before</v>
          </cell>
        </row>
        <row r="2944">
          <cell r="E2944">
            <v>3927.62</v>
          </cell>
          <cell r="Z2944" t="str">
            <v>Legacy</v>
          </cell>
          <cell r="AA2944" t="str">
            <v>$1K-$10K</v>
          </cell>
          <cell r="AB2944" t="str">
            <v>2010 or before</v>
          </cell>
        </row>
        <row r="2945">
          <cell r="E2945">
            <v>3924.68</v>
          </cell>
          <cell r="Z2945" t="str">
            <v>Legacy</v>
          </cell>
          <cell r="AA2945" t="str">
            <v>$1K-$10K</v>
          </cell>
          <cell r="AB2945" t="str">
            <v>2010 or before</v>
          </cell>
        </row>
        <row r="2946">
          <cell r="E2946">
            <v>3921.63</v>
          </cell>
          <cell r="Z2946" t="str">
            <v>Ungating</v>
          </cell>
          <cell r="AA2946" t="str">
            <v>$1K-$10K</v>
          </cell>
          <cell r="AB2946">
            <v>2012</v>
          </cell>
        </row>
        <row r="2947">
          <cell r="E2947">
            <v>3918.04</v>
          </cell>
          <cell r="Z2947" t="str">
            <v>Legacy</v>
          </cell>
          <cell r="AA2947" t="str">
            <v>$1K-$10K</v>
          </cell>
          <cell r="AB2947">
            <v>2012</v>
          </cell>
        </row>
        <row r="2948">
          <cell r="E2948">
            <v>3911.24</v>
          </cell>
          <cell r="Z2948" t="str">
            <v>Legacy</v>
          </cell>
          <cell r="AA2948" t="str">
            <v>$1K-$10K</v>
          </cell>
          <cell r="AB2948" t="str">
            <v>2010 or before</v>
          </cell>
        </row>
        <row r="2949">
          <cell r="E2949">
            <v>3910.05</v>
          </cell>
          <cell r="Z2949" t="str">
            <v>Ungating</v>
          </cell>
          <cell r="AA2949" t="str">
            <v>$1K-$10K</v>
          </cell>
          <cell r="AB2949">
            <v>2012</v>
          </cell>
        </row>
        <row r="2950">
          <cell r="E2950">
            <v>3908.6</v>
          </cell>
          <cell r="Z2950" t="str">
            <v>Legacy</v>
          </cell>
          <cell r="AA2950" t="str">
            <v>$1K-$10K</v>
          </cell>
          <cell r="AB2950" t="str">
            <v>2010 or before</v>
          </cell>
        </row>
        <row r="2951">
          <cell r="E2951">
            <v>3906.92</v>
          </cell>
          <cell r="Z2951" t="str">
            <v>Legacy</v>
          </cell>
          <cell r="AA2951" t="str">
            <v>$1K-$10K</v>
          </cell>
          <cell r="AB2951">
            <v>2012</v>
          </cell>
        </row>
        <row r="2952">
          <cell r="E2952">
            <v>3901.6</v>
          </cell>
          <cell r="Z2952" t="str">
            <v>Legacy</v>
          </cell>
          <cell r="AA2952" t="str">
            <v>$1K-$10K</v>
          </cell>
          <cell r="AB2952" t="str">
            <v>2010 or before</v>
          </cell>
        </row>
        <row r="2953">
          <cell r="E2953">
            <v>3896.46</v>
          </cell>
          <cell r="Z2953" t="str">
            <v>Legacy</v>
          </cell>
          <cell r="AA2953" t="str">
            <v>$1K-$10K</v>
          </cell>
          <cell r="AB2953" t="str">
            <v>2010 or before</v>
          </cell>
        </row>
        <row r="2954">
          <cell r="E2954">
            <v>3895.88</v>
          </cell>
          <cell r="Z2954" t="str">
            <v>Ungating</v>
          </cell>
          <cell r="AA2954" t="str">
            <v>$1K-$10K</v>
          </cell>
          <cell r="AB2954">
            <v>2012</v>
          </cell>
        </row>
        <row r="2955">
          <cell r="E2955">
            <v>3889.7</v>
          </cell>
          <cell r="Z2955" t="str">
            <v>Outbound</v>
          </cell>
          <cell r="AA2955" t="str">
            <v>$1K-$10K</v>
          </cell>
          <cell r="AB2955">
            <v>2012</v>
          </cell>
        </row>
        <row r="2956">
          <cell r="E2956">
            <v>3861.09</v>
          </cell>
          <cell r="Z2956" t="str">
            <v>Inbound</v>
          </cell>
          <cell r="AA2956" t="str">
            <v>$1K-$10K</v>
          </cell>
          <cell r="AB2956">
            <v>2011</v>
          </cell>
        </row>
        <row r="2957">
          <cell r="E2957">
            <v>3859.12</v>
          </cell>
          <cell r="Z2957" t="str">
            <v>Legacy</v>
          </cell>
          <cell r="AA2957" t="str">
            <v>$1K-$10K</v>
          </cell>
          <cell r="AB2957" t="str">
            <v>2010 or before</v>
          </cell>
        </row>
        <row r="2958">
          <cell r="E2958">
            <v>3847.32</v>
          </cell>
          <cell r="Z2958" t="str">
            <v>Legacy</v>
          </cell>
          <cell r="AA2958" t="str">
            <v>$1K-$10K</v>
          </cell>
          <cell r="AB2958">
            <v>2012</v>
          </cell>
        </row>
        <row r="2959">
          <cell r="E2959">
            <v>3845.75</v>
          </cell>
          <cell r="Z2959" t="str">
            <v>Inbound</v>
          </cell>
          <cell r="AA2959" t="str">
            <v>$1K-$10K</v>
          </cell>
          <cell r="AB2959">
            <v>2012</v>
          </cell>
        </row>
        <row r="2960">
          <cell r="E2960">
            <v>3843.44</v>
          </cell>
          <cell r="Z2960" t="str">
            <v>Legacy</v>
          </cell>
          <cell r="AA2960" t="str">
            <v>$1K-$10K</v>
          </cell>
          <cell r="AB2960" t="str">
            <v>2010 or before</v>
          </cell>
        </row>
        <row r="2961">
          <cell r="E2961">
            <v>3837.53</v>
          </cell>
          <cell r="Z2961" t="str">
            <v>Global</v>
          </cell>
          <cell r="AA2961" t="str">
            <v>$1K-$10K</v>
          </cell>
          <cell r="AB2961">
            <v>2012</v>
          </cell>
        </row>
        <row r="2962">
          <cell r="E2962">
            <v>3825.99</v>
          </cell>
          <cell r="Z2962" t="str">
            <v>Legacy</v>
          </cell>
          <cell r="AA2962" t="str">
            <v>$1K-$10K</v>
          </cell>
          <cell r="AB2962" t="str">
            <v>2010 or before</v>
          </cell>
        </row>
        <row r="2963">
          <cell r="E2963">
            <v>3821.49</v>
          </cell>
          <cell r="Z2963" t="str">
            <v>Legacy</v>
          </cell>
          <cell r="AA2963" t="str">
            <v>$1K-$10K</v>
          </cell>
          <cell r="AB2963" t="str">
            <v>2010 or before</v>
          </cell>
        </row>
        <row r="2964">
          <cell r="E2964">
            <v>3820.51</v>
          </cell>
          <cell r="Z2964" t="str">
            <v>Legacy</v>
          </cell>
          <cell r="AA2964" t="str">
            <v>$1K-$10K</v>
          </cell>
          <cell r="AB2964" t="str">
            <v>2010 or before</v>
          </cell>
        </row>
        <row r="2965">
          <cell r="E2965">
            <v>3815.39</v>
          </cell>
          <cell r="Z2965" t="str">
            <v>Inbound</v>
          </cell>
          <cell r="AA2965" t="str">
            <v>$1K-$10K</v>
          </cell>
          <cell r="AB2965">
            <v>2012</v>
          </cell>
        </row>
        <row r="2966">
          <cell r="E2966">
            <v>3805.34</v>
          </cell>
          <cell r="Z2966" t="str">
            <v>Legacy</v>
          </cell>
          <cell r="AA2966" t="str">
            <v>$1K-$10K</v>
          </cell>
          <cell r="AB2966" t="str">
            <v>2010 or before</v>
          </cell>
        </row>
        <row r="2967">
          <cell r="E2967">
            <v>3804.38</v>
          </cell>
          <cell r="Z2967" t="str">
            <v>Legacy</v>
          </cell>
          <cell r="AA2967" t="str">
            <v>$1K-$10K</v>
          </cell>
          <cell r="AB2967">
            <v>2011</v>
          </cell>
        </row>
        <row r="2968">
          <cell r="E2968">
            <v>3801.27</v>
          </cell>
          <cell r="Z2968" t="str">
            <v>Ungating</v>
          </cell>
          <cell r="AA2968" t="str">
            <v>$1K-$10K</v>
          </cell>
          <cell r="AB2968">
            <v>2012</v>
          </cell>
        </row>
        <row r="2969">
          <cell r="E2969">
            <v>3801.1</v>
          </cell>
          <cell r="Z2969" t="str">
            <v>Legacy</v>
          </cell>
          <cell r="AA2969" t="str">
            <v>$1K-$10K</v>
          </cell>
          <cell r="AB2969" t="str">
            <v>2010 or before</v>
          </cell>
        </row>
        <row r="2970">
          <cell r="E2970">
            <v>3799.25</v>
          </cell>
          <cell r="Z2970" t="str">
            <v>Legacy</v>
          </cell>
          <cell r="AA2970" t="str">
            <v>$1K-$10K</v>
          </cell>
          <cell r="AB2970" t="str">
            <v>2010 or before</v>
          </cell>
        </row>
        <row r="2971">
          <cell r="E2971">
            <v>3797.75</v>
          </cell>
          <cell r="Z2971" t="str">
            <v>Inbound</v>
          </cell>
          <cell r="AA2971" t="str">
            <v>$1K-$10K</v>
          </cell>
          <cell r="AB2971">
            <v>2012</v>
          </cell>
        </row>
        <row r="2972">
          <cell r="E2972">
            <v>3790.83</v>
          </cell>
          <cell r="Z2972" t="str">
            <v>Legacy</v>
          </cell>
          <cell r="AA2972" t="str">
            <v>$1K-$10K</v>
          </cell>
          <cell r="AB2972" t="str">
            <v>2010 or before</v>
          </cell>
        </row>
        <row r="2973">
          <cell r="E2973">
            <v>3786.61</v>
          </cell>
          <cell r="Z2973" t="str">
            <v>Legacy</v>
          </cell>
          <cell r="AA2973" t="str">
            <v>$1K-$10K</v>
          </cell>
          <cell r="AB2973" t="str">
            <v>2010 or before</v>
          </cell>
        </row>
        <row r="2974">
          <cell r="E2974">
            <v>3773.23</v>
          </cell>
          <cell r="Z2974" t="str">
            <v>Global</v>
          </cell>
          <cell r="AA2974" t="str">
            <v>$1K-$10K</v>
          </cell>
          <cell r="AB2974">
            <v>2012</v>
          </cell>
        </row>
        <row r="2975">
          <cell r="E2975">
            <v>3771.79</v>
          </cell>
          <cell r="Z2975" t="str">
            <v>Legacy</v>
          </cell>
          <cell r="AA2975" t="str">
            <v>$1K-$10K</v>
          </cell>
          <cell r="AB2975" t="str">
            <v>2010 or before</v>
          </cell>
        </row>
        <row r="2976">
          <cell r="E2976">
            <v>3768.22</v>
          </cell>
          <cell r="Z2976" t="str">
            <v>Legacy</v>
          </cell>
          <cell r="AA2976" t="str">
            <v>$1K-$10K</v>
          </cell>
          <cell r="AB2976">
            <v>2012</v>
          </cell>
        </row>
        <row r="2977">
          <cell r="E2977">
            <v>3763.75</v>
          </cell>
          <cell r="Z2977" t="str">
            <v>Outbound</v>
          </cell>
          <cell r="AA2977" t="str">
            <v>$1K-$10K</v>
          </cell>
          <cell r="AB2977">
            <v>2012</v>
          </cell>
        </row>
        <row r="2978">
          <cell r="E2978">
            <v>3761.56</v>
          </cell>
          <cell r="Z2978" t="str">
            <v>Legacy</v>
          </cell>
          <cell r="AA2978" t="str">
            <v>$1K-$10K</v>
          </cell>
          <cell r="AB2978" t="str">
            <v>2010 or before</v>
          </cell>
        </row>
        <row r="2979">
          <cell r="E2979">
            <v>3751.62</v>
          </cell>
          <cell r="Z2979" t="str">
            <v>Legacy</v>
          </cell>
          <cell r="AA2979" t="str">
            <v>$1K-$10K</v>
          </cell>
          <cell r="AB2979" t="str">
            <v>2010 or before</v>
          </cell>
        </row>
        <row r="2980">
          <cell r="E2980">
            <v>3746.8</v>
          </cell>
          <cell r="Z2980" t="str">
            <v>Legacy</v>
          </cell>
          <cell r="AA2980" t="str">
            <v>$1K-$10K</v>
          </cell>
          <cell r="AB2980" t="str">
            <v>2010 or before</v>
          </cell>
        </row>
        <row r="2981">
          <cell r="E2981">
            <v>3745</v>
          </cell>
          <cell r="Z2981" t="str">
            <v>Inbound</v>
          </cell>
          <cell r="AA2981" t="str">
            <v>$1K-$10K</v>
          </cell>
          <cell r="AB2981">
            <v>2012</v>
          </cell>
        </row>
        <row r="2982">
          <cell r="E2982">
            <v>3743.4</v>
          </cell>
          <cell r="Z2982" t="str">
            <v>Legacy</v>
          </cell>
          <cell r="AA2982" t="str">
            <v>$1K-$10K</v>
          </cell>
          <cell r="AB2982" t="str">
            <v>2010 or before</v>
          </cell>
        </row>
        <row r="2983">
          <cell r="E2983">
            <v>3738</v>
          </cell>
          <cell r="Z2983" t="str">
            <v>Legacy</v>
          </cell>
          <cell r="AA2983" t="str">
            <v>$1K-$10K</v>
          </cell>
          <cell r="AB2983" t="str">
            <v>2010 or before</v>
          </cell>
        </row>
        <row r="2984">
          <cell r="E2984">
            <v>3727</v>
          </cell>
          <cell r="Z2984" t="str">
            <v>Legacy</v>
          </cell>
          <cell r="AA2984" t="str">
            <v>$1K-$10K</v>
          </cell>
          <cell r="AB2984" t="str">
            <v>2010 or before</v>
          </cell>
        </row>
        <row r="2985">
          <cell r="E2985">
            <v>3720.98</v>
          </cell>
          <cell r="Z2985" t="str">
            <v>Legacy</v>
          </cell>
          <cell r="AA2985" t="str">
            <v>$1K-$10K</v>
          </cell>
          <cell r="AB2985" t="str">
            <v>2010 or before</v>
          </cell>
        </row>
        <row r="2986">
          <cell r="E2986">
            <v>3720.49</v>
          </cell>
          <cell r="Z2986" t="str">
            <v>Legacy</v>
          </cell>
          <cell r="AA2986" t="str">
            <v>$1K-$10K</v>
          </cell>
          <cell r="AB2986" t="str">
            <v>2010 or before</v>
          </cell>
        </row>
        <row r="2987">
          <cell r="E2987">
            <v>3715.58</v>
          </cell>
          <cell r="Z2987" t="str">
            <v>Legacy</v>
          </cell>
          <cell r="AA2987" t="str">
            <v>$1K-$10K</v>
          </cell>
          <cell r="AB2987" t="str">
            <v>2010 or before</v>
          </cell>
        </row>
        <row r="2988">
          <cell r="E2988">
            <v>3711.32</v>
          </cell>
          <cell r="Z2988" t="str">
            <v>Legacy</v>
          </cell>
          <cell r="AA2988" t="str">
            <v>$1K-$10K</v>
          </cell>
          <cell r="AB2988" t="str">
            <v>2010 or before</v>
          </cell>
        </row>
        <row r="2989">
          <cell r="E2989">
            <v>3705.12</v>
          </cell>
          <cell r="Z2989" t="str">
            <v>Legacy</v>
          </cell>
          <cell r="AA2989" t="str">
            <v>$1K-$10K</v>
          </cell>
          <cell r="AB2989" t="str">
            <v>2010 or before</v>
          </cell>
        </row>
        <row r="2990">
          <cell r="E2990">
            <v>3703.77</v>
          </cell>
          <cell r="Z2990" t="str">
            <v>Legacy</v>
          </cell>
          <cell r="AA2990" t="str">
            <v>$1K-$10K</v>
          </cell>
          <cell r="AB2990" t="str">
            <v>2010 or before</v>
          </cell>
        </row>
        <row r="2991">
          <cell r="E2991">
            <v>3702.42</v>
          </cell>
          <cell r="Z2991" t="str">
            <v>Legacy</v>
          </cell>
          <cell r="AA2991" t="str">
            <v>$1K-$10K</v>
          </cell>
          <cell r="AB2991" t="str">
            <v>2010 or before</v>
          </cell>
        </row>
        <row r="2992">
          <cell r="E2992">
            <v>3700.78</v>
          </cell>
          <cell r="Z2992" t="str">
            <v>Inbound</v>
          </cell>
          <cell r="AA2992" t="str">
            <v>$1K-$10K</v>
          </cell>
          <cell r="AB2992">
            <v>2012</v>
          </cell>
        </row>
        <row r="2993">
          <cell r="E2993">
            <v>3700.07</v>
          </cell>
          <cell r="Z2993" t="str">
            <v>Legacy</v>
          </cell>
          <cell r="AA2993" t="str">
            <v>$1K-$10K</v>
          </cell>
          <cell r="AB2993" t="str">
            <v>2010 or before</v>
          </cell>
        </row>
        <row r="2994">
          <cell r="E2994">
            <v>3697.83</v>
          </cell>
          <cell r="Z2994" t="str">
            <v>Legacy</v>
          </cell>
          <cell r="AA2994" t="str">
            <v>$1K-$10K</v>
          </cell>
          <cell r="AB2994" t="str">
            <v>2010 or before</v>
          </cell>
        </row>
        <row r="2995">
          <cell r="E2995">
            <v>3667.85</v>
          </cell>
          <cell r="Z2995" t="str">
            <v>Legacy</v>
          </cell>
          <cell r="AA2995" t="str">
            <v>$1K-$10K</v>
          </cell>
          <cell r="AB2995" t="str">
            <v>2010 or before</v>
          </cell>
        </row>
        <row r="2996">
          <cell r="E2996">
            <v>3663.08</v>
          </cell>
          <cell r="Z2996" t="str">
            <v>Legacy</v>
          </cell>
          <cell r="AA2996" t="str">
            <v>$1K-$10K</v>
          </cell>
          <cell r="AB2996" t="str">
            <v>2010 or before</v>
          </cell>
        </row>
        <row r="2997">
          <cell r="E2997">
            <v>3653.79</v>
          </cell>
          <cell r="Z2997" t="str">
            <v>Ungating</v>
          </cell>
          <cell r="AA2997" t="str">
            <v>$1K-$10K</v>
          </cell>
          <cell r="AB2997">
            <v>2012</v>
          </cell>
        </row>
        <row r="2998">
          <cell r="E2998">
            <v>3647.85</v>
          </cell>
          <cell r="Z2998" t="str">
            <v>Legacy</v>
          </cell>
          <cell r="AA2998" t="str">
            <v>$1K-$10K</v>
          </cell>
          <cell r="AB2998" t="str">
            <v>2010 or before</v>
          </cell>
        </row>
        <row r="2999">
          <cell r="E2999">
            <v>3641.6</v>
          </cell>
          <cell r="Z2999" t="str">
            <v>Legacy</v>
          </cell>
          <cell r="AA2999" t="str">
            <v>$1K-$10K</v>
          </cell>
          <cell r="AB2999" t="str">
            <v>2010 or before</v>
          </cell>
        </row>
        <row r="3000">
          <cell r="E3000">
            <v>3638.41</v>
          </cell>
          <cell r="Z3000" t="str">
            <v>Legacy</v>
          </cell>
          <cell r="AA3000" t="str">
            <v>$1K-$10K</v>
          </cell>
          <cell r="AB3000" t="str">
            <v>2010 or before</v>
          </cell>
        </row>
        <row r="3001">
          <cell r="E3001">
            <v>3635.34</v>
          </cell>
          <cell r="Z3001" t="str">
            <v>Legacy</v>
          </cell>
          <cell r="AA3001" t="str">
            <v>$1K-$10K</v>
          </cell>
          <cell r="AB3001" t="str">
            <v>2010 or before</v>
          </cell>
        </row>
        <row r="3002">
          <cell r="E3002">
            <v>3631.38</v>
          </cell>
          <cell r="Z3002" t="str">
            <v>Inbound</v>
          </cell>
          <cell r="AA3002" t="str">
            <v>$1K-$10K</v>
          </cell>
          <cell r="AB3002">
            <v>2012</v>
          </cell>
        </row>
        <row r="3003">
          <cell r="E3003">
            <v>3630.97</v>
          </cell>
          <cell r="Z3003" t="str">
            <v>Legacy</v>
          </cell>
          <cell r="AA3003" t="str">
            <v>$1K-$10K</v>
          </cell>
          <cell r="AB3003" t="str">
            <v>2010 or before</v>
          </cell>
        </row>
        <row r="3004">
          <cell r="E3004">
            <v>3629.39</v>
          </cell>
          <cell r="Z3004" t="str">
            <v>Legacy</v>
          </cell>
          <cell r="AA3004" t="str">
            <v>$1K-$10K</v>
          </cell>
          <cell r="AB3004" t="str">
            <v>2010 or before</v>
          </cell>
        </row>
        <row r="3005">
          <cell r="E3005">
            <v>3612.16</v>
          </cell>
          <cell r="Z3005" t="str">
            <v>Legacy</v>
          </cell>
          <cell r="AA3005" t="str">
            <v>$1K-$10K</v>
          </cell>
          <cell r="AB3005">
            <v>2011</v>
          </cell>
        </row>
        <row r="3006">
          <cell r="E3006">
            <v>3611.88</v>
          </cell>
          <cell r="Z3006" t="str">
            <v>Legacy</v>
          </cell>
          <cell r="AA3006" t="str">
            <v>$1K-$10K</v>
          </cell>
          <cell r="AB3006" t="str">
            <v>2010 or before</v>
          </cell>
        </row>
        <row r="3007">
          <cell r="E3007">
            <v>3609.48</v>
          </cell>
          <cell r="Z3007" t="str">
            <v>Legacy</v>
          </cell>
          <cell r="AA3007" t="str">
            <v>$1K-$10K</v>
          </cell>
          <cell r="AB3007" t="str">
            <v>2010 or before</v>
          </cell>
        </row>
        <row r="3008">
          <cell r="E3008">
            <v>3603.89</v>
          </cell>
          <cell r="Z3008" t="str">
            <v>Legacy</v>
          </cell>
          <cell r="AA3008" t="str">
            <v>$1K-$10K</v>
          </cell>
          <cell r="AB3008" t="str">
            <v>2010 or before</v>
          </cell>
        </row>
        <row r="3009">
          <cell r="E3009">
            <v>3593.69</v>
          </cell>
          <cell r="Z3009" t="str">
            <v>Legacy</v>
          </cell>
          <cell r="AA3009" t="str">
            <v>$1K-$10K</v>
          </cell>
          <cell r="AB3009" t="str">
            <v>2010 or before</v>
          </cell>
        </row>
        <row r="3010">
          <cell r="E3010">
            <v>3592.45</v>
          </cell>
          <cell r="Z3010" t="str">
            <v>Legacy</v>
          </cell>
          <cell r="AA3010" t="str">
            <v>$1K-$10K</v>
          </cell>
          <cell r="AB3010" t="str">
            <v>2010 or before</v>
          </cell>
        </row>
        <row r="3011">
          <cell r="E3011">
            <v>3585.08</v>
          </cell>
          <cell r="Z3011" t="str">
            <v>Legacy</v>
          </cell>
          <cell r="AA3011" t="str">
            <v>$1K-$10K</v>
          </cell>
          <cell r="AB3011" t="str">
            <v>2010 or before</v>
          </cell>
        </row>
        <row r="3012">
          <cell r="E3012">
            <v>3584.33</v>
          </cell>
          <cell r="Z3012" t="str">
            <v>Legacy</v>
          </cell>
          <cell r="AA3012" t="str">
            <v>$1K-$10K</v>
          </cell>
          <cell r="AB3012">
            <v>2011</v>
          </cell>
        </row>
        <row r="3013">
          <cell r="E3013">
            <v>3583.01</v>
          </cell>
          <cell r="Z3013" t="str">
            <v>Inbound</v>
          </cell>
          <cell r="AA3013" t="str">
            <v>$1K-$10K</v>
          </cell>
          <cell r="AB3013">
            <v>2012</v>
          </cell>
        </row>
        <row r="3014">
          <cell r="E3014">
            <v>3581.37</v>
          </cell>
          <cell r="Z3014" t="str">
            <v>Legacy</v>
          </cell>
          <cell r="AA3014" t="str">
            <v>$1K-$10K</v>
          </cell>
          <cell r="AB3014" t="str">
            <v>2010 or before</v>
          </cell>
        </row>
        <row r="3015">
          <cell r="E3015">
            <v>3579.74</v>
          </cell>
          <cell r="Z3015" t="str">
            <v>Legacy</v>
          </cell>
          <cell r="AA3015" t="str">
            <v>$1K-$10K</v>
          </cell>
          <cell r="AB3015" t="str">
            <v>2010 or before</v>
          </cell>
        </row>
        <row r="3016">
          <cell r="E3016">
            <v>3566.85</v>
          </cell>
          <cell r="Z3016" t="str">
            <v>Inbound</v>
          </cell>
          <cell r="AA3016" t="str">
            <v>$1K-$10K</v>
          </cell>
          <cell r="AB3016">
            <v>2012</v>
          </cell>
        </row>
        <row r="3017">
          <cell r="E3017">
            <v>3561.5</v>
          </cell>
          <cell r="Z3017" t="str">
            <v>Legacy</v>
          </cell>
          <cell r="AA3017" t="str">
            <v>$1K-$10K</v>
          </cell>
          <cell r="AB3017" t="str">
            <v>2010 or before</v>
          </cell>
        </row>
        <row r="3018">
          <cell r="E3018">
            <v>3561.33</v>
          </cell>
          <cell r="Z3018" t="str">
            <v>Ungating</v>
          </cell>
          <cell r="AA3018" t="str">
            <v>$1K-$10K</v>
          </cell>
          <cell r="AB3018">
            <v>2012</v>
          </cell>
        </row>
        <row r="3019">
          <cell r="E3019">
            <v>3557.5</v>
          </cell>
          <cell r="Z3019" t="str">
            <v>Ungating</v>
          </cell>
          <cell r="AA3019" t="str">
            <v>$1K-$10K</v>
          </cell>
          <cell r="AB3019">
            <v>2012</v>
          </cell>
        </row>
        <row r="3020">
          <cell r="E3020">
            <v>3551.46</v>
          </cell>
          <cell r="Z3020" t="str">
            <v>Legacy</v>
          </cell>
          <cell r="AA3020" t="str">
            <v>$1K-$10K</v>
          </cell>
          <cell r="AB3020">
            <v>2012</v>
          </cell>
        </row>
        <row r="3021">
          <cell r="E3021">
            <v>3543.18</v>
          </cell>
          <cell r="Z3021" t="str">
            <v>Ungating</v>
          </cell>
          <cell r="AA3021" t="str">
            <v>$1K-$10K</v>
          </cell>
          <cell r="AB3021">
            <v>2012</v>
          </cell>
        </row>
        <row r="3022">
          <cell r="E3022">
            <v>3534.46</v>
          </cell>
          <cell r="Z3022" t="str">
            <v>Ungating</v>
          </cell>
          <cell r="AA3022" t="str">
            <v>$1K-$10K</v>
          </cell>
          <cell r="AB3022">
            <v>2012</v>
          </cell>
        </row>
        <row r="3023">
          <cell r="E3023">
            <v>3526.5</v>
          </cell>
          <cell r="Z3023" t="str">
            <v>Legacy</v>
          </cell>
          <cell r="AA3023" t="str">
            <v>$1K-$10K</v>
          </cell>
          <cell r="AB3023">
            <v>2011</v>
          </cell>
        </row>
        <row r="3024">
          <cell r="E3024">
            <v>3524.3</v>
          </cell>
          <cell r="Z3024" t="str">
            <v>Legacy</v>
          </cell>
          <cell r="AA3024" t="str">
            <v>$1K-$10K</v>
          </cell>
          <cell r="AB3024" t="str">
            <v>2010 or before</v>
          </cell>
        </row>
        <row r="3025">
          <cell r="E3025">
            <v>3520.94</v>
          </cell>
          <cell r="Z3025" t="str">
            <v>Legacy</v>
          </cell>
          <cell r="AA3025" t="str">
            <v>$1K-$10K</v>
          </cell>
          <cell r="AB3025" t="str">
            <v>2010 or before</v>
          </cell>
        </row>
        <row r="3026">
          <cell r="E3026">
            <v>3515.12</v>
          </cell>
          <cell r="Z3026" t="str">
            <v>Legacy</v>
          </cell>
          <cell r="AA3026" t="str">
            <v>$1K-$10K</v>
          </cell>
          <cell r="AB3026" t="str">
            <v>2010 or before</v>
          </cell>
        </row>
        <row r="3027">
          <cell r="E3027">
            <v>3512.39</v>
          </cell>
          <cell r="Z3027" t="str">
            <v>Inbound</v>
          </cell>
          <cell r="AA3027" t="str">
            <v>$1K-$10K</v>
          </cell>
          <cell r="AB3027">
            <v>2011</v>
          </cell>
        </row>
        <row r="3028">
          <cell r="E3028">
            <v>3511.5</v>
          </cell>
          <cell r="Z3028" t="str">
            <v>Outbound</v>
          </cell>
          <cell r="AA3028" t="str">
            <v>$1K-$10K</v>
          </cell>
          <cell r="AB3028">
            <v>2012</v>
          </cell>
        </row>
        <row r="3029">
          <cell r="E3029">
            <v>3510.77</v>
          </cell>
          <cell r="Z3029" t="str">
            <v>Legacy</v>
          </cell>
          <cell r="AA3029" t="str">
            <v>$1K-$10K</v>
          </cell>
          <cell r="AB3029" t="str">
            <v>2010 or before</v>
          </cell>
        </row>
        <row r="3030">
          <cell r="E3030">
            <v>3497.96</v>
          </cell>
          <cell r="Z3030" t="str">
            <v>Legacy</v>
          </cell>
          <cell r="AA3030" t="str">
            <v>$1K-$10K</v>
          </cell>
          <cell r="AB3030">
            <v>2012</v>
          </cell>
        </row>
        <row r="3031">
          <cell r="E3031">
            <v>3492.71</v>
          </cell>
          <cell r="Z3031" t="str">
            <v>Legacy</v>
          </cell>
          <cell r="AA3031" t="str">
            <v>$1K-$10K</v>
          </cell>
          <cell r="AB3031" t="str">
            <v>2010 or before</v>
          </cell>
        </row>
        <row r="3032">
          <cell r="E3032">
            <v>3489.24</v>
          </cell>
          <cell r="Z3032" t="str">
            <v>Legacy</v>
          </cell>
          <cell r="AA3032" t="str">
            <v>$1K-$10K</v>
          </cell>
          <cell r="AB3032">
            <v>2011</v>
          </cell>
        </row>
        <row r="3033">
          <cell r="E3033">
            <v>3486.51</v>
          </cell>
          <cell r="Z3033" t="str">
            <v>Legacy</v>
          </cell>
          <cell r="AA3033" t="str">
            <v>$1K-$10K</v>
          </cell>
          <cell r="AB3033" t="str">
            <v>2010 or before</v>
          </cell>
        </row>
        <row r="3034">
          <cell r="E3034">
            <v>3484.08</v>
          </cell>
          <cell r="Z3034" t="str">
            <v>Ungating</v>
          </cell>
          <cell r="AA3034" t="str">
            <v>$1K-$10K</v>
          </cell>
          <cell r="AB3034">
            <v>2012</v>
          </cell>
        </row>
        <row r="3035">
          <cell r="E3035">
            <v>3481.58</v>
          </cell>
          <cell r="Z3035" t="str">
            <v>Outbound</v>
          </cell>
          <cell r="AA3035" t="str">
            <v>$1K-$10K</v>
          </cell>
          <cell r="AB3035">
            <v>2012</v>
          </cell>
        </row>
        <row r="3036">
          <cell r="E3036">
            <v>3480.21</v>
          </cell>
          <cell r="Z3036" t="str">
            <v>Legacy</v>
          </cell>
          <cell r="AA3036" t="str">
            <v>$1K-$10K</v>
          </cell>
          <cell r="AB3036" t="str">
            <v>2010 or before</v>
          </cell>
        </row>
        <row r="3037">
          <cell r="E3037">
            <v>3479.37</v>
          </cell>
          <cell r="Z3037" t="str">
            <v>Legacy</v>
          </cell>
          <cell r="AA3037" t="str">
            <v>$1K-$10K</v>
          </cell>
          <cell r="AB3037" t="str">
            <v>2010 or before</v>
          </cell>
        </row>
        <row r="3038">
          <cell r="E3038">
            <v>3476.27</v>
          </cell>
          <cell r="Z3038" t="str">
            <v>Legacy</v>
          </cell>
          <cell r="AA3038" t="str">
            <v>$1K-$10K</v>
          </cell>
          <cell r="AB3038" t="str">
            <v>2010 or before</v>
          </cell>
        </row>
        <row r="3039">
          <cell r="E3039">
            <v>3466.14</v>
          </cell>
          <cell r="Z3039" t="str">
            <v>Legacy</v>
          </cell>
          <cell r="AA3039" t="str">
            <v>$1K-$10K</v>
          </cell>
          <cell r="AB3039" t="str">
            <v>2010 or before</v>
          </cell>
        </row>
        <row r="3040">
          <cell r="E3040">
            <v>3457.34</v>
          </cell>
          <cell r="Z3040" t="str">
            <v>Legacy</v>
          </cell>
          <cell r="AA3040" t="str">
            <v>$1K-$10K</v>
          </cell>
          <cell r="AB3040" t="str">
            <v>2010 or before</v>
          </cell>
        </row>
        <row r="3041">
          <cell r="E3041">
            <v>3456.47</v>
          </cell>
          <cell r="Z3041" t="str">
            <v>Legacy</v>
          </cell>
          <cell r="AA3041" t="str">
            <v>$1K-$10K</v>
          </cell>
          <cell r="AB3041">
            <v>2012</v>
          </cell>
        </row>
        <row r="3042">
          <cell r="E3042">
            <v>3455.32</v>
          </cell>
          <cell r="Z3042" t="str">
            <v>Global</v>
          </cell>
          <cell r="AA3042" t="str">
            <v>$1K-$10K</v>
          </cell>
          <cell r="AB3042">
            <v>2012</v>
          </cell>
        </row>
        <row r="3043">
          <cell r="E3043">
            <v>3439.55</v>
          </cell>
          <cell r="Z3043" t="str">
            <v>Legacy</v>
          </cell>
          <cell r="AA3043" t="str">
            <v>$1K-$10K</v>
          </cell>
          <cell r="AB3043">
            <v>2011</v>
          </cell>
        </row>
        <row r="3044">
          <cell r="E3044">
            <v>3435.72</v>
          </cell>
          <cell r="Z3044" t="str">
            <v>Legacy</v>
          </cell>
          <cell r="AA3044" t="str">
            <v>$1K-$10K</v>
          </cell>
          <cell r="AB3044" t="str">
            <v>2010 or before</v>
          </cell>
        </row>
        <row r="3045">
          <cell r="E3045">
            <v>3426.5</v>
          </cell>
          <cell r="Z3045" t="str">
            <v>Legacy</v>
          </cell>
          <cell r="AA3045" t="str">
            <v>$1K-$10K</v>
          </cell>
          <cell r="AB3045" t="str">
            <v>2010 or before</v>
          </cell>
        </row>
        <row r="3046">
          <cell r="E3046">
            <v>3425</v>
          </cell>
          <cell r="Z3046" t="str">
            <v>Inbound</v>
          </cell>
          <cell r="AA3046" t="str">
            <v>$1K-$10K</v>
          </cell>
          <cell r="AB3046">
            <v>2012</v>
          </cell>
        </row>
        <row r="3047">
          <cell r="E3047">
            <v>3413.13</v>
          </cell>
          <cell r="Z3047" t="str">
            <v>Legacy</v>
          </cell>
          <cell r="AA3047" t="str">
            <v>$1K-$10K</v>
          </cell>
          <cell r="AB3047" t="str">
            <v>2010 or before</v>
          </cell>
        </row>
        <row r="3048">
          <cell r="E3048">
            <v>3412.87</v>
          </cell>
          <cell r="Z3048" t="str">
            <v>Legacy</v>
          </cell>
          <cell r="AA3048" t="str">
            <v>$1K-$10K</v>
          </cell>
          <cell r="AB3048" t="str">
            <v>2010 or before</v>
          </cell>
        </row>
        <row r="3049">
          <cell r="E3049">
            <v>3410.68</v>
          </cell>
          <cell r="Z3049" t="str">
            <v>Legacy</v>
          </cell>
          <cell r="AA3049" t="str">
            <v>$1K-$10K</v>
          </cell>
          <cell r="AB3049" t="str">
            <v>2010 or before</v>
          </cell>
        </row>
        <row r="3050">
          <cell r="E3050">
            <v>3408.85</v>
          </cell>
          <cell r="Z3050" t="str">
            <v>Inbound</v>
          </cell>
          <cell r="AA3050" t="str">
            <v>$1K-$10K</v>
          </cell>
          <cell r="AB3050">
            <v>2012</v>
          </cell>
        </row>
        <row r="3051">
          <cell r="E3051">
            <v>3399.59</v>
          </cell>
          <cell r="Z3051" t="str">
            <v>Legacy</v>
          </cell>
          <cell r="AA3051" t="str">
            <v>$1K-$10K</v>
          </cell>
          <cell r="AB3051">
            <v>2012</v>
          </cell>
        </row>
        <row r="3052">
          <cell r="E3052">
            <v>3399.21</v>
          </cell>
          <cell r="Z3052" t="str">
            <v>Ungating</v>
          </cell>
          <cell r="AA3052" t="str">
            <v>$1K-$10K</v>
          </cell>
          <cell r="AB3052">
            <v>2012</v>
          </cell>
        </row>
        <row r="3053">
          <cell r="E3053">
            <v>3387.22</v>
          </cell>
          <cell r="Z3053" t="str">
            <v>Legacy</v>
          </cell>
          <cell r="AA3053" t="str">
            <v>$1K-$10K</v>
          </cell>
          <cell r="AB3053" t="str">
            <v>2010 or before</v>
          </cell>
        </row>
        <row r="3054">
          <cell r="E3054">
            <v>3378.2</v>
          </cell>
          <cell r="Z3054" t="str">
            <v>Legacy</v>
          </cell>
          <cell r="AA3054" t="str">
            <v>$1K-$10K</v>
          </cell>
          <cell r="AB3054" t="str">
            <v>2010 or before</v>
          </cell>
        </row>
        <row r="3055">
          <cell r="E3055">
            <v>3362.03</v>
          </cell>
          <cell r="Z3055" t="str">
            <v>Ungating</v>
          </cell>
          <cell r="AA3055" t="str">
            <v>$1K-$10K</v>
          </cell>
          <cell r="AB3055">
            <v>2011</v>
          </cell>
        </row>
        <row r="3056">
          <cell r="E3056">
            <v>3359.64</v>
          </cell>
          <cell r="Z3056" t="str">
            <v>Inbound</v>
          </cell>
          <cell r="AA3056" t="str">
            <v>$1K-$10K</v>
          </cell>
          <cell r="AB3056">
            <v>2012</v>
          </cell>
        </row>
        <row r="3057">
          <cell r="E3057">
            <v>3359.19</v>
          </cell>
          <cell r="Z3057" t="str">
            <v>Legacy</v>
          </cell>
          <cell r="AA3057" t="str">
            <v>$1K-$10K</v>
          </cell>
          <cell r="AB3057" t="str">
            <v>2010 or before</v>
          </cell>
        </row>
        <row r="3058">
          <cell r="E3058">
            <v>3354.39</v>
          </cell>
          <cell r="Z3058" t="str">
            <v>Outbound</v>
          </cell>
          <cell r="AA3058" t="str">
            <v>$1K-$10K</v>
          </cell>
          <cell r="AB3058">
            <v>2012</v>
          </cell>
        </row>
        <row r="3059">
          <cell r="E3059">
            <v>3348.55</v>
          </cell>
          <cell r="Z3059" t="str">
            <v>Legacy</v>
          </cell>
          <cell r="AA3059" t="str">
            <v>$1K-$10K</v>
          </cell>
          <cell r="AB3059" t="str">
            <v>2010 or before</v>
          </cell>
        </row>
        <row r="3060">
          <cell r="E3060">
            <v>3346.94</v>
          </cell>
          <cell r="Z3060" t="str">
            <v>Legacy</v>
          </cell>
          <cell r="AA3060" t="str">
            <v>$1K-$10K</v>
          </cell>
          <cell r="AB3060">
            <v>2012</v>
          </cell>
        </row>
        <row r="3061">
          <cell r="E3061">
            <v>3345.85</v>
          </cell>
          <cell r="Z3061" t="str">
            <v>Legacy</v>
          </cell>
          <cell r="AA3061" t="str">
            <v>$1K-$10K</v>
          </cell>
          <cell r="AB3061">
            <v>2011</v>
          </cell>
        </row>
        <row r="3062">
          <cell r="E3062">
            <v>3330.11</v>
          </cell>
          <cell r="Z3062" t="str">
            <v>Ungating</v>
          </cell>
          <cell r="AA3062" t="str">
            <v>$1K-$10K</v>
          </cell>
          <cell r="AB3062">
            <v>2012</v>
          </cell>
        </row>
        <row r="3063">
          <cell r="E3063">
            <v>3329.85</v>
          </cell>
          <cell r="Z3063" t="str">
            <v>Legacy</v>
          </cell>
          <cell r="AA3063" t="str">
            <v>$1K-$10K</v>
          </cell>
          <cell r="AB3063" t="str">
            <v>2010 or before</v>
          </cell>
        </row>
        <row r="3064">
          <cell r="E3064">
            <v>3322.77</v>
          </cell>
          <cell r="Z3064" t="str">
            <v>Legacy</v>
          </cell>
          <cell r="AA3064" t="str">
            <v>$1K-$10K</v>
          </cell>
          <cell r="AB3064" t="str">
            <v>2010 or before</v>
          </cell>
        </row>
        <row r="3065">
          <cell r="E3065">
            <v>3321.92</v>
          </cell>
          <cell r="Z3065" t="str">
            <v>Legacy</v>
          </cell>
          <cell r="AA3065" t="str">
            <v>$1K-$10K</v>
          </cell>
          <cell r="AB3065" t="str">
            <v>2010 or before</v>
          </cell>
        </row>
        <row r="3066">
          <cell r="E3066">
            <v>3317.7</v>
          </cell>
          <cell r="Z3066" t="str">
            <v>Legacy</v>
          </cell>
          <cell r="AA3066" t="str">
            <v>$1K-$10K</v>
          </cell>
          <cell r="AB3066" t="str">
            <v>2010 or before</v>
          </cell>
        </row>
        <row r="3067">
          <cell r="E3067">
            <v>3317.31</v>
          </cell>
          <cell r="Z3067" t="str">
            <v>Ungating</v>
          </cell>
          <cell r="AA3067" t="str">
            <v>$1K-$10K</v>
          </cell>
          <cell r="AB3067">
            <v>2011</v>
          </cell>
        </row>
        <row r="3068">
          <cell r="E3068">
            <v>3313.81</v>
          </cell>
          <cell r="Z3068" t="str">
            <v>Legacy</v>
          </cell>
          <cell r="AA3068" t="str">
            <v>$1K-$10K</v>
          </cell>
          <cell r="AB3068" t="str">
            <v>2010 or before</v>
          </cell>
        </row>
        <row r="3069">
          <cell r="E3069">
            <v>3313.1</v>
          </cell>
          <cell r="Z3069" t="str">
            <v>Legacy</v>
          </cell>
          <cell r="AA3069" t="str">
            <v>$1K-$10K</v>
          </cell>
          <cell r="AB3069" t="str">
            <v>2010 or before</v>
          </cell>
        </row>
        <row r="3070">
          <cell r="E3070">
            <v>3313.01</v>
          </cell>
          <cell r="Z3070" t="str">
            <v>Inbound</v>
          </cell>
          <cell r="AA3070" t="str">
            <v>$1K-$10K</v>
          </cell>
          <cell r="AB3070">
            <v>2012</v>
          </cell>
        </row>
        <row r="3071">
          <cell r="E3071">
            <v>3310.98</v>
          </cell>
          <cell r="Z3071" t="str">
            <v>Inbound</v>
          </cell>
          <cell r="AA3071" t="str">
            <v>$1K-$10K</v>
          </cell>
          <cell r="AB3071">
            <v>2012</v>
          </cell>
        </row>
        <row r="3072">
          <cell r="E3072">
            <v>3308.93</v>
          </cell>
          <cell r="Z3072" t="str">
            <v>Legacy</v>
          </cell>
          <cell r="AA3072" t="str">
            <v>$1K-$10K</v>
          </cell>
          <cell r="AB3072" t="str">
            <v>2010 or before</v>
          </cell>
        </row>
        <row r="3073">
          <cell r="E3073">
            <v>3300.73</v>
          </cell>
          <cell r="Z3073" t="str">
            <v>Legacy</v>
          </cell>
          <cell r="AA3073" t="str">
            <v>$1K-$10K</v>
          </cell>
          <cell r="AB3073" t="str">
            <v>2010 or before</v>
          </cell>
        </row>
        <row r="3074">
          <cell r="E3074">
            <v>3292.52</v>
          </cell>
          <cell r="Z3074" t="str">
            <v>Legacy</v>
          </cell>
          <cell r="AA3074" t="str">
            <v>$1K-$10K</v>
          </cell>
          <cell r="AB3074" t="str">
            <v>2010 or before</v>
          </cell>
        </row>
        <row r="3075">
          <cell r="E3075">
            <v>3292.4</v>
          </cell>
          <cell r="Z3075" t="str">
            <v>Legacy</v>
          </cell>
          <cell r="AA3075" t="str">
            <v>$1K-$10K</v>
          </cell>
          <cell r="AB3075">
            <v>2012</v>
          </cell>
        </row>
        <row r="3076">
          <cell r="E3076">
            <v>3282.36</v>
          </cell>
          <cell r="Z3076" t="str">
            <v>Legacy</v>
          </cell>
          <cell r="AA3076" t="str">
            <v>$1K-$10K</v>
          </cell>
          <cell r="AB3076" t="str">
            <v>2010 or before</v>
          </cell>
        </row>
        <row r="3077">
          <cell r="E3077">
            <v>3282.31</v>
          </cell>
          <cell r="Z3077" t="str">
            <v>Legacy</v>
          </cell>
          <cell r="AA3077" t="str">
            <v>$1K-$10K</v>
          </cell>
          <cell r="AB3077">
            <v>2012</v>
          </cell>
        </row>
        <row r="3078">
          <cell r="E3078">
            <v>3277.83</v>
          </cell>
          <cell r="Z3078" t="str">
            <v>Legacy</v>
          </cell>
          <cell r="AA3078" t="str">
            <v>$1K-$10K</v>
          </cell>
          <cell r="AB3078">
            <v>2012</v>
          </cell>
        </row>
        <row r="3079">
          <cell r="E3079">
            <v>3277.69</v>
          </cell>
          <cell r="Z3079" t="str">
            <v>Legacy</v>
          </cell>
          <cell r="AA3079" t="str">
            <v>$1K-$10K</v>
          </cell>
          <cell r="AB3079" t="str">
            <v>2010 or before</v>
          </cell>
        </row>
        <row r="3080">
          <cell r="E3080">
            <v>3265.62</v>
          </cell>
          <cell r="Z3080" t="str">
            <v>Legacy</v>
          </cell>
          <cell r="AA3080" t="str">
            <v>$1K-$10K</v>
          </cell>
          <cell r="AB3080" t="str">
            <v>2010 or before</v>
          </cell>
        </row>
        <row r="3081">
          <cell r="E3081">
            <v>3253.88</v>
          </cell>
          <cell r="Z3081" t="str">
            <v>Global</v>
          </cell>
          <cell r="AA3081" t="str">
            <v>$1K-$10K</v>
          </cell>
          <cell r="AB3081">
            <v>2012</v>
          </cell>
        </row>
        <row r="3082">
          <cell r="E3082">
            <v>3245.55</v>
          </cell>
          <cell r="Z3082" t="str">
            <v>Ungating</v>
          </cell>
          <cell r="AA3082" t="str">
            <v>$1K-$10K</v>
          </cell>
          <cell r="AB3082">
            <v>2011</v>
          </cell>
        </row>
        <row r="3083">
          <cell r="E3083">
            <v>3242.78</v>
          </cell>
          <cell r="Z3083" t="str">
            <v>Legacy</v>
          </cell>
          <cell r="AA3083" t="str">
            <v>$1K-$10K</v>
          </cell>
          <cell r="AB3083" t="str">
            <v>2010 or before</v>
          </cell>
        </row>
        <row r="3084">
          <cell r="E3084">
            <v>3237</v>
          </cell>
          <cell r="Z3084" t="str">
            <v>Legacy</v>
          </cell>
          <cell r="AA3084" t="str">
            <v>$1K-$10K</v>
          </cell>
          <cell r="AB3084" t="str">
            <v>2010 or before</v>
          </cell>
        </row>
        <row r="3085">
          <cell r="E3085">
            <v>3236.13</v>
          </cell>
          <cell r="Z3085" t="str">
            <v>Legacy</v>
          </cell>
          <cell r="AA3085" t="str">
            <v>$1K-$10K</v>
          </cell>
          <cell r="AB3085" t="str">
            <v>2010 or before</v>
          </cell>
        </row>
        <row r="3086">
          <cell r="E3086">
            <v>3232</v>
          </cell>
          <cell r="Z3086" t="str">
            <v>Legacy</v>
          </cell>
          <cell r="AA3086" t="str">
            <v>$1K-$10K</v>
          </cell>
          <cell r="AB3086" t="str">
            <v>2010 or before</v>
          </cell>
        </row>
        <row r="3087">
          <cell r="E3087">
            <v>3231.35</v>
          </cell>
          <cell r="Z3087" t="str">
            <v>Legacy</v>
          </cell>
          <cell r="AA3087" t="str">
            <v>$1K-$10K</v>
          </cell>
          <cell r="AB3087">
            <v>2011</v>
          </cell>
        </row>
        <row r="3088">
          <cell r="E3088">
            <v>3228.39</v>
          </cell>
          <cell r="Z3088" t="str">
            <v>Legacy</v>
          </cell>
          <cell r="AA3088" t="str">
            <v>$1K-$10K</v>
          </cell>
          <cell r="AB3088" t="str">
            <v>2010 or before</v>
          </cell>
        </row>
        <row r="3089">
          <cell r="E3089">
            <v>3228.32</v>
          </cell>
          <cell r="Z3089" t="str">
            <v>Ungating</v>
          </cell>
          <cell r="AA3089" t="str">
            <v>$1K-$10K</v>
          </cell>
          <cell r="AB3089">
            <v>2012</v>
          </cell>
        </row>
        <row r="3090">
          <cell r="E3090">
            <v>3213.11</v>
          </cell>
          <cell r="Z3090" t="str">
            <v>Legacy</v>
          </cell>
          <cell r="AA3090" t="str">
            <v>$1K-$10K</v>
          </cell>
          <cell r="AB3090">
            <v>2011</v>
          </cell>
        </row>
        <row r="3091">
          <cell r="E3091">
            <v>3211.64</v>
          </cell>
          <cell r="Z3091" t="str">
            <v>Legacy</v>
          </cell>
          <cell r="AA3091" t="str">
            <v>$1K-$10K</v>
          </cell>
          <cell r="AB3091" t="str">
            <v>2010 or before</v>
          </cell>
        </row>
        <row r="3092">
          <cell r="E3092">
            <v>3202.9</v>
          </cell>
          <cell r="Z3092" t="str">
            <v>Inbound</v>
          </cell>
          <cell r="AA3092" t="str">
            <v>$1K-$10K</v>
          </cell>
          <cell r="AB3092">
            <v>2012</v>
          </cell>
        </row>
        <row r="3093">
          <cell r="E3093">
            <v>3200.28</v>
          </cell>
          <cell r="Z3093" t="str">
            <v>Legacy</v>
          </cell>
          <cell r="AA3093" t="str">
            <v>$1K-$10K</v>
          </cell>
          <cell r="AB3093">
            <v>2012</v>
          </cell>
        </row>
        <row r="3094">
          <cell r="E3094">
            <v>3199.58</v>
          </cell>
          <cell r="Z3094" t="str">
            <v>Legacy</v>
          </cell>
          <cell r="AA3094" t="str">
            <v>$1K-$10K</v>
          </cell>
          <cell r="AB3094">
            <v>2012</v>
          </cell>
        </row>
        <row r="3095">
          <cell r="E3095">
            <v>3195.57</v>
          </cell>
          <cell r="Z3095" t="str">
            <v>Legacy</v>
          </cell>
          <cell r="AA3095" t="str">
            <v>$1K-$10K</v>
          </cell>
          <cell r="AB3095" t="str">
            <v>2010 or before</v>
          </cell>
        </row>
        <row r="3096">
          <cell r="E3096">
            <v>3190.14</v>
          </cell>
          <cell r="Z3096" t="str">
            <v>Ungating</v>
          </cell>
          <cell r="AA3096" t="str">
            <v>$1K-$10K</v>
          </cell>
          <cell r="AB3096">
            <v>2012</v>
          </cell>
        </row>
        <row r="3097">
          <cell r="E3097">
            <v>3188</v>
          </cell>
          <cell r="Z3097" t="str">
            <v>Legacy</v>
          </cell>
          <cell r="AA3097" t="str">
            <v>$1K-$10K</v>
          </cell>
          <cell r="AB3097" t="str">
            <v>2010 or before</v>
          </cell>
        </row>
        <row r="3098">
          <cell r="E3098">
            <v>3185.08</v>
          </cell>
          <cell r="Z3098" t="str">
            <v>Inbound</v>
          </cell>
          <cell r="AA3098" t="str">
            <v>$1K-$10K</v>
          </cell>
          <cell r="AB3098">
            <v>2011</v>
          </cell>
        </row>
        <row r="3099">
          <cell r="E3099">
            <v>3176</v>
          </cell>
          <cell r="Z3099" t="str">
            <v>Legacy</v>
          </cell>
          <cell r="AA3099" t="str">
            <v>$1K-$10K</v>
          </cell>
          <cell r="AB3099">
            <v>2011</v>
          </cell>
        </row>
        <row r="3100">
          <cell r="E3100">
            <v>3168.38</v>
          </cell>
          <cell r="Z3100" t="str">
            <v>Legacy</v>
          </cell>
          <cell r="AA3100" t="str">
            <v>$1K-$10K</v>
          </cell>
          <cell r="AB3100">
            <v>2012</v>
          </cell>
        </row>
        <row r="3101">
          <cell r="E3101">
            <v>3163.01</v>
          </cell>
          <cell r="Z3101" t="str">
            <v>Legacy</v>
          </cell>
          <cell r="AA3101" t="str">
            <v>$1K-$10K</v>
          </cell>
          <cell r="AB3101" t="str">
            <v>2010 or before</v>
          </cell>
        </row>
        <row r="3102">
          <cell r="E3102">
            <v>3156.39</v>
          </cell>
          <cell r="Z3102" t="str">
            <v>Inbound</v>
          </cell>
          <cell r="AA3102" t="str">
            <v>$1K-$10K</v>
          </cell>
          <cell r="AB3102">
            <v>2012</v>
          </cell>
        </row>
        <row r="3103">
          <cell r="E3103">
            <v>3148.45</v>
          </cell>
          <cell r="Z3103" t="str">
            <v>Legacy</v>
          </cell>
          <cell r="AA3103" t="str">
            <v>$1K-$10K</v>
          </cell>
          <cell r="AB3103" t="str">
            <v>2010 or before</v>
          </cell>
        </row>
        <row r="3104">
          <cell r="E3104">
            <v>3145</v>
          </cell>
          <cell r="Z3104" t="str">
            <v>Legacy</v>
          </cell>
          <cell r="AA3104" t="str">
            <v>$1K-$10K</v>
          </cell>
          <cell r="AB3104" t="str">
            <v>2010 or before</v>
          </cell>
        </row>
        <row r="3105">
          <cell r="E3105">
            <v>3142.21</v>
          </cell>
          <cell r="Z3105" t="str">
            <v>Legacy</v>
          </cell>
          <cell r="AA3105" t="str">
            <v>$1K-$10K</v>
          </cell>
          <cell r="AB3105" t="str">
            <v>2010 or before</v>
          </cell>
        </row>
        <row r="3106">
          <cell r="E3106">
            <v>3139.85</v>
          </cell>
          <cell r="Z3106" t="str">
            <v>Legacy</v>
          </cell>
          <cell r="AA3106" t="str">
            <v>$1K-$10K</v>
          </cell>
          <cell r="AB3106" t="str">
            <v>2010 or before</v>
          </cell>
        </row>
        <row r="3107">
          <cell r="E3107">
            <v>3124.48</v>
          </cell>
          <cell r="Z3107" t="str">
            <v>Legacy</v>
          </cell>
          <cell r="AA3107" t="str">
            <v>$1K-$10K</v>
          </cell>
          <cell r="AB3107" t="str">
            <v>2010 or before</v>
          </cell>
        </row>
        <row r="3108">
          <cell r="E3108">
            <v>3115.87</v>
          </cell>
          <cell r="Z3108" t="str">
            <v>Legacy</v>
          </cell>
          <cell r="AA3108" t="str">
            <v>$1K-$10K</v>
          </cell>
          <cell r="AB3108">
            <v>2011</v>
          </cell>
        </row>
        <row r="3109">
          <cell r="E3109">
            <v>3114.29</v>
          </cell>
          <cell r="Z3109" t="str">
            <v>Legacy</v>
          </cell>
          <cell r="AA3109" t="str">
            <v>$1K-$10K</v>
          </cell>
          <cell r="AB3109">
            <v>2011</v>
          </cell>
        </row>
        <row r="3110">
          <cell r="E3110">
            <v>3113.85</v>
          </cell>
          <cell r="Z3110" t="str">
            <v>Ungating</v>
          </cell>
          <cell r="AA3110" t="str">
            <v>$1K-$10K</v>
          </cell>
          <cell r="AB3110">
            <v>2011</v>
          </cell>
        </row>
        <row r="3111">
          <cell r="E3111">
            <v>3108.79</v>
          </cell>
          <cell r="Z3111" t="str">
            <v>Legacy</v>
          </cell>
          <cell r="AA3111" t="str">
            <v>$1K-$10K</v>
          </cell>
          <cell r="AB3111" t="str">
            <v>2010 or before</v>
          </cell>
        </row>
        <row r="3112">
          <cell r="E3112">
            <v>3104.95</v>
          </cell>
          <cell r="Z3112" t="str">
            <v>Legacy</v>
          </cell>
          <cell r="AA3112" t="str">
            <v>$1K-$10K</v>
          </cell>
          <cell r="AB3112" t="str">
            <v>2010 or before</v>
          </cell>
        </row>
        <row r="3113">
          <cell r="E3113">
            <v>3103.5</v>
          </cell>
          <cell r="Z3113" t="str">
            <v>Legacy</v>
          </cell>
          <cell r="AA3113" t="str">
            <v>$1K-$10K</v>
          </cell>
          <cell r="AB3113">
            <v>2011</v>
          </cell>
        </row>
        <row r="3114">
          <cell r="E3114">
            <v>3086.64</v>
          </cell>
          <cell r="Z3114" t="str">
            <v>Legacy</v>
          </cell>
          <cell r="AA3114" t="str">
            <v>$1K-$10K</v>
          </cell>
          <cell r="AB3114" t="str">
            <v>2010 or before</v>
          </cell>
        </row>
        <row r="3115">
          <cell r="E3115">
            <v>3084.4</v>
          </cell>
          <cell r="Z3115" t="str">
            <v>Legacy</v>
          </cell>
          <cell r="AA3115" t="str">
            <v>$1K-$10K</v>
          </cell>
          <cell r="AB3115">
            <v>2012</v>
          </cell>
        </row>
        <row r="3116">
          <cell r="E3116">
            <v>3074.37</v>
          </cell>
          <cell r="Z3116" t="str">
            <v>Legacy</v>
          </cell>
          <cell r="AA3116" t="str">
            <v>$1K-$10K</v>
          </cell>
          <cell r="AB3116" t="str">
            <v>2010 or before</v>
          </cell>
        </row>
        <row r="3117">
          <cell r="E3117">
            <v>3071.93</v>
          </cell>
          <cell r="Z3117" t="str">
            <v>Legacy</v>
          </cell>
          <cell r="AA3117" t="str">
            <v>$1K-$10K</v>
          </cell>
          <cell r="AB3117" t="str">
            <v>2010 or before</v>
          </cell>
        </row>
        <row r="3118">
          <cell r="E3118">
            <v>3069.38</v>
          </cell>
          <cell r="Z3118" t="str">
            <v>Legacy</v>
          </cell>
          <cell r="AA3118" t="str">
            <v>$1K-$10K</v>
          </cell>
          <cell r="AB3118" t="str">
            <v>2010 or before</v>
          </cell>
        </row>
        <row r="3119">
          <cell r="E3119">
            <v>3069.27</v>
          </cell>
          <cell r="Z3119" t="str">
            <v>Legacy</v>
          </cell>
          <cell r="AA3119" t="str">
            <v>$1K-$10K</v>
          </cell>
          <cell r="AB3119" t="str">
            <v>2010 or before</v>
          </cell>
        </row>
        <row r="3120">
          <cell r="E3120">
            <v>3067.87</v>
          </cell>
          <cell r="Z3120" t="str">
            <v>Legacy</v>
          </cell>
          <cell r="AA3120" t="str">
            <v>$1K-$10K</v>
          </cell>
          <cell r="AB3120" t="str">
            <v>2010 or before</v>
          </cell>
        </row>
        <row r="3121">
          <cell r="E3121">
            <v>3063.93</v>
          </cell>
          <cell r="Z3121" t="str">
            <v>Legacy</v>
          </cell>
          <cell r="AA3121" t="str">
            <v>$1K-$10K</v>
          </cell>
          <cell r="AB3121" t="str">
            <v>2010 or before</v>
          </cell>
        </row>
        <row r="3122">
          <cell r="E3122">
            <v>3063.72</v>
          </cell>
          <cell r="Z3122" t="str">
            <v>Legacy</v>
          </cell>
          <cell r="AA3122" t="str">
            <v>$1K-$10K</v>
          </cell>
          <cell r="AB3122" t="str">
            <v>2010 or before</v>
          </cell>
        </row>
        <row r="3123">
          <cell r="E3123">
            <v>3062.86</v>
          </cell>
          <cell r="Z3123" t="str">
            <v>Legacy</v>
          </cell>
          <cell r="AA3123" t="str">
            <v>$1K-$10K</v>
          </cell>
          <cell r="AB3123">
            <v>2011</v>
          </cell>
        </row>
        <row r="3124">
          <cell r="E3124">
            <v>3049.64</v>
          </cell>
          <cell r="Z3124" t="str">
            <v>Legacy</v>
          </cell>
          <cell r="AA3124" t="str">
            <v>$1K-$10K</v>
          </cell>
          <cell r="AB3124" t="str">
            <v>2010 or before</v>
          </cell>
        </row>
        <row r="3125">
          <cell r="E3125">
            <v>3043.74</v>
          </cell>
          <cell r="Z3125" t="str">
            <v>Legacy</v>
          </cell>
          <cell r="AA3125" t="str">
            <v>$1K-$10K</v>
          </cell>
          <cell r="AB3125">
            <v>2011</v>
          </cell>
        </row>
        <row r="3126">
          <cell r="E3126">
            <v>3042.2</v>
          </cell>
          <cell r="Z3126" t="str">
            <v>Global</v>
          </cell>
          <cell r="AA3126" t="str">
            <v>$1K-$10K</v>
          </cell>
          <cell r="AB3126">
            <v>2012</v>
          </cell>
        </row>
        <row r="3127">
          <cell r="E3127">
            <v>3034.99</v>
          </cell>
          <cell r="Z3127" t="str">
            <v>Global</v>
          </cell>
          <cell r="AA3127" t="str">
            <v>$1K-$10K</v>
          </cell>
          <cell r="AB3127">
            <v>2012</v>
          </cell>
        </row>
        <row r="3128">
          <cell r="E3128">
            <v>3034.66</v>
          </cell>
          <cell r="Z3128" t="str">
            <v>Ungating</v>
          </cell>
          <cell r="AA3128" t="str">
            <v>$1K-$10K</v>
          </cell>
          <cell r="AB3128">
            <v>2012</v>
          </cell>
        </row>
        <row r="3129">
          <cell r="E3129">
            <v>3030.95</v>
          </cell>
          <cell r="Z3129" t="str">
            <v>Legacy</v>
          </cell>
          <cell r="AA3129" t="str">
            <v>$1K-$10K</v>
          </cell>
          <cell r="AB3129" t="str">
            <v>2010 or before</v>
          </cell>
        </row>
        <row r="3130">
          <cell r="E3130">
            <v>3030.46</v>
          </cell>
          <cell r="Z3130" t="str">
            <v>Legacy</v>
          </cell>
          <cell r="AA3130" t="str">
            <v>$1K-$10K</v>
          </cell>
          <cell r="AB3130" t="str">
            <v>2010 or before</v>
          </cell>
        </row>
        <row r="3131">
          <cell r="E3131">
            <v>3029.8</v>
          </cell>
          <cell r="Z3131" t="str">
            <v>Inbound</v>
          </cell>
          <cell r="AA3131" t="str">
            <v>$1K-$10K</v>
          </cell>
          <cell r="AB3131">
            <v>2012</v>
          </cell>
        </row>
        <row r="3132">
          <cell r="E3132">
            <v>3028.03</v>
          </cell>
          <cell r="Z3132" t="str">
            <v>Inbound</v>
          </cell>
          <cell r="AA3132" t="str">
            <v>$1K-$10K</v>
          </cell>
          <cell r="AB3132">
            <v>2011</v>
          </cell>
        </row>
        <row r="3133">
          <cell r="E3133">
            <v>3024.25</v>
          </cell>
          <cell r="Z3133" t="str">
            <v>Legacy</v>
          </cell>
          <cell r="AA3133" t="str">
            <v>$1K-$10K</v>
          </cell>
          <cell r="AB3133">
            <v>2011</v>
          </cell>
        </row>
        <row r="3134">
          <cell r="E3134">
            <v>3022.89</v>
          </cell>
          <cell r="Z3134" t="str">
            <v>Legacy</v>
          </cell>
          <cell r="AA3134" t="str">
            <v>$1K-$10K</v>
          </cell>
          <cell r="AB3134" t="str">
            <v>2010 or before</v>
          </cell>
        </row>
        <row r="3135">
          <cell r="E3135">
            <v>3010.69</v>
          </cell>
          <cell r="Z3135" t="str">
            <v>Legacy</v>
          </cell>
          <cell r="AA3135" t="str">
            <v>$1K-$10K</v>
          </cell>
          <cell r="AB3135">
            <v>2011</v>
          </cell>
        </row>
        <row r="3136">
          <cell r="E3136">
            <v>3010</v>
          </cell>
          <cell r="Z3136" t="str">
            <v>Legacy</v>
          </cell>
          <cell r="AA3136" t="str">
            <v>$1K-$10K</v>
          </cell>
          <cell r="AB3136" t="str">
            <v>2010 or before</v>
          </cell>
        </row>
        <row r="3137">
          <cell r="E3137">
            <v>3009.91</v>
          </cell>
          <cell r="Z3137" t="str">
            <v>Legacy</v>
          </cell>
          <cell r="AA3137" t="str">
            <v>$1K-$10K</v>
          </cell>
          <cell r="AB3137" t="str">
            <v>2010 or before</v>
          </cell>
        </row>
        <row r="3138">
          <cell r="E3138">
            <v>3005.68</v>
          </cell>
          <cell r="Z3138" t="str">
            <v>Legacy</v>
          </cell>
          <cell r="AA3138" t="str">
            <v>$1K-$10K</v>
          </cell>
          <cell r="AB3138">
            <v>2012</v>
          </cell>
        </row>
        <row r="3139">
          <cell r="E3139">
            <v>3005.39</v>
          </cell>
          <cell r="Z3139" t="str">
            <v>Legacy</v>
          </cell>
          <cell r="AA3139" t="str">
            <v>$1K-$10K</v>
          </cell>
          <cell r="AB3139" t="str">
            <v>2010 or before</v>
          </cell>
        </row>
        <row r="3140">
          <cell r="E3140">
            <v>3001.5</v>
          </cell>
          <cell r="Z3140" t="str">
            <v>Legacy</v>
          </cell>
          <cell r="AA3140" t="str">
            <v>$1K-$10K</v>
          </cell>
          <cell r="AB3140" t="str">
            <v>2010 or before</v>
          </cell>
        </row>
        <row r="3141">
          <cell r="E3141">
            <v>2995.85</v>
          </cell>
          <cell r="Z3141" t="str">
            <v>Legacy</v>
          </cell>
          <cell r="AA3141" t="str">
            <v>$1K-$10K</v>
          </cell>
          <cell r="AB3141" t="str">
            <v>2010 or before</v>
          </cell>
        </row>
        <row r="3142">
          <cell r="E3142">
            <v>2994.75</v>
          </cell>
          <cell r="Z3142" t="str">
            <v>Legacy</v>
          </cell>
          <cell r="AA3142" t="str">
            <v>$1K-$10K</v>
          </cell>
          <cell r="AB3142" t="str">
            <v>2010 or before</v>
          </cell>
        </row>
        <row r="3143">
          <cell r="E3143">
            <v>2993.92</v>
          </cell>
          <cell r="Z3143" t="str">
            <v>Ungating</v>
          </cell>
          <cell r="AA3143" t="str">
            <v>$1K-$10K</v>
          </cell>
          <cell r="AB3143">
            <v>2012</v>
          </cell>
        </row>
        <row r="3144">
          <cell r="E3144">
            <v>2988.55</v>
          </cell>
          <cell r="Z3144" t="str">
            <v>Legacy</v>
          </cell>
          <cell r="AA3144" t="str">
            <v>$1K-$10K</v>
          </cell>
          <cell r="AB3144" t="str">
            <v>2010 or before</v>
          </cell>
        </row>
        <row r="3145">
          <cell r="E3145">
            <v>2973.23</v>
          </cell>
          <cell r="Z3145" t="str">
            <v>Legacy</v>
          </cell>
          <cell r="AA3145" t="str">
            <v>$1K-$10K</v>
          </cell>
          <cell r="AB3145">
            <v>2011</v>
          </cell>
        </row>
        <row r="3146">
          <cell r="E3146">
            <v>2971.99</v>
          </cell>
          <cell r="Z3146" t="str">
            <v>Legacy</v>
          </cell>
          <cell r="AA3146" t="str">
            <v>$1K-$10K</v>
          </cell>
          <cell r="AB3146" t="str">
            <v>2010 or before</v>
          </cell>
        </row>
        <row r="3147">
          <cell r="E3147">
            <v>2967.7</v>
          </cell>
          <cell r="Z3147" t="str">
            <v>Legacy</v>
          </cell>
          <cell r="AA3147" t="str">
            <v>$1K-$10K</v>
          </cell>
          <cell r="AB3147">
            <v>2011</v>
          </cell>
        </row>
        <row r="3148">
          <cell r="E3148">
            <v>2964.36</v>
          </cell>
          <cell r="Z3148" t="str">
            <v>Legacy</v>
          </cell>
          <cell r="AA3148" t="str">
            <v>$1K-$10K</v>
          </cell>
          <cell r="AB3148" t="str">
            <v>2010 or before</v>
          </cell>
        </row>
        <row r="3149">
          <cell r="E3149">
            <v>2961.98</v>
          </cell>
          <cell r="Z3149" t="str">
            <v>Legacy</v>
          </cell>
          <cell r="AA3149" t="str">
            <v>$1K-$10K</v>
          </cell>
          <cell r="AB3149">
            <v>2011</v>
          </cell>
        </row>
        <row r="3150">
          <cell r="E3150">
            <v>2955.16</v>
          </cell>
          <cell r="Z3150" t="str">
            <v>Outbound</v>
          </cell>
          <cell r="AA3150" t="str">
            <v>$1K-$10K</v>
          </cell>
          <cell r="AB3150">
            <v>2012</v>
          </cell>
        </row>
        <row r="3151">
          <cell r="E3151">
            <v>2955</v>
          </cell>
          <cell r="Z3151" t="str">
            <v>Legacy</v>
          </cell>
          <cell r="AA3151" t="str">
            <v>$1K-$10K</v>
          </cell>
          <cell r="AB3151" t="str">
            <v>2010 or before</v>
          </cell>
        </row>
        <row r="3152">
          <cell r="E3152">
            <v>2949.59</v>
          </cell>
          <cell r="Z3152" t="str">
            <v>Legacy</v>
          </cell>
          <cell r="AA3152" t="str">
            <v>$1K-$10K</v>
          </cell>
          <cell r="AB3152" t="str">
            <v>2010 or before</v>
          </cell>
        </row>
        <row r="3153">
          <cell r="E3153">
            <v>2948</v>
          </cell>
          <cell r="Z3153" t="str">
            <v>Inbound</v>
          </cell>
          <cell r="AA3153" t="str">
            <v>$1K-$10K</v>
          </cell>
          <cell r="AB3153">
            <v>2012</v>
          </cell>
        </row>
        <row r="3154">
          <cell r="E3154">
            <v>2943.43</v>
          </cell>
          <cell r="Z3154" t="str">
            <v>Legacy</v>
          </cell>
          <cell r="AA3154" t="str">
            <v>$1K-$10K</v>
          </cell>
          <cell r="AB3154" t="str">
            <v>2010 or before</v>
          </cell>
        </row>
        <row r="3155">
          <cell r="E3155">
            <v>2942.04</v>
          </cell>
          <cell r="Z3155" t="str">
            <v>Legacy</v>
          </cell>
          <cell r="AA3155" t="str">
            <v>$1K-$10K</v>
          </cell>
          <cell r="AB3155" t="str">
            <v>2010 or before</v>
          </cell>
        </row>
        <row r="3156">
          <cell r="E3156">
            <v>2942</v>
          </cell>
          <cell r="Z3156" t="str">
            <v>Legacy</v>
          </cell>
          <cell r="AA3156" t="str">
            <v>$1K-$10K</v>
          </cell>
          <cell r="AB3156" t="str">
            <v>2010 or before</v>
          </cell>
        </row>
        <row r="3157">
          <cell r="E3157">
            <v>2936.26</v>
          </cell>
          <cell r="Z3157" t="str">
            <v>Ungating</v>
          </cell>
          <cell r="AA3157" t="str">
            <v>$1K-$10K</v>
          </cell>
          <cell r="AB3157">
            <v>2011</v>
          </cell>
        </row>
        <row r="3158">
          <cell r="E3158">
            <v>2921.53</v>
          </cell>
          <cell r="Z3158" t="str">
            <v>Legacy</v>
          </cell>
          <cell r="AA3158" t="str">
            <v>$1K-$10K</v>
          </cell>
          <cell r="AB3158" t="str">
            <v>2010 or before</v>
          </cell>
        </row>
        <row r="3159">
          <cell r="E3159">
            <v>2919.47</v>
          </cell>
          <cell r="Z3159" t="str">
            <v>Outbound</v>
          </cell>
          <cell r="AA3159" t="str">
            <v>$1K-$10K</v>
          </cell>
          <cell r="AB3159">
            <v>2012</v>
          </cell>
        </row>
        <row r="3160">
          <cell r="E3160">
            <v>2918.8</v>
          </cell>
          <cell r="Z3160" t="str">
            <v>Legacy</v>
          </cell>
          <cell r="AA3160" t="str">
            <v>$1K-$10K</v>
          </cell>
          <cell r="AB3160" t="str">
            <v>2010 or before</v>
          </cell>
        </row>
        <row r="3161">
          <cell r="E3161">
            <v>2913.47</v>
          </cell>
          <cell r="Z3161" t="str">
            <v>Legacy</v>
          </cell>
          <cell r="AA3161" t="str">
            <v>$1K-$10K</v>
          </cell>
          <cell r="AB3161">
            <v>2012</v>
          </cell>
        </row>
        <row r="3162">
          <cell r="E3162">
            <v>2906.04</v>
          </cell>
          <cell r="Z3162" t="str">
            <v>Legacy</v>
          </cell>
          <cell r="AA3162" t="str">
            <v>$1K-$10K</v>
          </cell>
          <cell r="AB3162" t="str">
            <v>2010 or before</v>
          </cell>
        </row>
        <row r="3163">
          <cell r="E3163">
            <v>2902.64</v>
          </cell>
          <cell r="Z3163" t="str">
            <v>Legacy</v>
          </cell>
          <cell r="AA3163" t="str">
            <v>$1K-$10K</v>
          </cell>
          <cell r="AB3163" t="str">
            <v>2010 or before</v>
          </cell>
        </row>
        <row r="3164">
          <cell r="E3164">
            <v>2896.33</v>
          </cell>
          <cell r="Z3164" t="str">
            <v>Ungating</v>
          </cell>
          <cell r="AA3164" t="str">
            <v>$1K-$10K</v>
          </cell>
          <cell r="AB3164">
            <v>2012</v>
          </cell>
        </row>
        <row r="3165">
          <cell r="E3165">
            <v>2893.11</v>
          </cell>
          <cell r="Z3165" t="str">
            <v>Legacy</v>
          </cell>
          <cell r="AA3165" t="str">
            <v>$1K-$10K</v>
          </cell>
          <cell r="AB3165" t="str">
            <v>2010 or before</v>
          </cell>
        </row>
        <row r="3166">
          <cell r="E3166">
            <v>2890.47</v>
          </cell>
          <cell r="Z3166" t="str">
            <v>Legacy</v>
          </cell>
          <cell r="AA3166" t="str">
            <v>$1K-$10K</v>
          </cell>
          <cell r="AB3166" t="str">
            <v>2010 or before</v>
          </cell>
        </row>
        <row r="3167">
          <cell r="E3167">
            <v>2884.98</v>
          </cell>
          <cell r="Z3167" t="str">
            <v>Legacy</v>
          </cell>
          <cell r="AA3167" t="str">
            <v>$1K-$10K</v>
          </cell>
          <cell r="AB3167">
            <v>2012</v>
          </cell>
        </row>
        <row r="3168">
          <cell r="E3168">
            <v>2879.07</v>
          </cell>
          <cell r="Z3168" t="str">
            <v>Legacy</v>
          </cell>
          <cell r="AA3168" t="str">
            <v>$1K-$10K</v>
          </cell>
          <cell r="AB3168" t="str">
            <v>2010 or before</v>
          </cell>
        </row>
        <row r="3169">
          <cell r="E3169">
            <v>2877.83</v>
          </cell>
          <cell r="Z3169" t="str">
            <v>Inbound</v>
          </cell>
          <cell r="AA3169" t="str">
            <v>$1K-$10K</v>
          </cell>
          <cell r="AB3169">
            <v>2011</v>
          </cell>
        </row>
        <row r="3170">
          <cell r="E3170">
            <v>2869.52</v>
          </cell>
          <cell r="Z3170" t="str">
            <v>Legacy</v>
          </cell>
          <cell r="AA3170" t="str">
            <v>$1K-$10K</v>
          </cell>
          <cell r="AB3170" t="str">
            <v>2010 or before</v>
          </cell>
        </row>
        <row r="3171">
          <cell r="E3171">
            <v>2862.43</v>
          </cell>
          <cell r="Z3171" t="str">
            <v>Legacy</v>
          </cell>
          <cell r="AA3171" t="str">
            <v>$1K-$10K</v>
          </cell>
          <cell r="AB3171" t="str">
            <v>2010 or before</v>
          </cell>
        </row>
        <row r="3172">
          <cell r="E3172">
            <v>2859.94</v>
          </cell>
          <cell r="Z3172" t="str">
            <v>Legacy</v>
          </cell>
          <cell r="AA3172" t="str">
            <v>$1K-$10K</v>
          </cell>
          <cell r="AB3172">
            <v>2011</v>
          </cell>
        </row>
        <row r="3173">
          <cell r="E3173">
            <v>2850.48</v>
          </cell>
          <cell r="Z3173" t="str">
            <v>Legacy</v>
          </cell>
          <cell r="AA3173" t="str">
            <v>$1K-$10K</v>
          </cell>
          <cell r="AB3173">
            <v>2011</v>
          </cell>
        </row>
        <row r="3174">
          <cell r="E3174">
            <v>2843.54</v>
          </cell>
          <cell r="Z3174" t="str">
            <v>Legacy</v>
          </cell>
          <cell r="AA3174" t="str">
            <v>$1K-$10K</v>
          </cell>
          <cell r="AB3174" t="str">
            <v>2010 or before</v>
          </cell>
        </row>
        <row r="3175">
          <cell r="E3175">
            <v>2841.79</v>
          </cell>
          <cell r="Z3175" t="str">
            <v>Legacy</v>
          </cell>
          <cell r="AA3175" t="str">
            <v>$1K-$10K</v>
          </cell>
          <cell r="AB3175" t="str">
            <v>2010 or before</v>
          </cell>
        </row>
        <row r="3176">
          <cell r="E3176">
            <v>2839.91</v>
          </cell>
          <cell r="Z3176" t="str">
            <v>Legacy</v>
          </cell>
          <cell r="AA3176" t="str">
            <v>$1K-$10K</v>
          </cell>
          <cell r="AB3176">
            <v>2012</v>
          </cell>
        </row>
        <row r="3177">
          <cell r="E3177">
            <v>2836.78</v>
          </cell>
          <cell r="Z3177" t="str">
            <v>Legacy</v>
          </cell>
          <cell r="AA3177" t="str">
            <v>$1K-$10K</v>
          </cell>
          <cell r="AB3177" t="str">
            <v>2010 or before</v>
          </cell>
        </row>
        <row r="3178">
          <cell r="E3178">
            <v>2830.63</v>
          </cell>
          <cell r="Z3178" t="str">
            <v>Ungating</v>
          </cell>
          <cell r="AA3178" t="str">
            <v>$1K-$10K</v>
          </cell>
          <cell r="AB3178">
            <v>2012</v>
          </cell>
        </row>
        <row r="3179">
          <cell r="E3179">
            <v>2828.88</v>
          </cell>
          <cell r="Z3179" t="str">
            <v>Legacy</v>
          </cell>
          <cell r="AA3179" t="str">
            <v>$1K-$10K</v>
          </cell>
          <cell r="AB3179" t="str">
            <v>2010 or before</v>
          </cell>
        </row>
        <row r="3180">
          <cell r="E3180">
            <v>2822.03</v>
          </cell>
          <cell r="Z3180" t="str">
            <v>Legacy</v>
          </cell>
          <cell r="AA3180" t="str">
            <v>$1K-$10K</v>
          </cell>
          <cell r="AB3180">
            <v>2012</v>
          </cell>
        </row>
        <row r="3181">
          <cell r="E3181">
            <v>2821.88</v>
          </cell>
          <cell r="Z3181" t="str">
            <v>Legacy</v>
          </cell>
          <cell r="AA3181" t="str">
            <v>$1K-$10K</v>
          </cell>
          <cell r="AB3181" t="str">
            <v>2010 or before</v>
          </cell>
        </row>
        <row r="3182">
          <cell r="E3182">
            <v>2813.35</v>
          </cell>
          <cell r="Z3182" t="str">
            <v>Legacy</v>
          </cell>
          <cell r="AA3182" t="str">
            <v>$1K-$10K</v>
          </cell>
          <cell r="AB3182" t="str">
            <v>2010 or before</v>
          </cell>
        </row>
        <row r="3183">
          <cell r="E3183">
            <v>2804.51</v>
          </cell>
          <cell r="Z3183" t="str">
            <v>Legacy</v>
          </cell>
          <cell r="AA3183" t="str">
            <v>$1K-$10K</v>
          </cell>
          <cell r="AB3183" t="str">
            <v>2010 or before</v>
          </cell>
        </row>
        <row r="3184">
          <cell r="E3184">
            <v>2801.92</v>
          </cell>
          <cell r="Z3184" t="str">
            <v>Inbound</v>
          </cell>
          <cell r="AA3184" t="str">
            <v>$1K-$10K</v>
          </cell>
          <cell r="AB3184">
            <v>2011</v>
          </cell>
        </row>
        <row r="3185">
          <cell r="E3185">
            <v>2799.76</v>
          </cell>
          <cell r="Z3185" t="str">
            <v>Legacy</v>
          </cell>
          <cell r="AA3185" t="str">
            <v>$1K-$10K</v>
          </cell>
          <cell r="AB3185">
            <v>2011</v>
          </cell>
        </row>
        <row r="3186">
          <cell r="E3186">
            <v>2797</v>
          </cell>
          <cell r="Z3186" t="str">
            <v>Inbound</v>
          </cell>
          <cell r="AA3186" t="str">
            <v>$1K-$10K</v>
          </cell>
          <cell r="AB3186">
            <v>2012</v>
          </cell>
        </row>
        <row r="3187">
          <cell r="E3187">
            <v>2793.86</v>
          </cell>
          <cell r="Z3187" t="str">
            <v>Outbound</v>
          </cell>
          <cell r="AA3187" t="str">
            <v>$1K-$10K</v>
          </cell>
          <cell r="AB3187">
            <v>2012</v>
          </cell>
        </row>
        <row r="3188">
          <cell r="E3188">
            <v>2790.5</v>
          </cell>
          <cell r="Z3188" t="str">
            <v>Legacy</v>
          </cell>
          <cell r="AA3188" t="str">
            <v>$1K-$10K</v>
          </cell>
          <cell r="AB3188" t="str">
            <v>2010 or before</v>
          </cell>
        </row>
        <row r="3189">
          <cell r="E3189">
            <v>2790</v>
          </cell>
          <cell r="Z3189" t="str">
            <v>Inbound</v>
          </cell>
          <cell r="AA3189" t="str">
            <v>$1K-$10K</v>
          </cell>
          <cell r="AB3189">
            <v>2012</v>
          </cell>
        </row>
        <row r="3190">
          <cell r="E3190">
            <v>2781.24</v>
          </cell>
          <cell r="Z3190" t="str">
            <v>Legacy</v>
          </cell>
          <cell r="AA3190" t="str">
            <v>$1K-$10K</v>
          </cell>
          <cell r="AB3190" t="str">
            <v>2010 or before</v>
          </cell>
        </row>
        <row r="3191">
          <cell r="E3191">
            <v>2780.65</v>
          </cell>
          <cell r="Z3191" t="str">
            <v>Legacy</v>
          </cell>
          <cell r="AA3191" t="str">
            <v>$1K-$10K</v>
          </cell>
          <cell r="AB3191" t="str">
            <v>2010 or before</v>
          </cell>
        </row>
        <row r="3192">
          <cell r="E3192">
            <v>2773.43</v>
          </cell>
          <cell r="Z3192" t="str">
            <v>Ungating</v>
          </cell>
          <cell r="AA3192" t="str">
            <v>$1K-$10K</v>
          </cell>
          <cell r="AB3192">
            <v>2012</v>
          </cell>
        </row>
        <row r="3193">
          <cell r="E3193">
            <v>2771.55</v>
          </cell>
          <cell r="Z3193" t="str">
            <v>Legacy</v>
          </cell>
          <cell r="AA3193" t="str">
            <v>$1K-$10K</v>
          </cell>
          <cell r="AB3193" t="str">
            <v>2010 or before</v>
          </cell>
        </row>
        <row r="3194">
          <cell r="E3194">
            <v>2769.71</v>
          </cell>
          <cell r="Z3194" t="str">
            <v>Legacy</v>
          </cell>
          <cell r="AA3194" t="str">
            <v>$1K-$10K</v>
          </cell>
          <cell r="AB3194" t="str">
            <v>2010 or before</v>
          </cell>
        </row>
        <row r="3195">
          <cell r="E3195">
            <v>2755.46</v>
          </cell>
          <cell r="Z3195" t="str">
            <v>Legacy</v>
          </cell>
          <cell r="AA3195" t="str">
            <v>$1K-$10K</v>
          </cell>
          <cell r="AB3195" t="str">
            <v>2010 or before</v>
          </cell>
        </row>
        <row r="3196">
          <cell r="E3196">
            <v>2754.48</v>
          </cell>
          <cell r="Z3196" t="str">
            <v>Legacy</v>
          </cell>
          <cell r="AA3196" t="str">
            <v>$1K-$10K</v>
          </cell>
          <cell r="AB3196" t="str">
            <v>2010 or before</v>
          </cell>
        </row>
        <row r="3197">
          <cell r="E3197">
            <v>2753.7</v>
          </cell>
          <cell r="Z3197" t="str">
            <v>Legacy</v>
          </cell>
          <cell r="AA3197" t="str">
            <v>$1K-$10K</v>
          </cell>
          <cell r="AB3197" t="str">
            <v>2010 or before</v>
          </cell>
        </row>
        <row r="3198">
          <cell r="E3198">
            <v>2752.7</v>
          </cell>
          <cell r="Z3198" t="str">
            <v>Inbound</v>
          </cell>
          <cell r="AA3198" t="str">
            <v>$1K-$10K</v>
          </cell>
          <cell r="AB3198">
            <v>2011</v>
          </cell>
        </row>
        <row r="3199">
          <cell r="E3199">
            <v>2746.66</v>
          </cell>
          <cell r="Z3199" t="str">
            <v>Legacy</v>
          </cell>
          <cell r="AA3199" t="str">
            <v>$1K-$10K</v>
          </cell>
          <cell r="AB3199" t="str">
            <v>2010 or before</v>
          </cell>
        </row>
        <row r="3200">
          <cell r="E3200">
            <v>2743.2</v>
          </cell>
          <cell r="Z3200" t="str">
            <v>Legacy</v>
          </cell>
          <cell r="AA3200" t="str">
            <v>$1K-$10K</v>
          </cell>
          <cell r="AB3200" t="str">
            <v>2010 or before</v>
          </cell>
        </row>
        <row r="3201">
          <cell r="E3201">
            <v>2743.02</v>
          </cell>
          <cell r="Z3201" t="str">
            <v>Legacy</v>
          </cell>
          <cell r="AA3201" t="str">
            <v>$1K-$10K</v>
          </cell>
          <cell r="AB3201" t="str">
            <v>2010 or before</v>
          </cell>
        </row>
        <row r="3202">
          <cell r="E3202">
            <v>2740.88</v>
          </cell>
          <cell r="Z3202" t="str">
            <v>Legacy</v>
          </cell>
          <cell r="AA3202" t="str">
            <v>$1K-$10K</v>
          </cell>
          <cell r="AB3202" t="str">
            <v>2010 or before</v>
          </cell>
        </row>
        <row r="3203">
          <cell r="E3203">
            <v>2729.47</v>
          </cell>
          <cell r="Z3203" t="str">
            <v>Legacy</v>
          </cell>
          <cell r="AA3203" t="str">
            <v>$1K-$10K</v>
          </cell>
          <cell r="AB3203">
            <v>2012</v>
          </cell>
        </row>
        <row r="3204">
          <cell r="E3204">
            <v>2727.78</v>
          </cell>
          <cell r="Z3204" t="str">
            <v>Legacy</v>
          </cell>
          <cell r="AA3204" t="str">
            <v>$1K-$10K</v>
          </cell>
          <cell r="AB3204">
            <v>2012</v>
          </cell>
        </row>
        <row r="3205">
          <cell r="E3205">
            <v>2727.29</v>
          </cell>
          <cell r="Z3205" t="str">
            <v>Ungating</v>
          </cell>
          <cell r="AA3205" t="str">
            <v>$1K-$10K</v>
          </cell>
          <cell r="AB3205">
            <v>2012</v>
          </cell>
        </row>
        <row r="3206">
          <cell r="E3206">
            <v>2726.59</v>
          </cell>
          <cell r="Z3206" t="str">
            <v>Ungating</v>
          </cell>
          <cell r="AA3206" t="str">
            <v>$1K-$10K</v>
          </cell>
          <cell r="AB3206">
            <v>2012</v>
          </cell>
        </row>
        <row r="3207">
          <cell r="E3207">
            <v>2724.09</v>
          </cell>
          <cell r="Z3207" t="str">
            <v>Legacy</v>
          </cell>
          <cell r="AA3207" t="str">
            <v>$1K-$10K</v>
          </cell>
          <cell r="AB3207" t="str">
            <v>2010 or before</v>
          </cell>
        </row>
        <row r="3208">
          <cell r="E3208">
            <v>2723.8</v>
          </cell>
          <cell r="Z3208" t="str">
            <v>Outbound</v>
          </cell>
          <cell r="AA3208" t="str">
            <v>$1K-$10K</v>
          </cell>
          <cell r="AB3208">
            <v>2012</v>
          </cell>
        </row>
        <row r="3209">
          <cell r="E3209">
            <v>2716.5</v>
          </cell>
          <cell r="Z3209" t="str">
            <v>Legacy</v>
          </cell>
          <cell r="AA3209" t="str">
            <v>$1K-$10K</v>
          </cell>
          <cell r="AB3209" t="str">
            <v>2010 or before</v>
          </cell>
        </row>
        <row r="3210">
          <cell r="E3210">
            <v>2716</v>
          </cell>
          <cell r="Z3210" t="str">
            <v>Legacy</v>
          </cell>
          <cell r="AA3210" t="str">
            <v>$1K-$10K</v>
          </cell>
          <cell r="AB3210" t="str">
            <v>2010 or before</v>
          </cell>
        </row>
        <row r="3211">
          <cell r="E3211">
            <v>2714.11</v>
          </cell>
          <cell r="Z3211" t="str">
            <v>Legacy</v>
          </cell>
          <cell r="AA3211" t="str">
            <v>$1K-$10K</v>
          </cell>
          <cell r="AB3211" t="str">
            <v>2010 or before</v>
          </cell>
        </row>
        <row r="3212">
          <cell r="E3212">
            <v>2711.42</v>
          </cell>
          <cell r="Z3212" t="str">
            <v>Legacy</v>
          </cell>
          <cell r="AA3212" t="str">
            <v>$1K-$10K</v>
          </cell>
          <cell r="AB3212" t="str">
            <v>2010 or before</v>
          </cell>
        </row>
        <row r="3213">
          <cell r="E3213">
            <v>2701.74</v>
          </cell>
          <cell r="Z3213" t="str">
            <v>Legacy</v>
          </cell>
          <cell r="AA3213" t="str">
            <v>$1K-$10K</v>
          </cell>
          <cell r="AB3213">
            <v>2012</v>
          </cell>
        </row>
        <row r="3214">
          <cell r="E3214">
            <v>2698.56</v>
          </cell>
          <cell r="Z3214" t="str">
            <v>Legacy</v>
          </cell>
          <cell r="AA3214" t="str">
            <v>$1K-$10K</v>
          </cell>
          <cell r="AB3214" t="str">
            <v>2010 or before</v>
          </cell>
        </row>
        <row r="3215">
          <cell r="E3215">
            <v>2693.57</v>
          </cell>
          <cell r="Z3215" t="str">
            <v>Ungating</v>
          </cell>
          <cell r="AA3215" t="str">
            <v>$1K-$10K</v>
          </cell>
          <cell r="AB3215">
            <v>2012</v>
          </cell>
        </row>
        <row r="3216">
          <cell r="E3216">
            <v>2692.15</v>
          </cell>
          <cell r="Z3216" t="str">
            <v>Inbound</v>
          </cell>
          <cell r="AA3216" t="str">
            <v>$1K-$10K</v>
          </cell>
          <cell r="AB3216">
            <v>2012</v>
          </cell>
        </row>
        <row r="3217">
          <cell r="E3217">
            <v>2692.02</v>
          </cell>
          <cell r="Z3217" t="str">
            <v>Legacy</v>
          </cell>
          <cell r="AA3217" t="str">
            <v>$1K-$10K</v>
          </cell>
          <cell r="AB3217" t="str">
            <v>2010 or before</v>
          </cell>
        </row>
        <row r="3218">
          <cell r="E3218">
            <v>2689.64</v>
          </cell>
          <cell r="Z3218" t="str">
            <v>Legacy</v>
          </cell>
          <cell r="AA3218" t="str">
            <v>$1K-$10K</v>
          </cell>
          <cell r="AB3218" t="str">
            <v>2010 or before</v>
          </cell>
        </row>
        <row r="3219">
          <cell r="E3219">
            <v>2687.45</v>
          </cell>
          <cell r="Z3219" t="str">
            <v>Inbound</v>
          </cell>
          <cell r="AA3219" t="str">
            <v>$1K-$10K</v>
          </cell>
          <cell r="AB3219">
            <v>2012</v>
          </cell>
        </row>
        <row r="3220">
          <cell r="E3220">
            <v>2686.88</v>
          </cell>
          <cell r="Z3220" t="str">
            <v>Legacy</v>
          </cell>
          <cell r="AA3220" t="str">
            <v>$1K-$10K</v>
          </cell>
          <cell r="AB3220" t="str">
            <v>2010 or before</v>
          </cell>
        </row>
        <row r="3221">
          <cell r="E3221">
            <v>2685.07</v>
          </cell>
          <cell r="Z3221" t="str">
            <v>Legacy</v>
          </cell>
          <cell r="AA3221" t="str">
            <v>$1K-$10K</v>
          </cell>
          <cell r="AB3221" t="str">
            <v>2010 or before</v>
          </cell>
        </row>
        <row r="3222">
          <cell r="E3222">
            <v>2685</v>
          </cell>
          <cell r="Z3222" t="str">
            <v>Global</v>
          </cell>
          <cell r="AA3222" t="str">
            <v>$1K-$10K</v>
          </cell>
          <cell r="AB3222">
            <v>2012</v>
          </cell>
        </row>
        <row r="3223">
          <cell r="E3223">
            <v>2682.61</v>
          </cell>
          <cell r="Z3223" t="str">
            <v>Ungating</v>
          </cell>
          <cell r="AA3223" t="str">
            <v>$1K-$10K</v>
          </cell>
          <cell r="AB3223">
            <v>2012</v>
          </cell>
        </row>
        <row r="3224">
          <cell r="E3224">
            <v>2678.92</v>
          </cell>
          <cell r="Z3224" t="str">
            <v>Legacy</v>
          </cell>
          <cell r="AA3224" t="str">
            <v>$1K-$10K</v>
          </cell>
          <cell r="AB3224" t="str">
            <v>2010 or before</v>
          </cell>
        </row>
        <row r="3225">
          <cell r="E3225">
            <v>2677.98</v>
          </cell>
          <cell r="Z3225" t="str">
            <v>Legacy</v>
          </cell>
          <cell r="AA3225" t="str">
            <v>$1K-$10K</v>
          </cell>
          <cell r="AB3225">
            <v>2011</v>
          </cell>
        </row>
        <row r="3226">
          <cell r="E3226">
            <v>2671.65</v>
          </cell>
          <cell r="Z3226" t="str">
            <v>Legacy</v>
          </cell>
          <cell r="AA3226" t="str">
            <v>$1K-$10K</v>
          </cell>
          <cell r="AB3226">
            <v>2011</v>
          </cell>
        </row>
        <row r="3227">
          <cell r="E3227">
            <v>2671.63</v>
          </cell>
          <cell r="Z3227" t="str">
            <v>Legacy</v>
          </cell>
          <cell r="AA3227" t="str">
            <v>$1K-$10K</v>
          </cell>
          <cell r="AB3227" t="str">
            <v>2010 or before</v>
          </cell>
        </row>
        <row r="3228">
          <cell r="E3228">
            <v>2671.55</v>
          </cell>
          <cell r="Z3228" t="str">
            <v>Legacy</v>
          </cell>
          <cell r="AA3228" t="str">
            <v>$1K-$10K</v>
          </cell>
          <cell r="AB3228" t="str">
            <v>2010 or before</v>
          </cell>
        </row>
        <row r="3229">
          <cell r="E3229">
            <v>2661.91</v>
          </cell>
          <cell r="Z3229" t="str">
            <v>Inbound</v>
          </cell>
          <cell r="AA3229" t="str">
            <v>$1K-$10K</v>
          </cell>
          <cell r="AB3229">
            <v>2011</v>
          </cell>
        </row>
        <row r="3230">
          <cell r="E3230">
            <v>2661.64</v>
          </cell>
          <cell r="Z3230" t="str">
            <v>Ungating</v>
          </cell>
          <cell r="AA3230" t="str">
            <v>$1K-$10K</v>
          </cell>
          <cell r="AB3230">
            <v>2011</v>
          </cell>
        </row>
        <row r="3231">
          <cell r="E3231">
            <v>2661.26</v>
          </cell>
          <cell r="Z3231" t="str">
            <v>Legacy</v>
          </cell>
          <cell r="AA3231" t="str">
            <v>$1K-$10K</v>
          </cell>
          <cell r="AB3231">
            <v>2012</v>
          </cell>
        </row>
        <row r="3232">
          <cell r="E3232">
            <v>2660.16</v>
          </cell>
          <cell r="Z3232" t="str">
            <v>Inbound</v>
          </cell>
          <cell r="AA3232" t="str">
            <v>$1K-$10K</v>
          </cell>
          <cell r="AB3232">
            <v>2012</v>
          </cell>
        </row>
        <row r="3233">
          <cell r="E3233">
            <v>2657.12</v>
          </cell>
          <cell r="Z3233" t="str">
            <v>Ungating</v>
          </cell>
          <cell r="AA3233" t="str">
            <v>$1K-$10K</v>
          </cell>
          <cell r="AB3233">
            <v>2012</v>
          </cell>
        </row>
        <row r="3234">
          <cell r="E3234">
            <v>2655.31</v>
          </cell>
          <cell r="Z3234" t="str">
            <v>Legacy</v>
          </cell>
          <cell r="AA3234" t="str">
            <v>$1K-$10K</v>
          </cell>
          <cell r="AB3234" t="str">
            <v>2010 or before</v>
          </cell>
        </row>
        <row r="3235">
          <cell r="E3235">
            <v>2649.14</v>
          </cell>
          <cell r="Z3235" t="str">
            <v>Legacy</v>
          </cell>
          <cell r="AA3235" t="str">
            <v>$1K-$10K</v>
          </cell>
          <cell r="AB3235" t="str">
            <v>2010 or before</v>
          </cell>
        </row>
        <row r="3236">
          <cell r="E3236">
            <v>2648.07</v>
          </cell>
          <cell r="Z3236" t="str">
            <v>Legacy</v>
          </cell>
          <cell r="AA3236" t="str">
            <v>$1K-$10K</v>
          </cell>
          <cell r="AB3236" t="str">
            <v>2010 or before</v>
          </cell>
        </row>
        <row r="3237">
          <cell r="E3237">
            <v>2646.05</v>
          </cell>
          <cell r="Z3237" t="str">
            <v>Legacy</v>
          </cell>
          <cell r="AA3237" t="str">
            <v>$1K-$10K</v>
          </cell>
          <cell r="AB3237" t="str">
            <v>2010 or before</v>
          </cell>
        </row>
        <row r="3238">
          <cell r="E3238">
            <v>2631.69</v>
          </cell>
          <cell r="Z3238" t="str">
            <v>Legacy</v>
          </cell>
          <cell r="AA3238" t="str">
            <v>$1K-$10K</v>
          </cell>
          <cell r="AB3238" t="str">
            <v>2010 or before</v>
          </cell>
        </row>
        <row r="3239">
          <cell r="E3239">
            <v>2629.79</v>
          </cell>
          <cell r="Z3239" t="str">
            <v>Legacy</v>
          </cell>
          <cell r="AA3239" t="str">
            <v>$1K-$10K</v>
          </cell>
          <cell r="AB3239" t="str">
            <v>2010 or before</v>
          </cell>
        </row>
        <row r="3240">
          <cell r="E3240">
            <v>2620.6799999999998</v>
          </cell>
          <cell r="Z3240" t="str">
            <v>Legacy</v>
          </cell>
          <cell r="AA3240" t="str">
            <v>$1K-$10K</v>
          </cell>
          <cell r="AB3240" t="str">
            <v>2010 or before</v>
          </cell>
        </row>
        <row r="3241">
          <cell r="E3241">
            <v>2609.0100000000002</v>
          </cell>
          <cell r="Z3241" t="str">
            <v>Legacy</v>
          </cell>
          <cell r="AA3241" t="str">
            <v>$1K-$10K</v>
          </cell>
          <cell r="AB3241">
            <v>2011</v>
          </cell>
        </row>
        <row r="3242">
          <cell r="E3242">
            <v>2607.9</v>
          </cell>
          <cell r="Z3242" t="str">
            <v>Legacy</v>
          </cell>
          <cell r="AA3242" t="str">
            <v>$1K-$10K</v>
          </cell>
          <cell r="AB3242" t="str">
            <v>2010 or before</v>
          </cell>
        </row>
        <row r="3243">
          <cell r="E3243">
            <v>2606.2800000000002</v>
          </cell>
          <cell r="Z3243" t="str">
            <v>Legacy</v>
          </cell>
          <cell r="AA3243" t="str">
            <v>$1K-$10K</v>
          </cell>
          <cell r="AB3243" t="str">
            <v>2010 or before</v>
          </cell>
        </row>
        <row r="3244">
          <cell r="E3244">
            <v>2604.44</v>
          </cell>
          <cell r="Z3244" t="str">
            <v>Legacy</v>
          </cell>
          <cell r="AA3244" t="str">
            <v>$1K-$10K</v>
          </cell>
          <cell r="AB3244">
            <v>2011</v>
          </cell>
        </row>
        <row r="3245">
          <cell r="E3245">
            <v>2595.54</v>
          </cell>
          <cell r="Z3245" t="str">
            <v>Legacy</v>
          </cell>
          <cell r="AA3245" t="str">
            <v>$1K-$10K</v>
          </cell>
          <cell r="AB3245" t="str">
            <v>2010 or before</v>
          </cell>
        </row>
        <row r="3246">
          <cell r="E3246">
            <v>2594.84</v>
          </cell>
          <cell r="Z3246" t="str">
            <v>Legacy</v>
          </cell>
          <cell r="AA3246" t="str">
            <v>$1K-$10K</v>
          </cell>
          <cell r="AB3246" t="str">
            <v>2010 or before</v>
          </cell>
        </row>
        <row r="3247">
          <cell r="E3247">
            <v>2586.73</v>
          </cell>
          <cell r="Z3247" t="str">
            <v>Legacy</v>
          </cell>
          <cell r="AA3247" t="str">
            <v>$1K-$10K</v>
          </cell>
          <cell r="AB3247" t="str">
            <v>2010 or before</v>
          </cell>
        </row>
        <row r="3248">
          <cell r="E3248">
            <v>2582.14</v>
          </cell>
          <cell r="Z3248" t="str">
            <v>Legacy</v>
          </cell>
          <cell r="AA3248" t="str">
            <v>$1K-$10K</v>
          </cell>
          <cell r="AB3248">
            <v>2011</v>
          </cell>
        </row>
        <row r="3249">
          <cell r="E3249">
            <v>2577.4</v>
          </cell>
          <cell r="Z3249" t="str">
            <v>Legacy</v>
          </cell>
          <cell r="AA3249" t="str">
            <v>$1K-$10K</v>
          </cell>
          <cell r="AB3249" t="str">
            <v>2010 or before</v>
          </cell>
        </row>
        <row r="3250">
          <cell r="E3250">
            <v>2574.81</v>
          </cell>
          <cell r="Z3250" t="str">
            <v>Legacy</v>
          </cell>
          <cell r="AA3250" t="str">
            <v>$1K-$10K</v>
          </cell>
          <cell r="AB3250" t="str">
            <v>2010 or before</v>
          </cell>
        </row>
        <row r="3251">
          <cell r="E3251">
            <v>2574.65</v>
          </cell>
          <cell r="Z3251" t="str">
            <v>Legacy</v>
          </cell>
          <cell r="AA3251" t="str">
            <v>$1K-$10K</v>
          </cell>
          <cell r="AB3251" t="str">
            <v>2010 or before</v>
          </cell>
        </row>
        <row r="3252">
          <cell r="E3252">
            <v>2574.08</v>
          </cell>
          <cell r="Z3252" t="str">
            <v>Ungating</v>
          </cell>
          <cell r="AA3252" t="str">
            <v>$1K-$10K</v>
          </cell>
          <cell r="AB3252">
            <v>2011</v>
          </cell>
        </row>
        <row r="3253">
          <cell r="E3253">
            <v>2570.4499999999998</v>
          </cell>
          <cell r="Z3253" t="str">
            <v>Legacy</v>
          </cell>
          <cell r="AA3253" t="str">
            <v>$1K-$10K</v>
          </cell>
          <cell r="AB3253" t="str">
            <v>2010 or before</v>
          </cell>
        </row>
        <row r="3254">
          <cell r="E3254">
            <v>2570.2399999999998</v>
          </cell>
          <cell r="Z3254" t="str">
            <v>Legacy</v>
          </cell>
          <cell r="AA3254" t="str">
            <v>$1K-$10K</v>
          </cell>
          <cell r="AB3254" t="str">
            <v>2010 or before</v>
          </cell>
        </row>
        <row r="3255">
          <cell r="E3255">
            <v>2557.38</v>
          </cell>
          <cell r="Z3255" t="str">
            <v>Legacy</v>
          </cell>
          <cell r="AA3255" t="str">
            <v>$1K-$10K</v>
          </cell>
          <cell r="AB3255">
            <v>2011</v>
          </cell>
        </row>
        <row r="3256">
          <cell r="E3256">
            <v>2549.36</v>
          </cell>
          <cell r="Z3256" t="str">
            <v>Legacy</v>
          </cell>
          <cell r="AA3256" t="str">
            <v>$1K-$10K</v>
          </cell>
          <cell r="AB3256">
            <v>2011</v>
          </cell>
        </row>
        <row r="3257">
          <cell r="E3257">
            <v>2546.37</v>
          </cell>
          <cell r="Z3257" t="str">
            <v>Legacy</v>
          </cell>
          <cell r="AA3257" t="str">
            <v>$1K-$10K</v>
          </cell>
          <cell r="AB3257" t="str">
            <v>2010 or before</v>
          </cell>
        </row>
        <row r="3258">
          <cell r="E3258">
            <v>2545.83</v>
          </cell>
          <cell r="Z3258" t="str">
            <v>Global</v>
          </cell>
          <cell r="AA3258" t="str">
            <v>$1K-$10K</v>
          </cell>
          <cell r="AB3258">
            <v>2012</v>
          </cell>
        </row>
        <row r="3259">
          <cell r="E3259">
            <v>2542.54</v>
          </cell>
          <cell r="Z3259" t="str">
            <v>Legacy</v>
          </cell>
          <cell r="AA3259" t="str">
            <v>$1K-$10K</v>
          </cell>
          <cell r="AB3259" t="str">
            <v>2010 or before</v>
          </cell>
        </row>
        <row r="3260">
          <cell r="E3260">
            <v>2541.3000000000002</v>
          </cell>
          <cell r="Z3260" t="str">
            <v>Legacy</v>
          </cell>
          <cell r="AA3260" t="str">
            <v>$1K-$10K</v>
          </cell>
          <cell r="AB3260">
            <v>2011</v>
          </cell>
        </row>
        <row r="3261">
          <cell r="E3261">
            <v>2541.3000000000002</v>
          </cell>
          <cell r="Z3261" t="str">
            <v>Inbound</v>
          </cell>
          <cell r="AA3261" t="str">
            <v>$1K-$10K</v>
          </cell>
          <cell r="AB3261">
            <v>2012</v>
          </cell>
        </row>
        <row r="3262">
          <cell r="E3262">
            <v>2526.5700000000002</v>
          </cell>
          <cell r="Z3262" t="str">
            <v>Legacy</v>
          </cell>
          <cell r="AA3262" t="str">
            <v>$1K-$10K</v>
          </cell>
          <cell r="AB3262">
            <v>2012</v>
          </cell>
        </row>
        <row r="3263">
          <cell r="E3263">
            <v>2522.4499999999998</v>
          </cell>
          <cell r="Z3263" t="str">
            <v>Ungating</v>
          </cell>
          <cell r="AA3263" t="str">
            <v>$1K-$10K</v>
          </cell>
          <cell r="AB3263">
            <v>2012</v>
          </cell>
        </row>
        <row r="3264">
          <cell r="E3264">
            <v>2521.5700000000002</v>
          </cell>
          <cell r="Z3264" t="str">
            <v>Legacy</v>
          </cell>
          <cell r="AA3264" t="str">
            <v>$1K-$10K</v>
          </cell>
          <cell r="AB3264" t="str">
            <v>2010 or before</v>
          </cell>
        </row>
        <row r="3265">
          <cell r="E3265">
            <v>2517.33</v>
          </cell>
          <cell r="Z3265" t="str">
            <v>Legacy</v>
          </cell>
          <cell r="AA3265" t="str">
            <v>$1K-$10K</v>
          </cell>
          <cell r="AB3265" t="str">
            <v>2010 or before</v>
          </cell>
        </row>
        <row r="3266">
          <cell r="E3266">
            <v>2514.7199999999998</v>
          </cell>
          <cell r="Z3266" t="str">
            <v>Ungating</v>
          </cell>
          <cell r="AA3266" t="str">
            <v>$1K-$10K</v>
          </cell>
          <cell r="AB3266">
            <v>2012</v>
          </cell>
        </row>
        <row r="3267">
          <cell r="E3267">
            <v>2508.61</v>
          </cell>
          <cell r="Z3267" t="str">
            <v>Ungating</v>
          </cell>
          <cell r="AA3267" t="str">
            <v>$1K-$10K</v>
          </cell>
          <cell r="AB3267">
            <v>2012</v>
          </cell>
        </row>
        <row r="3268">
          <cell r="E3268">
            <v>2506.6799999999998</v>
          </cell>
          <cell r="Z3268" t="str">
            <v>Legacy</v>
          </cell>
          <cell r="AA3268" t="str">
            <v>$1K-$10K</v>
          </cell>
          <cell r="AB3268" t="str">
            <v>2010 or before</v>
          </cell>
        </row>
        <row r="3269">
          <cell r="E3269">
            <v>2506</v>
          </cell>
          <cell r="Z3269" t="str">
            <v>Inbound</v>
          </cell>
          <cell r="AA3269" t="str">
            <v>$1K-$10K</v>
          </cell>
          <cell r="AB3269">
            <v>2012</v>
          </cell>
        </row>
        <row r="3270">
          <cell r="E3270">
            <v>2502.11</v>
          </cell>
          <cell r="Z3270" t="str">
            <v>Inbound</v>
          </cell>
          <cell r="AA3270" t="str">
            <v>$1K-$10K</v>
          </cell>
          <cell r="AB3270">
            <v>2012</v>
          </cell>
        </row>
        <row r="3271">
          <cell r="E3271">
            <v>2500</v>
          </cell>
          <cell r="Z3271" t="str">
            <v>Outbound</v>
          </cell>
          <cell r="AA3271" t="str">
            <v>$1K-$10K</v>
          </cell>
          <cell r="AB3271">
            <v>2012</v>
          </cell>
        </row>
        <row r="3272">
          <cell r="E3272">
            <v>2498.7600000000002</v>
          </cell>
          <cell r="Z3272" t="str">
            <v>Legacy</v>
          </cell>
          <cell r="AA3272" t="str">
            <v>$1K-$10K</v>
          </cell>
          <cell r="AB3272" t="str">
            <v>2010 or before</v>
          </cell>
        </row>
        <row r="3273">
          <cell r="E3273">
            <v>2496.81</v>
          </cell>
          <cell r="Z3273" t="str">
            <v>Legacy</v>
          </cell>
          <cell r="AA3273" t="str">
            <v>$1K-$10K</v>
          </cell>
          <cell r="AB3273" t="str">
            <v>2010 or before</v>
          </cell>
        </row>
        <row r="3274">
          <cell r="E3274">
            <v>2491.31</v>
          </cell>
          <cell r="Z3274" t="str">
            <v>Inbound</v>
          </cell>
          <cell r="AA3274" t="str">
            <v>$1K-$10K</v>
          </cell>
          <cell r="AB3274">
            <v>2011</v>
          </cell>
        </row>
        <row r="3275">
          <cell r="E3275">
            <v>2485.23</v>
          </cell>
          <cell r="Z3275" t="str">
            <v>Legacy</v>
          </cell>
          <cell r="AA3275" t="str">
            <v>$1K-$10K</v>
          </cell>
          <cell r="AB3275" t="str">
            <v>2010 or before</v>
          </cell>
        </row>
        <row r="3276">
          <cell r="E3276">
            <v>2484.29</v>
          </cell>
          <cell r="Z3276" t="str">
            <v>Legacy</v>
          </cell>
          <cell r="AA3276" t="str">
            <v>$1K-$10K</v>
          </cell>
          <cell r="AB3276" t="str">
            <v>2010 or before</v>
          </cell>
        </row>
        <row r="3277">
          <cell r="E3277">
            <v>2481.4</v>
          </cell>
          <cell r="Z3277" t="str">
            <v>Legacy</v>
          </cell>
          <cell r="AA3277" t="str">
            <v>$1K-$10K</v>
          </cell>
          <cell r="AB3277" t="str">
            <v>2010 or before</v>
          </cell>
        </row>
        <row r="3278">
          <cell r="E3278">
            <v>2465.58</v>
          </cell>
          <cell r="Z3278" t="str">
            <v>Legacy</v>
          </cell>
          <cell r="AA3278" t="str">
            <v>$1K-$10K</v>
          </cell>
          <cell r="AB3278" t="str">
            <v>2010 or before</v>
          </cell>
        </row>
        <row r="3279">
          <cell r="E3279">
            <v>2464.0500000000002</v>
          </cell>
          <cell r="Z3279" t="str">
            <v>Legacy</v>
          </cell>
          <cell r="AA3279" t="str">
            <v>$1K-$10K</v>
          </cell>
          <cell r="AB3279" t="str">
            <v>2010 or before</v>
          </cell>
        </row>
        <row r="3280">
          <cell r="E3280">
            <v>2461.41</v>
          </cell>
          <cell r="Z3280" t="str">
            <v>Ungating</v>
          </cell>
          <cell r="AA3280" t="str">
            <v>$1K-$10K</v>
          </cell>
          <cell r="AB3280">
            <v>2012</v>
          </cell>
        </row>
        <row r="3281">
          <cell r="E3281">
            <v>2458.5500000000002</v>
          </cell>
          <cell r="Z3281" t="str">
            <v>Ungating</v>
          </cell>
          <cell r="AA3281" t="str">
            <v>$1K-$10K</v>
          </cell>
          <cell r="AB3281">
            <v>2012</v>
          </cell>
        </row>
        <row r="3282">
          <cell r="E3282">
            <v>2458.4</v>
          </cell>
          <cell r="Z3282" t="str">
            <v>Legacy</v>
          </cell>
          <cell r="AA3282" t="str">
            <v>$1K-$10K</v>
          </cell>
          <cell r="AB3282">
            <v>2012</v>
          </cell>
        </row>
        <row r="3283">
          <cell r="E3283">
            <v>2449.3000000000002</v>
          </cell>
          <cell r="Z3283" t="str">
            <v>Inbound</v>
          </cell>
          <cell r="AA3283" t="str">
            <v>$1K-$10K</v>
          </cell>
          <cell r="AB3283">
            <v>2011</v>
          </cell>
        </row>
        <row r="3284">
          <cell r="E3284">
            <v>2447.9499999999998</v>
          </cell>
          <cell r="Z3284" t="str">
            <v>Ungating</v>
          </cell>
          <cell r="AA3284" t="str">
            <v>$1K-$10K</v>
          </cell>
          <cell r="AB3284">
            <v>2012</v>
          </cell>
        </row>
        <row r="3285">
          <cell r="E3285">
            <v>2443.29</v>
          </cell>
          <cell r="Z3285" t="str">
            <v>Ungating</v>
          </cell>
          <cell r="AA3285" t="str">
            <v>$1K-$10K</v>
          </cell>
          <cell r="AB3285">
            <v>2012</v>
          </cell>
        </row>
        <row r="3286">
          <cell r="E3286">
            <v>2441.5700000000002</v>
          </cell>
          <cell r="Z3286" t="str">
            <v>Ungating</v>
          </cell>
          <cell r="AA3286" t="str">
            <v>$1K-$10K</v>
          </cell>
          <cell r="AB3286">
            <v>2012</v>
          </cell>
        </row>
        <row r="3287">
          <cell r="E3287">
            <v>2441.1999999999998</v>
          </cell>
          <cell r="Z3287" t="str">
            <v>Legacy</v>
          </cell>
          <cell r="AA3287" t="str">
            <v>$1K-$10K</v>
          </cell>
          <cell r="AB3287" t="str">
            <v>2010 or before</v>
          </cell>
        </row>
        <row r="3288">
          <cell r="E3288">
            <v>2436.83</v>
          </cell>
          <cell r="Z3288" t="str">
            <v>Legacy</v>
          </cell>
          <cell r="AA3288" t="str">
            <v>$1K-$10K</v>
          </cell>
          <cell r="AB3288" t="str">
            <v>2010 or before</v>
          </cell>
        </row>
        <row r="3289">
          <cell r="E3289">
            <v>2436.16</v>
          </cell>
          <cell r="Z3289" t="str">
            <v>Legacy</v>
          </cell>
          <cell r="AA3289" t="str">
            <v>$1K-$10K</v>
          </cell>
          <cell r="AB3289" t="str">
            <v>2010 or before</v>
          </cell>
        </row>
        <row r="3290">
          <cell r="E3290">
            <v>2425.21</v>
          </cell>
          <cell r="Z3290" t="str">
            <v>Legacy</v>
          </cell>
          <cell r="AA3290" t="str">
            <v>$1K-$10K</v>
          </cell>
          <cell r="AB3290" t="str">
            <v>2010 or before</v>
          </cell>
        </row>
        <row r="3291">
          <cell r="E3291">
            <v>2424.94</v>
          </cell>
          <cell r="Z3291" t="str">
            <v>Ungating</v>
          </cell>
          <cell r="AA3291" t="str">
            <v>$1K-$10K</v>
          </cell>
          <cell r="AB3291">
            <v>2012</v>
          </cell>
        </row>
        <row r="3292">
          <cell r="E3292">
            <v>2422.4</v>
          </cell>
          <cell r="Z3292" t="str">
            <v>Legacy</v>
          </cell>
          <cell r="AA3292" t="str">
            <v>$1K-$10K</v>
          </cell>
          <cell r="AB3292" t="str">
            <v>2010 or before</v>
          </cell>
        </row>
        <row r="3293">
          <cell r="E3293">
            <v>2417.5</v>
          </cell>
          <cell r="Z3293" t="str">
            <v>Legacy</v>
          </cell>
          <cell r="AA3293" t="str">
            <v>$1K-$10K</v>
          </cell>
          <cell r="AB3293" t="str">
            <v>2010 or before</v>
          </cell>
        </row>
        <row r="3294">
          <cell r="E3294">
            <v>2417.04</v>
          </cell>
          <cell r="Z3294" t="str">
            <v>Legacy</v>
          </cell>
          <cell r="AA3294" t="str">
            <v>$1K-$10K</v>
          </cell>
          <cell r="AB3294" t="str">
            <v>2010 or before</v>
          </cell>
        </row>
        <row r="3295">
          <cell r="E3295">
            <v>2415.98</v>
          </cell>
          <cell r="Z3295" t="str">
            <v>Legacy</v>
          </cell>
          <cell r="AA3295" t="str">
            <v>$1K-$10K</v>
          </cell>
          <cell r="AB3295" t="str">
            <v>2010 or before</v>
          </cell>
        </row>
        <row r="3296">
          <cell r="E3296">
            <v>2415</v>
          </cell>
          <cell r="Z3296" t="str">
            <v>Inbound</v>
          </cell>
          <cell r="AA3296" t="str">
            <v>$1K-$10K</v>
          </cell>
          <cell r="AB3296">
            <v>2012</v>
          </cell>
        </row>
        <row r="3297">
          <cell r="E3297">
            <v>2412.9699999999998</v>
          </cell>
          <cell r="Z3297" t="str">
            <v>Legacy</v>
          </cell>
          <cell r="AA3297" t="str">
            <v>$1K-$10K</v>
          </cell>
          <cell r="AB3297" t="str">
            <v>2010 or before</v>
          </cell>
        </row>
        <row r="3298">
          <cell r="E3298">
            <v>2411.84</v>
          </cell>
          <cell r="Z3298" t="str">
            <v>Legacy</v>
          </cell>
          <cell r="AA3298" t="str">
            <v>$1K-$10K</v>
          </cell>
          <cell r="AB3298" t="str">
            <v>2010 or before</v>
          </cell>
        </row>
        <row r="3299">
          <cell r="E3299">
            <v>2409.31</v>
          </cell>
          <cell r="Z3299" t="str">
            <v>Legacy</v>
          </cell>
          <cell r="AA3299" t="str">
            <v>$1K-$10K</v>
          </cell>
          <cell r="AB3299" t="str">
            <v>2010 or before</v>
          </cell>
        </row>
        <row r="3300">
          <cell r="E3300">
            <v>2408.27</v>
          </cell>
          <cell r="Z3300" t="str">
            <v>Legacy</v>
          </cell>
          <cell r="AA3300" t="str">
            <v>$1K-$10K</v>
          </cell>
          <cell r="AB3300" t="str">
            <v>2010 or before</v>
          </cell>
        </row>
        <row r="3301">
          <cell r="E3301">
            <v>2407.7800000000002</v>
          </cell>
          <cell r="Z3301" t="str">
            <v>Legacy</v>
          </cell>
          <cell r="AA3301" t="str">
            <v>$1K-$10K</v>
          </cell>
          <cell r="AB3301" t="str">
            <v>2010 or before</v>
          </cell>
        </row>
        <row r="3302">
          <cell r="E3302">
            <v>2403.9299999999998</v>
          </cell>
          <cell r="Z3302" t="str">
            <v>Outbound</v>
          </cell>
          <cell r="AA3302" t="str">
            <v>$1K-$10K</v>
          </cell>
          <cell r="AB3302">
            <v>2012</v>
          </cell>
        </row>
        <row r="3303">
          <cell r="E3303">
            <v>2395</v>
          </cell>
          <cell r="Z3303" t="str">
            <v>Legacy</v>
          </cell>
          <cell r="AA3303" t="str">
            <v>$1K-$10K</v>
          </cell>
          <cell r="AB3303" t="str">
            <v>2010 or before</v>
          </cell>
        </row>
        <row r="3304">
          <cell r="E3304">
            <v>2388.58</v>
          </cell>
          <cell r="Z3304" t="str">
            <v>Legacy</v>
          </cell>
          <cell r="AA3304" t="str">
            <v>$1K-$10K</v>
          </cell>
          <cell r="AB3304" t="str">
            <v>2010 or before</v>
          </cell>
        </row>
        <row r="3305">
          <cell r="E3305">
            <v>2382.2199999999998</v>
          </cell>
          <cell r="Z3305" t="str">
            <v>Legacy</v>
          </cell>
          <cell r="AA3305" t="str">
            <v>$1K-$10K</v>
          </cell>
          <cell r="AB3305">
            <v>2011</v>
          </cell>
        </row>
        <row r="3306">
          <cell r="E3306">
            <v>2375.54</v>
          </cell>
          <cell r="Z3306" t="str">
            <v>Legacy</v>
          </cell>
          <cell r="AA3306" t="str">
            <v>$1K-$10K</v>
          </cell>
          <cell r="AB3306" t="str">
            <v>2010 or before</v>
          </cell>
        </row>
        <row r="3307">
          <cell r="E3307">
            <v>2372.65</v>
          </cell>
          <cell r="Z3307" t="str">
            <v>Legacy</v>
          </cell>
          <cell r="AA3307" t="str">
            <v>$1K-$10K</v>
          </cell>
          <cell r="AB3307" t="str">
            <v>2010 or before</v>
          </cell>
        </row>
        <row r="3308">
          <cell r="E3308">
            <v>2372.41</v>
          </cell>
          <cell r="Z3308" t="str">
            <v>Legacy</v>
          </cell>
          <cell r="AA3308" t="str">
            <v>$1K-$10K</v>
          </cell>
          <cell r="AB3308">
            <v>2011</v>
          </cell>
        </row>
        <row r="3309">
          <cell r="E3309">
            <v>2365.75</v>
          </cell>
          <cell r="Z3309" t="str">
            <v>Legacy</v>
          </cell>
          <cell r="AA3309" t="str">
            <v>$1K-$10K</v>
          </cell>
          <cell r="AB3309" t="str">
            <v>2010 or before</v>
          </cell>
        </row>
        <row r="3310">
          <cell r="E3310">
            <v>2364.6</v>
          </cell>
          <cell r="Z3310" t="str">
            <v>Legacy</v>
          </cell>
          <cell r="AA3310" t="str">
            <v>$1K-$10K</v>
          </cell>
          <cell r="AB3310" t="str">
            <v>2010 or before</v>
          </cell>
        </row>
        <row r="3311">
          <cell r="E3311">
            <v>2360.39</v>
          </cell>
          <cell r="Z3311" t="str">
            <v>Legacy</v>
          </cell>
          <cell r="AA3311" t="str">
            <v>$1K-$10K</v>
          </cell>
          <cell r="AB3311" t="str">
            <v>2010 or before</v>
          </cell>
        </row>
        <row r="3312">
          <cell r="E3312">
            <v>2359.11</v>
          </cell>
          <cell r="Z3312" t="str">
            <v>Inbound</v>
          </cell>
          <cell r="AA3312" t="str">
            <v>$1K-$10K</v>
          </cell>
          <cell r="AB3312">
            <v>2012</v>
          </cell>
        </row>
        <row r="3313">
          <cell r="E3313">
            <v>2356.12</v>
          </cell>
          <cell r="Z3313" t="str">
            <v>Legacy</v>
          </cell>
          <cell r="AA3313" t="str">
            <v>$1K-$10K</v>
          </cell>
          <cell r="AB3313" t="str">
            <v>2010 or before</v>
          </cell>
        </row>
        <row r="3314">
          <cell r="E3314">
            <v>2355.37</v>
          </cell>
          <cell r="Z3314" t="str">
            <v>Legacy</v>
          </cell>
          <cell r="AA3314" t="str">
            <v>$1K-$10K</v>
          </cell>
          <cell r="AB3314" t="str">
            <v>2010 or before</v>
          </cell>
        </row>
        <row r="3315">
          <cell r="E3315">
            <v>2350.44</v>
          </cell>
          <cell r="Z3315" t="str">
            <v>Legacy</v>
          </cell>
          <cell r="AA3315" t="str">
            <v>$1K-$10K</v>
          </cell>
          <cell r="AB3315" t="str">
            <v>2010 or before</v>
          </cell>
        </row>
        <row r="3316">
          <cell r="E3316">
            <v>2346.4899999999998</v>
          </cell>
          <cell r="Z3316" t="str">
            <v>Legacy</v>
          </cell>
          <cell r="AA3316" t="str">
            <v>$1K-$10K</v>
          </cell>
          <cell r="AB3316" t="str">
            <v>2010 or before</v>
          </cell>
        </row>
        <row r="3317">
          <cell r="E3317">
            <v>2345.1799999999998</v>
          </cell>
          <cell r="Z3317" t="str">
            <v>Legacy</v>
          </cell>
          <cell r="AA3317" t="str">
            <v>$1K-$10K</v>
          </cell>
          <cell r="AB3317" t="str">
            <v>2010 or before</v>
          </cell>
        </row>
        <row r="3318">
          <cell r="E3318">
            <v>2345</v>
          </cell>
          <cell r="Z3318" t="str">
            <v>Inbound</v>
          </cell>
          <cell r="AA3318" t="str">
            <v>$1K-$10K</v>
          </cell>
          <cell r="AB3318">
            <v>2012</v>
          </cell>
        </row>
        <row r="3319">
          <cell r="E3319">
            <v>2330.02</v>
          </cell>
          <cell r="Z3319" t="str">
            <v>Legacy</v>
          </cell>
          <cell r="AA3319" t="str">
            <v>$1K-$10K</v>
          </cell>
          <cell r="AB3319">
            <v>2011</v>
          </cell>
        </row>
        <row r="3320">
          <cell r="E3320">
            <v>2326.12</v>
          </cell>
          <cell r="Z3320" t="str">
            <v>Legacy</v>
          </cell>
          <cell r="AA3320" t="str">
            <v>$1K-$10K</v>
          </cell>
          <cell r="AB3320" t="str">
            <v>2010 or before</v>
          </cell>
        </row>
        <row r="3321">
          <cell r="E3321">
            <v>2322.16</v>
          </cell>
          <cell r="Z3321" t="str">
            <v>Legacy</v>
          </cell>
          <cell r="AA3321" t="str">
            <v>$1K-$10K</v>
          </cell>
          <cell r="AB3321" t="str">
            <v>2010 or before</v>
          </cell>
        </row>
        <row r="3322">
          <cell r="E3322">
            <v>2321.1999999999998</v>
          </cell>
          <cell r="Z3322" t="str">
            <v>Legacy</v>
          </cell>
          <cell r="AA3322" t="str">
            <v>$1K-$10K</v>
          </cell>
          <cell r="AB3322" t="str">
            <v>2010 or before</v>
          </cell>
        </row>
        <row r="3323">
          <cell r="E3323">
            <v>2310</v>
          </cell>
          <cell r="Z3323" t="str">
            <v>Legacy</v>
          </cell>
          <cell r="AA3323" t="str">
            <v>$1K-$10K</v>
          </cell>
          <cell r="AB3323">
            <v>2011</v>
          </cell>
        </row>
        <row r="3324">
          <cell r="E3324">
            <v>2309</v>
          </cell>
          <cell r="Z3324" t="str">
            <v>Legacy</v>
          </cell>
          <cell r="AA3324" t="str">
            <v>$1K-$10K</v>
          </cell>
          <cell r="AB3324" t="str">
            <v>2010 or before</v>
          </cell>
        </row>
        <row r="3325">
          <cell r="E3325">
            <v>2307.63</v>
          </cell>
          <cell r="Z3325" t="str">
            <v>Ungating</v>
          </cell>
          <cell r="AA3325" t="str">
            <v>$1K-$10K</v>
          </cell>
          <cell r="AB3325">
            <v>2013</v>
          </cell>
        </row>
        <row r="3326">
          <cell r="E3326">
            <v>2299.83</v>
          </cell>
          <cell r="Z3326" t="str">
            <v>Legacy</v>
          </cell>
          <cell r="AA3326" t="str">
            <v>$1K-$10K</v>
          </cell>
          <cell r="AB3326" t="str">
            <v>2010 or before</v>
          </cell>
        </row>
        <row r="3327">
          <cell r="E3327">
            <v>2296.1</v>
          </cell>
          <cell r="Z3327" t="str">
            <v>Inbound</v>
          </cell>
          <cell r="AA3327" t="str">
            <v>$1K-$10K</v>
          </cell>
          <cell r="AB3327">
            <v>2012</v>
          </cell>
        </row>
        <row r="3328">
          <cell r="E3328">
            <v>2295</v>
          </cell>
          <cell r="Z3328" t="str">
            <v>Inbound</v>
          </cell>
          <cell r="AA3328" t="str">
            <v>$1K-$10K</v>
          </cell>
          <cell r="AB3328">
            <v>2012</v>
          </cell>
        </row>
        <row r="3329">
          <cell r="E3329">
            <v>2289.0100000000002</v>
          </cell>
          <cell r="Z3329" t="str">
            <v>Ungating</v>
          </cell>
          <cell r="AA3329" t="str">
            <v>$1K-$10K</v>
          </cell>
          <cell r="AB3329">
            <v>2012</v>
          </cell>
        </row>
        <row r="3330">
          <cell r="E3330">
            <v>2288.81</v>
          </cell>
          <cell r="Z3330" t="str">
            <v>Inbound</v>
          </cell>
          <cell r="AA3330" t="str">
            <v>$1K-$10K</v>
          </cell>
          <cell r="AB3330">
            <v>2012</v>
          </cell>
        </row>
        <row r="3331">
          <cell r="E3331">
            <v>2284.66</v>
          </cell>
          <cell r="Z3331" t="str">
            <v>Legacy</v>
          </cell>
          <cell r="AA3331" t="str">
            <v>$1K-$10K</v>
          </cell>
          <cell r="AB3331">
            <v>2012</v>
          </cell>
        </row>
        <row r="3332">
          <cell r="E3332">
            <v>2278.89</v>
          </cell>
          <cell r="Z3332" t="str">
            <v>Legacy</v>
          </cell>
          <cell r="AA3332" t="str">
            <v>$1K-$10K</v>
          </cell>
          <cell r="AB3332">
            <v>2011</v>
          </cell>
        </row>
        <row r="3333">
          <cell r="E3333">
            <v>2276.38</v>
          </cell>
          <cell r="Z3333" t="str">
            <v>Legacy</v>
          </cell>
          <cell r="AA3333" t="str">
            <v>$1K-$10K</v>
          </cell>
          <cell r="AB3333" t="str">
            <v>2010 or before</v>
          </cell>
        </row>
        <row r="3334">
          <cell r="E3334">
            <v>2275.46</v>
          </cell>
          <cell r="Z3334" t="str">
            <v>Legacy</v>
          </cell>
          <cell r="AA3334" t="str">
            <v>$1K-$10K</v>
          </cell>
          <cell r="AB3334" t="str">
            <v>2010 or before</v>
          </cell>
        </row>
        <row r="3335">
          <cell r="E3335">
            <v>2274.7399999999998</v>
          </cell>
          <cell r="Z3335" t="str">
            <v>Ungating</v>
          </cell>
          <cell r="AA3335" t="str">
            <v>$1K-$10K</v>
          </cell>
          <cell r="AB3335">
            <v>2012</v>
          </cell>
        </row>
        <row r="3336">
          <cell r="E3336">
            <v>2272.7800000000002</v>
          </cell>
          <cell r="Z3336" t="str">
            <v>Ungating</v>
          </cell>
          <cell r="AA3336" t="str">
            <v>$1K-$10K</v>
          </cell>
          <cell r="AB3336">
            <v>2012</v>
          </cell>
        </row>
        <row r="3337">
          <cell r="E3337">
            <v>2270.85</v>
          </cell>
          <cell r="Z3337" t="str">
            <v>Legacy</v>
          </cell>
          <cell r="AA3337" t="str">
            <v>$1K-$10K</v>
          </cell>
          <cell r="AB3337">
            <v>2012</v>
          </cell>
        </row>
        <row r="3338">
          <cell r="E3338">
            <v>2267.8000000000002</v>
          </cell>
          <cell r="Z3338" t="str">
            <v>Ungating</v>
          </cell>
          <cell r="AA3338" t="str">
            <v>$1K-$10K</v>
          </cell>
          <cell r="AB3338">
            <v>2012</v>
          </cell>
        </row>
        <row r="3339">
          <cell r="E3339">
            <v>2266.36</v>
          </cell>
          <cell r="Z3339" t="str">
            <v>Inbound</v>
          </cell>
          <cell r="AA3339" t="str">
            <v>$1K-$10K</v>
          </cell>
          <cell r="AB3339">
            <v>2012</v>
          </cell>
        </row>
        <row r="3340">
          <cell r="E3340">
            <v>2262.9499999999998</v>
          </cell>
          <cell r="Z3340" t="str">
            <v>Outbound</v>
          </cell>
          <cell r="AA3340" t="str">
            <v>$1K-$10K</v>
          </cell>
          <cell r="AB3340">
            <v>2012</v>
          </cell>
        </row>
        <row r="3341">
          <cell r="E3341">
            <v>2261.54</v>
          </cell>
          <cell r="Z3341" t="str">
            <v>Legacy</v>
          </cell>
          <cell r="AA3341" t="str">
            <v>$1K-$10K</v>
          </cell>
          <cell r="AB3341" t="str">
            <v>2010 or before</v>
          </cell>
        </row>
        <row r="3342">
          <cell r="E3342">
            <v>2258.64</v>
          </cell>
          <cell r="Z3342" t="str">
            <v>Legacy</v>
          </cell>
          <cell r="AA3342" t="str">
            <v>$1K-$10K</v>
          </cell>
          <cell r="AB3342" t="str">
            <v>2010 or before</v>
          </cell>
        </row>
        <row r="3343">
          <cell r="E3343">
            <v>2258.63</v>
          </cell>
          <cell r="Z3343" t="str">
            <v>Legacy</v>
          </cell>
          <cell r="AA3343" t="str">
            <v>$1K-$10K</v>
          </cell>
          <cell r="AB3343" t="str">
            <v>2010 or before</v>
          </cell>
        </row>
        <row r="3344">
          <cell r="E3344">
            <v>2254.0100000000002</v>
          </cell>
          <cell r="Z3344" t="str">
            <v>Legacy</v>
          </cell>
          <cell r="AA3344" t="str">
            <v>$1K-$10K</v>
          </cell>
          <cell r="AB3344" t="str">
            <v>2010 or before</v>
          </cell>
        </row>
        <row r="3345">
          <cell r="E3345">
            <v>2252.75</v>
          </cell>
          <cell r="Z3345" t="str">
            <v>Legacy</v>
          </cell>
          <cell r="AA3345" t="str">
            <v>$1K-$10K</v>
          </cell>
          <cell r="AB3345" t="str">
            <v>2010 or before</v>
          </cell>
        </row>
        <row r="3346">
          <cell r="E3346">
            <v>2251.34</v>
          </cell>
          <cell r="Z3346" t="str">
            <v>Ungating</v>
          </cell>
          <cell r="AA3346" t="str">
            <v>$1K-$10K</v>
          </cell>
          <cell r="AB3346">
            <v>2012</v>
          </cell>
        </row>
        <row r="3347">
          <cell r="E3347">
            <v>2248.0100000000002</v>
          </cell>
          <cell r="Z3347" t="str">
            <v>Legacy</v>
          </cell>
          <cell r="AA3347" t="str">
            <v>$1K-$10K</v>
          </cell>
          <cell r="AB3347">
            <v>2012</v>
          </cell>
        </row>
        <row r="3348">
          <cell r="E3348">
            <v>2239.77</v>
          </cell>
          <cell r="Z3348" t="str">
            <v>Outbound</v>
          </cell>
          <cell r="AA3348" t="str">
            <v>$1K-$10K</v>
          </cell>
          <cell r="AB3348">
            <v>2012</v>
          </cell>
        </row>
        <row r="3349">
          <cell r="E3349">
            <v>2235.3000000000002</v>
          </cell>
          <cell r="Z3349" t="str">
            <v>Legacy</v>
          </cell>
          <cell r="AA3349" t="str">
            <v>$1K-$10K</v>
          </cell>
          <cell r="AB3349" t="str">
            <v>2010 or before</v>
          </cell>
        </row>
        <row r="3350">
          <cell r="E3350">
            <v>2232.5500000000002</v>
          </cell>
          <cell r="Z3350" t="str">
            <v>Legacy</v>
          </cell>
          <cell r="AA3350" t="str">
            <v>$1K-$10K</v>
          </cell>
          <cell r="AB3350" t="str">
            <v>2010 or before</v>
          </cell>
        </row>
        <row r="3351">
          <cell r="E3351">
            <v>2226.94</v>
          </cell>
          <cell r="Z3351" t="str">
            <v>Legacy</v>
          </cell>
          <cell r="AA3351" t="str">
            <v>$1K-$10K</v>
          </cell>
          <cell r="AB3351" t="str">
            <v>2010 or before</v>
          </cell>
        </row>
        <row r="3352">
          <cell r="E3352">
            <v>2225.0500000000002</v>
          </cell>
          <cell r="Z3352" t="str">
            <v>Legacy</v>
          </cell>
          <cell r="AA3352" t="str">
            <v>$1K-$10K</v>
          </cell>
          <cell r="AB3352" t="str">
            <v>2010 or before</v>
          </cell>
        </row>
        <row r="3353">
          <cell r="E3353">
            <v>2220.4699999999998</v>
          </cell>
          <cell r="Z3353" t="str">
            <v>Outbound</v>
          </cell>
          <cell r="AA3353" t="str">
            <v>$1K-$10K</v>
          </cell>
          <cell r="AB3353">
            <v>2012</v>
          </cell>
        </row>
        <row r="3354">
          <cell r="E3354">
            <v>2218.9699999999998</v>
          </cell>
          <cell r="Z3354" t="str">
            <v>Legacy</v>
          </cell>
          <cell r="AA3354" t="str">
            <v>$1K-$10K</v>
          </cell>
          <cell r="AB3354" t="str">
            <v>2010 or before</v>
          </cell>
        </row>
        <row r="3355">
          <cell r="E3355">
            <v>2215.19</v>
          </cell>
          <cell r="Z3355" t="str">
            <v>Ungating</v>
          </cell>
          <cell r="AA3355" t="str">
            <v>$1K-$10K</v>
          </cell>
          <cell r="AB3355">
            <v>2011</v>
          </cell>
        </row>
        <row r="3356">
          <cell r="E3356">
            <v>2214.65</v>
          </cell>
          <cell r="Z3356" t="str">
            <v>Legacy</v>
          </cell>
          <cell r="AA3356" t="str">
            <v>$1K-$10K</v>
          </cell>
          <cell r="AB3356" t="str">
            <v>2010 or before</v>
          </cell>
        </row>
        <row r="3357">
          <cell r="E3357">
            <v>2208.5300000000002</v>
          </cell>
          <cell r="Z3357" t="str">
            <v>Legacy</v>
          </cell>
          <cell r="AA3357" t="str">
            <v>$1K-$10K</v>
          </cell>
          <cell r="AB3357">
            <v>2012</v>
          </cell>
        </row>
        <row r="3358">
          <cell r="E3358">
            <v>2206.85</v>
          </cell>
          <cell r="Z3358" t="str">
            <v>Inbound</v>
          </cell>
          <cell r="AA3358" t="str">
            <v>$1K-$10K</v>
          </cell>
          <cell r="AB3358">
            <v>2012</v>
          </cell>
        </row>
        <row r="3359">
          <cell r="E3359">
            <v>2206</v>
          </cell>
          <cell r="Z3359" t="str">
            <v>Inbound</v>
          </cell>
          <cell r="AA3359" t="str">
            <v>$1K-$10K</v>
          </cell>
          <cell r="AB3359">
            <v>2012</v>
          </cell>
        </row>
        <row r="3360">
          <cell r="E3360">
            <v>2192.04</v>
          </cell>
          <cell r="Z3360" t="str">
            <v>Legacy</v>
          </cell>
          <cell r="AA3360" t="str">
            <v>$1K-$10K</v>
          </cell>
          <cell r="AB3360" t="str">
            <v>2010 or before</v>
          </cell>
        </row>
        <row r="3361">
          <cell r="E3361">
            <v>2187.46</v>
          </cell>
          <cell r="Z3361" t="str">
            <v>Legacy</v>
          </cell>
          <cell r="AA3361" t="str">
            <v>$1K-$10K</v>
          </cell>
          <cell r="AB3361" t="str">
            <v>2010 or before</v>
          </cell>
        </row>
        <row r="3362">
          <cell r="E3362">
            <v>2184.09</v>
          </cell>
          <cell r="Z3362" t="str">
            <v>Legacy</v>
          </cell>
          <cell r="AA3362" t="str">
            <v>$1K-$10K</v>
          </cell>
          <cell r="AB3362" t="str">
            <v>2010 or before</v>
          </cell>
        </row>
        <row r="3363">
          <cell r="E3363">
            <v>2184.02</v>
          </cell>
          <cell r="Z3363" t="str">
            <v>Inbound</v>
          </cell>
          <cell r="AA3363" t="str">
            <v>$1K-$10K</v>
          </cell>
          <cell r="AB3363">
            <v>2012</v>
          </cell>
        </row>
        <row r="3364">
          <cell r="E3364">
            <v>2163.65</v>
          </cell>
          <cell r="Z3364" t="str">
            <v>Legacy</v>
          </cell>
          <cell r="AA3364" t="str">
            <v>$1K-$10K</v>
          </cell>
          <cell r="AB3364" t="str">
            <v>2010 or before</v>
          </cell>
        </row>
        <row r="3365">
          <cell r="E3365">
            <v>2160.48</v>
          </cell>
          <cell r="Z3365" t="str">
            <v>Legacy</v>
          </cell>
          <cell r="AA3365" t="str">
            <v>$1K-$10K</v>
          </cell>
          <cell r="AB3365" t="str">
            <v>2010 or before</v>
          </cell>
        </row>
        <row r="3366">
          <cell r="E3366">
            <v>2151.8200000000002</v>
          </cell>
          <cell r="Z3366" t="str">
            <v>Legacy</v>
          </cell>
          <cell r="AA3366" t="str">
            <v>$1K-$10K</v>
          </cell>
          <cell r="AB3366" t="str">
            <v>2010 or before</v>
          </cell>
        </row>
        <row r="3367">
          <cell r="E3367">
            <v>2150.34</v>
          </cell>
          <cell r="Z3367" t="str">
            <v>Ungating</v>
          </cell>
          <cell r="AA3367" t="str">
            <v>$1K-$10K</v>
          </cell>
          <cell r="AB3367">
            <v>2011</v>
          </cell>
        </row>
        <row r="3368">
          <cell r="E3368">
            <v>2150.1799999999998</v>
          </cell>
          <cell r="Z3368" t="str">
            <v>Legacy</v>
          </cell>
          <cell r="AA3368" t="str">
            <v>$1K-$10K</v>
          </cell>
          <cell r="AB3368" t="str">
            <v>2010 or before</v>
          </cell>
        </row>
        <row r="3369">
          <cell r="E3369">
            <v>2147.9</v>
          </cell>
          <cell r="Z3369" t="str">
            <v>Inbound</v>
          </cell>
          <cell r="AA3369" t="str">
            <v>$1K-$10K</v>
          </cell>
          <cell r="AB3369">
            <v>2012</v>
          </cell>
        </row>
        <row r="3370">
          <cell r="E3370">
            <v>2145</v>
          </cell>
          <cell r="Z3370" t="str">
            <v>Legacy</v>
          </cell>
          <cell r="AA3370" t="str">
            <v>$1K-$10K</v>
          </cell>
          <cell r="AB3370" t="str">
            <v>2010 or before</v>
          </cell>
        </row>
        <row r="3371">
          <cell r="E3371">
            <v>2144.98</v>
          </cell>
          <cell r="Z3371" t="str">
            <v>Legacy</v>
          </cell>
          <cell r="AA3371" t="str">
            <v>$1K-$10K</v>
          </cell>
          <cell r="AB3371" t="str">
            <v>2010 or before</v>
          </cell>
        </row>
        <row r="3372">
          <cell r="E3372">
            <v>2143.16</v>
          </cell>
          <cell r="Z3372" t="str">
            <v>Strategic</v>
          </cell>
          <cell r="AA3372" t="str">
            <v>$1K-$10K</v>
          </cell>
          <cell r="AB3372">
            <v>2012</v>
          </cell>
        </row>
        <row r="3373">
          <cell r="E3373">
            <v>2141.54</v>
          </cell>
          <cell r="Z3373" t="str">
            <v>Legacy</v>
          </cell>
          <cell r="AA3373" t="str">
            <v>$1K-$10K</v>
          </cell>
          <cell r="AB3373" t="str">
            <v>2010 or before</v>
          </cell>
        </row>
        <row r="3374">
          <cell r="E3374">
            <v>2139.89</v>
          </cell>
          <cell r="Z3374" t="str">
            <v>Legacy</v>
          </cell>
          <cell r="AA3374" t="str">
            <v>$1K-$10K</v>
          </cell>
          <cell r="AB3374">
            <v>2011</v>
          </cell>
        </row>
        <row r="3375">
          <cell r="E3375">
            <v>2138.4699999999998</v>
          </cell>
          <cell r="Z3375" t="str">
            <v>Legacy</v>
          </cell>
          <cell r="AA3375" t="str">
            <v>$1K-$10K</v>
          </cell>
          <cell r="AB3375" t="str">
            <v>2010 or before</v>
          </cell>
        </row>
        <row r="3376">
          <cell r="E3376">
            <v>2134.31</v>
          </cell>
          <cell r="Z3376" t="str">
            <v>Legacy</v>
          </cell>
          <cell r="AA3376" t="str">
            <v>$1K-$10K</v>
          </cell>
          <cell r="AB3376" t="str">
            <v>2010 or before</v>
          </cell>
        </row>
        <row r="3377">
          <cell r="E3377">
            <v>2132.0500000000002</v>
          </cell>
          <cell r="Z3377" t="str">
            <v>Legacy</v>
          </cell>
          <cell r="AA3377" t="str">
            <v>$1K-$10K</v>
          </cell>
          <cell r="AB3377" t="str">
            <v>2010 or before</v>
          </cell>
        </row>
        <row r="3378">
          <cell r="E3378">
            <v>2127.0300000000002</v>
          </cell>
          <cell r="Z3378" t="str">
            <v>Legacy</v>
          </cell>
          <cell r="AA3378" t="str">
            <v>$1K-$10K</v>
          </cell>
          <cell r="AB3378" t="str">
            <v>2010 or before</v>
          </cell>
        </row>
        <row r="3379">
          <cell r="E3379">
            <v>2123.6999999999998</v>
          </cell>
          <cell r="Z3379" t="str">
            <v>Legacy</v>
          </cell>
          <cell r="AA3379" t="str">
            <v>$1K-$10K</v>
          </cell>
          <cell r="AB3379">
            <v>2011</v>
          </cell>
        </row>
        <row r="3380">
          <cell r="E3380">
            <v>2123.61</v>
          </cell>
          <cell r="Z3380" t="str">
            <v>Legacy</v>
          </cell>
          <cell r="AA3380" t="str">
            <v>$1K-$10K</v>
          </cell>
          <cell r="AB3380" t="str">
            <v>2010 or before</v>
          </cell>
        </row>
        <row r="3381">
          <cell r="E3381">
            <v>2122.91</v>
          </cell>
          <cell r="Z3381" t="str">
            <v>Legacy</v>
          </cell>
          <cell r="AA3381" t="str">
            <v>$1K-$10K</v>
          </cell>
          <cell r="AB3381" t="str">
            <v>2010 or before</v>
          </cell>
        </row>
        <row r="3382">
          <cell r="E3382">
            <v>2119.8000000000002</v>
          </cell>
          <cell r="Z3382" t="str">
            <v>Inbound</v>
          </cell>
          <cell r="AA3382" t="str">
            <v>$1K-$10K</v>
          </cell>
          <cell r="AB3382">
            <v>2012</v>
          </cell>
        </row>
        <row r="3383">
          <cell r="E3383">
            <v>2109.48</v>
          </cell>
          <cell r="Z3383" t="str">
            <v>Legacy</v>
          </cell>
          <cell r="AA3383" t="str">
            <v>$1K-$10K</v>
          </cell>
          <cell r="AB3383" t="str">
            <v>2010 or before</v>
          </cell>
        </row>
        <row r="3384">
          <cell r="E3384">
            <v>2106.58</v>
          </cell>
          <cell r="Z3384" t="str">
            <v>Legacy</v>
          </cell>
          <cell r="AA3384" t="str">
            <v>$1K-$10K</v>
          </cell>
          <cell r="AB3384" t="str">
            <v>2010 or before</v>
          </cell>
        </row>
        <row r="3385">
          <cell r="E3385">
            <v>2105.6799999999998</v>
          </cell>
          <cell r="Z3385" t="str">
            <v>Ungating</v>
          </cell>
          <cell r="AA3385" t="str">
            <v>$1K-$10K</v>
          </cell>
          <cell r="AB3385">
            <v>2012</v>
          </cell>
        </row>
        <row r="3386">
          <cell r="E3386">
            <v>2105</v>
          </cell>
          <cell r="Z3386" t="str">
            <v>Inbound</v>
          </cell>
          <cell r="AA3386" t="str">
            <v>$1K-$10K</v>
          </cell>
          <cell r="AB3386">
            <v>2012</v>
          </cell>
        </row>
        <row r="3387">
          <cell r="E3387">
            <v>2097.81</v>
          </cell>
          <cell r="Z3387" t="str">
            <v>Legacy</v>
          </cell>
          <cell r="AA3387" t="str">
            <v>$1K-$10K</v>
          </cell>
          <cell r="AB3387" t="str">
            <v>2010 or before</v>
          </cell>
        </row>
        <row r="3388">
          <cell r="E3388">
            <v>2097.67</v>
          </cell>
          <cell r="Z3388" t="str">
            <v>Legacy</v>
          </cell>
          <cell r="AA3388" t="str">
            <v>$1K-$10K</v>
          </cell>
          <cell r="AB3388">
            <v>2011</v>
          </cell>
        </row>
        <row r="3389">
          <cell r="E3389">
            <v>2094.66</v>
          </cell>
          <cell r="Z3389" t="str">
            <v>Inbound</v>
          </cell>
          <cell r="AA3389" t="str">
            <v>$1K-$10K</v>
          </cell>
          <cell r="AB3389">
            <v>2012</v>
          </cell>
        </row>
        <row r="3390">
          <cell r="E3390">
            <v>2093.98</v>
          </cell>
          <cell r="Z3390" t="str">
            <v>Legacy</v>
          </cell>
          <cell r="AA3390" t="str">
            <v>$1K-$10K</v>
          </cell>
          <cell r="AB3390" t="str">
            <v>2010 or before</v>
          </cell>
        </row>
        <row r="3391">
          <cell r="E3391">
            <v>2090.33</v>
          </cell>
          <cell r="Z3391" t="str">
            <v>Legacy</v>
          </cell>
          <cell r="AA3391" t="str">
            <v>$1K-$10K</v>
          </cell>
          <cell r="AB3391" t="str">
            <v>2010 or before</v>
          </cell>
        </row>
        <row r="3392">
          <cell r="E3392">
            <v>2090</v>
          </cell>
          <cell r="Z3392" t="str">
            <v>Legacy</v>
          </cell>
          <cell r="AA3392" t="str">
            <v>$1K-$10K</v>
          </cell>
          <cell r="AB3392" t="str">
            <v>2010 or before</v>
          </cell>
        </row>
        <row r="3393">
          <cell r="E3393">
            <v>2086.4299999999998</v>
          </cell>
          <cell r="Z3393" t="str">
            <v>Legacy</v>
          </cell>
          <cell r="AA3393" t="str">
            <v>$1K-$10K</v>
          </cell>
          <cell r="AB3393" t="str">
            <v>2010 or before</v>
          </cell>
        </row>
        <row r="3394">
          <cell r="E3394">
            <v>2079.5</v>
          </cell>
          <cell r="Z3394" t="str">
            <v>Legacy</v>
          </cell>
          <cell r="AA3394" t="str">
            <v>$1K-$10K</v>
          </cell>
          <cell r="AB3394" t="str">
            <v>2010 or before</v>
          </cell>
        </row>
        <row r="3395">
          <cell r="E3395">
            <v>2077.0100000000002</v>
          </cell>
          <cell r="Z3395" t="str">
            <v>Legacy</v>
          </cell>
          <cell r="AA3395" t="str">
            <v>$1K-$10K</v>
          </cell>
          <cell r="AB3395" t="str">
            <v>2010 or before</v>
          </cell>
        </row>
        <row r="3396">
          <cell r="E3396">
            <v>2076.8000000000002</v>
          </cell>
          <cell r="Z3396" t="str">
            <v>Ungating</v>
          </cell>
          <cell r="AA3396" t="str">
            <v>$1K-$10K</v>
          </cell>
          <cell r="AB3396">
            <v>2011</v>
          </cell>
        </row>
        <row r="3397">
          <cell r="E3397">
            <v>2069.91</v>
          </cell>
          <cell r="Z3397" t="str">
            <v>Legacy</v>
          </cell>
          <cell r="AA3397" t="str">
            <v>$1K-$10K</v>
          </cell>
          <cell r="AB3397">
            <v>2012</v>
          </cell>
        </row>
        <row r="3398">
          <cell r="E3398">
            <v>2064.13</v>
          </cell>
          <cell r="Z3398" t="str">
            <v>Ungating</v>
          </cell>
          <cell r="AA3398" t="str">
            <v>$1K-$10K</v>
          </cell>
          <cell r="AB3398">
            <v>2012</v>
          </cell>
        </row>
        <row r="3399">
          <cell r="E3399">
            <v>2060.83</v>
          </cell>
          <cell r="Z3399" t="str">
            <v>Legacy</v>
          </cell>
          <cell r="AA3399" t="str">
            <v>$1K-$10K</v>
          </cell>
          <cell r="AB3399" t="str">
            <v>2010 or before</v>
          </cell>
        </row>
        <row r="3400">
          <cell r="E3400">
            <v>2058.9899999999998</v>
          </cell>
          <cell r="Z3400" t="str">
            <v>Legacy</v>
          </cell>
          <cell r="AA3400" t="str">
            <v>$1K-$10K</v>
          </cell>
          <cell r="AB3400" t="str">
            <v>2010 or before</v>
          </cell>
        </row>
        <row r="3401">
          <cell r="E3401">
            <v>2056.64</v>
          </cell>
          <cell r="Z3401" t="str">
            <v>Legacy</v>
          </cell>
          <cell r="AA3401" t="str">
            <v>$1K-$10K</v>
          </cell>
          <cell r="AB3401" t="str">
            <v>2010 or before</v>
          </cell>
        </row>
        <row r="3402">
          <cell r="E3402">
            <v>2048.73</v>
          </cell>
          <cell r="Z3402" t="str">
            <v>Legacy</v>
          </cell>
          <cell r="AA3402" t="str">
            <v>$1K-$10K</v>
          </cell>
          <cell r="AB3402" t="str">
            <v>2010 or before</v>
          </cell>
        </row>
        <row r="3403">
          <cell r="E3403">
            <v>2045.56</v>
          </cell>
          <cell r="Z3403" t="str">
            <v>Legacy</v>
          </cell>
          <cell r="AA3403" t="str">
            <v>$1K-$10K</v>
          </cell>
          <cell r="AB3403" t="str">
            <v>2010 or before</v>
          </cell>
        </row>
        <row r="3404">
          <cell r="E3404">
            <v>2042.2</v>
          </cell>
          <cell r="Z3404" t="str">
            <v>Legacy</v>
          </cell>
          <cell r="AA3404" t="str">
            <v>$1K-$10K</v>
          </cell>
          <cell r="AB3404" t="str">
            <v>2010 or before</v>
          </cell>
        </row>
        <row r="3405">
          <cell r="E3405">
            <v>2037</v>
          </cell>
          <cell r="Z3405" t="str">
            <v>Inbound</v>
          </cell>
          <cell r="AA3405" t="str">
            <v>$1K-$10K</v>
          </cell>
          <cell r="AB3405">
            <v>2012</v>
          </cell>
        </row>
        <row r="3406">
          <cell r="E3406">
            <v>2034.88</v>
          </cell>
          <cell r="Z3406" t="str">
            <v>Legacy</v>
          </cell>
          <cell r="AA3406" t="str">
            <v>$1K-$10K</v>
          </cell>
          <cell r="AB3406" t="str">
            <v>2010 or before</v>
          </cell>
        </row>
        <row r="3407">
          <cell r="E3407">
            <v>2033.28</v>
          </cell>
          <cell r="Z3407" t="str">
            <v>Legacy</v>
          </cell>
          <cell r="AA3407" t="str">
            <v>$1K-$10K</v>
          </cell>
          <cell r="AB3407" t="str">
            <v>2010 or before</v>
          </cell>
        </row>
        <row r="3408">
          <cell r="E3408">
            <v>2032.42</v>
          </cell>
          <cell r="Z3408" t="str">
            <v>Legacy</v>
          </cell>
          <cell r="AA3408" t="str">
            <v>$1K-$10K</v>
          </cell>
          <cell r="AB3408">
            <v>2011</v>
          </cell>
        </row>
        <row r="3409">
          <cell r="E3409">
            <v>2024.41</v>
          </cell>
          <cell r="Z3409" t="str">
            <v>Legacy</v>
          </cell>
          <cell r="AA3409" t="str">
            <v>$1K-$10K</v>
          </cell>
          <cell r="AB3409" t="str">
            <v>2010 or before</v>
          </cell>
        </row>
        <row r="3410">
          <cell r="E3410">
            <v>2020.81</v>
          </cell>
          <cell r="Z3410" t="str">
            <v>Legacy</v>
          </cell>
          <cell r="AA3410" t="str">
            <v>$1K-$10K</v>
          </cell>
          <cell r="AB3410" t="str">
            <v>2010 or before</v>
          </cell>
        </row>
        <row r="3411">
          <cell r="E3411">
            <v>2019.32</v>
          </cell>
          <cell r="Z3411" t="str">
            <v>Legacy</v>
          </cell>
          <cell r="AA3411" t="str">
            <v>$1K-$10K</v>
          </cell>
          <cell r="AB3411" t="str">
            <v>2010 or before</v>
          </cell>
        </row>
        <row r="3412">
          <cell r="E3412">
            <v>2007.6</v>
          </cell>
          <cell r="Z3412" t="str">
            <v>Legacy</v>
          </cell>
          <cell r="AA3412" t="str">
            <v>$1K-$10K</v>
          </cell>
          <cell r="AB3412" t="str">
            <v>2010 or before</v>
          </cell>
        </row>
        <row r="3413">
          <cell r="E3413">
            <v>2007.35</v>
          </cell>
          <cell r="Z3413" t="str">
            <v>Legacy</v>
          </cell>
          <cell r="AA3413" t="str">
            <v>$1K-$10K</v>
          </cell>
          <cell r="AB3413" t="str">
            <v>2010 or before</v>
          </cell>
        </row>
        <row r="3414">
          <cell r="E3414">
            <v>2006.95</v>
          </cell>
          <cell r="Z3414" t="str">
            <v>Legacy</v>
          </cell>
          <cell r="AA3414" t="str">
            <v>$1K-$10K</v>
          </cell>
          <cell r="AB3414" t="str">
            <v>2010 or before</v>
          </cell>
        </row>
        <row r="3415">
          <cell r="E3415">
            <v>2006.75</v>
          </cell>
          <cell r="Z3415" t="str">
            <v>Legacy</v>
          </cell>
          <cell r="AA3415" t="str">
            <v>$1K-$10K</v>
          </cell>
          <cell r="AB3415">
            <v>2011</v>
          </cell>
        </row>
        <row r="3416">
          <cell r="E3416">
            <v>2006.45</v>
          </cell>
          <cell r="Z3416" t="str">
            <v>Global</v>
          </cell>
          <cell r="AA3416" t="str">
            <v>$1K-$10K</v>
          </cell>
          <cell r="AB3416">
            <v>2012</v>
          </cell>
        </row>
        <row r="3417">
          <cell r="E3417">
            <v>2006.45</v>
          </cell>
          <cell r="Z3417" t="str">
            <v>Legacy</v>
          </cell>
          <cell r="AA3417" t="str">
            <v>$1K-$10K</v>
          </cell>
          <cell r="AB3417" t="str">
            <v>2010 or before</v>
          </cell>
        </row>
        <row r="3418">
          <cell r="E3418">
            <v>2004.65</v>
          </cell>
          <cell r="Z3418" t="str">
            <v>Legacy</v>
          </cell>
          <cell r="AA3418" t="str">
            <v>$1K-$10K</v>
          </cell>
          <cell r="AB3418">
            <v>2011</v>
          </cell>
        </row>
        <row r="3419">
          <cell r="E3419">
            <v>2004.27</v>
          </cell>
          <cell r="Z3419" t="str">
            <v>Legacy</v>
          </cell>
          <cell r="AA3419" t="str">
            <v>$1K-$10K</v>
          </cell>
          <cell r="AB3419" t="str">
            <v>2010 or before</v>
          </cell>
        </row>
        <row r="3420">
          <cell r="E3420">
            <v>2003.41</v>
          </cell>
          <cell r="Z3420" t="str">
            <v>Legacy</v>
          </cell>
          <cell r="AA3420" t="str">
            <v>$1K-$10K</v>
          </cell>
          <cell r="AB3420" t="str">
            <v>2010 or before</v>
          </cell>
        </row>
        <row r="3421">
          <cell r="E3421">
            <v>2002.17</v>
          </cell>
          <cell r="Z3421" t="str">
            <v>Legacy</v>
          </cell>
          <cell r="AA3421" t="str">
            <v>$1K-$10K</v>
          </cell>
          <cell r="AB3421" t="str">
            <v>2010 or before</v>
          </cell>
        </row>
        <row r="3422">
          <cell r="E3422">
            <v>2001.6</v>
          </cell>
          <cell r="Z3422" t="str">
            <v>Legacy</v>
          </cell>
          <cell r="AA3422" t="str">
            <v>$1K-$10K</v>
          </cell>
          <cell r="AB3422" t="str">
            <v>2010 or before</v>
          </cell>
        </row>
        <row r="3423">
          <cell r="E3423">
            <v>1997.88</v>
          </cell>
          <cell r="Z3423" t="str">
            <v>Global</v>
          </cell>
          <cell r="AA3423" t="str">
            <v>$1K-$10K</v>
          </cell>
          <cell r="AB3423">
            <v>2013</v>
          </cell>
        </row>
        <row r="3424">
          <cell r="E3424">
            <v>1997.81</v>
          </cell>
          <cell r="Z3424" t="str">
            <v>Legacy</v>
          </cell>
          <cell r="AA3424" t="str">
            <v>$1K-$10K</v>
          </cell>
          <cell r="AB3424">
            <v>2011</v>
          </cell>
        </row>
        <row r="3425">
          <cell r="E3425">
            <v>1995.16</v>
          </cell>
          <cell r="Z3425" t="str">
            <v>Legacy</v>
          </cell>
          <cell r="AA3425" t="str">
            <v>$1K-$10K</v>
          </cell>
          <cell r="AB3425" t="str">
            <v>2010 or before</v>
          </cell>
        </row>
        <row r="3426">
          <cell r="E3426">
            <v>1994.31</v>
          </cell>
          <cell r="Z3426" t="str">
            <v>Legacy</v>
          </cell>
          <cell r="AA3426" t="str">
            <v>$1K-$10K</v>
          </cell>
          <cell r="AB3426" t="str">
            <v>2010 or before</v>
          </cell>
        </row>
        <row r="3427">
          <cell r="E3427">
            <v>1990.31</v>
          </cell>
          <cell r="Z3427" t="str">
            <v>Legacy</v>
          </cell>
          <cell r="AA3427" t="str">
            <v>$1K-$10K</v>
          </cell>
          <cell r="AB3427" t="str">
            <v>2010 or before</v>
          </cell>
        </row>
        <row r="3428">
          <cell r="E3428">
            <v>1980.26</v>
          </cell>
          <cell r="Z3428" t="str">
            <v>Legacy</v>
          </cell>
          <cell r="AA3428" t="str">
            <v>$1K-$10K</v>
          </cell>
          <cell r="AB3428">
            <v>2012</v>
          </cell>
        </row>
        <row r="3429">
          <cell r="E3429">
            <v>1978.31</v>
          </cell>
          <cell r="Z3429" t="str">
            <v>Legacy</v>
          </cell>
          <cell r="AA3429" t="str">
            <v>$1K-$10K</v>
          </cell>
          <cell r="AB3429" t="str">
            <v>2010 or before</v>
          </cell>
        </row>
        <row r="3430">
          <cell r="E3430">
            <v>1976.51</v>
          </cell>
          <cell r="Z3430" t="str">
            <v>Legacy</v>
          </cell>
          <cell r="AA3430" t="str">
            <v>$1K-$10K</v>
          </cell>
          <cell r="AB3430" t="str">
            <v>2010 or before</v>
          </cell>
        </row>
        <row r="3431">
          <cell r="E3431">
            <v>1973.93</v>
          </cell>
          <cell r="Z3431" t="str">
            <v>Outbound</v>
          </cell>
          <cell r="AA3431" t="str">
            <v>$1K-$10K</v>
          </cell>
          <cell r="AB3431">
            <v>2012</v>
          </cell>
        </row>
        <row r="3432">
          <cell r="E3432">
            <v>1965.98</v>
          </cell>
          <cell r="Z3432" t="str">
            <v>Legacy</v>
          </cell>
          <cell r="AA3432" t="str">
            <v>$1K-$10K</v>
          </cell>
          <cell r="AB3432" t="str">
            <v>2010 or before</v>
          </cell>
        </row>
        <row r="3433">
          <cell r="E3433">
            <v>1965.74</v>
          </cell>
          <cell r="Z3433" t="str">
            <v>Ungating</v>
          </cell>
          <cell r="AA3433" t="str">
            <v>$1K-$10K</v>
          </cell>
          <cell r="AB3433">
            <v>2012</v>
          </cell>
        </row>
        <row r="3434">
          <cell r="E3434">
            <v>1965.49</v>
          </cell>
          <cell r="Z3434" t="str">
            <v>Ungating</v>
          </cell>
          <cell r="AA3434" t="str">
            <v>$1K-$10K</v>
          </cell>
          <cell r="AB3434">
            <v>2012</v>
          </cell>
        </row>
        <row r="3435">
          <cell r="E3435">
            <v>1964.42</v>
          </cell>
          <cell r="Z3435" t="str">
            <v>Legacy</v>
          </cell>
          <cell r="AA3435" t="str">
            <v>$1K-$10K</v>
          </cell>
          <cell r="AB3435" t="str">
            <v>2010 or before</v>
          </cell>
        </row>
        <row r="3436">
          <cell r="E3436">
            <v>1962.3</v>
          </cell>
          <cell r="Z3436" t="str">
            <v>Legacy</v>
          </cell>
          <cell r="AA3436" t="str">
            <v>$1K-$10K</v>
          </cell>
          <cell r="AB3436" t="str">
            <v>2010 or before</v>
          </cell>
        </row>
        <row r="3437">
          <cell r="E3437">
            <v>1962.3</v>
          </cell>
          <cell r="Z3437" t="str">
            <v>Ungating</v>
          </cell>
          <cell r="AA3437" t="str">
            <v>$1K-$10K</v>
          </cell>
          <cell r="AB3437">
            <v>2011</v>
          </cell>
        </row>
        <row r="3438">
          <cell r="E3438">
            <v>1961.53</v>
          </cell>
          <cell r="Z3438" t="str">
            <v>Inbound</v>
          </cell>
          <cell r="AA3438" t="str">
            <v>$1K-$10K</v>
          </cell>
          <cell r="AB3438">
            <v>2012</v>
          </cell>
        </row>
        <row r="3439">
          <cell r="E3439">
            <v>1958.88</v>
          </cell>
          <cell r="Z3439" t="str">
            <v>Legacy</v>
          </cell>
          <cell r="AA3439" t="str">
            <v>$1K-$10K</v>
          </cell>
          <cell r="AB3439">
            <v>2012</v>
          </cell>
        </row>
        <row r="3440">
          <cell r="E3440">
            <v>1958.65</v>
          </cell>
          <cell r="Z3440" t="str">
            <v>Ungating</v>
          </cell>
          <cell r="AA3440" t="str">
            <v>$1K-$10K</v>
          </cell>
          <cell r="AB3440">
            <v>2012</v>
          </cell>
        </row>
        <row r="3441">
          <cell r="E3441">
            <v>1957.75</v>
          </cell>
          <cell r="Z3441" t="str">
            <v>Legacy</v>
          </cell>
          <cell r="AA3441" t="str">
            <v>$1K-$10K</v>
          </cell>
          <cell r="AB3441" t="str">
            <v>2010 or before</v>
          </cell>
        </row>
        <row r="3442">
          <cell r="E3442">
            <v>1956.59</v>
          </cell>
          <cell r="Z3442" t="str">
            <v>Legacy</v>
          </cell>
          <cell r="AA3442" t="str">
            <v>$1K-$10K</v>
          </cell>
          <cell r="AB3442" t="str">
            <v>2010 or before</v>
          </cell>
        </row>
        <row r="3443">
          <cell r="E3443">
            <v>1955.25</v>
          </cell>
          <cell r="Z3443" t="str">
            <v>Legacy</v>
          </cell>
          <cell r="AA3443" t="str">
            <v>$1K-$10K</v>
          </cell>
          <cell r="AB3443" t="str">
            <v>2010 or before</v>
          </cell>
        </row>
        <row r="3444">
          <cell r="E3444">
            <v>1954.14</v>
          </cell>
          <cell r="Z3444" t="str">
            <v>Legacy</v>
          </cell>
          <cell r="AA3444" t="str">
            <v>$1K-$10K</v>
          </cell>
          <cell r="AB3444" t="str">
            <v>2010 or before</v>
          </cell>
        </row>
        <row r="3445">
          <cell r="E3445">
            <v>1949.9</v>
          </cell>
          <cell r="Z3445" t="str">
            <v>Legacy</v>
          </cell>
          <cell r="AA3445" t="str">
            <v>$1K-$10K</v>
          </cell>
          <cell r="AB3445" t="str">
            <v>2010 or before</v>
          </cell>
        </row>
        <row r="3446">
          <cell r="E3446">
            <v>1949.3</v>
          </cell>
          <cell r="Z3446" t="str">
            <v>Legacy</v>
          </cell>
          <cell r="AA3446" t="str">
            <v>$1K-$10K</v>
          </cell>
          <cell r="AB3446">
            <v>2012</v>
          </cell>
        </row>
        <row r="3447">
          <cell r="E3447">
            <v>1943.06</v>
          </cell>
          <cell r="Z3447" t="str">
            <v>Legacy</v>
          </cell>
          <cell r="AA3447" t="str">
            <v>$1K-$10K</v>
          </cell>
          <cell r="AB3447" t="str">
            <v>2010 or before</v>
          </cell>
        </row>
        <row r="3448">
          <cell r="E3448">
            <v>1940.87</v>
          </cell>
          <cell r="Z3448" t="str">
            <v>Ungating</v>
          </cell>
          <cell r="AA3448" t="str">
            <v>$1K-$10K</v>
          </cell>
          <cell r="AB3448">
            <v>2012</v>
          </cell>
        </row>
        <row r="3449">
          <cell r="E3449">
            <v>1939.19</v>
          </cell>
          <cell r="Z3449" t="str">
            <v>Legacy</v>
          </cell>
          <cell r="AA3449" t="str">
            <v>$1K-$10K</v>
          </cell>
          <cell r="AB3449" t="str">
            <v>2010 or before</v>
          </cell>
        </row>
        <row r="3450">
          <cell r="E3450">
            <v>1938.59</v>
          </cell>
          <cell r="Z3450" t="str">
            <v>Inbound</v>
          </cell>
          <cell r="AA3450" t="str">
            <v>$1K-$10K</v>
          </cell>
          <cell r="AB3450">
            <v>2012</v>
          </cell>
        </row>
        <row r="3451">
          <cell r="E3451">
            <v>1935.67</v>
          </cell>
          <cell r="Z3451" t="str">
            <v>Legacy</v>
          </cell>
          <cell r="AA3451" t="str">
            <v>$1K-$10K</v>
          </cell>
          <cell r="AB3451" t="str">
            <v>2010 or before</v>
          </cell>
        </row>
        <row r="3452">
          <cell r="E3452">
            <v>1931.39</v>
          </cell>
          <cell r="Z3452" t="str">
            <v>Inbound</v>
          </cell>
          <cell r="AA3452" t="str">
            <v>$1K-$10K</v>
          </cell>
          <cell r="AB3452">
            <v>2011</v>
          </cell>
        </row>
        <row r="3453">
          <cell r="E3453">
            <v>1926.95</v>
          </cell>
          <cell r="Z3453" t="str">
            <v>Legacy</v>
          </cell>
          <cell r="AA3453" t="str">
            <v>$1K-$10K</v>
          </cell>
          <cell r="AB3453" t="str">
            <v>2010 or before</v>
          </cell>
        </row>
        <row r="3454">
          <cell r="E3454">
            <v>1926</v>
          </cell>
          <cell r="Z3454" t="str">
            <v>Inbound</v>
          </cell>
          <cell r="AA3454" t="str">
            <v>$1K-$10K</v>
          </cell>
          <cell r="AB3454">
            <v>2012</v>
          </cell>
        </row>
        <row r="3455">
          <cell r="E3455">
            <v>1925.3</v>
          </cell>
          <cell r="Z3455" t="str">
            <v>Legacy</v>
          </cell>
          <cell r="AA3455" t="str">
            <v>$1K-$10K</v>
          </cell>
          <cell r="AB3455">
            <v>2012</v>
          </cell>
        </row>
        <row r="3456">
          <cell r="E3456">
            <v>1924.54</v>
          </cell>
          <cell r="Z3456" t="str">
            <v>Legacy</v>
          </cell>
          <cell r="AA3456" t="str">
            <v>$1K-$10K</v>
          </cell>
          <cell r="AB3456" t="str">
            <v>2010 or before</v>
          </cell>
        </row>
        <row r="3457">
          <cell r="E3457">
            <v>1923.64</v>
          </cell>
          <cell r="Z3457" t="str">
            <v>Legacy</v>
          </cell>
          <cell r="AA3457" t="str">
            <v>$1K-$10K</v>
          </cell>
          <cell r="AB3457" t="str">
            <v>2010 or before</v>
          </cell>
        </row>
        <row r="3458">
          <cell r="E3458">
            <v>1920.57</v>
          </cell>
          <cell r="Z3458" t="str">
            <v>Legacy</v>
          </cell>
          <cell r="AA3458" t="str">
            <v>$1K-$10K</v>
          </cell>
          <cell r="AB3458" t="str">
            <v>2010 or before</v>
          </cell>
        </row>
        <row r="3459">
          <cell r="E3459">
            <v>1916.68</v>
          </cell>
          <cell r="Z3459" t="str">
            <v>Inbound</v>
          </cell>
          <cell r="AA3459" t="str">
            <v>$1K-$10K</v>
          </cell>
          <cell r="AB3459">
            <v>2011</v>
          </cell>
        </row>
        <row r="3460">
          <cell r="E3460">
            <v>1915.25</v>
          </cell>
          <cell r="Z3460" t="str">
            <v>Legacy</v>
          </cell>
          <cell r="AA3460" t="str">
            <v>$1K-$10K</v>
          </cell>
          <cell r="AB3460" t="str">
            <v>2010 or before</v>
          </cell>
        </row>
        <row r="3461">
          <cell r="E3461">
            <v>1909.73</v>
          </cell>
          <cell r="Z3461" t="str">
            <v>Legacy</v>
          </cell>
          <cell r="AA3461" t="str">
            <v>$1K-$10K</v>
          </cell>
          <cell r="AB3461" t="str">
            <v>2010 or before</v>
          </cell>
        </row>
        <row r="3462">
          <cell r="E3462">
            <v>1907.28</v>
          </cell>
          <cell r="Z3462" t="str">
            <v>Legacy</v>
          </cell>
          <cell r="AA3462" t="str">
            <v>$1K-$10K</v>
          </cell>
          <cell r="AB3462" t="str">
            <v>2010 or before</v>
          </cell>
        </row>
        <row r="3463">
          <cell r="E3463">
            <v>1895.19</v>
          </cell>
          <cell r="Z3463" t="str">
            <v>Legacy</v>
          </cell>
          <cell r="AA3463" t="str">
            <v>$1K-$10K</v>
          </cell>
          <cell r="AB3463">
            <v>2011</v>
          </cell>
        </row>
        <row r="3464">
          <cell r="E3464">
            <v>1893.16</v>
          </cell>
          <cell r="Z3464" t="str">
            <v>Legacy</v>
          </cell>
          <cell r="AA3464" t="str">
            <v>$1K-$10K</v>
          </cell>
          <cell r="AB3464" t="str">
            <v>2010 or before</v>
          </cell>
        </row>
        <row r="3465">
          <cell r="E3465">
            <v>1893.13</v>
          </cell>
          <cell r="Z3465" t="str">
            <v>Inbound</v>
          </cell>
          <cell r="AA3465" t="str">
            <v>$1K-$10K</v>
          </cell>
          <cell r="AB3465">
            <v>2012</v>
          </cell>
        </row>
        <row r="3466">
          <cell r="E3466">
            <v>1892.92</v>
          </cell>
          <cell r="Z3466" t="str">
            <v>Ungating</v>
          </cell>
          <cell r="AA3466" t="str">
            <v>$1K-$10K</v>
          </cell>
          <cell r="AB3466">
            <v>2012</v>
          </cell>
        </row>
        <row r="3467">
          <cell r="E3467">
            <v>1889.96</v>
          </cell>
          <cell r="Z3467" t="str">
            <v>Legacy</v>
          </cell>
          <cell r="AA3467" t="str">
            <v>$1K-$10K</v>
          </cell>
          <cell r="AB3467" t="str">
            <v>2010 or before</v>
          </cell>
        </row>
        <row r="3468">
          <cell r="E3468">
            <v>1882.82</v>
          </cell>
          <cell r="Z3468" t="str">
            <v>Legacy</v>
          </cell>
          <cell r="AA3468" t="str">
            <v>$1K-$10K</v>
          </cell>
          <cell r="AB3468" t="str">
            <v>2010 or before</v>
          </cell>
        </row>
        <row r="3469">
          <cell r="E3469">
            <v>1881.64</v>
          </cell>
          <cell r="Z3469" t="str">
            <v>Inbound</v>
          </cell>
          <cell r="AA3469" t="str">
            <v>$1K-$10K</v>
          </cell>
          <cell r="AB3469">
            <v>2012</v>
          </cell>
        </row>
        <row r="3470">
          <cell r="E3470">
            <v>1881.63</v>
          </cell>
          <cell r="Z3470" t="str">
            <v>Ungating</v>
          </cell>
          <cell r="AA3470" t="str">
            <v>$1K-$10K</v>
          </cell>
          <cell r="AB3470">
            <v>2012</v>
          </cell>
        </row>
        <row r="3471">
          <cell r="E3471">
            <v>1877.57</v>
          </cell>
          <cell r="Z3471" t="str">
            <v>Legacy</v>
          </cell>
          <cell r="AA3471" t="str">
            <v>$1K-$10K</v>
          </cell>
          <cell r="AB3471" t="str">
            <v>2010 or before</v>
          </cell>
        </row>
        <row r="3472">
          <cell r="E3472">
            <v>1876.34</v>
          </cell>
          <cell r="Z3472" t="str">
            <v>Ungating</v>
          </cell>
          <cell r="AA3472" t="str">
            <v>$1K-$10K</v>
          </cell>
          <cell r="AB3472">
            <v>2012</v>
          </cell>
        </row>
        <row r="3473">
          <cell r="E3473">
            <v>1871.5</v>
          </cell>
          <cell r="Z3473" t="str">
            <v>Legacy</v>
          </cell>
          <cell r="AA3473" t="str">
            <v>$1K-$10K</v>
          </cell>
          <cell r="AB3473" t="str">
            <v>2010 or before</v>
          </cell>
        </row>
        <row r="3474">
          <cell r="E3474">
            <v>1870.85</v>
          </cell>
          <cell r="Z3474" t="str">
            <v>Legacy</v>
          </cell>
          <cell r="AA3474" t="str">
            <v>$1K-$10K</v>
          </cell>
          <cell r="AB3474" t="str">
            <v>2010 or before</v>
          </cell>
        </row>
        <row r="3475">
          <cell r="E3475">
            <v>1870</v>
          </cell>
          <cell r="Z3475" t="str">
            <v>Legacy</v>
          </cell>
          <cell r="AA3475" t="str">
            <v>$1K-$10K</v>
          </cell>
          <cell r="AB3475" t="str">
            <v>2010 or before</v>
          </cell>
        </row>
        <row r="3476">
          <cell r="E3476">
            <v>1868.08</v>
          </cell>
          <cell r="Z3476" t="str">
            <v>Legacy</v>
          </cell>
          <cell r="AA3476" t="str">
            <v>$1K-$10K</v>
          </cell>
          <cell r="AB3476" t="str">
            <v>2010 or before</v>
          </cell>
        </row>
        <row r="3477">
          <cell r="E3477">
            <v>1868.05</v>
          </cell>
          <cell r="Z3477" t="str">
            <v>Legacy</v>
          </cell>
          <cell r="AA3477" t="str">
            <v>$1K-$10K</v>
          </cell>
          <cell r="AB3477" t="str">
            <v>2010 or before</v>
          </cell>
        </row>
        <row r="3478">
          <cell r="E3478">
            <v>1867.11</v>
          </cell>
          <cell r="Z3478" t="str">
            <v>Ungating</v>
          </cell>
          <cell r="AA3478" t="str">
            <v>$1K-$10K</v>
          </cell>
          <cell r="AB3478">
            <v>2012</v>
          </cell>
        </row>
        <row r="3479">
          <cell r="E3479">
            <v>1866.68</v>
          </cell>
          <cell r="Z3479" t="str">
            <v>Inbound</v>
          </cell>
          <cell r="AA3479" t="str">
            <v>$1K-$10K</v>
          </cell>
          <cell r="AB3479">
            <v>2012</v>
          </cell>
        </row>
        <row r="3480">
          <cell r="E3480">
            <v>1865</v>
          </cell>
          <cell r="Z3480" t="str">
            <v>Legacy</v>
          </cell>
          <cell r="AA3480" t="str">
            <v>$1K-$10K</v>
          </cell>
          <cell r="AB3480" t="str">
            <v>2010 or before</v>
          </cell>
        </row>
        <row r="3481">
          <cell r="E3481">
            <v>1863.37</v>
          </cell>
          <cell r="Z3481" t="str">
            <v>Legacy</v>
          </cell>
          <cell r="AA3481" t="str">
            <v>$1K-$10K</v>
          </cell>
          <cell r="AB3481" t="str">
            <v>2010 or before</v>
          </cell>
        </row>
        <row r="3482">
          <cell r="E3482">
            <v>1859.86</v>
          </cell>
          <cell r="Z3482" t="str">
            <v>Inbound</v>
          </cell>
          <cell r="AA3482" t="str">
            <v>$1K-$10K</v>
          </cell>
          <cell r="AB3482">
            <v>2012</v>
          </cell>
        </row>
        <row r="3483">
          <cell r="E3483">
            <v>1859.38</v>
          </cell>
          <cell r="Z3483" t="str">
            <v>Ungating</v>
          </cell>
          <cell r="AA3483" t="str">
            <v>$1K-$10K</v>
          </cell>
          <cell r="AB3483">
            <v>2012</v>
          </cell>
        </row>
        <row r="3484">
          <cell r="E3484">
            <v>1858.18</v>
          </cell>
          <cell r="Z3484" t="str">
            <v>Legacy</v>
          </cell>
          <cell r="AA3484" t="str">
            <v>$1K-$10K</v>
          </cell>
          <cell r="AB3484" t="str">
            <v>2010 or before</v>
          </cell>
        </row>
        <row r="3485">
          <cell r="E3485">
            <v>1857.92</v>
          </cell>
          <cell r="Z3485" t="str">
            <v>Legacy</v>
          </cell>
          <cell r="AA3485" t="str">
            <v>$1K-$10K</v>
          </cell>
          <cell r="AB3485" t="str">
            <v>2010 or before</v>
          </cell>
        </row>
        <row r="3486">
          <cell r="E3486">
            <v>1857.68</v>
          </cell>
          <cell r="Z3486" t="str">
            <v>Legacy</v>
          </cell>
          <cell r="AA3486" t="str">
            <v>$1K-$10K</v>
          </cell>
          <cell r="AB3486" t="str">
            <v>2010 or before</v>
          </cell>
        </row>
        <row r="3487">
          <cell r="E3487">
            <v>1856.29</v>
          </cell>
          <cell r="Z3487" t="str">
            <v>Ungating</v>
          </cell>
          <cell r="AA3487" t="str">
            <v>$1K-$10K</v>
          </cell>
          <cell r="AB3487">
            <v>2011</v>
          </cell>
        </row>
        <row r="3488">
          <cell r="E3488">
            <v>1854.34</v>
          </cell>
          <cell r="Z3488" t="str">
            <v>Legacy</v>
          </cell>
          <cell r="AA3488" t="str">
            <v>$1K-$10K</v>
          </cell>
          <cell r="AB3488">
            <v>2012</v>
          </cell>
        </row>
        <row r="3489">
          <cell r="E3489">
            <v>1849.18</v>
          </cell>
          <cell r="Z3489" t="str">
            <v>Legacy</v>
          </cell>
          <cell r="AA3489" t="str">
            <v>$1K-$10K</v>
          </cell>
          <cell r="AB3489" t="str">
            <v>2010 or before</v>
          </cell>
        </row>
        <row r="3490">
          <cell r="E3490">
            <v>1846.68</v>
          </cell>
          <cell r="Z3490" t="str">
            <v>Legacy</v>
          </cell>
          <cell r="AA3490" t="str">
            <v>$1K-$10K</v>
          </cell>
          <cell r="AB3490" t="str">
            <v>2010 or before</v>
          </cell>
        </row>
        <row r="3491">
          <cell r="E3491">
            <v>1842.81</v>
          </cell>
          <cell r="Z3491" t="str">
            <v>Legacy</v>
          </cell>
          <cell r="AA3491" t="str">
            <v>$1K-$10K</v>
          </cell>
          <cell r="AB3491" t="str">
            <v>2010 or before</v>
          </cell>
        </row>
        <row r="3492">
          <cell r="E3492">
            <v>1842.24</v>
          </cell>
          <cell r="Z3492" t="str">
            <v>Legacy</v>
          </cell>
          <cell r="AA3492" t="str">
            <v>$1K-$10K</v>
          </cell>
          <cell r="AB3492" t="str">
            <v>2010 or before</v>
          </cell>
        </row>
        <row r="3493">
          <cell r="E3493">
            <v>1837.54</v>
          </cell>
          <cell r="Z3493" t="str">
            <v>Legacy</v>
          </cell>
          <cell r="AA3493" t="str">
            <v>$1K-$10K</v>
          </cell>
          <cell r="AB3493" t="str">
            <v>2010 or before</v>
          </cell>
        </row>
        <row r="3494">
          <cell r="E3494">
            <v>1829</v>
          </cell>
          <cell r="Z3494" t="str">
            <v>Legacy</v>
          </cell>
          <cell r="AA3494" t="str">
            <v>$1K-$10K</v>
          </cell>
          <cell r="AB3494" t="str">
            <v>2010 or before</v>
          </cell>
        </row>
        <row r="3495">
          <cell r="E3495">
            <v>1821.7</v>
          </cell>
          <cell r="Z3495" t="str">
            <v>Legacy</v>
          </cell>
          <cell r="AA3495" t="str">
            <v>$1K-$10K</v>
          </cell>
          <cell r="AB3495" t="str">
            <v>2010 or before</v>
          </cell>
        </row>
        <row r="3496">
          <cell r="E3496">
            <v>1818.41</v>
          </cell>
          <cell r="Z3496" t="str">
            <v>Inbound</v>
          </cell>
          <cell r="AA3496" t="str">
            <v>$1K-$10K</v>
          </cell>
          <cell r="AB3496">
            <v>2012</v>
          </cell>
        </row>
        <row r="3497">
          <cell r="E3497">
            <v>1817</v>
          </cell>
          <cell r="Z3497" t="str">
            <v>Outbound</v>
          </cell>
          <cell r="AA3497" t="str">
            <v>$1K-$10K</v>
          </cell>
          <cell r="AB3497">
            <v>2012</v>
          </cell>
        </row>
        <row r="3498">
          <cell r="E3498">
            <v>1816</v>
          </cell>
          <cell r="Z3498" t="str">
            <v>Legacy</v>
          </cell>
          <cell r="AA3498" t="str">
            <v>$1K-$10K</v>
          </cell>
          <cell r="AB3498" t="str">
            <v>2010 or before</v>
          </cell>
        </row>
        <row r="3499">
          <cell r="E3499">
            <v>1815.82</v>
          </cell>
          <cell r="Z3499" t="str">
            <v>Outbound</v>
          </cell>
          <cell r="AA3499" t="str">
            <v>$1K-$10K</v>
          </cell>
          <cell r="AB3499">
            <v>2012</v>
          </cell>
        </row>
        <row r="3500">
          <cell r="E3500">
            <v>1814.37</v>
          </cell>
          <cell r="Z3500" t="str">
            <v>Legacy</v>
          </cell>
          <cell r="AA3500" t="str">
            <v>$1K-$10K</v>
          </cell>
          <cell r="AB3500" t="str">
            <v>2010 or before</v>
          </cell>
        </row>
        <row r="3501">
          <cell r="E3501">
            <v>1814</v>
          </cell>
          <cell r="Z3501" t="str">
            <v>Outbound</v>
          </cell>
          <cell r="AA3501" t="str">
            <v>$1K-$10K</v>
          </cell>
          <cell r="AB3501">
            <v>2012</v>
          </cell>
        </row>
        <row r="3502">
          <cell r="E3502">
            <v>1813.52</v>
          </cell>
          <cell r="Z3502" t="str">
            <v>Legacy</v>
          </cell>
          <cell r="AA3502" t="str">
            <v>$1K-$10K</v>
          </cell>
          <cell r="AB3502" t="str">
            <v>2010 or before</v>
          </cell>
        </row>
        <row r="3503">
          <cell r="E3503">
            <v>1810.08</v>
          </cell>
          <cell r="Z3503" t="str">
            <v>Ungating</v>
          </cell>
          <cell r="AA3503" t="str">
            <v>$1K-$10K</v>
          </cell>
          <cell r="AB3503">
            <v>2012</v>
          </cell>
        </row>
        <row r="3504">
          <cell r="E3504">
            <v>1808.99</v>
          </cell>
          <cell r="Z3504" t="str">
            <v>Legacy</v>
          </cell>
          <cell r="AA3504" t="str">
            <v>$1K-$10K</v>
          </cell>
          <cell r="AB3504" t="str">
            <v>2010 or before</v>
          </cell>
        </row>
        <row r="3505">
          <cell r="E3505">
            <v>1804.6</v>
          </cell>
          <cell r="Z3505" t="str">
            <v>Legacy</v>
          </cell>
          <cell r="AA3505" t="str">
            <v>$1K-$10K</v>
          </cell>
          <cell r="AB3505" t="str">
            <v>2010 or before</v>
          </cell>
        </row>
        <row r="3506">
          <cell r="E3506">
            <v>1802.05</v>
          </cell>
          <cell r="Z3506" t="str">
            <v>Legacy</v>
          </cell>
          <cell r="AA3506" t="str">
            <v>$1K-$10K</v>
          </cell>
          <cell r="AB3506" t="str">
            <v>2010 or before</v>
          </cell>
        </row>
        <row r="3507">
          <cell r="E3507">
            <v>1798.39</v>
          </cell>
          <cell r="Z3507" t="str">
            <v>Inbound</v>
          </cell>
          <cell r="AA3507" t="str">
            <v>$1K-$10K</v>
          </cell>
          <cell r="AB3507">
            <v>2012</v>
          </cell>
        </row>
        <row r="3508">
          <cell r="E3508">
            <v>1798.09</v>
          </cell>
          <cell r="Z3508" t="str">
            <v>Legacy</v>
          </cell>
          <cell r="AA3508" t="str">
            <v>$1K-$10K</v>
          </cell>
          <cell r="AB3508" t="str">
            <v>2010 or before</v>
          </cell>
        </row>
        <row r="3509">
          <cell r="E3509">
            <v>1794.8</v>
          </cell>
          <cell r="Z3509" t="str">
            <v>Inbound</v>
          </cell>
          <cell r="AA3509" t="str">
            <v>$1K-$10K</v>
          </cell>
          <cell r="AB3509">
            <v>2012</v>
          </cell>
        </row>
        <row r="3510">
          <cell r="E3510">
            <v>1792.63</v>
          </cell>
          <cell r="Z3510" t="str">
            <v>Legacy</v>
          </cell>
          <cell r="AA3510" t="str">
            <v>$1K-$10K</v>
          </cell>
          <cell r="AB3510">
            <v>2011</v>
          </cell>
        </row>
        <row r="3511">
          <cell r="E3511">
            <v>1792.41</v>
          </cell>
          <cell r="Z3511" t="str">
            <v>Legacy</v>
          </cell>
          <cell r="AA3511" t="str">
            <v>$1K-$10K</v>
          </cell>
          <cell r="AB3511">
            <v>2012</v>
          </cell>
        </row>
        <row r="3512">
          <cell r="E3512">
            <v>1790.76</v>
          </cell>
          <cell r="Z3512" t="str">
            <v>Legacy</v>
          </cell>
          <cell r="AA3512" t="str">
            <v>$1K-$10K</v>
          </cell>
          <cell r="AB3512" t="str">
            <v>2010 or before</v>
          </cell>
        </row>
        <row r="3513">
          <cell r="E3513">
            <v>1789.8</v>
          </cell>
          <cell r="Z3513" t="str">
            <v>Legacy</v>
          </cell>
          <cell r="AA3513" t="str">
            <v>$1K-$10K</v>
          </cell>
          <cell r="AB3513" t="str">
            <v>2010 or before</v>
          </cell>
        </row>
        <row r="3514">
          <cell r="E3514">
            <v>1787.84</v>
          </cell>
          <cell r="Z3514" t="str">
            <v>Legacy</v>
          </cell>
          <cell r="AA3514" t="str">
            <v>$1K-$10K</v>
          </cell>
          <cell r="AB3514" t="str">
            <v>2010 or before</v>
          </cell>
        </row>
        <row r="3515">
          <cell r="E3515">
            <v>1785.96</v>
          </cell>
          <cell r="Z3515" t="str">
            <v>Legacy</v>
          </cell>
          <cell r="AA3515" t="str">
            <v>$1K-$10K</v>
          </cell>
          <cell r="AB3515" t="str">
            <v>2010 or before</v>
          </cell>
        </row>
        <row r="3516">
          <cell r="E3516">
            <v>1776.5</v>
          </cell>
          <cell r="Z3516" t="str">
            <v>Inbound</v>
          </cell>
          <cell r="AA3516" t="str">
            <v>$1K-$10K</v>
          </cell>
          <cell r="AB3516">
            <v>2012</v>
          </cell>
        </row>
        <row r="3517">
          <cell r="E3517">
            <v>1775.83</v>
          </cell>
          <cell r="Z3517" t="str">
            <v>Legacy</v>
          </cell>
          <cell r="AA3517" t="str">
            <v>$1K-$10K</v>
          </cell>
          <cell r="AB3517" t="str">
            <v>2010 or before</v>
          </cell>
        </row>
        <row r="3518">
          <cell r="E3518">
            <v>1774.83</v>
          </cell>
          <cell r="Z3518" t="str">
            <v>Inbound</v>
          </cell>
          <cell r="AA3518" t="str">
            <v>$1K-$10K</v>
          </cell>
          <cell r="AB3518">
            <v>2011</v>
          </cell>
        </row>
        <row r="3519">
          <cell r="E3519">
            <v>1773.24</v>
          </cell>
          <cell r="Z3519" t="str">
            <v>Ungating</v>
          </cell>
          <cell r="AA3519" t="str">
            <v>$1K-$10K</v>
          </cell>
          <cell r="AB3519">
            <v>2012</v>
          </cell>
        </row>
        <row r="3520">
          <cell r="E3520">
            <v>1773.05</v>
          </cell>
          <cell r="Z3520" t="str">
            <v>Legacy</v>
          </cell>
          <cell r="AA3520" t="str">
            <v>$1K-$10K</v>
          </cell>
          <cell r="AB3520">
            <v>2012</v>
          </cell>
        </row>
        <row r="3521">
          <cell r="E3521">
            <v>1771.13</v>
          </cell>
          <cell r="Z3521" t="str">
            <v>Legacy</v>
          </cell>
          <cell r="AA3521" t="str">
            <v>$1K-$10K</v>
          </cell>
          <cell r="AB3521" t="str">
            <v>2010 or before</v>
          </cell>
        </row>
        <row r="3522">
          <cell r="E3522">
            <v>1769.99</v>
          </cell>
          <cell r="Z3522" t="str">
            <v>Legacy</v>
          </cell>
          <cell r="AA3522" t="str">
            <v>$1K-$10K</v>
          </cell>
          <cell r="AB3522" t="str">
            <v>2010 or before</v>
          </cell>
        </row>
        <row r="3523">
          <cell r="E3523">
            <v>1764.94</v>
          </cell>
          <cell r="Z3523" t="str">
            <v>Inbound</v>
          </cell>
          <cell r="AA3523" t="str">
            <v>$1K-$10K</v>
          </cell>
          <cell r="AB3523">
            <v>2012</v>
          </cell>
        </row>
        <row r="3524">
          <cell r="E3524">
            <v>1762.59</v>
          </cell>
          <cell r="Z3524" t="str">
            <v>Inbound</v>
          </cell>
          <cell r="AA3524" t="str">
            <v>$1K-$10K</v>
          </cell>
          <cell r="AB3524">
            <v>2012</v>
          </cell>
        </row>
        <row r="3525">
          <cell r="E3525">
            <v>1761.6</v>
          </cell>
          <cell r="Z3525" t="str">
            <v>Legacy</v>
          </cell>
          <cell r="AA3525" t="str">
            <v>$1K-$10K</v>
          </cell>
          <cell r="AB3525" t="str">
            <v>2010 or before</v>
          </cell>
        </row>
        <row r="3526">
          <cell r="E3526">
            <v>1758.83</v>
          </cell>
          <cell r="Z3526" t="str">
            <v>Inbound</v>
          </cell>
          <cell r="AA3526" t="str">
            <v>$1K-$10K</v>
          </cell>
          <cell r="AB3526">
            <v>2011</v>
          </cell>
        </row>
        <row r="3527">
          <cell r="E3527">
            <v>1757.98</v>
          </cell>
          <cell r="Z3527" t="str">
            <v>Legacy</v>
          </cell>
          <cell r="AA3527" t="str">
            <v>$1K-$10K</v>
          </cell>
          <cell r="AB3527" t="str">
            <v>2010 or before</v>
          </cell>
        </row>
        <row r="3528">
          <cell r="E3528">
            <v>1757.85</v>
          </cell>
          <cell r="Z3528" t="str">
            <v>Legacy</v>
          </cell>
          <cell r="AA3528" t="str">
            <v>$1K-$10K</v>
          </cell>
          <cell r="AB3528" t="str">
            <v>2010 or before</v>
          </cell>
        </row>
        <row r="3529">
          <cell r="E3529">
            <v>1757.19</v>
          </cell>
          <cell r="Z3529" t="str">
            <v>Ungating</v>
          </cell>
          <cell r="AA3529" t="str">
            <v>$1K-$10K</v>
          </cell>
          <cell r="AB3529">
            <v>2012</v>
          </cell>
        </row>
        <row r="3530">
          <cell r="E3530">
            <v>1751.73</v>
          </cell>
          <cell r="Z3530" t="str">
            <v>Legacy</v>
          </cell>
          <cell r="AA3530" t="str">
            <v>$1K-$10K</v>
          </cell>
          <cell r="AB3530" t="str">
            <v>2010 or before</v>
          </cell>
        </row>
        <row r="3531">
          <cell r="E3531">
            <v>1750.04</v>
          </cell>
          <cell r="Z3531" t="str">
            <v>Legacy</v>
          </cell>
          <cell r="AA3531" t="str">
            <v>$1K-$10K</v>
          </cell>
          <cell r="AB3531" t="str">
            <v>2010 or before</v>
          </cell>
        </row>
        <row r="3532">
          <cell r="E3532">
            <v>1747.74</v>
          </cell>
          <cell r="Z3532" t="str">
            <v>Legacy</v>
          </cell>
          <cell r="AA3532" t="str">
            <v>$1K-$10K</v>
          </cell>
          <cell r="AB3532" t="str">
            <v>2010 or before</v>
          </cell>
        </row>
        <row r="3533">
          <cell r="E3533">
            <v>1746.67</v>
          </cell>
          <cell r="Z3533" t="str">
            <v>Ungating</v>
          </cell>
          <cell r="AA3533" t="str">
            <v>$1K-$10K</v>
          </cell>
          <cell r="AB3533">
            <v>2012</v>
          </cell>
        </row>
        <row r="3534">
          <cell r="E3534">
            <v>1746.25</v>
          </cell>
          <cell r="Z3534" t="str">
            <v>Inbound</v>
          </cell>
          <cell r="AA3534" t="str">
            <v>$1K-$10K</v>
          </cell>
          <cell r="AB3534">
            <v>2011</v>
          </cell>
        </row>
        <row r="3535">
          <cell r="E3535">
            <v>1743.97</v>
          </cell>
          <cell r="Z3535" t="str">
            <v>Legacy</v>
          </cell>
          <cell r="AA3535" t="str">
            <v>$1K-$10K</v>
          </cell>
          <cell r="AB3535" t="str">
            <v>2010 or before</v>
          </cell>
        </row>
        <row r="3536">
          <cell r="E3536">
            <v>1742.86</v>
          </cell>
          <cell r="Z3536" t="str">
            <v>Legacy</v>
          </cell>
          <cell r="AA3536" t="str">
            <v>$1K-$10K</v>
          </cell>
          <cell r="AB3536">
            <v>2011</v>
          </cell>
        </row>
        <row r="3537">
          <cell r="E3537">
            <v>1741.8</v>
          </cell>
          <cell r="Z3537" t="str">
            <v>Legacy</v>
          </cell>
          <cell r="AA3537" t="str">
            <v>$1K-$10K</v>
          </cell>
          <cell r="AB3537">
            <v>2011</v>
          </cell>
        </row>
        <row r="3538">
          <cell r="E3538">
            <v>1736.82</v>
          </cell>
          <cell r="Z3538" t="str">
            <v>Legacy</v>
          </cell>
          <cell r="AA3538" t="str">
            <v>$1K-$10K</v>
          </cell>
          <cell r="AB3538" t="str">
            <v>2010 or before</v>
          </cell>
        </row>
        <row r="3539">
          <cell r="E3539">
            <v>1734</v>
          </cell>
          <cell r="Z3539" t="str">
            <v>Legacy</v>
          </cell>
          <cell r="AA3539" t="str">
            <v>$1K-$10K</v>
          </cell>
          <cell r="AB3539">
            <v>2011</v>
          </cell>
        </row>
        <row r="3540">
          <cell r="E3540">
            <v>1729.73</v>
          </cell>
          <cell r="Z3540" t="str">
            <v>Global</v>
          </cell>
          <cell r="AA3540" t="str">
            <v>$1K-$10K</v>
          </cell>
          <cell r="AB3540">
            <v>2012</v>
          </cell>
        </row>
        <row r="3541">
          <cell r="E3541">
            <v>1729.21</v>
          </cell>
          <cell r="Z3541" t="str">
            <v>Legacy</v>
          </cell>
          <cell r="AA3541" t="str">
            <v>$1K-$10K</v>
          </cell>
          <cell r="AB3541">
            <v>2011</v>
          </cell>
        </row>
        <row r="3542">
          <cell r="E3542">
            <v>1725.88</v>
          </cell>
          <cell r="Z3542" t="str">
            <v>Legacy</v>
          </cell>
          <cell r="AA3542" t="str">
            <v>$1K-$10K</v>
          </cell>
          <cell r="AB3542" t="str">
            <v>2010 or before</v>
          </cell>
        </row>
        <row r="3543">
          <cell r="E3543">
            <v>1725.03</v>
          </cell>
          <cell r="Z3543" t="str">
            <v>Legacy</v>
          </cell>
          <cell r="AA3543" t="str">
            <v>$1K-$10K</v>
          </cell>
          <cell r="AB3543" t="str">
            <v>2010 or before</v>
          </cell>
        </row>
        <row r="3544">
          <cell r="E3544">
            <v>1724.7</v>
          </cell>
          <cell r="Z3544" t="str">
            <v>Legacy</v>
          </cell>
          <cell r="AA3544" t="str">
            <v>$1K-$10K</v>
          </cell>
          <cell r="AB3544" t="str">
            <v>2010 or before</v>
          </cell>
        </row>
        <row r="3545">
          <cell r="E3545">
            <v>1722.79</v>
          </cell>
          <cell r="Z3545" t="str">
            <v>Legacy</v>
          </cell>
          <cell r="AA3545" t="str">
            <v>$1K-$10K</v>
          </cell>
          <cell r="AB3545" t="str">
            <v>2010 or before</v>
          </cell>
        </row>
        <row r="3546">
          <cell r="E3546">
            <v>1722.4</v>
          </cell>
          <cell r="Z3546" t="str">
            <v>Legacy</v>
          </cell>
          <cell r="AA3546" t="str">
            <v>$1K-$10K</v>
          </cell>
          <cell r="AB3546">
            <v>2011</v>
          </cell>
        </row>
        <row r="3547">
          <cell r="E3547">
            <v>1720.35</v>
          </cell>
          <cell r="Z3547" t="str">
            <v>Legacy</v>
          </cell>
          <cell r="AA3547" t="str">
            <v>$1K-$10K</v>
          </cell>
          <cell r="AB3547">
            <v>2011</v>
          </cell>
        </row>
        <row r="3548">
          <cell r="E3548">
            <v>1717.24</v>
          </cell>
          <cell r="Z3548" t="str">
            <v>Legacy</v>
          </cell>
          <cell r="AA3548" t="str">
            <v>$1K-$10K</v>
          </cell>
          <cell r="AB3548" t="str">
            <v>2010 or before</v>
          </cell>
        </row>
        <row r="3549">
          <cell r="E3549">
            <v>1717.05</v>
          </cell>
          <cell r="Z3549" t="str">
            <v>Legacy</v>
          </cell>
          <cell r="AA3549" t="str">
            <v>$1K-$10K</v>
          </cell>
          <cell r="AB3549" t="str">
            <v>2010 or before</v>
          </cell>
        </row>
        <row r="3550">
          <cell r="E3550">
            <v>1711.83</v>
          </cell>
          <cell r="Z3550" t="str">
            <v>Legacy</v>
          </cell>
          <cell r="AA3550" t="str">
            <v>$1K-$10K</v>
          </cell>
          <cell r="AB3550">
            <v>2012</v>
          </cell>
        </row>
        <row r="3551">
          <cell r="E3551">
            <v>1711.54</v>
          </cell>
          <cell r="Z3551" t="str">
            <v>Legacy</v>
          </cell>
          <cell r="AA3551" t="str">
            <v>$1K-$10K</v>
          </cell>
          <cell r="AB3551" t="str">
            <v>2010 or before</v>
          </cell>
        </row>
        <row r="3552">
          <cell r="E3552">
            <v>1709.99</v>
          </cell>
          <cell r="Z3552" t="str">
            <v>Ungating</v>
          </cell>
          <cell r="AA3552" t="str">
            <v>$1K-$10K</v>
          </cell>
          <cell r="AB3552">
            <v>2012</v>
          </cell>
        </row>
        <row r="3553">
          <cell r="E3553">
            <v>1705.39</v>
          </cell>
          <cell r="Z3553" t="str">
            <v>Legacy</v>
          </cell>
          <cell r="AA3553" t="str">
            <v>$1K-$10K</v>
          </cell>
          <cell r="AB3553" t="str">
            <v>2010 or before</v>
          </cell>
        </row>
        <row r="3554">
          <cell r="E3554">
            <v>1704.03</v>
          </cell>
          <cell r="Z3554" t="str">
            <v>Legacy</v>
          </cell>
          <cell r="AA3554" t="str">
            <v>$1K-$10K</v>
          </cell>
          <cell r="AB3554">
            <v>2012</v>
          </cell>
        </row>
        <row r="3555">
          <cell r="E3555">
            <v>1695.58</v>
          </cell>
          <cell r="Z3555" t="str">
            <v>Ungating</v>
          </cell>
          <cell r="AA3555" t="str">
            <v>$1K-$10K</v>
          </cell>
          <cell r="AB3555">
            <v>2012</v>
          </cell>
        </row>
        <row r="3556">
          <cell r="E3556">
            <v>1695.01</v>
          </cell>
          <cell r="Z3556" t="str">
            <v>Legacy</v>
          </cell>
          <cell r="AA3556" t="str">
            <v>$1K-$10K</v>
          </cell>
          <cell r="AB3556" t="str">
            <v>2010 or before</v>
          </cell>
        </row>
        <row r="3557">
          <cell r="E3557">
            <v>1688.32</v>
          </cell>
          <cell r="Z3557" t="str">
            <v>Inbound</v>
          </cell>
          <cell r="AA3557" t="str">
            <v>$1K-$10K</v>
          </cell>
          <cell r="AB3557">
            <v>2012</v>
          </cell>
        </row>
        <row r="3558">
          <cell r="E3558">
            <v>1686.64</v>
          </cell>
          <cell r="Z3558" t="str">
            <v>Legacy</v>
          </cell>
          <cell r="AA3558" t="str">
            <v>$1K-$10K</v>
          </cell>
          <cell r="AB3558" t="str">
            <v>2010 or before</v>
          </cell>
        </row>
        <row r="3559">
          <cell r="E3559">
            <v>1684.19</v>
          </cell>
          <cell r="Z3559" t="str">
            <v>Legacy</v>
          </cell>
          <cell r="AA3559" t="str">
            <v>$1K-$10K</v>
          </cell>
          <cell r="AB3559">
            <v>2012</v>
          </cell>
        </row>
        <row r="3560">
          <cell r="E3560">
            <v>1682.83</v>
          </cell>
          <cell r="Z3560" t="str">
            <v>Legacy</v>
          </cell>
          <cell r="AA3560" t="str">
            <v>$1K-$10K</v>
          </cell>
          <cell r="AB3560" t="str">
            <v>2010 or before</v>
          </cell>
        </row>
        <row r="3561">
          <cell r="E3561">
            <v>1678.79</v>
          </cell>
          <cell r="Z3561" t="str">
            <v>Global</v>
          </cell>
          <cell r="AA3561" t="str">
            <v>$1K-$10K</v>
          </cell>
          <cell r="AB3561">
            <v>2012</v>
          </cell>
        </row>
        <row r="3562">
          <cell r="E3562">
            <v>1672.53</v>
          </cell>
          <cell r="Z3562" t="str">
            <v>Legacy</v>
          </cell>
          <cell r="AA3562" t="str">
            <v>$1K-$10K</v>
          </cell>
          <cell r="AB3562" t="str">
            <v>2010 or before</v>
          </cell>
        </row>
        <row r="3563">
          <cell r="E3563">
            <v>1668.42</v>
          </cell>
          <cell r="Z3563" t="str">
            <v>Legacy</v>
          </cell>
          <cell r="AA3563" t="str">
            <v>$1K-$10K</v>
          </cell>
          <cell r="AB3563" t="str">
            <v>2010 or before</v>
          </cell>
        </row>
        <row r="3564">
          <cell r="E3564">
            <v>1666.81</v>
          </cell>
          <cell r="Z3564" t="str">
            <v>Ungating</v>
          </cell>
          <cell r="AA3564" t="str">
            <v>$1K-$10K</v>
          </cell>
          <cell r="AB3564">
            <v>2012</v>
          </cell>
        </row>
        <row r="3565">
          <cell r="E3565">
            <v>1661.89</v>
          </cell>
          <cell r="Z3565" t="str">
            <v>Legacy</v>
          </cell>
          <cell r="AA3565" t="str">
            <v>$1K-$10K</v>
          </cell>
          <cell r="AB3565" t="str">
            <v>2010 or before</v>
          </cell>
        </row>
        <row r="3566">
          <cell r="E3566">
            <v>1661.27</v>
          </cell>
          <cell r="Z3566" t="str">
            <v>Ungating</v>
          </cell>
          <cell r="AA3566" t="str">
            <v>$1K-$10K</v>
          </cell>
          <cell r="AB3566">
            <v>2012</v>
          </cell>
        </row>
        <row r="3567">
          <cell r="E3567">
            <v>1659.98</v>
          </cell>
          <cell r="Z3567" t="str">
            <v>Legacy</v>
          </cell>
          <cell r="AA3567" t="str">
            <v>$1K-$10K</v>
          </cell>
          <cell r="AB3567">
            <v>2011</v>
          </cell>
        </row>
        <row r="3568">
          <cell r="E3568">
            <v>1642.56</v>
          </cell>
          <cell r="Z3568" t="str">
            <v>Legacy</v>
          </cell>
          <cell r="AA3568" t="str">
            <v>$1K-$10K</v>
          </cell>
          <cell r="AB3568" t="str">
            <v>2010 or before</v>
          </cell>
        </row>
        <row r="3569">
          <cell r="E3569">
            <v>1642.15</v>
          </cell>
          <cell r="Z3569" t="str">
            <v>Legacy</v>
          </cell>
          <cell r="AA3569" t="str">
            <v>$1K-$10K</v>
          </cell>
          <cell r="AB3569">
            <v>2011</v>
          </cell>
        </row>
        <row r="3570">
          <cell r="E3570">
            <v>1641.28</v>
          </cell>
          <cell r="Z3570" t="str">
            <v>Legacy</v>
          </cell>
          <cell r="AA3570" t="str">
            <v>$1K-$10K</v>
          </cell>
          <cell r="AB3570" t="str">
            <v>2010 or before</v>
          </cell>
        </row>
        <row r="3571">
          <cell r="E3571">
            <v>1640.83</v>
          </cell>
          <cell r="Z3571" t="str">
            <v>Legacy</v>
          </cell>
          <cell r="AA3571" t="str">
            <v>$1K-$10K</v>
          </cell>
          <cell r="AB3571" t="str">
            <v>2010 or before</v>
          </cell>
        </row>
        <row r="3572">
          <cell r="E3572">
            <v>1635.3</v>
          </cell>
          <cell r="Z3572" t="str">
            <v>Legacy</v>
          </cell>
          <cell r="AA3572" t="str">
            <v>$1K-$10K</v>
          </cell>
          <cell r="AB3572">
            <v>2011</v>
          </cell>
        </row>
        <row r="3573">
          <cell r="E3573">
            <v>1627.8</v>
          </cell>
          <cell r="Z3573" t="str">
            <v>Legacy</v>
          </cell>
          <cell r="AA3573" t="str">
            <v>$1K-$10K</v>
          </cell>
          <cell r="AB3573" t="str">
            <v>2010 or before</v>
          </cell>
        </row>
        <row r="3574">
          <cell r="E3574">
            <v>1627.45</v>
          </cell>
          <cell r="Z3574" t="str">
            <v>Legacy</v>
          </cell>
          <cell r="AA3574" t="str">
            <v>$1K-$10K</v>
          </cell>
          <cell r="AB3574" t="str">
            <v>2010 or before</v>
          </cell>
        </row>
        <row r="3575">
          <cell r="E3575">
            <v>1623.02</v>
          </cell>
          <cell r="Z3575" t="str">
            <v>Legacy</v>
          </cell>
          <cell r="AA3575" t="str">
            <v>$1K-$10K</v>
          </cell>
          <cell r="AB3575" t="str">
            <v>2010 or before</v>
          </cell>
        </row>
        <row r="3576">
          <cell r="E3576">
            <v>1622.73</v>
          </cell>
          <cell r="Z3576" t="str">
            <v>Legacy</v>
          </cell>
          <cell r="AA3576" t="str">
            <v>$1K-$10K</v>
          </cell>
          <cell r="AB3576" t="str">
            <v>2010 or before</v>
          </cell>
        </row>
        <row r="3577">
          <cell r="E3577">
            <v>1622.32</v>
          </cell>
          <cell r="Z3577" t="str">
            <v>Legacy</v>
          </cell>
          <cell r="AA3577" t="str">
            <v>$1K-$10K</v>
          </cell>
          <cell r="AB3577" t="str">
            <v>2010 or before</v>
          </cell>
        </row>
        <row r="3578">
          <cell r="E3578">
            <v>1620.49</v>
          </cell>
          <cell r="Z3578" t="str">
            <v>Inbound</v>
          </cell>
          <cell r="AA3578" t="str">
            <v>$1K-$10K</v>
          </cell>
          <cell r="AB3578">
            <v>2012</v>
          </cell>
        </row>
        <row r="3579">
          <cell r="E3579">
            <v>1619.91</v>
          </cell>
          <cell r="Z3579" t="str">
            <v>Legacy</v>
          </cell>
          <cell r="AA3579" t="str">
            <v>$1K-$10K</v>
          </cell>
          <cell r="AB3579" t="str">
            <v>2010 or before</v>
          </cell>
        </row>
        <row r="3580">
          <cell r="E3580">
            <v>1618.78</v>
          </cell>
          <cell r="Z3580" t="str">
            <v>Inbound</v>
          </cell>
          <cell r="AA3580" t="str">
            <v>$1K-$10K</v>
          </cell>
          <cell r="AB3580">
            <v>2011</v>
          </cell>
        </row>
        <row r="3581">
          <cell r="E3581">
            <v>1617.28</v>
          </cell>
          <cell r="Z3581" t="str">
            <v>Legacy</v>
          </cell>
          <cell r="AA3581" t="str">
            <v>$1K-$10K</v>
          </cell>
          <cell r="AB3581" t="str">
            <v>2010 or before</v>
          </cell>
        </row>
        <row r="3582">
          <cell r="E3582">
            <v>1616.94</v>
          </cell>
          <cell r="Z3582" t="str">
            <v>Legacy</v>
          </cell>
          <cell r="AA3582" t="str">
            <v>$1K-$10K</v>
          </cell>
          <cell r="AB3582" t="str">
            <v>2010 or before</v>
          </cell>
        </row>
        <row r="3583">
          <cell r="E3583">
            <v>1616.38</v>
          </cell>
          <cell r="Z3583" t="str">
            <v>Legacy</v>
          </cell>
          <cell r="AA3583" t="str">
            <v>$1K-$10K</v>
          </cell>
          <cell r="AB3583">
            <v>2011</v>
          </cell>
        </row>
        <row r="3584">
          <cell r="E3584">
            <v>1616</v>
          </cell>
          <cell r="Z3584" t="str">
            <v>Legacy</v>
          </cell>
          <cell r="AA3584" t="str">
            <v>$1K-$10K</v>
          </cell>
          <cell r="AB3584">
            <v>2012</v>
          </cell>
        </row>
        <row r="3585">
          <cell r="E3585">
            <v>1614.97</v>
          </cell>
          <cell r="Z3585" t="str">
            <v>Ungating</v>
          </cell>
          <cell r="AA3585" t="str">
            <v>$1K-$10K</v>
          </cell>
          <cell r="AB3585">
            <v>2011</v>
          </cell>
        </row>
        <row r="3586">
          <cell r="E3586">
            <v>1608.61</v>
          </cell>
          <cell r="Z3586" t="str">
            <v>Legacy</v>
          </cell>
          <cell r="AA3586" t="str">
            <v>$1K-$10K</v>
          </cell>
          <cell r="AB3586" t="str">
            <v>2010 or before</v>
          </cell>
        </row>
        <row r="3587">
          <cell r="E3587">
            <v>1605.7</v>
          </cell>
          <cell r="Z3587" t="str">
            <v>Legacy</v>
          </cell>
          <cell r="AA3587" t="str">
            <v>$1K-$10K</v>
          </cell>
          <cell r="AB3587">
            <v>2012</v>
          </cell>
        </row>
        <row r="3588">
          <cell r="E3588">
            <v>1605.28</v>
          </cell>
          <cell r="Z3588" t="str">
            <v>Ungating</v>
          </cell>
          <cell r="AA3588" t="str">
            <v>$1K-$10K</v>
          </cell>
          <cell r="AB3588">
            <v>2012</v>
          </cell>
        </row>
        <row r="3589">
          <cell r="E3589">
            <v>1604.7</v>
          </cell>
          <cell r="Z3589" t="str">
            <v>Legacy</v>
          </cell>
          <cell r="AA3589" t="str">
            <v>$1K-$10K</v>
          </cell>
          <cell r="AB3589" t="str">
            <v>2010 or before</v>
          </cell>
        </row>
        <row r="3590">
          <cell r="E3590">
            <v>1604</v>
          </cell>
          <cell r="Z3590" t="str">
            <v>Legacy</v>
          </cell>
          <cell r="AA3590" t="str">
            <v>$1K-$10K</v>
          </cell>
          <cell r="AB3590" t="str">
            <v>2010 or before</v>
          </cell>
        </row>
        <row r="3591">
          <cell r="E3591">
            <v>1602.94</v>
          </cell>
          <cell r="Z3591" t="str">
            <v>Legacy</v>
          </cell>
          <cell r="AA3591" t="str">
            <v>$1K-$10K</v>
          </cell>
          <cell r="AB3591" t="str">
            <v>2010 or before</v>
          </cell>
        </row>
        <row r="3592">
          <cell r="E3592">
            <v>1602.82</v>
          </cell>
          <cell r="Z3592" t="str">
            <v>Legacy</v>
          </cell>
          <cell r="AA3592" t="str">
            <v>$1K-$10K</v>
          </cell>
          <cell r="AB3592" t="str">
            <v>2010 or before</v>
          </cell>
        </row>
        <row r="3593">
          <cell r="E3593">
            <v>1601.5</v>
          </cell>
          <cell r="Z3593" t="str">
            <v>Legacy</v>
          </cell>
          <cell r="AA3593" t="str">
            <v>$1K-$10K</v>
          </cell>
          <cell r="AB3593" t="str">
            <v>2010 or before</v>
          </cell>
        </row>
        <row r="3594">
          <cell r="E3594">
            <v>1601.41</v>
          </cell>
          <cell r="Z3594" t="str">
            <v>Legacy</v>
          </cell>
          <cell r="AA3594" t="str">
            <v>$1K-$10K</v>
          </cell>
          <cell r="AB3594" t="str">
            <v>2010 or before</v>
          </cell>
        </row>
        <row r="3595">
          <cell r="E3595">
            <v>1598.52</v>
          </cell>
          <cell r="Z3595" t="str">
            <v>Legacy</v>
          </cell>
          <cell r="AA3595" t="str">
            <v>$1K-$10K</v>
          </cell>
          <cell r="AB3595" t="str">
            <v>2010 or before</v>
          </cell>
        </row>
        <row r="3596">
          <cell r="E3596">
            <v>1597.99</v>
          </cell>
          <cell r="Z3596" t="str">
            <v>Legacy</v>
          </cell>
          <cell r="AA3596" t="str">
            <v>$1K-$10K</v>
          </cell>
          <cell r="AB3596" t="str">
            <v>2010 or before</v>
          </cell>
        </row>
        <row r="3597">
          <cell r="E3597">
            <v>1596.24</v>
          </cell>
          <cell r="Z3597" t="str">
            <v>Legacy</v>
          </cell>
          <cell r="AA3597" t="str">
            <v>$1K-$10K</v>
          </cell>
          <cell r="AB3597">
            <v>2011</v>
          </cell>
        </row>
        <row r="3598">
          <cell r="E3598">
            <v>1596.04</v>
          </cell>
          <cell r="Z3598" t="str">
            <v>Ungating</v>
          </cell>
          <cell r="AA3598" t="str">
            <v>$1K-$10K</v>
          </cell>
          <cell r="AB3598">
            <v>2012</v>
          </cell>
        </row>
        <row r="3599">
          <cell r="E3599">
            <v>1594.77</v>
          </cell>
          <cell r="Z3599" t="str">
            <v>Legacy</v>
          </cell>
          <cell r="AA3599" t="str">
            <v>$1K-$10K</v>
          </cell>
          <cell r="AB3599" t="str">
            <v>2010 or before</v>
          </cell>
        </row>
        <row r="3600">
          <cell r="E3600">
            <v>1593.15</v>
          </cell>
          <cell r="Z3600" t="str">
            <v>Inbound</v>
          </cell>
          <cell r="AA3600" t="str">
            <v>$1K-$10K</v>
          </cell>
          <cell r="AB3600">
            <v>2012</v>
          </cell>
        </row>
        <row r="3601">
          <cell r="E3601">
            <v>1592.17</v>
          </cell>
          <cell r="Z3601" t="str">
            <v>Inbound</v>
          </cell>
          <cell r="AA3601" t="str">
            <v>$1K-$10K</v>
          </cell>
          <cell r="AB3601">
            <v>2012</v>
          </cell>
        </row>
        <row r="3602">
          <cell r="E3602">
            <v>1590.77</v>
          </cell>
          <cell r="Z3602" t="str">
            <v>Legacy</v>
          </cell>
          <cell r="AA3602" t="str">
            <v>$1K-$10K</v>
          </cell>
          <cell r="AB3602">
            <v>2012</v>
          </cell>
        </row>
        <row r="3603">
          <cell r="E3603">
            <v>1588.35</v>
          </cell>
          <cell r="Z3603" t="str">
            <v>Legacy</v>
          </cell>
          <cell r="AA3603" t="str">
            <v>$1K-$10K</v>
          </cell>
          <cell r="AB3603" t="str">
            <v>2010 or before</v>
          </cell>
        </row>
        <row r="3604">
          <cell r="E3604">
            <v>1587.87</v>
          </cell>
          <cell r="Z3604" t="str">
            <v>Legacy</v>
          </cell>
          <cell r="AA3604" t="str">
            <v>$1K-$10K</v>
          </cell>
          <cell r="AB3604" t="str">
            <v>2010 or before</v>
          </cell>
        </row>
        <row r="3605">
          <cell r="E3605">
            <v>1584.26</v>
          </cell>
          <cell r="Z3605" t="str">
            <v>Legacy</v>
          </cell>
          <cell r="AA3605" t="str">
            <v>$1K-$10K</v>
          </cell>
          <cell r="AB3605" t="str">
            <v>2010 or before</v>
          </cell>
        </row>
        <row r="3606">
          <cell r="E3606">
            <v>1577.89</v>
          </cell>
          <cell r="Z3606" t="str">
            <v>Legacy</v>
          </cell>
          <cell r="AA3606" t="str">
            <v>$1K-$10K</v>
          </cell>
          <cell r="AB3606" t="str">
            <v>2010 or before</v>
          </cell>
        </row>
        <row r="3607">
          <cell r="E3607">
            <v>1576.51</v>
          </cell>
          <cell r="Z3607" t="str">
            <v>Legacy</v>
          </cell>
          <cell r="AA3607" t="str">
            <v>$1K-$10K</v>
          </cell>
          <cell r="AB3607" t="str">
            <v>2010 or before</v>
          </cell>
        </row>
        <row r="3608">
          <cell r="E3608">
            <v>1575.76</v>
          </cell>
          <cell r="Z3608" t="str">
            <v>Legacy</v>
          </cell>
          <cell r="AA3608" t="str">
            <v>$1K-$10K</v>
          </cell>
          <cell r="AB3608" t="str">
            <v>2010 or before</v>
          </cell>
        </row>
        <row r="3609">
          <cell r="E3609">
            <v>1573.81</v>
          </cell>
          <cell r="Z3609" t="str">
            <v>Legacy</v>
          </cell>
          <cell r="AA3609" t="str">
            <v>$1K-$10K</v>
          </cell>
          <cell r="AB3609" t="str">
            <v>2010 or before</v>
          </cell>
        </row>
        <row r="3610">
          <cell r="E3610">
            <v>1569.4</v>
          </cell>
          <cell r="Z3610" t="str">
            <v>Global</v>
          </cell>
          <cell r="AA3610" t="str">
            <v>$1K-$10K</v>
          </cell>
          <cell r="AB3610">
            <v>2013</v>
          </cell>
        </row>
        <row r="3611">
          <cell r="E3611">
            <v>1568.74</v>
          </cell>
          <cell r="Z3611" t="str">
            <v>Legacy</v>
          </cell>
          <cell r="AA3611" t="str">
            <v>$1K-$10K</v>
          </cell>
          <cell r="AB3611" t="str">
            <v>2010 or before</v>
          </cell>
        </row>
        <row r="3612">
          <cell r="E3612">
            <v>1561.31</v>
          </cell>
          <cell r="Z3612" t="str">
            <v>Legacy</v>
          </cell>
          <cell r="AA3612" t="str">
            <v>$1K-$10K</v>
          </cell>
          <cell r="AB3612" t="str">
            <v>2010 or before</v>
          </cell>
        </row>
        <row r="3613">
          <cell r="E3613">
            <v>1556.76</v>
          </cell>
          <cell r="Z3613" t="str">
            <v>Inbound</v>
          </cell>
          <cell r="AA3613" t="str">
            <v>$1K-$10K</v>
          </cell>
          <cell r="AB3613">
            <v>2012</v>
          </cell>
        </row>
        <row r="3614">
          <cell r="E3614">
            <v>1554.95</v>
          </cell>
          <cell r="Z3614" t="str">
            <v>Legacy</v>
          </cell>
          <cell r="AA3614" t="str">
            <v>$1K-$10K</v>
          </cell>
          <cell r="AB3614" t="str">
            <v>2010 or before</v>
          </cell>
        </row>
        <row r="3615">
          <cell r="E3615">
            <v>1552.75</v>
          </cell>
          <cell r="Z3615" t="str">
            <v>Legacy</v>
          </cell>
          <cell r="AA3615" t="str">
            <v>$1K-$10K</v>
          </cell>
          <cell r="AB3615" t="str">
            <v>2010 or before</v>
          </cell>
        </row>
        <row r="3616">
          <cell r="E3616">
            <v>1552.39</v>
          </cell>
          <cell r="Z3616" t="str">
            <v>Legacy</v>
          </cell>
          <cell r="AA3616" t="str">
            <v>$1K-$10K</v>
          </cell>
          <cell r="AB3616" t="str">
            <v>2010 or before</v>
          </cell>
        </row>
        <row r="3617">
          <cell r="E3617">
            <v>1546.1</v>
          </cell>
          <cell r="Z3617" t="str">
            <v>Ungating</v>
          </cell>
          <cell r="AA3617" t="str">
            <v>$1K-$10K</v>
          </cell>
          <cell r="AB3617">
            <v>2012</v>
          </cell>
        </row>
        <row r="3618">
          <cell r="E3618">
            <v>1543.94</v>
          </cell>
          <cell r="Z3618" t="str">
            <v>Ungating</v>
          </cell>
          <cell r="AA3618" t="str">
            <v>$1K-$10K</v>
          </cell>
          <cell r="AB3618">
            <v>2012</v>
          </cell>
        </row>
        <row r="3619">
          <cell r="E3619">
            <v>1540.61</v>
          </cell>
          <cell r="Z3619" t="str">
            <v>Legacy</v>
          </cell>
          <cell r="AA3619" t="str">
            <v>$1K-$10K</v>
          </cell>
          <cell r="AB3619">
            <v>2011</v>
          </cell>
        </row>
        <row r="3620">
          <cell r="E3620">
            <v>1539.3</v>
          </cell>
          <cell r="Z3620" t="str">
            <v>Legacy</v>
          </cell>
          <cell r="AA3620" t="str">
            <v>$1K-$10K</v>
          </cell>
          <cell r="AB3620">
            <v>2011</v>
          </cell>
        </row>
        <row r="3621">
          <cell r="E3621">
            <v>1538.64</v>
          </cell>
          <cell r="Z3621" t="str">
            <v>Legacy</v>
          </cell>
          <cell r="AA3621" t="str">
            <v>$1K-$10K</v>
          </cell>
          <cell r="AB3621">
            <v>2011</v>
          </cell>
        </row>
        <row r="3622">
          <cell r="E3622">
            <v>1533.48</v>
          </cell>
          <cell r="Z3622" t="str">
            <v>Ungating</v>
          </cell>
          <cell r="AA3622" t="str">
            <v>$1K-$10K</v>
          </cell>
          <cell r="AB3622">
            <v>2012</v>
          </cell>
        </row>
        <row r="3623">
          <cell r="E3623">
            <v>1533.4</v>
          </cell>
          <cell r="Z3623" t="str">
            <v>Legacy</v>
          </cell>
          <cell r="AA3623" t="str">
            <v>$1K-$10K</v>
          </cell>
          <cell r="AB3623" t="str">
            <v>2010 or before</v>
          </cell>
        </row>
        <row r="3624">
          <cell r="E3624">
            <v>1530.92</v>
          </cell>
          <cell r="Z3624" t="str">
            <v>Legacy</v>
          </cell>
          <cell r="AA3624" t="str">
            <v>$1K-$10K</v>
          </cell>
          <cell r="AB3624">
            <v>2012</v>
          </cell>
        </row>
        <row r="3625">
          <cell r="E3625">
            <v>1524.81</v>
          </cell>
          <cell r="Z3625" t="str">
            <v>Legacy</v>
          </cell>
          <cell r="AA3625" t="str">
            <v>$1K-$10K</v>
          </cell>
          <cell r="AB3625" t="str">
            <v>2010 or before</v>
          </cell>
        </row>
        <row r="3626">
          <cell r="E3626">
            <v>1521.8</v>
          </cell>
          <cell r="Z3626" t="str">
            <v>Global</v>
          </cell>
          <cell r="AA3626" t="str">
            <v>$1K-$10K</v>
          </cell>
          <cell r="AB3626">
            <v>2012</v>
          </cell>
        </row>
        <row r="3627">
          <cell r="E3627">
            <v>1520.56</v>
          </cell>
          <cell r="Z3627" t="str">
            <v>Legacy</v>
          </cell>
          <cell r="AA3627" t="str">
            <v>$1K-$10K</v>
          </cell>
          <cell r="AB3627" t="str">
            <v>2010 or before</v>
          </cell>
        </row>
        <row r="3628">
          <cell r="E3628">
            <v>1520.46</v>
          </cell>
          <cell r="Z3628" t="str">
            <v>Legacy</v>
          </cell>
          <cell r="AA3628" t="str">
            <v>$1K-$10K</v>
          </cell>
          <cell r="AB3628" t="str">
            <v>2010 or before</v>
          </cell>
        </row>
        <row r="3629">
          <cell r="E3629">
            <v>1518.78</v>
          </cell>
          <cell r="Z3629" t="str">
            <v>Legacy</v>
          </cell>
          <cell r="AA3629" t="str">
            <v>$1K-$10K</v>
          </cell>
          <cell r="AB3629" t="str">
            <v>2010 or before</v>
          </cell>
        </row>
        <row r="3630">
          <cell r="E3630">
            <v>1513.81</v>
          </cell>
          <cell r="Z3630" t="str">
            <v>Ungating</v>
          </cell>
          <cell r="AA3630" t="str">
            <v>$1K-$10K</v>
          </cell>
          <cell r="AB3630">
            <v>2011</v>
          </cell>
        </row>
        <row r="3631">
          <cell r="E3631">
            <v>1513.57</v>
          </cell>
          <cell r="Z3631" t="str">
            <v>Legacy</v>
          </cell>
          <cell r="AA3631" t="str">
            <v>$1K-$10K</v>
          </cell>
          <cell r="AB3631" t="str">
            <v>2010 or before</v>
          </cell>
        </row>
        <row r="3632">
          <cell r="E3632">
            <v>1512.65</v>
          </cell>
          <cell r="Z3632" t="str">
            <v>Legacy</v>
          </cell>
          <cell r="AA3632" t="str">
            <v>$1K-$10K</v>
          </cell>
          <cell r="AB3632" t="str">
            <v>2010 or before</v>
          </cell>
        </row>
        <row r="3633">
          <cell r="E3633">
            <v>1512.5</v>
          </cell>
          <cell r="Z3633" t="str">
            <v>Legacy</v>
          </cell>
          <cell r="AA3633" t="str">
            <v>$1K-$10K</v>
          </cell>
          <cell r="AB3633">
            <v>2012</v>
          </cell>
        </row>
        <row r="3634">
          <cell r="E3634">
            <v>1512.46</v>
          </cell>
          <cell r="Z3634" t="str">
            <v>Inbound</v>
          </cell>
          <cell r="AA3634" t="str">
            <v>$1K-$10K</v>
          </cell>
          <cell r="AB3634">
            <v>2012</v>
          </cell>
        </row>
        <row r="3635">
          <cell r="E3635">
            <v>1511.8</v>
          </cell>
          <cell r="Z3635" t="str">
            <v>Legacy</v>
          </cell>
          <cell r="AA3635" t="str">
            <v>$1K-$10K</v>
          </cell>
          <cell r="AB3635">
            <v>2012</v>
          </cell>
        </row>
        <row r="3636">
          <cell r="E3636">
            <v>1511.79</v>
          </cell>
          <cell r="Z3636" t="str">
            <v>Legacy</v>
          </cell>
          <cell r="AA3636" t="str">
            <v>$1K-$10K</v>
          </cell>
          <cell r="AB3636">
            <v>2011</v>
          </cell>
        </row>
        <row r="3637">
          <cell r="E3637">
            <v>1510.8</v>
          </cell>
          <cell r="Z3637" t="str">
            <v>Legacy</v>
          </cell>
          <cell r="AA3637" t="str">
            <v>$1K-$10K</v>
          </cell>
          <cell r="AB3637" t="str">
            <v>2010 or before</v>
          </cell>
        </row>
        <row r="3638">
          <cell r="E3638">
            <v>1509.95</v>
          </cell>
          <cell r="Z3638" t="str">
            <v>Legacy</v>
          </cell>
          <cell r="AA3638" t="str">
            <v>$1K-$10K</v>
          </cell>
          <cell r="AB3638" t="str">
            <v>2010 or before</v>
          </cell>
        </row>
        <row r="3639">
          <cell r="E3639">
            <v>1506</v>
          </cell>
          <cell r="Z3639" t="str">
            <v>Outbound</v>
          </cell>
          <cell r="AA3639" t="str">
            <v>$1K-$10K</v>
          </cell>
          <cell r="AB3639">
            <v>2012</v>
          </cell>
        </row>
        <row r="3640">
          <cell r="E3640">
            <v>1502.53</v>
          </cell>
          <cell r="Z3640" t="str">
            <v>Legacy</v>
          </cell>
          <cell r="AA3640" t="str">
            <v>$1K-$10K</v>
          </cell>
          <cell r="AB3640" t="str">
            <v>2010 or before</v>
          </cell>
        </row>
        <row r="3641">
          <cell r="E3641">
            <v>1502.44</v>
          </cell>
          <cell r="Z3641" t="str">
            <v>Legacy</v>
          </cell>
          <cell r="AA3641" t="str">
            <v>$1K-$10K</v>
          </cell>
          <cell r="AB3641" t="str">
            <v>2010 or before</v>
          </cell>
        </row>
        <row r="3642">
          <cell r="E3642">
            <v>1502.02</v>
          </cell>
          <cell r="Z3642" t="str">
            <v>Legacy</v>
          </cell>
          <cell r="AA3642" t="str">
            <v>$1K-$10K</v>
          </cell>
          <cell r="AB3642" t="str">
            <v>2010 or before</v>
          </cell>
        </row>
        <row r="3643">
          <cell r="E3643">
            <v>1501.64</v>
          </cell>
          <cell r="Z3643" t="str">
            <v>Legacy</v>
          </cell>
          <cell r="AA3643" t="str">
            <v>$1K-$10K</v>
          </cell>
          <cell r="AB3643" t="str">
            <v>2010 or before</v>
          </cell>
        </row>
        <row r="3644">
          <cell r="E3644">
            <v>1498.19</v>
          </cell>
          <cell r="Z3644" t="str">
            <v>Legacy</v>
          </cell>
          <cell r="AA3644" t="str">
            <v>$1K-$10K</v>
          </cell>
          <cell r="AB3644" t="str">
            <v>2010 or before</v>
          </cell>
        </row>
        <row r="3645">
          <cell r="E3645">
            <v>1498.13</v>
          </cell>
          <cell r="Z3645" t="str">
            <v>Legacy</v>
          </cell>
          <cell r="AA3645" t="str">
            <v>$1K-$10K</v>
          </cell>
          <cell r="AB3645" t="str">
            <v>2010 or before</v>
          </cell>
        </row>
        <row r="3646">
          <cell r="E3646">
            <v>1495.75</v>
          </cell>
          <cell r="Z3646" t="str">
            <v>Legacy</v>
          </cell>
          <cell r="AA3646" t="str">
            <v>$1K-$10K</v>
          </cell>
          <cell r="AB3646" t="str">
            <v>2010 or before</v>
          </cell>
        </row>
        <row r="3647">
          <cell r="E3647">
            <v>1493.77</v>
          </cell>
          <cell r="Z3647" t="str">
            <v>Legacy</v>
          </cell>
          <cell r="AA3647" t="str">
            <v>$1K-$10K</v>
          </cell>
          <cell r="AB3647" t="str">
            <v>2010 or before</v>
          </cell>
        </row>
        <row r="3648">
          <cell r="E3648">
            <v>1491.33</v>
          </cell>
          <cell r="Z3648" t="str">
            <v>Global</v>
          </cell>
          <cell r="AA3648" t="str">
            <v>$1K-$10K</v>
          </cell>
          <cell r="AB3648">
            <v>2012</v>
          </cell>
        </row>
        <row r="3649">
          <cell r="E3649">
            <v>1490.89</v>
          </cell>
          <cell r="Z3649" t="str">
            <v>Legacy</v>
          </cell>
          <cell r="AA3649" t="str">
            <v>$1K-$10K</v>
          </cell>
          <cell r="AB3649">
            <v>2012</v>
          </cell>
        </row>
        <row r="3650">
          <cell r="E3650">
            <v>1485.81</v>
          </cell>
          <cell r="Z3650" t="str">
            <v>Legacy</v>
          </cell>
          <cell r="AA3650" t="str">
            <v>$1K-$10K</v>
          </cell>
          <cell r="AB3650" t="str">
            <v>2010 or before</v>
          </cell>
        </row>
        <row r="3651">
          <cell r="E3651">
            <v>1484.54</v>
          </cell>
          <cell r="Z3651" t="str">
            <v>Legacy</v>
          </cell>
          <cell r="AA3651" t="str">
            <v>$1K-$10K</v>
          </cell>
          <cell r="AB3651" t="str">
            <v>2010 or before</v>
          </cell>
        </row>
        <row r="3652">
          <cell r="E3652">
            <v>1482.7</v>
          </cell>
          <cell r="Z3652" t="str">
            <v>Legacy</v>
          </cell>
          <cell r="AA3652" t="str">
            <v>$1K-$10K</v>
          </cell>
          <cell r="AB3652" t="str">
            <v>2010 or before</v>
          </cell>
        </row>
        <row r="3653">
          <cell r="E3653">
            <v>1481.15</v>
          </cell>
          <cell r="Z3653" t="str">
            <v>Ungating</v>
          </cell>
          <cell r="AA3653" t="str">
            <v>$1K-$10K</v>
          </cell>
          <cell r="AB3653">
            <v>2012</v>
          </cell>
        </row>
        <row r="3654">
          <cell r="E3654">
            <v>1479.85</v>
          </cell>
          <cell r="Z3654" t="str">
            <v>Legacy</v>
          </cell>
          <cell r="AA3654" t="str">
            <v>$1K-$10K</v>
          </cell>
          <cell r="AB3654" t="str">
            <v>2010 or before</v>
          </cell>
        </row>
        <row r="3655">
          <cell r="E3655">
            <v>1478.11</v>
          </cell>
          <cell r="Z3655" t="str">
            <v>Legacy</v>
          </cell>
          <cell r="AA3655" t="str">
            <v>$1K-$10K</v>
          </cell>
          <cell r="AB3655" t="str">
            <v>2010 or before</v>
          </cell>
        </row>
        <row r="3656">
          <cell r="E3656">
            <v>1472.44</v>
          </cell>
          <cell r="Z3656" t="str">
            <v>Legacy</v>
          </cell>
          <cell r="AA3656" t="str">
            <v>$1K-$10K</v>
          </cell>
          <cell r="AB3656" t="str">
            <v>2010 or before</v>
          </cell>
        </row>
        <row r="3657">
          <cell r="E3657">
            <v>1472.05</v>
          </cell>
          <cell r="Z3657" t="str">
            <v>Inbound</v>
          </cell>
          <cell r="AA3657" t="str">
            <v>$1K-$10K</v>
          </cell>
          <cell r="AB3657">
            <v>2012</v>
          </cell>
        </row>
        <row r="3658">
          <cell r="E3658">
            <v>1469.33</v>
          </cell>
          <cell r="Z3658" t="str">
            <v>Legacy</v>
          </cell>
          <cell r="AA3658" t="str">
            <v>$1K-$10K</v>
          </cell>
          <cell r="AB3658" t="str">
            <v>2010 or before</v>
          </cell>
        </row>
        <row r="3659">
          <cell r="E3659">
            <v>1467.18</v>
          </cell>
          <cell r="Z3659" t="str">
            <v>Legacy</v>
          </cell>
          <cell r="AA3659" t="str">
            <v>$1K-$10K</v>
          </cell>
          <cell r="AB3659">
            <v>2012</v>
          </cell>
        </row>
        <row r="3660">
          <cell r="E3660">
            <v>1464.48</v>
          </cell>
          <cell r="Z3660" t="str">
            <v>Legacy</v>
          </cell>
          <cell r="AA3660" t="str">
            <v>$1K-$10K</v>
          </cell>
          <cell r="AB3660" t="str">
            <v>2010 or before</v>
          </cell>
        </row>
        <row r="3661">
          <cell r="E3661">
            <v>1463.43</v>
          </cell>
          <cell r="Z3661" t="str">
            <v>Legacy</v>
          </cell>
          <cell r="AA3661" t="str">
            <v>$1K-$10K</v>
          </cell>
          <cell r="AB3661">
            <v>2011</v>
          </cell>
        </row>
        <row r="3662">
          <cell r="E3662">
            <v>1462.71</v>
          </cell>
          <cell r="Z3662" t="str">
            <v>Ungating</v>
          </cell>
          <cell r="AA3662" t="str">
            <v>$1K-$10K</v>
          </cell>
          <cell r="AB3662">
            <v>2012</v>
          </cell>
        </row>
        <row r="3663">
          <cell r="E3663">
            <v>1456.92</v>
          </cell>
          <cell r="Z3663" t="str">
            <v>Legacy</v>
          </cell>
          <cell r="AA3663" t="str">
            <v>$1K-$10K</v>
          </cell>
          <cell r="AB3663" t="str">
            <v>2010 or before</v>
          </cell>
        </row>
        <row r="3664">
          <cell r="E3664">
            <v>1456</v>
          </cell>
          <cell r="Z3664" t="str">
            <v>Legacy</v>
          </cell>
          <cell r="AA3664" t="str">
            <v>$1K-$10K</v>
          </cell>
          <cell r="AB3664" t="str">
            <v>2010 or before</v>
          </cell>
        </row>
        <row r="3665">
          <cell r="E3665">
            <v>1454.46</v>
          </cell>
          <cell r="Z3665" t="str">
            <v>Ungating</v>
          </cell>
          <cell r="AA3665" t="str">
            <v>$1K-$10K</v>
          </cell>
          <cell r="AB3665">
            <v>2011</v>
          </cell>
        </row>
        <row r="3666">
          <cell r="E3666">
            <v>1448.71</v>
          </cell>
          <cell r="Z3666" t="str">
            <v>Legacy</v>
          </cell>
          <cell r="AA3666" t="str">
            <v>$1K-$10K</v>
          </cell>
          <cell r="AB3666" t="str">
            <v>2010 or before</v>
          </cell>
        </row>
        <row r="3667">
          <cell r="E3667">
            <v>1442.82</v>
          </cell>
          <cell r="Z3667" t="str">
            <v>Legacy</v>
          </cell>
          <cell r="AA3667" t="str">
            <v>$1K-$10K</v>
          </cell>
          <cell r="AB3667">
            <v>2011</v>
          </cell>
        </row>
        <row r="3668">
          <cell r="E3668">
            <v>1441.5</v>
          </cell>
          <cell r="Z3668" t="str">
            <v>Outbound</v>
          </cell>
          <cell r="AA3668" t="str">
            <v>$1K-$10K</v>
          </cell>
          <cell r="AB3668">
            <v>2011</v>
          </cell>
        </row>
        <row r="3669">
          <cell r="E3669">
            <v>1435.9</v>
          </cell>
          <cell r="Z3669" t="str">
            <v>Legacy</v>
          </cell>
          <cell r="AA3669" t="str">
            <v>$1K-$10K</v>
          </cell>
          <cell r="AB3669" t="str">
            <v>2010 or before</v>
          </cell>
        </row>
        <row r="3670">
          <cell r="E3670">
            <v>1434.38</v>
          </cell>
          <cell r="Z3670" t="str">
            <v>Global</v>
          </cell>
          <cell r="AA3670" t="str">
            <v>$1K-$10K</v>
          </cell>
          <cell r="AB3670">
            <v>2012</v>
          </cell>
        </row>
        <row r="3671">
          <cell r="E3671">
            <v>1429.05</v>
          </cell>
          <cell r="Z3671" t="str">
            <v>Legacy</v>
          </cell>
          <cell r="AA3671" t="str">
            <v>$1K-$10K</v>
          </cell>
          <cell r="AB3671" t="str">
            <v>2010 or before</v>
          </cell>
        </row>
        <row r="3672">
          <cell r="E3672">
            <v>1427.79</v>
          </cell>
          <cell r="Z3672" t="str">
            <v>Legacy</v>
          </cell>
          <cell r="AA3672" t="str">
            <v>$1K-$10K</v>
          </cell>
          <cell r="AB3672" t="str">
            <v>2010 or before</v>
          </cell>
        </row>
        <row r="3673">
          <cell r="E3673">
            <v>1425.44</v>
          </cell>
          <cell r="Z3673" t="str">
            <v>Ungating</v>
          </cell>
          <cell r="AA3673" t="str">
            <v>$1K-$10K</v>
          </cell>
          <cell r="AB3673">
            <v>2012</v>
          </cell>
        </row>
        <row r="3674">
          <cell r="E3674">
            <v>1424.22</v>
          </cell>
          <cell r="Z3674" t="str">
            <v>Legacy</v>
          </cell>
          <cell r="AA3674" t="str">
            <v>$1K-$10K</v>
          </cell>
          <cell r="AB3674" t="str">
            <v>2010 or before</v>
          </cell>
        </row>
        <row r="3675">
          <cell r="E3675">
            <v>1416</v>
          </cell>
          <cell r="Z3675" t="str">
            <v>Outbound</v>
          </cell>
          <cell r="AA3675" t="str">
            <v>$1K-$10K</v>
          </cell>
          <cell r="AB3675">
            <v>2012</v>
          </cell>
        </row>
        <row r="3676">
          <cell r="E3676">
            <v>1415.3</v>
          </cell>
          <cell r="Z3676" t="str">
            <v>Legacy</v>
          </cell>
          <cell r="AA3676" t="str">
            <v>$1K-$10K</v>
          </cell>
          <cell r="AB3676" t="str">
            <v>2010 or before</v>
          </cell>
        </row>
        <row r="3677">
          <cell r="E3677">
            <v>1411.43</v>
          </cell>
          <cell r="Z3677" t="str">
            <v>Legacy</v>
          </cell>
          <cell r="AA3677" t="str">
            <v>$1K-$10K</v>
          </cell>
          <cell r="AB3677" t="str">
            <v>2010 or before</v>
          </cell>
        </row>
        <row r="3678">
          <cell r="E3678">
            <v>1407.9</v>
          </cell>
          <cell r="Z3678" t="str">
            <v>Legacy</v>
          </cell>
          <cell r="AA3678" t="str">
            <v>$1K-$10K</v>
          </cell>
          <cell r="AB3678" t="str">
            <v>2010 or before</v>
          </cell>
        </row>
        <row r="3679">
          <cell r="E3679">
            <v>1407.26</v>
          </cell>
          <cell r="Z3679" t="str">
            <v>Legacy</v>
          </cell>
          <cell r="AA3679" t="str">
            <v>$1K-$10K</v>
          </cell>
          <cell r="AB3679" t="str">
            <v>2010 or before</v>
          </cell>
        </row>
        <row r="3680">
          <cell r="E3680">
            <v>1404.93</v>
          </cell>
          <cell r="Z3680" t="str">
            <v>Legacy</v>
          </cell>
          <cell r="AA3680" t="str">
            <v>$1K-$10K</v>
          </cell>
          <cell r="AB3680" t="str">
            <v>2010 or before</v>
          </cell>
        </row>
        <row r="3681">
          <cell r="E3681">
            <v>1402.75</v>
          </cell>
          <cell r="Z3681" t="str">
            <v>Legacy</v>
          </cell>
          <cell r="AA3681" t="str">
            <v>$1K-$10K</v>
          </cell>
          <cell r="AB3681" t="str">
            <v>2010 or before</v>
          </cell>
        </row>
        <row r="3682">
          <cell r="E3682">
            <v>1399.38</v>
          </cell>
          <cell r="Z3682" t="str">
            <v>Legacy</v>
          </cell>
          <cell r="AA3682" t="str">
            <v>$1K-$10K</v>
          </cell>
          <cell r="AB3682" t="str">
            <v>2010 or before</v>
          </cell>
        </row>
        <row r="3683">
          <cell r="E3683">
            <v>1394.79</v>
          </cell>
          <cell r="Z3683" t="str">
            <v>Legacy</v>
          </cell>
          <cell r="AA3683" t="str">
            <v>$1K-$10K</v>
          </cell>
          <cell r="AB3683">
            <v>2011</v>
          </cell>
        </row>
        <row r="3684">
          <cell r="E3684">
            <v>1393.77</v>
          </cell>
          <cell r="Z3684" t="str">
            <v>Legacy</v>
          </cell>
          <cell r="AA3684" t="str">
            <v>$1K-$10K</v>
          </cell>
          <cell r="AB3684" t="str">
            <v>2010 or before</v>
          </cell>
        </row>
        <row r="3685">
          <cell r="E3685">
            <v>1393.62</v>
          </cell>
          <cell r="Z3685" t="str">
            <v>Legacy</v>
          </cell>
          <cell r="AA3685" t="str">
            <v>$1K-$10K</v>
          </cell>
          <cell r="AB3685" t="str">
            <v>2010 or before</v>
          </cell>
        </row>
        <row r="3686">
          <cell r="E3686">
            <v>1389.94</v>
          </cell>
          <cell r="Z3686" t="str">
            <v>Outbound</v>
          </cell>
          <cell r="AA3686" t="str">
            <v>$1K-$10K</v>
          </cell>
          <cell r="AB3686">
            <v>2012</v>
          </cell>
        </row>
        <row r="3687">
          <cell r="E3687">
            <v>1387.61</v>
          </cell>
          <cell r="Z3687" t="str">
            <v>Legacy</v>
          </cell>
          <cell r="AA3687" t="str">
            <v>$1K-$10K</v>
          </cell>
          <cell r="AB3687">
            <v>2011</v>
          </cell>
        </row>
        <row r="3688">
          <cell r="E3688">
            <v>1384.32</v>
          </cell>
          <cell r="Z3688" t="str">
            <v>Legacy</v>
          </cell>
          <cell r="AA3688" t="str">
            <v>$1K-$10K</v>
          </cell>
          <cell r="AB3688">
            <v>2012</v>
          </cell>
        </row>
        <row r="3689">
          <cell r="E3689">
            <v>1384.24</v>
          </cell>
          <cell r="Z3689" t="str">
            <v>Legacy</v>
          </cell>
          <cell r="AA3689" t="str">
            <v>$1K-$10K</v>
          </cell>
          <cell r="AB3689" t="str">
            <v>2010 or before</v>
          </cell>
        </row>
        <row r="3690">
          <cell r="E3690">
            <v>1382.78</v>
          </cell>
          <cell r="Z3690" t="str">
            <v>Legacy</v>
          </cell>
          <cell r="AA3690" t="str">
            <v>$1K-$10K</v>
          </cell>
          <cell r="AB3690" t="str">
            <v>2010 or before</v>
          </cell>
        </row>
        <row r="3691">
          <cell r="E3691">
            <v>1382.35</v>
          </cell>
          <cell r="Z3691" t="str">
            <v>Legacy</v>
          </cell>
          <cell r="AA3691" t="str">
            <v>$1K-$10K</v>
          </cell>
          <cell r="AB3691" t="str">
            <v>2010 or before</v>
          </cell>
        </row>
        <row r="3692">
          <cell r="E3692">
            <v>1381.04</v>
          </cell>
          <cell r="Z3692" t="str">
            <v>Legacy</v>
          </cell>
          <cell r="AA3692" t="str">
            <v>$1K-$10K</v>
          </cell>
          <cell r="AB3692">
            <v>2012</v>
          </cell>
        </row>
        <row r="3693">
          <cell r="E3693">
            <v>1380.87</v>
          </cell>
          <cell r="Z3693" t="str">
            <v>Legacy</v>
          </cell>
          <cell r="AA3693" t="str">
            <v>$1K-$10K</v>
          </cell>
          <cell r="AB3693">
            <v>2011</v>
          </cell>
        </row>
        <row r="3694">
          <cell r="E3694">
            <v>1380.15</v>
          </cell>
          <cell r="Z3694" t="str">
            <v>Ungating</v>
          </cell>
          <cell r="AA3694" t="str">
            <v>$1K-$10K</v>
          </cell>
          <cell r="AB3694">
            <v>2012</v>
          </cell>
        </row>
        <row r="3695">
          <cell r="E3695">
            <v>1377.84</v>
          </cell>
          <cell r="Z3695" t="str">
            <v>Legacy</v>
          </cell>
          <cell r="AA3695" t="str">
            <v>$1K-$10K</v>
          </cell>
          <cell r="AB3695" t="str">
            <v>2010 or before</v>
          </cell>
        </row>
        <row r="3696">
          <cell r="E3696">
            <v>1376.59</v>
          </cell>
          <cell r="Z3696" t="str">
            <v>Legacy</v>
          </cell>
          <cell r="AA3696" t="str">
            <v>$1K-$10K</v>
          </cell>
          <cell r="AB3696" t="str">
            <v>2010 or before</v>
          </cell>
        </row>
        <row r="3697">
          <cell r="E3697">
            <v>1376.36</v>
          </cell>
          <cell r="Z3697" t="str">
            <v>Legacy</v>
          </cell>
          <cell r="AA3697" t="str">
            <v>$1K-$10K</v>
          </cell>
          <cell r="AB3697">
            <v>2011</v>
          </cell>
        </row>
        <row r="3698">
          <cell r="E3698">
            <v>1371.66</v>
          </cell>
          <cell r="Z3698" t="str">
            <v>Legacy</v>
          </cell>
          <cell r="AA3698" t="str">
            <v>$1K-$10K</v>
          </cell>
          <cell r="AB3698" t="str">
            <v>2010 or before</v>
          </cell>
        </row>
        <row r="3699">
          <cell r="E3699">
            <v>1369.99</v>
          </cell>
          <cell r="Z3699" t="str">
            <v>Legacy</v>
          </cell>
          <cell r="AA3699" t="str">
            <v>$1K-$10K</v>
          </cell>
          <cell r="AB3699" t="str">
            <v>2010 or before</v>
          </cell>
        </row>
        <row r="3700">
          <cell r="E3700">
            <v>1368.15</v>
          </cell>
          <cell r="Z3700" t="str">
            <v>Legacy</v>
          </cell>
          <cell r="AA3700" t="str">
            <v>$1K-$10K</v>
          </cell>
          <cell r="AB3700" t="str">
            <v>2010 or before</v>
          </cell>
        </row>
        <row r="3701">
          <cell r="E3701">
            <v>1367</v>
          </cell>
          <cell r="Z3701" t="str">
            <v>Legacy</v>
          </cell>
          <cell r="AA3701" t="str">
            <v>$1K-$10K</v>
          </cell>
          <cell r="AB3701">
            <v>2011</v>
          </cell>
        </row>
        <row r="3702">
          <cell r="E3702">
            <v>1366.68</v>
          </cell>
          <cell r="Z3702" t="str">
            <v>Legacy</v>
          </cell>
          <cell r="AA3702" t="str">
            <v>$1K-$10K</v>
          </cell>
          <cell r="AB3702" t="str">
            <v>2010 or before</v>
          </cell>
        </row>
        <row r="3703">
          <cell r="E3703">
            <v>1366.43</v>
          </cell>
          <cell r="Z3703" t="str">
            <v>Legacy</v>
          </cell>
          <cell r="AA3703" t="str">
            <v>$1K-$10K</v>
          </cell>
          <cell r="AB3703" t="str">
            <v>2010 or before</v>
          </cell>
        </row>
        <row r="3704">
          <cell r="E3704">
            <v>1365.27</v>
          </cell>
          <cell r="Z3704" t="str">
            <v>Outbound</v>
          </cell>
          <cell r="AA3704" t="str">
            <v>$1K-$10K</v>
          </cell>
          <cell r="AB3704">
            <v>2012</v>
          </cell>
        </row>
        <row r="3705">
          <cell r="E3705">
            <v>1364.34</v>
          </cell>
          <cell r="Z3705" t="str">
            <v>Inbound</v>
          </cell>
          <cell r="AA3705" t="str">
            <v>$1K-$10K</v>
          </cell>
          <cell r="AB3705">
            <v>2012</v>
          </cell>
        </row>
        <row r="3706">
          <cell r="E3706">
            <v>1362</v>
          </cell>
          <cell r="Z3706" t="str">
            <v>Ungating</v>
          </cell>
          <cell r="AA3706" t="str">
            <v>$1K-$10K</v>
          </cell>
          <cell r="AB3706">
            <v>2012</v>
          </cell>
        </row>
        <row r="3707">
          <cell r="E3707">
            <v>1356.12</v>
          </cell>
          <cell r="Z3707" t="str">
            <v>Legacy</v>
          </cell>
          <cell r="AA3707" t="str">
            <v>$1K-$10K</v>
          </cell>
          <cell r="AB3707" t="str">
            <v>2010 or before</v>
          </cell>
        </row>
        <row r="3708">
          <cell r="E3708">
            <v>1349.65</v>
          </cell>
          <cell r="Z3708" t="str">
            <v>Ungating</v>
          </cell>
          <cell r="AA3708" t="str">
            <v>$1K-$10K</v>
          </cell>
          <cell r="AB3708">
            <v>2012</v>
          </cell>
        </row>
        <row r="3709">
          <cell r="E3709">
            <v>1349.45</v>
          </cell>
          <cell r="Z3709" t="str">
            <v>Legacy</v>
          </cell>
          <cell r="AA3709" t="str">
            <v>$1K-$10K</v>
          </cell>
          <cell r="AB3709" t="str">
            <v>2010 or before</v>
          </cell>
        </row>
        <row r="3710">
          <cell r="E3710">
            <v>1348.17</v>
          </cell>
          <cell r="Z3710" t="str">
            <v>Legacy</v>
          </cell>
          <cell r="AA3710" t="str">
            <v>$1K-$10K</v>
          </cell>
          <cell r="AB3710">
            <v>2011</v>
          </cell>
        </row>
        <row r="3711">
          <cell r="E3711">
            <v>1347.63</v>
          </cell>
          <cell r="Z3711" t="str">
            <v>Legacy</v>
          </cell>
          <cell r="AA3711" t="str">
            <v>$1K-$10K</v>
          </cell>
          <cell r="AB3711" t="str">
            <v>2010 or before</v>
          </cell>
        </row>
        <row r="3712">
          <cell r="E3712">
            <v>1346.88</v>
          </cell>
          <cell r="Z3712" t="str">
            <v>Legacy</v>
          </cell>
          <cell r="AA3712" t="str">
            <v>$1K-$10K</v>
          </cell>
          <cell r="AB3712" t="str">
            <v>2010 or before</v>
          </cell>
        </row>
        <row r="3713">
          <cell r="E3713">
            <v>1346.43</v>
          </cell>
          <cell r="Z3713" t="str">
            <v>Legacy</v>
          </cell>
          <cell r="AA3713" t="str">
            <v>$1K-$10K</v>
          </cell>
          <cell r="AB3713" t="str">
            <v>2010 or before</v>
          </cell>
        </row>
        <row r="3714">
          <cell r="E3714">
            <v>1344.45</v>
          </cell>
          <cell r="Z3714" t="str">
            <v>Legacy</v>
          </cell>
          <cell r="AA3714" t="str">
            <v>$1K-$10K</v>
          </cell>
          <cell r="AB3714" t="str">
            <v>2010 or before</v>
          </cell>
        </row>
        <row r="3715">
          <cell r="E3715">
            <v>1343.66</v>
          </cell>
          <cell r="Z3715" t="str">
            <v>Inbound</v>
          </cell>
          <cell r="AA3715" t="str">
            <v>$1K-$10K</v>
          </cell>
          <cell r="AB3715">
            <v>2012</v>
          </cell>
        </row>
        <row r="3716">
          <cell r="E3716">
            <v>1342.27</v>
          </cell>
          <cell r="Z3716" t="str">
            <v>Inbound</v>
          </cell>
          <cell r="AA3716" t="str">
            <v>$1K-$10K</v>
          </cell>
          <cell r="AB3716">
            <v>2012</v>
          </cell>
        </row>
        <row r="3717">
          <cell r="E3717">
            <v>1340.5</v>
          </cell>
          <cell r="Z3717" t="str">
            <v>Legacy</v>
          </cell>
          <cell r="AA3717" t="str">
            <v>$1K-$10K</v>
          </cell>
          <cell r="AB3717" t="str">
            <v>2010 or before</v>
          </cell>
        </row>
        <row r="3718">
          <cell r="E3718">
            <v>1336.44</v>
          </cell>
          <cell r="Z3718" t="str">
            <v>Legacy</v>
          </cell>
          <cell r="AA3718" t="str">
            <v>$1K-$10K</v>
          </cell>
          <cell r="AB3718" t="str">
            <v>2010 or before</v>
          </cell>
        </row>
        <row r="3719">
          <cell r="E3719">
            <v>1334.94</v>
          </cell>
          <cell r="Z3719" t="str">
            <v>Legacy</v>
          </cell>
          <cell r="AA3719" t="str">
            <v>$1K-$10K</v>
          </cell>
          <cell r="AB3719" t="str">
            <v>2010 or before</v>
          </cell>
        </row>
        <row r="3720">
          <cell r="E3720">
            <v>1334.24</v>
          </cell>
          <cell r="Z3720" t="str">
            <v>Legacy</v>
          </cell>
          <cell r="AA3720" t="str">
            <v>$1K-$10K</v>
          </cell>
          <cell r="AB3720">
            <v>2011</v>
          </cell>
        </row>
        <row r="3721">
          <cell r="E3721">
            <v>1334.2</v>
          </cell>
          <cell r="Z3721" t="str">
            <v>Legacy</v>
          </cell>
          <cell r="AA3721" t="str">
            <v>$1K-$10K</v>
          </cell>
          <cell r="AB3721" t="str">
            <v>2010 or before</v>
          </cell>
        </row>
        <row r="3722">
          <cell r="E3722">
            <v>1329.39</v>
          </cell>
          <cell r="Z3722" t="str">
            <v>Legacy</v>
          </cell>
          <cell r="AA3722" t="str">
            <v>$1K-$10K</v>
          </cell>
          <cell r="AB3722" t="str">
            <v>2010 or before</v>
          </cell>
        </row>
        <row r="3723">
          <cell r="E3723">
            <v>1328.68</v>
          </cell>
          <cell r="Z3723" t="str">
            <v>Global</v>
          </cell>
          <cell r="AA3723" t="str">
            <v>$1K-$10K</v>
          </cell>
          <cell r="AB3723">
            <v>2012</v>
          </cell>
        </row>
        <row r="3724">
          <cell r="E3724">
            <v>1326.48</v>
          </cell>
          <cell r="Z3724" t="str">
            <v>Legacy</v>
          </cell>
          <cell r="AA3724" t="str">
            <v>$1K-$10K</v>
          </cell>
          <cell r="AB3724" t="str">
            <v>2010 or before</v>
          </cell>
        </row>
        <row r="3725">
          <cell r="E3725">
            <v>1326.34</v>
          </cell>
          <cell r="Z3725" t="str">
            <v>Legacy</v>
          </cell>
          <cell r="AA3725" t="str">
            <v>$1K-$10K</v>
          </cell>
          <cell r="AB3725" t="str">
            <v>2010 or before</v>
          </cell>
        </row>
        <row r="3726">
          <cell r="E3726">
            <v>1323.21</v>
          </cell>
          <cell r="Z3726" t="str">
            <v>Legacy</v>
          </cell>
          <cell r="AA3726" t="str">
            <v>$1K-$10K</v>
          </cell>
          <cell r="AB3726" t="str">
            <v>2010 or before</v>
          </cell>
        </row>
        <row r="3727">
          <cell r="E3727">
            <v>1321.41</v>
          </cell>
          <cell r="Z3727" t="str">
            <v>Legacy</v>
          </cell>
          <cell r="AA3727" t="str">
            <v>$1K-$10K</v>
          </cell>
          <cell r="AB3727" t="str">
            <v>2010 or before</v>
          </cell>
        </row>
        <row r="3728">
          <cell r="E3728">
            <v>1318.72</v>
          </cell>
          <cell r="Z3728" t="str">
            <v>Legacy</v>
          </cell>
          <cell r="AA3728" t="str">
            <v>$1K-$10K</v>
          </cell>
          <cell r="AB3728" t="str">
            <v>2010 or before</v>
          </cell>
        </row>
        <row r="3729">
          <cell r="E3729">
            <v>1318</v>
          </cell>
          <cell r="Z3729" t="str">
            <v>Legacy</v>
          </cell>
          <cell r="AA3729" t="str">
            <v>$1K-$10K</v>
          </cell>
          <cell r="AB3729">
            <v>2012</v>
          </cell>
        </row>
        <row r="3730">
          <cell r="E3730">
            <v>1317.85</v>
          </cell>
          <cell r="Z3730" t="str">
            <v>Legacy</v>
          </cell>
          <cell r="AA3730" t="str">
            <v>$1K-$10K</v>
          </cell>
          <cell r="AB3730" t="str">
            <v>2010 or before</v>
          </cell>
        </row>
        <row r="3731">
          <cell r="E3731">
            <v>1316.08</v>
          </cell>
          <cell r="Z3731" t="str">
            <v>Legacy</v>
          </cell>
          <cell r="AA3731" t="str">
            <v>$1K-$10K</v>
          </cell>
          <cell r="AB3731" t="str">
            <v>2010 or before</v>
          </cell>
        </row>
        <row r="3732">
          <cell r="E3732">
            <v>1315.55</v>
          </cell>
          <cell r="Z3732" t="str">
            <v>Legacy</v>
          </cell>
          <cell r="AA3732" t="str">
            <v>$1K-$10K</v>
          </cell>
          <cell r="AB3732" t="str">
            <v>2010 or before</v>
          </cell>
        </row>
        <row r="3733">
          <cell r="E3733">
            <v>1314.96</v>
          </cell>
          <cell r="Z3733" t="str">
            <v>Ungating</v>
          </cell>
          <cell r="AA3733" t="str">
            <v>$1K-$10K</v>
          </cell>
          <cell r="AB3733">
            <v>2012</v>
          </cell>
        </row>
        <row r="3734">
          <cell r="E3734">
            <v>1313.34</v>
          </cell>
          <cell r="Z3734" t="str">
            <v>Legacy</v>
          </cell>
          <cell r="AA3734" t="str">
            <v>$1K-$10K</v>
          </cell>
          <cell r="AB3734" t="str">
            <v>2010 or before</v>
          </cell>
        </row>
        <row r="3735">
          <cell r="E3735">
            <v>1311.74</v>
          </cell>
          <cell r="Z3735" t="str">
            <v>Inbound</v>
          </cell>
          <cell r="AA3735" t="str">
            <v>$1K-$10K</v>
          </cell>
          <cell r="AB3735">
            <v>2012</v>
          </cell>
        </row>
        <row r="3736">
          <cell r="E3736">
            <v>1310.6199999999999</v>
          </cell>
          <cell r="Z3736" t="str">
            <v>Ungating</v>
          </cell>
          <cell r="AA3736" t="str">
            <v>$1K-$10K</v>
          </cell>
          <cell r="AB3736">
            <v>2011</v>
          </cell>
        </row>
        <row r="3737">
          <cell r="E3737">
            <v>1309.8699999999999</v>
          </cell>
          <cell r="Z3737" t="str">
            <v>Legacy</v>
          </cell>
          <cell r="AA3737" t="str">
            <v>$1K-$10K</v>
          </cell>
          <cell r="AB3737" t="str">
            <v>2010 or before</v>
          </cell>
        </row>
        <row r="3738">
          <cell r="E3738">
            <v>1308.77</v>
          </cell>
          <cell r="Z3738" t="str">
            <v>Legacy</v>
          </cell>
          <cell r="AA3738" t="str">
            <v>$1K-$10K</v>
          </cell>
          <cell r="AB3738" t="str">
            <v>2010 or before</v>
          </cell>
        </row>
        <row r="3739">
          <cell r="E3739">
            <v>1307.18</v>
          </cell>
          <cell r="Z3739" t="str">
            <v>Legacy</v>
          </cell>
          <cell r="AA3739" t="str">
            <v>$1K-$10K</v>
          </cell>
          <cell r="AB3739" t="str">
            <v>2010 or before</v>
          </cell>
        </row>
        <row r="3740">
          <cell r="E3740">
            <v>1305.77</v>
          </cell>
          <cell r="Z3740" t="str">
            <v>Legacy</v>
          </cell>
          <cell r="AA3740" t="str">
            <v>$1K-$10K</v>
          </cell>
          <cell r="AB3740">
            <v>2011</v>
          </cell>
        </row>
        <row r="3741">
          <cell r="E3741">
            <v>1304.0999999999999</v>
          </cell>
          <cell r="Z3741" t="str">
            <v>Legacy</v>
          </cell>
          <cell r="AA3741" t="str">
            <v>$1K-$10K</v>
          </cell>
          <cell r="AB3741" t="str">
            <v>2010 or before</v>
          </cell>
        </row>
        <row r="3742">
          <cell r="E3742">
            <v>1300.77</v>
          </cell>
          <cell r="Z3742" t="str">
            <v>Legacy</v>
          </cell>
          <cell r="AA3742" t="str">
            <v>$1K-$10K</v>
          </cell>
          <cell r="AB3742" t="str">
            <v>2010 or before</v>
          </cell>
        </row>
        <row r="3743">
          <cell r="E3743">
            <v>1300.01</v>
          </cell>
          <cell r="Z3743" t="str">
            <v>Inbound</v>
          </cell>
          <cell r="AA3743" t="str">
            <v>$1K-$10K</v>
          </cell>
          <cell r="AB3743">
            <v>2011</v>
          </cell>
        </row>
        <row r="3744">
          <cell r="E3744">
            <v>1299.5899999999999</v>
          </cell>
          <cell r="Z3744" t="str">
            <v>Legacy</v>
          </cell>
          <cell r="AA3744" t="str">
            <v>$1K-$10K</v>
          </cell>
          <cell r="AB3744" t="str">
            <v>2010 or before</v>
          </cell>
        </row>
        <row r="3745">
          <cell r="E3745">
            <v>1299.5899999999999</v>
          </cell>
          <cell r="Z3745" t="str">
            <v>Legacy</v>
          </cell>
          <cell r="AA3745" t="str">
            <v>$1K-$10K</v>
          </cell>
          <cell r="AB3745">
            <v>2011</v>
          </cell>
        </row>
        <row r="3746">
          <cell r="E3746">
            <v>1298</v>
          </cell>
          <cell r="Z3746" t="str">
            <v>Legacy</v>
          </cell>
          <cell r="AA3746" t="str">
            <v>$1K-$10K</v>
          </cell>
          <cell r="AB3746" t="str">
            <v>2010 or before</v>
          </cell>
        </row>
        <row r="3747">
          <cell r="E3747">
            <v>1295</v>
          </cell>
          <cell r="Z3747" t="str">
            <v>Inbound</v>
          </cell>
          <cell r="AA3747" t="str">
            <v>$1K-$10K</v>
          </cell>
          <cell r="AB3747">
            <v>2012</v>
          </cell>
        </row>
        <row r="3748">
          <cell r="E3748">
            <v>1293.72</v>
          </cell>
          <cell r="Z3748" t="str">
            <v>Legacy</v>
          </cell>
          <cell r="AA3748" t="str">
            <v>$1K-$10K</v>
          </cell>
          <cell r="AB3748">
            <v>2012</v>
          </cell>
        </row>
        <row r="3749">
          <cell r="E3749">
            <v>1292.4000000000001</v>
          </cell>
          <cell r="Z3749" t="str">
            <v>Legacy</v>
          </cell>
          <cell r="AA3749" t="str">
            <v>$1K-$10K</v>
          </cell>
          <cell r="AB3749" t="str">
            <v>2010 or before</v>
          </cell>
        </row>
        <row r="3750">
          <cell r="E3750">
            <v>1292.2</v>
          </cell>
          <cell r="Z3750" t="str">
            <v>Legacy</v>
          </cell>
          <cell r="AA3750" t="str">
            <v>$1K-$10K</v>
          </cell>
          <cell r="AB3750" t="str">
            <v>2010 or before</v>
          </cell>
        </row>
        <row r="3751">
          <cell r="E3751">
            <v>1289.98</v>
          </cell>
          <cell r="Z3751" t="str">
            <v>Legacy</v>
          </cell>
          <cell r="AA3751" t="str">
            <v>$1K-$10K</v>
          </cell>
          <cell r="AB3751" t="str">
            <v>2010 or before</v>
          </cell>
        </row>
        <row r="3752">
          <cell r="E3752">
            <v>1288.01</v>
          </cell>
          <cell r="Z3752" t="str">
            <v>Inbound</v>
          </cell>
          <cell r="AA3752" t="str">
            <v>$1K-$10K</v>
          </cell>
          <cell r="AB3752">
            <v>2012</v>
          </cell>
        </row>
        <row r="3753">
          <cell r="E3753">
            <v>1287.6300000000001</v>
          </cell>
          <cell r="Z3753" t="str">
            <v>Legacy</v>
          </cell>
          <cell r="AA3753" t="str">
            <v>$1K-$10K</v>
          </cell>
          <cell r="AB3753" t="str">
            <v>2010 or before</v>
          </cell>
        </row>
        <row r="3754">
          <cell r="E3754">
            <v>1285.1600000000001</v>
          </cell>
          <cell r="Z3754" t="str">
            <v>Legacy</v>
          </cell>
          <cell r="AA3754" t="str">
            <v>$1K-$10K</v>
          </cell>
          <cell r="AB3754">
            <v>2011</v>
          </cell>
        </row>
        <row r="3755">
          <cell r="E3755">
            <v>1284.9000000000001</v>
          </cell>
          <cell r="Z3755" t="str">
            <v>Legacy</v>
          </cell>
          <cell r="AA3755" t="str">
            <v>$1K-$10K</v>
          </cell>
          <cell r="AB3755" t="str">
            <v>2010 or before</v>
          </cell>
        </row>
        <row r="3756">
          <cell r="E3756">
            <v>1283.2</v>
          </cell>
          <cell r="Z3756" t="str">
            <v>Legacy</v>
          </cell>
          <cell r="AA3756" t="str">
            <v>$1K-$10K</v>
          </cell>
          <cell r="AB3756" t="str">
            <v>2010 or before</v>
          </cell>
        </row>
        <row r="3757">
          <cell r="E3757">
            <v>1280.73</v>
          </cell>
          <cell r="Z3757" t="str">
            <v>Legacy</v>
          </cell>
          <cell r="AA3757" t="str">
            <v>$1K-$10K</v>
          </cell>
          <cell r="AB3757" t="str">
            <v>2010 or before</v>
          </cell>
        </row>
        <row r="3758">
          <cell r="E3758">
            <v>1279.05</v>
          </cell>
          <cell r="Z3758" t="str">
            <v>Outbound</v>
          </cell>
          <cell r="AA3758" t="str">
            <v>$1K-$10K</v>
          </cell>
          <cell r="AB3758">
            <v>2012</v>
          </cell>
        </row>
        <row r="3759">
          <cell r="E3759">
            <v>1278.31</v>
          </cell>
          <cell r="Z3759" t="str">
            <v>Legacy</v>
          </cell>
          <cell r="AA3759" t="str">
            <v>$1K-$10K</v>
          </cell>
          <cell r="AB3759">
            <v>2012</v>
          </cell>
        </row>
        <row r="3760">
          <cell r="E3760">
            <v>1277.93</v>
          </cell>
          <cell r="Z3760" t="str">
            <v>Legacy</v>
          </cell>
          <cell r="AA3760" t="str">
            <v>$1K-$10K</v>
          </cell>
          <cell r="AB3760">
            <v>2012</v>
          </cell>
        </row>
        <row r="3761">
          <cell r="E3761">
            <v>1277.23</v>
          </cell>
          <cell r="Z3761" t="str">
            <v>Legacy</v>
          </cell>
          <cell r="AA3761" t="str">
            <v>$1K-$10K</v>
          </cell>
          <cell r="AB3761">
            <v>2012</v>
          </cell>
        </row>
        <row r="3762">
          <cell r="E3762">
            <v>1276.9100000000001</v>
          </cell>
          <cell r="Z3762" t="str">
            <v>Legacy</v>
          </cell>
          <cell r="AA3762" t="str">
            <v>$1K-$10K</v>
          </cell>
          <cell r="AB3762" t="str">
            <v>2010 or before</v>
          </cell>
        </row>
        <row r="3763">
          <cell r="E3763">
            <v>1273.97</v>
          </cell>
          <cell r="Z3763" t="str">
            <v>Legacy</v>
          </cell>
          <cell r="AA3763" t="str">
            <v>$1K-$10K</v>
          </cell>
          <cell r="AB3763">
            <v>2011</v>
          </cell>
        </row>
        <row r="3764">
          <cell r="E3764">
            <v>1273.77</v>
          </cell>
          <cell r="Z3764" t="str">
            <v>Legacy</v>
          </cell>
          <cell r="AA3764" t="str">
            <v>$1K-$10K</v>
          </cell>
          <cell r="AB3764" t="str">
            <v>2010 or before</v>
          </cell>
        </row>
        <row r="3765">
          <cell r="E3765">
            <v>1270.51</v>
          </cell>
          <cell r="Z3765" t="str">
            <v>Legacy</v>
          </cell>
          <cell r="AA3765" t="str">
            <v>$1K-$10K</v>
          </cell>
          <cell r="AB3765" t="str">
            <v>2010 or before</v>
          </cell>
        </row>
        <row r="3766">
          <cell r="E3766">
            <v>1268.8499999999999</v>
          </cell>
          <cell r="Z3766" t="str">
            <v>Legacy</v>
          </cell>
          <cell r="AA3766" t="str">
            <v>$1K-$10K</v>
          </cell>
          <cell r="AB3766" t="str">
            <v>2010 or before</v>
          </cell>
        </row>
        <row r="3767">
          <cell r="E3767">
            <v>1268.1199999999999</v>
          </cell>
          <cell r="Z3767" t="str">
            <v>Legacy</v>
          </cell>
          <cell r="AA3767" t="str">
            <v>$1K-$10K</v>
          </cell>
          <cell r="AB3767" t="str">
            <v>2010 or before</v>
          </cell>
        </row>
        <row r="3768">
          <cell r="E3768">
            <v>1266.3800000000001</v>
          </cell>
          <cell r="Z3768" t="str">
            <v>Legacy</v>
          </cell>
          <cell r="AA3768" t="str">
            <v>$1K-$10K</v>
          </cell>
          <cell r="AB3768" t="str">
            <v>2010 or before</v>
          </cell>
        </row>
        <row r="3769">
          <cell r="E3769">
            <v>1263.8800000000001</v>
          </cell>
          <cell r="Z3769" t="str">
            <v>Inbound</v>
          </cell>
          <cell r="AA3769" t="str">
            <v>$1K-$10K</v>
          </cell>
          <cell r="AB3769">
            <v>2011</v>
          </cell>
        </row>
        <row r="3770">
          <cell r="E3770">
            <v>1259.6300000000001</v>
          </cell>
          <cell r="Z3770" t="str">
            <v>Legacy</v>
          </cell>
          <cell r="AA3770" t="str">
            <v>$1K-$10K</v>
          </cell>
          <cell r="AB3770" t="str">
            <v>2010 or before</v>
          </cell>
        </row>
        <row r="3771">
          <cell r="E3771">
            <v>1258.77</v>
          </cell>
          <cell r="Z3771" t="str">
            <v>Legacy</v>
          </cell>
          <cell r="AA3771" t="str">
            <v>$1K-$10K</v>
          </cell>
          <cell r="AB3771">
            <v>2012</v>
          </cell>
        </row>
        <row r="3772">
          <cell r="E3772">
            <v>1258.3900000000001</v>
          </cell>
          <cell r="Z3772" t="str">
            <v>Inbound</v>
          </cell>
          <cell r="AA3772" t="str">
            <v>$1K-$10K</v>
          </cell>
          <cell r="AB3772">
            <v>2011</v>
          </cell>
        </row>
        <row r="3773">
          <cell r="E3773">
            <v>1257</v>
          </cell>
          <cell r="Z3773" t="str">
            <v>Legacy</v>
          </cell>
          <cell r="AA3773" t="str">
            <v>$1K-$10K</v>
          </cell>
          <cell r="AB3773" t="str">
            <v>2010 or before</v>
          </cell>
        </row>
        <row r="3774">
          <cell r="E3774">
            <v>1256.0999999999999</v>
          </cell>
          <cell r="Z3774" t="str">
            <v>Legacy</v>
          </cell>
          <cell r="AA3774" t="str">
            <v>$1K-$10K</v>
          </cell>
          <cell r="AB3774" t="str">
            <v>2010 or before</v>
          </cell>
        </row>
        <row r="3775">
          <cell r="E3775">
            <v>1251.74</v>
          </cell>
          <cell r="Z3775" t="str">
            <v>Legacy</v>
          </cell>
          <cell r="AA3775" t="str">
            <v>$1K-$10K</v>
          </cell>
          <cell r="AB3775" t="str">
            <v>2010 or before</v>
          </cell>
        </row>
        <row r="3776">
          <cell r="E3776">
            <v>1251.04</v>
          </cell>
          <cell r="Z3776" t="str">
            <v>Legacy</v>
          </cell>
          <cell r="AA3776" t="str">
            <v>$1K-$10K</v>
          </cell>
          <cell r="AB3776" t="str">
            <v>2010 or before</v>
          </cell>
        </row>
        <row r="3777">
          <cell r="E3777">
            <v>1250.6500000000001</v>
          </cell>
          <cell r="Z3777" t="str">
            <v>Legacy</v>
          </cell>
          <cell r="AA3777" t="str">
            <v>$1K-$10K</v>
          </cell>
          <cell r="AB3777">
            <v>2011</v>
          </cell>
        </row>
        <row r="3778">
          <cell r="E3778">
            <v>1250.04</v>
          </cell>
          <cell r="Z3778" t="str">
            <v>Legacy</v>
          </cell>
          <cell r="AA3778" t="str">
            <v>$1K-$10K</v>
          </cell>
          <cell r="AB3778" t="str">
            <v>2010 or before</v>
          </cell>
        </row>
        <row r="3779">
          <cell r="E3779">
            <v>1249.54</v>
          </cell>
          <cell r="Z3779" t="str">
            <v>Legacy</v>
          </cell>
          <cell r="AA3779" t="str">
            <v>$1K-$10K</v>
          </cell>
          <cell r="AB3779" t="str">
            <v>2010 or before</v>
          </cell>
        </row>
        <row r="3780">
          <cell r="E3780">
            <v>1244.97</v>
          </cell>
          <cell r="Z3780" t="str">
            <v>Legacy</v>
          </cell>
          <cell r="AA3780" t="str">
            <v>$1K-$10K</v>
          </cell>
          <cell r="AB3780" t="str">
            <v>2010 or before</v>
          </cell>
        </row>
        <row r="3781">
          <cell r="E3781">
            <v>1244.81</v>
          </cell>
          <cell r="Z3781" t="str">
            <v>Legacy</v>
          </cell>
          <cell r="AA3781" t="str">
            <v>$1K-$10K</v>
          </cell>
          <cell r="AB3781" t="str">
            <v>2010 or before</v>
          </cell>
        </row>
        <row r="3782">
          <cell r="E3782">
            <v>1242.98</v>
          </cell>
          <cell r="Z3782" t="str">
            <v>Legacy</v>
          </cell>
          <cell r="AA3782" t="str">
            <v>$1K-$10K</v>
          </cell>
          <cell r="AB3782">
            <v>2011</v>
          </cell>
        </row>
        <row r="3783">
          <cell r="E3783">
            <v>1242.8499999999999</v>
          </cell>
          <cell r="Z3783" t="str">
            <v>Legacy</v>
          </cell>
          <cell r="AA3783" t="str">
            <v>$1K-$10K</v>
          </cell>
          <cell r="AB3783" t="str">
            <v>2010 or before</v>
          </cell>
        </row>
        <row r="3784">
          <cell r="E3784">
            <v>1242.28</v>
          </cell>
          <cell r="Z3784" t="str">
            <v>Legacy</v>
          </cell>
          <cell r="AA3784" t="str">
            <v>$1K-$10K</v>
          </cell>
          <cell r="AB3784" t="str">
            <v>2010 or before</v>
          </cell>
        </row>
        <row r="3785">
          <cell r="E3785">
            <v>1241.54</v>
          </cell>
          <cell r="Z3785" t="str">
            <v>Outbound</v>
          </cell>
          <cell r="AA3785" t="str">
            <v>$1K-$10K</v>
          </cell>
          <cell r="AB3785">
            <v>2012</v>
          </cell>
        </row>
        <row r="3786">
          <cell r="E3786">
            <v>1240.1600000000001</v>
          </cell>
          <cell r="Z3786" t="str">
            <v>Ungating</v>
          </cell>
          <cell r="AA3786" t="str">
            <v>$1K-$10K</v>
          </cell>
          <cell r="AB3786">
            <v>2012</v>
          </cell>
        </row>
        <row r="3787">
          <cell r="E3787">
            <v>1238.55</v>
          </cell>
          <cell r="Z3787" t="str">
            <v>Legacy</v>
          </cell>
          <cell r="AA3787" t="str">
            <v>$1K-$10K</v>
          </cell>
          <cell r="AB3787" t="str">
            <v>2010 or before</v>
          </cell>
        </row>
        <row r="3788">
          <cell r="E3788">
            <v>1234.94</v>
          </cell>
          <cell r="Z3788" t="str">
            <v>Legacy</v>
          </cell>
          <cell r="AA3788" t="str">
            <v>$1K-$10K</v>
          </cell>
          <cell r="AB3788" t="str">
            <v>2010 or before</v>
          </cell>
        </row>
        <row r="3789">
          <cell r="E3789">
            <v>1234.4100000000001</v>
          </cell>
          <cell r="Z3789" t="str">
            <v>Legacy</v>
          </cell>
          <cell r="AA3789" t="str">
            <v>$1K-$10K</v>
          </cell>
          <cell r="AB3789" t="str">
            <v>2010 or before</v>
          </cell>
        </row>
        <row r="3790">
          <cell r="E3790">
            <v>1232.45</v>
          </cell>
          <cell r="Z3790" t="str">
            <v>Legacy</v>
          </cell>
          <cell r="AA3790" t="str">
            <v>$1K-$10K</v>
          </cell>
          <cell r="AB3790" t="str">
            <v>2010 or before</v>
          </cell>
        </row>
        <row r="3791">
          <cell r="E3791">
            <v>1227.82</v>
          </cell>
          <cell r="Z3791" t="str">
            <v>Legacy</v>
          </cell>
          <cell r="AA3791" t="str">
            <v>$1K-$10K</v>
          </cell>
          <cell r="AB3791">
            <v>2012</v>
          </cell>
        </row>
        <row r="3792">
          <cell r="E3792">
            <v>1227.3399999999999</v>
          </cell>
          <cell r="Z3792" t="str">
            <v>Legacy</v>
          </cell>
          <cell r="AA3792" t="str">
            <v>$1K-$10K</v>
          </cell>
          <cell r="AB3792">
            <v>2012</v>
          </cell>
        </row>
        <row r="3793">
          <cell r="E3793">
            <v>1222.6099999999999</v>
          </cell>
          <cell r="Z3793" t="str">
            <v>Legacy</v>
          </cell>
          <cell r="AA3793" t="str">
            <v>$1K-$10K</v>
          </cell>
          <cell r="AB3793" t="str">
            <v>2010 or before</v>
          </cell>
        </row>
        <row r="3794">
          <cell r="E3794">
            <v>1220</v>
          </cell>
          <cell r="Z3794" t="str">
            <v>Legacy</v>
          </cell>
          <cell r="AA3794" t="str">
            <v>$1K-$10K</v>
          </cell>
          <cell r="AB3794" t="str">
            <v>2010 or before</v>
          </cell>
        </row>
        <row r="3795">
          <cell r="E3795">
            <v>1216.2</v>
          </cell>
          <cell r="Z3795" t="str">
            <v>Legacy</v>
          </cell>
          <cell r="AA3795" t="str">
            <v>$1K-$10K</v>
          </cell>
          <cell r="AB3795">
            <v>2011</v>
          </cell>
        </row>
        <row r="3796">
          <cell r="E3796">
            <v>1215.95</v>
          </cell>
          <cell r="Z3796" t="str">
            <v>Outbound</v>
          </cell>
          <cell r="AA3796" t="str">
            <v>$1K-$10K</v>
          </cell>
          <cell r="AB3796">
            <v>2011</v>
          </cell>
        </row>
        <row r="3797">
          <cell r="E3797">
            <v>1209.22</v>
          </cell>
          <cell r="Z3797" t="str">
            <v>Legacy</v>
          </cell>
          <cell r="AA3797" t="str">
            <v>$1K-$10K</v>
          </cell>
          <cell r="AB3797">
            <v>2012</v>
          </cell>
        </row>
        <row r="3798">
          <cell r="E3798">
            <v>1208.73</v>
          </cell>
          <cell r="Z3798" t="str">
            <v>Legacy</v>
          </cell>
          <cell r="AA3798" t="str">
            <v>$1K-$10K</v>
          </cell>
          <cell r="AB3798">
            <v>2011</v>
          </cell>
        </row>
        <row r="3799">
          <cell r="E3799">
            <v>1200.94</v>
          </cell>
          <cell r="Z3799" t="str">
            <v>Global</v>
          </cell>
          <cell r="AA3799" t="str">
            <v>$1K-$10K</v>
          </cell>
          <cell r="AB3799">
            <v>2012</v>
          </cell>
        </row>
        <row r="3800">
          <cell r="E3800">
            <v>1199.3</v>
          </cell>
          <cell r="Z3800" t="str">
            <v>Outbound</v>
          </cell>
          <cell r="AA3800" t="str">
            <v>$1K-$10K</v>
          </cell>
          <cell r="AB3800">
            <v>2012</v>
          </cell>
        </row>
        <row r="3801">
          <cell r="E3801">
            <v>1197.9100000000001</v>
          </cell>
          <cell r="Z3801" t="str">
            <v>Legacy</v>
          </cell>
          <cell r="AA3801" t="str">
            <v>$1K-$10K</v>
          </cell>
          <cell r="AB3801" t="str">
            <v>2010 or before</v>
          </cell>
        </row>
        <row r="3802">
          <cell r="E3802">
            <v>1195.72</v>
          </cell>
          <cell r="Z3802" t="str">
            <v>Legacy</v>
          </cell>
          <cell r="AA3802" t="str">
            <v>$1K-$10K</v>
          </cell>
          <cell r="AB3802" t="str">
            <v>2010 or before</v>
          </cell>
        </row>
        <row r="3803">
          <cell r="E3803">
            <v>1192.97</v>
          </cell>
          <cell r="Z3803" t="str">
            <v>Legacy</v>
          </cell>
          <cell r="AA3803" t="str">
            <v>$1K-$10K</v>
          </cell>
          <cell r="AB3803" t="str">
            <v>2010 or before</v>
          </cell>
        </row>
        <row r="3804">
          <cell r="E3804">
            <v>1192.82</v>
          </cell>
          <cell r="Z3804" t="str">
            <v>Legacy</v>
          </cell>
          <cell r="AA3804" t="str">
            <v>$1K-$10K</v>
          </cell>
          <cell r="AB3804">
            <v>2011</v>
          </cell>
        </row>
        <row r="3805">
          <cell r="E3805">
            <v>1192.42</v>
          </cell>
          <cell r="Z3805" t="str">
            <v>Ungating</v>
          </cell>
          <cell r="AA3805" t="str">
            <v>$1K-$10K</v>
          </cell>
          <cell r="AB3805">
            <v>2012</v>
          </cell>
        </row>
        <row r="3806">
          <cell r="E3806">
            <v>1191.5999999999999</v>
          </cell>
          <cell r="Z3806" t="str">
            <v>Inbound</v>
          </cell>
          <cell r="AA3806" t="str">
            <v>$1K-$10K</v>
          </cell>
          <cell r="AB3806">
            <v>2012</v>
          </cell>
        </row>
        <row r="3807">
          <cell r="E3807">
            <v>1190.07</v>
          </cell>
          <cell r="Z3807" t="str">
            <v>Legacy</v>
          </cell>
          <cell r="AA3807" t="str">
            <v>$1K-$10K</v>
          </cell>
          <cell r="AB3807" t="str">
            <v>2010 or before</v>
          </cell>
        </row>
        <row r="3808">
          <cell r="E3808">
            <v>1189.29</v>
          </cell>
          <cell r="Z3808" t="str">
            <v>Legacy</v>
          </cell>
          <cell r="AA3808" t="str">
            <v>$1K-$10K</v>
          </cell>
          <cell r="AB3808">
            <v>2012</v>
          </cell>
        </row>
        <row r="3809">
          <cell r="E3809">
            <v>1188.67</v>
          </cell>
          <cell r="Z3809" t="str">
            <v>Legacy</v>
          </cell>
          <cell r="AA3809" t="str">
            <v>$1K-$10K</v>
          </cell>
          <cell r="AB3809">
            <v>2011</v>
          </cell>
        </row>
        <row r="3810">
          <cell r="E3810">
            <v>1188.6099999999999</v>
          </cell>
          <cell r="Z3810" t="str">
            <v>Legacy</v>
          </cell>
          <cell r="AA3810" t="str">
            <v>$1K-$10K</v>
          </cell>
          <cell r="AB3810">
            <v>2012</v>
          </cell>
        </row>
        <row r="3811">
          <cell r="E3811">
            <v>1187.24</v>
          </cell>
          <cell r="Z3811" t="str">
            <v>Legacy</v>
          </cell>
          <cell r="AA3811" t="str">
            <v>$1K-$10K</v>
          </cell>
          <cell r="AB3811" t="str">
            <v>2010 or before</v>
          </cell>
        </row>
        <row r="3812">
          <cell r="E3812">
            <v>1186.52</v>
          </cell>
          <cell r="Z3812" t="str">
            <v>Legacy</v>
          </cell>
          <cell r="AA3812" t="str">
            <v>$1K-$10K</v>
          </cell>
          <cell r="AB3812" t="str">
            <v>2010 or before</v>
          </cell>
        </row>
        <row r="3813">
          <cell r="E3813">
            <v>1180.4000000000001</v>
          </cell>
          <cell r="Z3813" t="str">
            <v>Legacy</v>
          </cell>
          <cell r="AA3813" t="str">
            <v>$1K-$10K</v>
          </cell>
          <cell r="AB3813" t="str">
            <v>2010 or before</v>
          </cell>
        </row>
        <row r="3814">
          <cell r="E3814">
            <v>1179.55</v>
          </cell>
          <cell r="Z3814" t="str">
            <v>Legacy</v>
          </cell>
          <cell r="AA3814" t="str">
            <v>$1K-$10K</v>
          </cell>
          <cell r="AB3814" t="str">
            <v>2010 or before</v>
          </cell>
        </row>
        <row r="3815">
          <cell r="E3815">
            <v>1179.28</v>
          </cell>
          <cell r="Z3815" t="str">
            <v>Legacy</v>
          </cell>
          <cell r="AA3815" t="str">
            <v>$1K-$10K</v>
          </cell>
          <cell r="AB3815" t="str">
            <v>2010 or before</v>
          </cell>
        </row>
        <row r="3816">
          <cell r="E3816">
            <v>1178.29</v>
          </cell>
          <cell r="Z3816" t="str">
            <v>Legacy</v>
          </cell>
          <cell r="AA3816" t="str">
            <v>$1K-$10K</v>
          </cell>
          <cell r="AB3816" t="str">
            <v>2010 or before</v>
          </cell>
        </row>
        <row r="3817">
          <cell r="E3817">
            <v>1177.3599999999999</v>
          </cell>
          <cell r="Z3817" t="str">
            <v>Legacy</v>
          </cell>
          <cell r="AA3817" t="str">
            <v>$1K-$10K</v>
          </cell>
          <cell r="AB3817" t="str">
            <v>2010 or before</v>
          </cell>
        </row>
        <row r="3818">
          <cell r="E3818">
            <v>1176.73</v>
          </cell>
          <cell r="Z3818" t="str">
            <v>Legacy</v>
          </cell>
          <cell r="AA3818" t="str">
            <v>$1K-$10K</v>
          </cell>
          <cell r="AB3818" t="str">
            <v>2010 or before</v>
          </cell>
        </row>
        <row r="3819">
          <cell r="E3819">
            <v>1175.6300000000001</v>
          </cell>
          <cell r="Z3819" t="str">
            <v>Legacy</v>
          </cell>
          <cell r="AA3819" t="str">
            <v>$1K-$10K</v>
          </cell>
          <cell r="AB3819" t="str">
            <v>2010 or before</v>
          </cell>
        </row>
        <row r="3820">
          <cell r="E3820">
            <v>1175.05</v>
          </cell>
          <cell r="Z3820" t="str">
            <v>Legacy</v>
          </cell>
          <cell r="AA3820" t="str">
            <v>$1K-$10K</v>
          </cell>
          <cell r="AB3820" t="str">
            <v>2010 or before</v>
          </cell>
        </row>
        <row r="3821">
          <cell r="E3821">
            <v>1174.5999999999999</v>
          </cell>
          <cell r="Z3821" t="str">
            <v>Legacy</v>
          </cell>
          <cell r="AA3821" t="str">
            <v>$1K-$10K</v>
          </cell>
          <cell r="AB3821" t="str">
            <v>2010 or before</v>
          </cell>
        </row>
        <row r="3822">
          <cell r="E3822">
            <v>1174.23</v>
          </cell>
          <cell r="Z3822" t="str">
            <v>Legacy</v>
          </cell>
          <cell r="AA3822" t="str">
            <v>$1K-$10K</v>
          </cell>
          <cell r="AB3822">
            <v>2012</v>
          </cell>
        </row>
        <row r="3823">
          <cell r="E3823">
            <v>1172.5</v>
          </cell>
          <cell r="Z3823" t="str">
            <v>Legacy</v>
          </cell>
          <cell r="AA3823" t="str">
            <v>$1K-$10K</v>
          </cell>
          <cell r="AB3823" t="str">
            <v>2010 or before</v>
          </cell>
        </row>
        <row r="3824">
          <cell r="E3824">
            <v>1172.32</v>
          </cell>
          <cell r="Z3824" t="str">
            <v>Legacy</v>
          </cell>
          <cell r="AA3824" t="str">
            <v>$1K-$10K</v>
          </cell>
          <cell r="AB3824" t="str">
            <v>2010 or before</v>
          </cell>
        </row>
        <row r="3825">
          <cell r="E3825">
            <v>1170.5899999999999</v>
          </cell>
          <cell r="Z3825" t="str">
            <v>Legacy</v>
          </cell>
          <cell r="AA3825" t="str">
            <v>$1K-$10K</v>
          </cell>
          <cell r="AB3825" t="str">
            <v>2010 or before</v>
          </cell>
        </row>
        <row r="3826">
          <cell r="E3826">
            <v>1170.28</v>
          </cell>
          <cell r="Z3826" t="str">
            <v>Legacy</v>
          </cell>
          <cell r="AA3826" t="str">
            <v>$1K-$10K</v>
          </cell>
          <cell r="AB3826" t="str">
            <v>2010 or before</v>
          </cell>
        </row>
        <row r="3827">
          <cell r="E3827">
            <v>1168.27</v>
          </cell>
          <cell r="Z3827" t="str">
            <v>Legacy</v>
          </cell>
          <cell r="AA3827" t="str">
            <v>$1K-$10K</v>
          </cell>
          <cell r="AB3827" t="str">
            <v>2010 or before</v>
          </cell>
        </row>
        <row r="3828">
          <cell r="E3828">
            <v>1167.05</v>
          </cell>
          <cell r="Z3828" t="str">
            <v>Legacy</v>
          </cell>
          <cell r="AA3828" t="str">
            <v>$1K-$10K</v>
          </cell>
          <cell r="AB3828" t="str">
            <v>2010 or before</v>
          </cell>
        </row>
        <row r="3829">
          <cell r="E3829">
            <v>1166.32</v>
          </cell>
          <cell r="Z3829" t="str">
            <v>Outbound</v>
          </cell>
          <cell r="AA3829" t="str">
            <v>$1K-$10K</v>
          </cell>
          <cell r="AB3829">
            <v>2012</v>
          </cell>
        </row>
        <row r="3830">
          <cell r="E3830">
            <v>1162.99</v>
          </cell>
          <cell r="Z3830" t="str">
            <v>Legacy</v>
          </cell>
          <cell r="AA3830" t="str">
            <v>$1K-$10K</v>
          </cell>
          <cell r="AB3830">
            <v>2011</v>
          </cell>
        </row>
        <row r="3831">
          <cell r="E3831">
            <v>1162.5</v>
          </cell>
          <cell r="Z3831" t="str">
            <v>Inbound</v>
          </cell>
          <cell r="AA3831" t="str">
            <v>$1K-$10K</v>
          </cell>
          <cell r="AB3831">
            <v>2012</v>
          </cell>
        </row>
        <row r="3832">
          <cell r="E3832">
            <v>1161.93</v>
          </cell>
          <cell r="Z3832" t="str">
            <v>Legacy</v>
          </cell>
          <cell r="AA3832" t="str">
            <v>$1K-$10K</v>
          </cell>
          <cell r="AB3832" t="str">
            <v>2010 or before</v>
          </cell>
        </row>
        <row r="3833">
          <cell r="E3833">
            <v>1161.5899999999999</v>
          </cell>
          <cell r="Z3833" t="str">
            <v>Legacy</v>
          </cell>
          <cell r="AA3833" t="str">
            <v>$1K-$10K</v>
          </cell>
          <cell r="AB3833" t="str">
            <v>2010 or before</v>
          </cell>
        </row>
        <row r="3834">
          <cell r="E3834">
            <v>1157.1600000000001</v>
          </cell>
          <cell r="Z3834" t="str">
            <v>Legacy</v>
          </cell>
          <cell r="AA3834" t="str">
            <v>$1K-$10K</v>
          </cell>
          <cell r="AB3834" t="str">
            <v>2010 or before</v>
          </cell>
        </row>
        <row r="3835">
          <cell r="E3835">
            <v>1155.83</v>
          </cell>
          <cell r="Z3835" t="str">
            <v>Legacy</v>
          </cell>
          <cell r="AA3835" t="str">
            <v>$1K-$10K</v>
          </cell>
          <cell r="AB3835" t="str">
            <v>2010 or before</v>
          </cell>
        </row>
        <row r="3836">
          <cell r="E3836">
            <v>1155.75</v>
          </cell>
          <cell r="Z3836" t="str">
            <v>Legacy</v>
          </cell>
          <cell r="AA3836" t="str">
            <v>$1K-$10K</v>
          </cell>
          <cell r="AB3836" t="str">
            <v>2010 or before</v>
          </cell>
        </row>
        <row r="3837">
          <cell r="E3837">
            <v>1154.44</v>
          </cell>
          <cell r="Z3837" t="str">
            <v>Legacy</v>
          </cell>
          <cell r="AA3837" t="str">
            <v>$1K-$10K</v>
          </cell>
          <cell r="AB3837" t="str">
            <v>2010 or before</v>
          </cell>
        </row>
        <row r="3838">
          <cell r="E3838">
            <v>1154.27</v>
          </cell>
          <cell r="Z3838" t="str">
            <v>Legacy</v>
          </cell>
          <cell r="AA3838" t="str">
            <v>$1K-$10K</v>
          </cell>
          <cell r="AB3838" t="str">
            <v>2010 or before</v>
          </cell>
        </row>
        <row r="3839">
          <cell r="E3839">
            <v>1150.1600000000001</v>
          </cell>
          <cell r="Z3839" t="str">
            <v>Ungating</v>
          </cell>
          <cell r="AA3839" t="str">
            <v>$1K-$10K</v>
          </cell>
          <cell r="AB3839">
            <v>2012</v>
          </cell>
        </row>
        <row r="3840">
          <cell r="E3840">
            <v>1150.1500000000001</v>
          </cell>
          <cell r="Z3840" t="str">
            <v>Legacy</v>
          </cell>
          <cell r="AA3840" t="str">
            <v>$1K-$10K</v>
          </cell>
          <cell r="AB3840" t="str">
            <v>2010 or before</v>
          </cell>
        </row>
        <row r="3841">
          <cell r="E3841">
            <v>1144.27</v>
          </cell>
          <cell r="Z3841" t="str">
            <v>Legacy</v>
          </cell>
          <cell r="AA3841" t="str">
            <v>$1K-$10K</v>
          </cell>
          <cell r="AB3841" t="str">
            <v>2010 or before</v>
          </cell>
        </row>
        <row r="3842">
          <cell r="E3842">
            <v>1143.07</v>
          </cell>
          <cell r="Z3842" t="str">
            <v>Legacy</v>
          </cell>
          <cell r="AA3842" t="str">
            <v>$1K-$10K</v>
          </cell>
          <cell r="AB3842" t="str">
            <v>2010 or before</v>
          </cell>
        </row>
        <row r="3843">
          <cell r="E3843">
            <v>1142.1199999999999</v>
          </cell>
          <cell r="Z3843" t="str">
            <v>Legacy</v>
          </cell>
          <cell r="AA3843" t="str">
            <v>$1K-$10K</v>
          </cell>
          <cell r="AB3843" t="str">
            <v>2010 or before</v>
          </cell>
        </row>
        <row r="3844">
          <cell r="E3844">
            <v>1140.28</v>
          </cell>
          <cell r="Z3844" t="str">
            <v>Ungating</v>
          </cell>
          <cell r="AA3844" t="str">
            <v>$1K-$10K</v>
          </cell>
          <cell r="AB3844">
            <v>2012</v>
          </cell>
        </row>
        <row r="3845">
          <cell r="E3845">
            <v>1135.76</v>
          </cell>
          <cell r="Z3845" t="str">
            <v>Legacy</v>
          </cell>
          <cell r="AA3845" t="str">
            <v>$1K-$10K</v>
          </cell>
          <cell r="AB3845" t="str">
            <v>2010 or before</v>
          </cell>
        </row>
        <row r="3846">
          <cell r="E3846">
            <v>1135.5</v>
          </cell>
          <cell r="Z3846" t="str">
            <v>Global</v>
          </cell>
          <cell r="AA3846" t="str">
            <v>$1K-$10K</v>
          </cell>
          <cell r="AB3846">
            <v>2012</v>
          </cell>
        </row>
        <row r="3847">
          <cell r="E3847">
            <v>1134.19</v>
          </cell>
          <cell r="Z3847" t="str">
            <v>Inbound</v>
          </cell>
          <cell r="AA3847" t="str">
            <v>$1K-$10K</v>
          </cell>
          <cell r="AB3847">
            <v>2012</v>
          </cell>
        </row>
        <row r="3848">
          <cell r="E3848">
            <v>1134.1500000000001</v>
          </cell>
          <cell r="Z3848" t="str">
            <v>Legacy</v>
          </cell>
          <cell r="AA3848" t="str">
            <v>$1K-$10K</v>
          </cell>
          <cell r="AB3848" t="str">
            <v>2010 or before</v>
          </cell>
        </row>
        <row r="3849">
          <cell r="E3849">
            <v>1132.27</v>
          </cell>
          <cell r="Z3849" t="str">
            <v>Legacy</v>
          </cell>
          <cell r="AA3849" t="str">
            <v>$1K-$10K</v>
          </cell>
          <cell r="AB3849" t="str">
            <v>2010 or before</v>
          </cell>
        </row>
        <row r="3850">
          <cell r="E3850">
            <v>1131.3</v>
          </cell>
          <cell r="Z3850" t="str">
            <v>Legacy</v>
          </cell>
          <cell r="AA3850" t="str">
            <v>$1K-$10K</v>
          </cell>
          <cell r="AB3850" t="str">
            <v>2010 or before</v>
          </cell>
        </row>
        <row r="3851">
          <cell r="E3851">
            <v>1130.58</v>
          </cell>
          <cell r="Z3851" t="str">
            <v>Legacy</v>
          </cell>
          <cell r="AA3851" t="str">
            <v>$1K-$10K</v>
          </cell>
          <cell r="AB3851" t="str">
            <v>2010 or before</v>
          </cell>
        </row>
        <row r="3852">
          <cell r="E3852">
            <v>1129.43</v>
          </cell>
          <cell r="Z3852" t="str">
            <v>Legacy</v>
          </cell>
          <cell r="AA3852" t="str">
            <v>$1K-$10K</v>
          </cell>
          <cell r="AB3852">
            <v>2012</v>
          </cell>
        </row>
        <row r="3853">
          <cell r="E3853">
            <v>1127.67</v>
          </cell>
          <cell r="Z3853" t="str">
            <v>Legacy</v>
          </cell>
          <cell r="AA3853" t="str">
            <v>$1K-$10K</v>
          </cell>
          <cell r="AB3853" t="str">
            <v>2010 or before</v>
          </cell>
        </row>
        <row r="3854">
          <cell r="E3854">
            <v>1126.05</v>
          </cell>
          <cell r="Z3854" t="str">
            <v>Legacy</v>
          </cell>
          <cell r="AA3854" t="str">
            <v>$1K-$10K</v>
          </cell>
          <cell r="AB3854" t="str">
            <v>2010 or before</v>
          </cell>
        </row>
        <row r="3855">
          <cell r="E3855">
            <v>1125.82</v>
          </cell>
          <cell r="Z3855" t="str">
            <v>Legacy</v>
          </cell>
          <cell r="AA3855" t="str">
            <v>$1K-$10K</v>
          </cell>
          <cell r="AB3855" t="str">
            <v>2010 or before</v>
          </cell>
        </row>
        <row r="3856">
          <cell r="E3856">
            <v>1118</v>
          </cell>
          <cell r="Z3856" t="str">
            <v>Legacy</v>
          </cell>
          <cell r="AA3856" t="str">
            <v>$1K-$10K</v>
          </cell>
          <cell r="AB3856" t="str">
            <v>2010 or before</v>
          </cell>
        </row>
        <row r="3857">
          <cell r="E3857">
            <v>1116.74</v>
          </cell>
          <cell r="Z3857" t="str">
            <v>Legacy</v>
          </cell>
          <cell r="AA3857" t="str">
            <v>$1K-$10K</v>
          </cell>
          <cell r="AB3857" t="str">
            <v>2010 or before</v>
          </cell>
        </row>
        <row r="3858">
          <cell r="E3858">
            <v>1111.74</v>
          </cell>
          <cell r="Z3858" t="str">
            <v>Legacy</v>
          </cell>
          <cell r="AA3858" t="str">
            <v>$1K-$10K</v>
          </cell>
          <cell r="AB3858" t="str">
            <v>2010 or before</v>
          </cell>
        </row>
        <row r="3859">
          <cell r="E3859">
            <v>1111.29</v>
          </cell>
          <cell r="Z3859" t="str">
            <v>Legacy</v>
          </cell>
          <cell r="AA3859" t="str">
            <v>$1K-$10K</v>
          </cell>
          <cell r="AB3859" t="str">
            <v>2010 or before</v>
          </cell>
        </row>
        <row r="3860">
          <cell r="E3860">
            <v>1111</v>
          </cell>
          <cell r="Z3860" t="str">
            <v>Legacy</v>
          </cell>
          <cell r="AA3860" t="str">
            <v>$1K-$10K</v>
          </cell>
          <cell r="AB3860" t="str">
            <v>2010 or before</v>
          </cell>
        </row>
        <row r="3861">
          <cell r="E3861">
            <v>1110.4100000000001</v>
          </cell>
          <cell r="Z3861" t="str">
            <v>Ungating</v>
          </cell>
          <cell r="AA3861" t="str">
            <v>$1K-$10K</v>
          </cell>
          <cell r="AB3861">
            <v>2012</v>
          </cell>
        </row>
        <row r="3862">
          <cell r="E3862">
            <v>1105.05</v>
          </cell>
          <cell r="Z3862" t="str">
            <v>Ungating</v>
          </cell>
          <cell r="AA3862" t="str">
            <v>$1K-$10K</v>
          </cell>
          <cell r="AB3862">
            <v>2012</v>
          </cell>
        </row>
        <row r="3863">
          <cell r="E3863">
            <v>1104</v>
          </cell>
          <cell r="Z3863" t="str">
            <v>Inbound</v>
          </cell>
          <cell r="AA3863" t="str">
            <v>$1K-$10K</v>
          </cell>
          <cell r="AB3863">
            <v>2012</v>
          </cell>
        </row>
        <row r="3864">
          <cell r="E3864">
            <v>1102.8599999999999</v>
          </cell>
          <cell r="Z3864" t="str">
            <v>Inbound</v>
          </cell>
          <cell r="AA3864" t="str">
            <v>$1K-$10K</v>
          </cell>
          <cell r="AB3864">
            <v>2012</v>
          </cell>
        </row>
        <row r="3865">
          <cell r="E3865">
            <v>1102.81</v>
          </cell>
          <cell r="Z3865" t="str">
            <v>Legacy</v>
          </cell>
          <cell r="AA3865" t="str">
            <v>$1K-$10K</v>
          </cell>
          <cell r="AB3865" t="str">
            <v>2010 or before</v>
          </cell>
        </row>
        <row r="3866">
          <cell r="E3866">
            <v>1100.98</v>
          </cell>
          <cell r="Z3866" t="str">
            <v>Legacy</v>
          </cell>
          <cell r="AA3866" t="str">
            <v>$1K-$10K</v>
          </cell>
          <cell r="AB3866">
            <v>2012</v>
          </cell>
        </row>
        <row r="3867">
          <cell r="E3867">
            <v>1099.5</v>
          </cell>
          <cell r="Z3867" t="str">
            <v>Legacy</v>
          </cell>
          <cell r="AA3867" t="str">
            <v>$1K-$10K</v>
          </cell>
          <cell r="AB3867" t="str">
            <v>2010 or before</v>
          </cell>
        </row>
        <row r="3868">
          <cell r="E3868">
            <v>1099</v>
          </cell>
          <cell r="Z3868" t="str">
            <v>Outbound</v>
          </cell>
          <cell r="AA3868" t="str">
            <v>$1K-$10K</v>
          </cell>
          <cell r="AB3868">
            <v>2012</v>
          </cell>
        </row>
        <row r="3869">
          <cell r="E3869">
            <v>1096.4100000000001</v>
          </cell>
          <cell r="Z3869" t="str">
            <v>Legacy</v>
          </cell>
          <cell r="AA3869" t="str">
            <v>$1K-$10K</v>
          </cell>
          <cell r="AB3869">
            <v>2011</v>
          </cell>
        </row>
        <row r="3870">
          <cell r="E3870">
            <v>1095.02</v>
          </cell>
          <cell r="Z3870" t="str">
            <v>Legacy</v>
          </cell>
          <cell r="AA3870" t="str">
            <v>$1K-$10K</v>
          </cell>
          <cell r="AB3870" t="str">
            <v>2010 or before</v>
          </cell>
        </row>
        <row r="3871">
          <cell r="E3871">
            <v>1094.1500000000001</v>
          </cell>
          <cell r="Z3871" t="str">
            <v>Legacy</v>
          </cell>
          <cell r="AA3871" t="str">
            <v>$1K-$10K</v>
          </cell>
          <cell r="AB3871" t="str">
            <v>2010 or before</v>
          </cell>
        </row>
        <row r="3872">
          <cell r="E3872">
            <v>1093.44</v>
          </cell>
          <cell r="Z3872" t="str">
            <v>Legacy</v>
          </cell>
          <cell r="AA3872" t="str">
            <v>$1K-$10K</v>
          </cell>
          <cell r="AB3872">
            <v>2011</v>
          </cell>
        </row>
        <row r="3873">
          <cell r="E3873">
            <v>1093.06</v>
          </cell>
          <cell r="Z3873" t="str">
            <v>Legacy</v>
          </cell>
          <cell r="AA3873" t="str">
            <v>$1K-$10K</v>
          </cell>
          <cell r="AB3873" t="str">
            <v>2010 or before</v>
          </cell>
        </row>
        <row r="3874">
          <cell r="E3874">
            <v>1091.43</v>
          </cell>
          <cell r="Z3874" t="str">
            <v>Legacy</v>
          </cell>
          <cell r="AA3874" t="str">
            <v>$1K-$10K</v>
          </cell>
          <cell r="AB3874" t="str">
            <v>2010 or before</v>
          </cell>
        </row>
        <row r="3875">
          <cell r="E3875">
            <v>1091.33</v>
          </cell>
          <cell r="Z3875" t="str">
            <v>Legacy</v>
          </cell>
          <cell r="AA3875" t="str">
            <v>$1K-$10K</v>
          </cell>
          <cell r="AB3875" t="str">
            <v>2010 or before</v>
          </cell>
        </row>
        <row r="3876">
          <cell r="E3876">
            <v>1090.98</v>
          </cell>
          <cell r="Z3876" t="str">
            <v>Legacy</v>
          </cell>
          <cell r="AA3876" t="str">
            <v>$1K-$10K</v>
          </cell>
          <cell r="AB3876" t="str">
            <v>2010 or before</v>
          </cell>
        </row>
        <row r="3877">
          <cell r="E3877">
            <v>1090.1500000000001</v>
          </cell>
          <cell r="Z3877" t="str">
            <v>Legacy</v>
          </cell>
          <cell r="AA3877" t="str">
            <v>$1K-$10K</v>
          </cell>
          <cell r="AB3877" t="str">
            <v>2010 or before</v>
          </cell>
        </row>
        <row r="3878">
          <cell r="E3878">
            <v>1088.9100000000001</v>
          </cell>
          <cell r="Z3878" t="str">
            <v>Legacy</v>
          </cell>
          <cell r="AA3878" t="str">
            <v>$1K-$10K</v>
          </cell>
          <cell r="AB3878">
            <v>2011</v>
          </cell>
        </row>
        <row r="3879">
          <cell r="E3879">
            <v>1088.67</v>
          </cell>
          <cell r="Z3879" t="str">
            <v>Legacy</v>
          </cell>
          <cell r="AA3879" t="str">
            <v>$1K-$10K</v>
          </cell>
          <cell r="AB3879" t="str">
            <v>2010 or before</v>
          </cell>
        </row>
        <row r="3880">
          <cell r="E3880">
            <v>1088.1099999999999</v>
          </cell>
          <cell r="Z3880" t="str">
            <v>Legacy</v>
          </cell>
          <cell r="AA3880" t="str">
            <v>$1K-$10K</v>
          </cell>
          <cell r="AB3880" t="str">
            <v>2010 or before</v>
          </cell>
        </row>
        <row r="3881">
          <cell r="E3881">
            <v>1087.8599999999999</v>
          </cell>
          <cell r="Z3881" t="str">
            <v>Legacy</v>
          </cell>
          <cell r="AA3881" t="str">
            <v>$1K-$10K</v>
          </cell>
          <cell r="AB3881" t="str">
            <v>2010 or before</v>
          </cell>
        </row>
        <row r="3882">
          <cell r="E3882">
            <v>1086.51</v>
          </cell>
          <cell r="Z3882" t="str">
            <v>Inbound</v>
          </cell>
          <cell r="AA3882" t="str">
            <v>$1K-$10K</v>
          </cell>
          <cell r="AB3882">
            <v>2011</v>
          </cell>
        </row>
        <row r="3883">
          <cell r="E3883">
            <v>1086.25</v>
          </cell>
          <cell r="Z3883" t="str">
            <v>Legacy</v>
          </cell>
          <cell r="AA3883" t="str">
            <v>$1K-$10K</v>
          </cell>
          <cell r="AB3883" t="str">
            <v>2010 or before</v>
          </cell>
        </row>
        <row r="3884">
          <cell r="E3884">
            <v>1085.76</v>
          </cell>
          <cell r="Z3884" t="str">
            <v>Legacy</v>
          </cell>
          <cell r="AA3884" t="str">
            <v>$1K-$10K</v>
          </cell>
          <cell r="AB3884" t="str">
            <v>2010 or before</v>
          </cell>
        </row>
        <row r="3885">
          <cell r="E3885">
            <v>1081.3</v>
          </cell>
          <cell r="Z3885" t="str">
            <v>Legacy</v>
          </cell>
          <cell r="AA3885" t="str">
            <v>$1K-$10K</v>
          </cell>
          <cell r="AB3885" t="str">
            <v>2010 or before</v>
          </cell>
        </row>
        <row r="3886">
          <cell r="E3886">
            <v>1078.28</v>
          </cell>
          <cell r="Z3886" t="str">
            <v>Legacy</v>
          </cell>
          <cell r="AA3886" t="str">
            <v>$1K-$10K</v>
          </cell>
          <cell r="AB3886" t="str">
            <v>2010 or before</v>
          </cell>
        </row>
        <row r="3887">
          <cell r="E3887">
            <v>1077.33</v>
          </cell>
          <cell r="Z3887" t="str">
            <v>Legacy</v>
          </cell>
          <cell r="AA3887" t="str">
            <v>$1K-$10K</v>
          </cell>
          <cell r="AB3887" t="str">
            <v>2010 or before</v>
          </cell>
        </row>
        <row r="3888">
          <cell r="E3888">
            <v>1076.51</v>
          </cell>
          <cell r="Z3888" t="str">
            <v>Legacy</v>
          </cell>
          <cell r="AA3888" t="str">
            <v>$1K-$10K</v>
          </cell>
          <cell r="AB3888" t="str">
            <v>2010 or before</v>
          </cell>
        </row>
        <row r="3889">
          <cell r="E3889">
            <v>1073.94</v>
          </cell>
          <cell r="Z3889" t="str">
            <v>Legacy</v>
          </cell>
          <cell r="AA3889" t="str">
            <v>$1K-$10K</v>
          </cell>
          <cell r="AB3889" t="str">
            <v>2010 or before</v>
          </cell>
        </row>
        <row r="3890">
          <cell r="E3890">
            <v>1072.8599999999999</v>
          </cell>
          <cell r="Z3890" t="str">
            <v>Legacy</v>
          </cell>
          <cell r="AA3890" t="str">
            <v>$1K-$10K</v>
          </cell>
          <cell r="AB3890">
            <v>2012</v>
          </cell>
        </row>
        <row r="3891">
          <cell r="E3891">
            <v>1070.5</v>
          </cell>
          <cell r="Z3891" t="str">
            <v>Legacy</v>
          </cell>
          <cell r="AA3891" t="str">
            <v>$1K-$10K</v>
          </cell>
          <cell r="AB3891">
            <v>2012</v>
          </cell>
        </row>
        <row r="3892">
          <cell r="E3892">
            <v>1068.8699999999999</v>
          </cell>
          <cell r="Z3892" t="str">
            <v>Legacy</v>
          </cell>
          <cell r="AA3892" t="str">
            <v>$1K-$10K</v>
          </cell>
          <cell r="AB3892" t="str">
            <v>2010 or before</v>
          </cell>
        </row>
        <row r="3893">
          <cell r="E3893">
            <v>1068.6500000000001</v>
          </cell>
          <cell r="Z3893" t="str">
            <v>Legacy</v>
          </cell>
          <cell r="AA3893" t="str">
            <v>$1K-$10K</v>
          </cell>
          <cell r="AB3893" t="str">
            <v>2010 or before</v>
          </cell>
        </row>
        <row r="3894">
          <cell r="E3894">
            <v>1068.3599999999999</v>
          </cell>
          <cell r="Z3894" t="str">
            <v>Legacy</v>
          </cell>
          <cell r="AA3894" t="str">
            <v>$1K-$10K</v>
          </cell>
          <cell r="AB3894" t="str">
            <v>2010 or before</v>
          </cell>
        </row>
        <row r="3895">
          <cell r="E3895">
            <v>1064.0899999999999</v>
          </cell>
          <cell r="Z3895" t="str">
            <v>Legacy</v>
          </cell>
          <cell r="AA3895" t="str">
            <v>$1K-$10K</v>
          </cell>
          <cell r="AB3895">
            <v>2012</v>
          </cell>
        </row>
        <row r="3896">
          <cell r="E3896">
            <v>1061.8800000000001</v>
          </cell>
          <cell r="Z3896" t="str">
            <v>Legacy</v>
          </cell>
          <cell r="AA3896" t="str">
            <v>$1K-$10K</v>
          </cell>
          <cell r="AB3896" t="str">
            <v>2010 or before</v>
          </cell>
        </row>
        <row r="3897">
          <cell r="E3897">
            <v>1060</v>
          </cell>
          <cell r="Z3897" t="str">
            <v>Legacy</v>
          </cell>
          <cell r="AA3897" t="str">
            <v>$1K-$10K</v>
          </cell>
          <cell r="AB3897" t="str">
            <v>2010 or before</v>
          </cell>
        </row>
        <row r="3898">
          <cell r="E3898">
            <v>1059.76</v>
          </cell>
          <cell r="Z3898" t="str">
            <v>Legacy</v>
          </cell>
          <cell r="AA3898" t="str">
            <v>$1K-$10K</v>
          </cell>
          <cell r="AB3898" t="str">
            <v>2010 or before</v>
          </cell>
        </row>
        <row r="3899">
          <cell r="E3899">
            <v>1056.0999999999999</v>
          </cell>
          <cell r="Z3899" t="str">
            <v>Legacy</v>
          </cell>
          <cell r="AA3899" t="str">
            <v>$1K-$10K</v>
          </cell>
          <cell r="AB3899" t="str">
            <v>2010 or before</v>
          </cell>
        </row>
        <row r="3900">
          <cell r="E3900">
            <v>1055.3499999999999</v>
          </cell>
          <cell r="Z3900" t="str">
            <v>Legacy</v>
          </cell>
          <cell r="AA3900" t="str">
            <v>$1K-$10K</v>
          </cell>
          <cell r="AB3900" t="str">
            <v>2010 or before</v>
          </cell>
        </row>
        <row r="3901">
          <cell r="E3901">
            <v>1051.78</v>
          </cell>
          <cell r="Z3901" t="str">
            <v>Global</v>
          </cell>
          <cell r="AA3901" t="str">
            <v>$1K-$10K</v>
          </cell>
          <cell r="AB3901">
            <v>2012</v>
          </cell>
        </row>
        <row r="3902">
          <cell r="E3902">
            <v>1049.8499999999999</v>
          </cell>
          <cell r="Z3902" t="str">
            <v>Legacy</v>
          </cell>
          <cell r="AA3902" t="str">
            <v>$1K-$10K</v>
          </cell>
          <cell r="AB3902" t="str">
            <v>2010 or before</v>
          </cell>
        </row>
        <row r="3903">
          <cell r="E3903">
            <v>1049</v>
          </cell>
          <cell r="Z3903" t="str">
            <v>Legacy</v>
          </cell>
          <cell r="AA3903" t="str">
            <v>$1K-$10K</v>
          </cell>
          <cell r="AB3903" t="str">
            <v>2010 or before</v>
          </cell>
        </row>
        <row r="3904">
          <cell r="E3904">
            <v>1046.76</v>
          </cell>
          <cell r="Z3904" t="str">
            <v>Global</v>
          </cell>
          <cell r="AA3904" t="str">
            <v>$1K-$10K</v>
          </cell>
          <cell r="AB3904">
            <v>2012</v>
          </cell>
        </row>
        <row r="3905">
          <cell r="E3905">
            <v>1044.73</v>
          </cell>
          <cell r="Z3905" t="str">
            <v>Legacy</v>
          </cell>
          <cell r="AA3905" t="str">
            <v>$1K-$10K</v>
          </cell>
          <cell r="AB3905" t="str">
            <v>2010 or before</v>
          </cell>
        </row>
        <row r="3906">
          <cell r="E3906">
            <v>1041.8699999999999</v>
          </cell>
          <cell r="Z3906" t="str">
            <v>Legacy</v>
          </cell>
          <cell r="AA3906" t="str">
            <v>$1K-$10K</v>
          </cell>
          <cell r="AB3906">
            <v>2012</v>
          </cell>
        </row>
        <row r="3907">
          <cell r="E3907">
            <v>1041.46</v>
          </cell>
          <cell r="Z3907" t="str">
            <v>Legacy</v>
          </cell>
          <cell r="AA3907" t="str">
            <v>$1K-$10K</v>
          </cell>
          <cell r="AB3907" t="str">
            <v>2010 or before</v>
          </cell>
        </row>
        <row r="3908">
          <cell r="E3908">
            <v>1041.08</v>
          </cell>
          <cell r="Z3908" t="str">
            <v>Legacy</v>
          </cell>
          <cell r="AA3908" t="str">
            <v>$1K-$10K</v>
          </cell>
          <cell r="AB3908" t="str">
            <v>2010 or before</v>
          </cell>
        </row>
        <row r="3909">
          <cell r="E3909">
            <v>1035</v>
          </cell>
          <cell r="Z3909" t="str">
            <v>Global</v>
          </cell>
          <cell r="AA3909" t="str">
            <v>$1K-$10K</v>
          </cell>
          <cell r="AB3909">
            <v>2012</v>
          </cell>
        </row>
        <row r="3910">
          <cell r="E3910">
            <v>1034.9000000000001</v>
          </cell>
          <cell r="Z3910" t="str">
            <v>Legacy</v>
          </cell>
          <cell r="AA3910" t="str">
            <v>$1K-$10K</v>
          </cell>
          <cell r="AB3910" t="str">
            <v>2010 or before</v>
          </cell>
        </row>
        <row r="3911">
          <cell r="E3911">
            <v>1033.1099999999999</v>
          </cell>
          <cell r="Z3911" t="str">
            <v>Legacy</v>
          </cell>
          <cell r="AA3911" t="str">
            <v>$1K-$10K</v>
          </cell>
          <cell r="AB3911" t="str">
            <v>2010 or before</v>
          </cell>
        </row>
        <row r="3912">
          <cell r="E3912">
            <v>1033.0899999999999</v>
          </cell>
          <cell r="Z3912" t="str">
            <v>Legacy</v>
          </cell>
          <cell r="AA3912" t="str">
            <v>$1K-$10K</v>
          </cell>
          <cell r="AB3912">
            <v>2012</v>
          </cell>
        </row>
        <row r="3913">
          <cell r="E3913">
            <v>1032.7</v>
          </cell>
          <cell r="Z3913" t="str">
            <v>Legacy</v>
          </cell>
          <cell r="AA3913" t="str">
            <v>$1K-$10K</v>
          </cell>
          <cell r="AB3913" t="str">
            <v>2010 or before</v>
          </cell>
        </row>
        <row r="3914">
          <cell r="E3914">
            <v>1032.45</v>
          </cell>
          <cell r="Z3914" t="str">
            <v>Ungating</v>
          </cell>
          <cell r="AA3914" t="str">
            <v>$1K-$10K</v>
          </cell>
          <cell r="AB3914">
            <v>2013</v>
          </cell>
        </row>
        <row r="3915">
          <cell r="E3915">
            <v>1030.82</v>
          </cell>
          <cell r="Z3915" t="str">
            <v>Legacy</v>
          </cell>
          <cell r="AA3915" t="str">
            <v>$1K-$10K</v>
          </cell>
          <cell r="AB3915" t="str">
            <v>2010 or before</v>
          </cell>
        </row>
        <row r="3916">
          <cell r="E3916">
            <v>1029.76</v>
          </cell>
          <cell r="Z3916" t="str">
            <v>Legacy</v>
          </cell>
          <cell r="AA3916" t="str">
            <v>$1K-$10K</v>
          </cell>
          <cell r="AB3916">
            <v>2011</v>
          </cell>
        </row>
        <row r="3917">
          <cell r="E3917">
            <v>1029.1400000000001</v>
          </cell>
          <cell r="Z3917" t="str">
            <v>Legacy</v>
          </cell>
          <cell r="AA3917" t="str">
            <v>$1K-$10K</v>
          </cell>
          <cell r="AB3917" t="str">
            <v>2010 or before</v>
          </cell>
        </row>
        <row r="3918">
          <cell r="E3918">
            <v>1028.4000000000001</v>
          </cell>
          <cell r="Z3918" t="str">
            <v>Legacy</v>
          </cell>
          <cell r="AA3918" t="str">
            <v>$1K-$10K</v>
          </cell>
          <cell r="AB3918" t="str">
            <v>2010 or before</v>
          </cell>
        </row>
        <row r="3919">
          <cell r="E3919">
            <v>1027.8599999999999</v>
          </cell>
          <cell r="Z3919" t="str">
            <v>Legacy</v>
          </cell>
          <cell r="AA3919" t="str">
            <v>$1K-$10K</v>
          </cell>
          <cell r="AB3919" t="str">
            <v>2010 or before</v>
          </cell>
        </row>
        <row r="3920">
          <cell r="E3920">
            <v>1026.8699999999999</v>
          </cell>
          <cell r="Z3920" t="str">
            <v>Legacy</v>
          </cell>
          <cell r="AA3920" t="str">
            <v>$1K-$10K</v>
          </cell>
          <cell r="AB3920" t="str">
            <v>2010 or before</v>
          </cell>
        </row>
        <row r="3921">
          <cell r="E3921">
            <v>1025.25</v>
          </cell>
          <cell r="Z3921" t="str">
            <v>Legacy</v>
          </cell>
          <cell r="AA3921" t="str">
            <v>$1K-$10K</v>
          </cell>
          <cell r="AB3921" t="str">
            <v>2010 or before</v>
          </cell>
        </row>
        <row r="3922">
          <cell r="E3922">
            <v>1025</v>
          </cell>
          <cell r="Z3922" t="str">
            <v>Legacy</v>
          </cell>
          <cell r="AA3922" t="str">
            <v>$1K-$10K</v>
          </cell>
          <cell r="AB3922" t="str">
            <v>2010 or before</v>
          </cell>
        </row>
        <row r="3923">
          <cell r="E3923">
            <v>1024.22</v>
          </cell>
          <cell r="Z3923" t="str">
            <v>Inbound</v>
          </cell>
          <cell r="AA3923" t="str">
            <v>$1K-$10K</v>
          </cell>
          <cell r="AB3923">
            <v>2012</v>
          </cell>
        </row>
        <row r="3924">
          <cell r="E3924">
            <v>1023.69</v>
          </cell>
          <cell r="Z3924" t="str">
            <v>Legacy</v>
          </cell>
          <cell r="AA3924" t="str">
            <v>$1K-$10K</v>
          </cell>
          <cell r="AB3924" t="str">
            <v>2010 or before</v>
          </cell>
        </row>
        <row r="3925">
          <cell r="E3925">
            <v>1023.2</v>
          </cell>
          <cell r="Z3925" t="str">
            <v>Legacy</v>
          </cell>
          <cell r="AA3925" t="str">
            <v>$1K-$10K</v>
          </cell>
          <cell r="AB3925" t="str">
            <v>2010 or before</v>
          </cell>
        </row>
        <row r="3926">
          <cell r="E3926">
            <v>1022.93</v>
          </cell>
          <cell r="Z3926" t="str">
            <v>Legacy</v>
          </cell>
          <cell r="AA3926" t="str">
            <v>$1K-$10K</v>
          </cell>
          <cell r="AB3926">
            <v>2011</v>
          </cell>
        </row>
        <row r="3927">
          <cell r="E3927">
            <v>1021.8</v>
          </cell>
          <cell r="Z3927" t="str">
            <v>Legacy</v>
          </cell>
          <cell r="AA3927" t="str">
            <v>$1K-$10K</v>
          </cell>
          <cell r="AB3927" t="str">
            <v>2010 or before</v>
          </cell>
        </row>
        <row r="3928">
          <cell r="E3928">
            <v>1019.8</v>
          </cell>
          <cell r="Z3928" t="str">
            <v>Inbound</v>
          </cell>
          <cell r="AA3928" t="str">
            <v>$1K-$10K</v>
          </cell>
          <cell r="AB3928">
            <v>2011</v>
          </cell>
        </row>
        <row r="3929">
          <cell r="E3929">
            <v>1019.55</v>
          </cell>
          <cell r="Z3929" t="str">
            <v>Legacy</v>
          </cell>
          <cell r="AA3929" t="str">
            <v>$1K-$10K</v>
          </cell>
          <cell r="AB3929">
            <v>2011</v>
          </cell>
        </row>
        <row r="3930">
          <cell r="E3930">
            <v>1019.3</v>
          </cell>
          <cell r="Z3930" t="str">
            <v>Legacy</v>
          </cell>
          <cell r="AA3930" t="str">
            <v>$1K-$10K</v>
          </cell>
          <cell r="AB3930">
            <v>2011</v>
          </cell>
        </row>
        <row r="3931">
          <cell r="E3931">
            <v>1017.71</v>
          </cell>
          <cell r="Z3931" t="str">
            <v>Legacy</v>
          </cell>
          <cell r="AA3931" t="str">
            <v>$1K-$10K</v>
          </cell>
          <cell r="AB3931" t="str">
            <v>2010 or before</v>
          </cell>
        </row>
        <row r="3932">
          <cell r="E3932">
            <v>1016.91</v>
          </cell>
          <cell r="Z3932" t="str">
            <v>Legacy</v>
          </cell>
          <cell r="AA3932" t="str">
            <v>$1K-$10K</v>
          </cell>
          <cell r="AB3932">
            <v>2012</v>
          </cell>
        </row>
        <row r="3933">
          <cell r="E3933">
            <v>1016.59</v>
          </cell>
          <cell r="Z3933" t="str">
            <v>Legacy</v>
          </cell>
          <cell r="AA3933" t="str">
            <v>$1K-$10K</v>
          </cell>
          <cell r="AB3933" t="str">
            <v>2010 or before</v>
          </cell>
        </row>
        <row r="3934">
          <cell r="E3934">
            <v>1016.37</v>
          </cell>
          <cell r="Z3934" t="str">
            <v>Legacy</v>
          </cell>
          <cell r="AA3934" t="str">
            <v>$1K-$10K</v>
          </cell>
          <cell r="AB3934">
            <v>2011</v>
          </cell>
        </row>
        <row r="3935">
          <cell r="E3935">
            <v>1015.65</v>
          </cell>
          <cell r="Z3935" t="str">
            <v>Legacy</v>
          </cell>
          <cell r="AA3935" t="str">
            <v>$1K-$10K</v>
          </cell>
          <cell r="AB3935" t="str">
            <v>2010 or before</v>
          </cell>
        </row>
        <row r="3936">
          <cell r="E3936">
            <v>1013.84</v>
          </cell>
          <cell r="Z3936" t="str">
            <v>Legacy</v>
          </cell>
          <cell r="AA3936" t="str">
            <v>$1K-$10K</v>
          </cell>
          <cell r="AB3936" t="str">
            <v>2010 or before</v>
          </cell>
        </row>
        <row r="3937">
          <cell r="E3937">
            <v>1012.6</v>
          </cell>
          <cell r="Z3937" t="str">
            <v>Legacy</v>
          </cell>
          <cell r="AA3937" t="str">
            <v>$1K-$10K</v>
          </cell>
          <cell r="AB3937" t="str">
            <v>2010 or before</v>
          </cell>
        </row>
        <row r="3938">
          <cell r="E3938">
            <v>1012.52</v>
          </cell>
          <cell r="Z3938" t="str">
            <v>Legacy</v>
          </cell>
          <cell r="AA3938" t="str">
            <v>$1K-$10K</v>
          </cell>
          <cell r="AB3938" t="str">
            <v>2010 or before</v>
          </cell>
        </row>
        <row r="3939">
          <cell r="E3939">
            <v>1009.79</v>
          </cell>
          <cell r="Z3939" t="str">
            <v>Ungating</v>
          </cell>
          <cell r="AA3939" t="str">
            <v>$1K-$10K</v>
          </cell>
          <cell r="AB3939">
            <v>2012</v>
          </cell>
        </row>
        <row r="3940">
          <cell r="E3940">
            <v>1006.84</v>
          </cell>
          <cell r="Z3940" t="str">
            <v>Legacy</v>
          </cell>
          <cell r="AA3940" t="str">
            <v>$1K-$10K</v>
          </cell>
          <cell r="AB3940">
            <v>2011</v>
          </cell>
        </row>
        <row r="3941">
          <cell r="E3941">
            <v>1006.76</v>
          </cell>
          <cell r="Z3941" t="str">
            <v>Legacy</v>
          </cell>
          <cell r="AA3941" t="str">
            <v>$1K-$10K</v>
          </cell>
          <cell r="AB3941" t="str">
            <v>2010 or before</v>
          </cell>
        </row>
        <row r="3942">
          <cell r="E3942">
            <v>1004.94</v>
          </cell>
          <cell r="Z3942" t="str">
            <v>Inbound</v>
          </cell>
          <cell r="AA3942" t="str">
            <v>$1K-$10K</v>
          </cell>
          <cell r="AB3942">
            <v>2012</v>
          </cell>
        </row>
        <row r="3943">
          <cell r="E3943">
            <v>1001.52</v>
          </cell>
          <cell r="Z3943" t="str">
            <v>Legacy</v>
          </cell>
          <cell r="AA3943" t="str">
            <v>$1K-$10K</v>
          </cell>
          <cell r="AB3943">
            <v>2011</v>
          </cell>
        </row>
        <row r="3944">
          <cell r="E3944">
            <v>999.27</v>
          </cell>
          <cell r="Z3944" t="str">
            <v>Legacy</v>
          </cell>
          <cell r="AA3944" t="str">
            <v>$1K or Below</v>
          </cell>
          <cell r="AB3944" t="str">
            <v>2010 or before</v>
          </cell>
        </row>
        <row r="3945">
          <cell r="E3945">
            <v>998.98</v>
          </cell>
          <cell r="Z3945" t="str">
            <v>Legacy</v>
          </cell>
          <cell r="AA3945" t="str">
            <v>$1K or Below</v>
          </cell>
          <cell r="AB3945">
            <v>2011</v>
          </cell>
        </row>
        <row r="3946">
          <cell r="E3946">
            <v>998.72</v>
          </cell>
          <cell r="Z3946" t="str">
            <v>Legacy</v>
          </cell>
          <cell r="AA3946" t="str">
            <v>$1K or Below</v>
          </cell>
          <cell r="AB3946" t="str">
            <v>2010 or before</v>
          </cell>
        </row>
        <row r="3947">
          <cell r="E3947">
            <v>998.38</v>
          </cell>
          <cell r="Z3947" t="str">
            <v>Legacy</v>
          </cell>
          <cell r="AA3947" t="str">
            <v>$1K or Below</v>
          </cell>
          <cell r="AB3947" t="str">
            <v>2010 or before</v>
          </cell>
        </row>
        <row r="3948">
          <cell r="E3948">
            <v>997.73</v>
          </cell>
          <cell r="Z3948" t="str">
            <v>Legacy</v>
          </cell>
          <cell r="AA3948" t="str">
            <v>$1K or Below</v>
          </cell>
          <cell r="AB3948" t="str">
            <v>2010 or before</v>
          </cell>
        </row>
        <row r="3949">
          <cell r="E3949">
            <v>997.18</v>
          </cell>
          <cell r="Z3949" t="str">
            <v>Legacy</v>
          </cell>
          <cell r="AA3949" t="str">
            <v>$1K or Below</v>
          </cell>
          <cell r="AB3949" t="str">
            <v>2010 or before</v>
          </cell>
        </row>
        <row r="3950">
          <cell r="E3950">
            <v>996.25</v>
          </cell>
          <cell r="Z3950" t="str">
            <v>Inbound</v>
          </cell>
          <cell r="AA3950" t="str">
            <v>$1K or Below</v>
          </cell>
          <cell r="AB3950">
            <v>2012</v>
          </cell>
        </row>
        <row r="3951">
          <cell r="E3951">
            <v>994.48</v>
          </cell>
          <cell r="Z3951" t="str">
            <v>Legacy</v>
          </cell>
          <cell r="AA3951" t="str">
            <v>$1K or Below</v>
          </cell>
          <cell r="AB3951" t="str">
            <v>2010 or before</v>
          </cell>
        </row>
        <row r="3952">
          <cell r="E3952">
            <v>993.53</v>
          </cell>
          <cell r="Z3952" t="str">
            <v>Legacy</v>
          </cell>
          <cell r="AA3952" t="str">
            <v>$1K or Below</v>
          </cell>
          <cell r="AB3952" t="str">
            <v>2010 or before</v>
          </cell>
        </row>
        <row r="3953">
          <cell r="E3953">
            <v>992.8</v>
          </cell>
          <cell r="Z3953" t="str">
            <v>Legacy</v>
          </cell>
          <cell r="AA3953" t="str">
            <v>$1K or Below</v>
          </cell>
          <cell r="AB3953" t="str">
            <v>2010 or before</v>
          </cell>
        </row>
        <row r="3954">
          <cell r="E3954">
            <v>992.47</v>
          </cell>
          <cell r="Z3954" t="str">
            <v>Legacy</v>
          </cell>
          <cell r="AA3954" t="str">
            <v>$1K or Below</v>
          </cell>
          <cell r="AB3954" t="str">
            <v>2010 or before</v>
          </cell>
        </row>
        <row r="3955">
          <cell r="E3955">
            <v>992.43</v>
          </cell>
          <cell r="Z3955" t="str">
            <v>Legacy</v>
          </cell>
          <cell r="AA3955" t="str">
            <v>$1K or Below</v>
          </cell>
          <cell r="AB3955" t="str">
            <v>2010 or before</v>
          </cell>
        </row>
        <row r="3956">
          <cell r="E3956">
            <v>991.38</v>
          </cell>
          <cell r="Z3956" t="str">
            <v>Legacy</v>
          </cell>
          <cell r="AA3956" t="str">
            <v>$1K or Below</v>
          </cell>
          <cell r="AB3956" t="str">
            <v>2010 or before</v>
          </cell>
        </row>
        <row r="3957">
          <cell r="E3957">
            <v>990.87</v>
          </cell>
          <cell r="Z3957" t="str">
            <v>Legacy</v>
          </cell>
          <cell r="AA3957" t="str">
            <v>$1K or Below</v>
          </cell>
          <cell r="AB3957" t="str">
            <v>2010 or before</v>
          </cell>
        </row>
        <row r="3958">
          <cell r="E3958">
            <v>989.5</v>
          </cell>
          <cell r="Z3958" t="str">
            <v>Legacy</v>
          </cell>
          <cell r="AA3958" t="str">
            <v>$1K or Below</v>
          </cell>
          <cell r="AB3958" t="str">
            <v>2010 or before</v>
          </cell>
        </row>
        <row r="3959">
          <cell r="E3959">
            <v>988.89</v>
          </cell>
          <cell r="Z3959" t="str">
            <v>Legacy</v>
          </cell>
          <cell r="AA3959" t="str">
            <v>$1K or Below</v>
          </cell>
          <cell r="AB3959" t="str">
            <v>2010 or before</v>
          </cell>
        </row>
        <row r="3960">
          <cell r="E3960">
            <v>988.66</v>
          </cell>
          <cell r="Z3960" t="str">
            <v>Legacy</v>
          </cell>
          <cell r="AA3960" t="str">
            <v>$1K or Below</v>
          </cell>
          <cell r="AB3960">
            <v>2011</v>
          </cell>
        </row>
        <row r="3961">
          <cell r="E3961">
            <v>988.62</v>
          </cell>
          <cell r="Z3961" t="str">
            <v>Legacy</v>
          </cell>
          <cell r="AA3961" t="str">
            <v>$1K or Below</v>
          </cell>
          <cell r="AB3961" t="str">
            <v>2010 or before</v>
          </cell>
        </row>
        <row r="3962">
          <cell r="E3962">
            <v>988.29</v>
          </cell>
          <cell r="Z3962" t="str">
            <v>Inbound</v>
          </cell>
          <cell r="AA3962" t="str">
            <v>$1K or Below</v>
          </cell>
          <cell r="AB3962">
            <v>2012</v>
          </cell>
        </row>
        <row r="3963">
          <cell r="E3963">
            <v>987.98</v>
          </cell>
          <cell r="Z3963" t="str">
            <v>Global</v>
          </cell>
          <cell r="AA3963" t="str">
            <v>$1K or Below</v>
          </cell>
          <cell r="AB3963">
            <v>2011</v>
          </cell>
        </row>
        <row r="3964">
          <cell r="E3964">
            <v>983.67</v>
          </cell>
          <cell r="Z3964" t="str">
            <v>Legacy</v>
          </cell>
          <cell r="AA3964" t="str">
            <v>$1K or Below</v>
          </cell>
          <cell r="AB3964">
            <v>2011</v>
          </cell>
        </row>
        <row r="3965">
          <cell r="E3965">
            <v>983.62</v>
          </cell>
          <cell r="Z3965" t="str">
            <v>Legacy</v>
          </cell>
          <cell r="AA3965" t="str">
            <v>$1K or Below</v>
          </cell>
          <cell r="AB3965" t="str">
            <v>2010 or before</v>
          </cell>
        </row>
        <row r="3966">
          <cell r="E3966">
            <v>981.93</v>
          </cell>
          <cell r="Z3966" t="str">
            <v>Legacy</v>
          </cell>
          <cell r="AA3966" t="str">
            <v>$1K or Below</v>
          </cell>
          <cell r="AB3966" t="str">
            <v>2010 or before</v>
          </cell>
        </row>
        <row r="3967">
          <cell r="E3967">
            <v>980.89</v>
          </cell>
          <cell r="Z3967" t="str">
            <v>Legacy</v>
          </cell>
          <cell r="AA3967" t="str">
            <v>$1K or Below</v>
          </cell>
          <cell r="AB3967">
            <v>2011</v>
          </cell>
        </row>
        <row r="3968">
          <cell r="E3968">
            <v>979</v>
          </cell>
          <cell r="Z3968" t="str">
            <v>Outbound</v>
          </cell>
          <cell r="AA3968" t="str">
            <v>$1K or Below</v>
          </cell>
          <cell r="AB3968">
            <v>2012</v>
          </cell>
        </row>
        <row r="3969">
          <cell r="E3969">
            <v>977.5</v>
          </cell>
          <cell r="Z3969" t="str">
            <v>Legacy</v>
          </cell>
          <cell r="AA3969" t="str">
            <v>$1K or Below</v>
          </cell>
          <cell r="AB3969" t="str">
            <v>2010 or before</v>
          </cell>
        </row>
        <row r="3970">
          <cell r="E3970">
            <v>976.33</v>
          </cell>
          <cell r="Z3970" t="str">
            <v>Legacy</v>
          </cell>
          <cell r="AA3970" t="str">
            <v>$1K or Below</v>
          </cell>
          <cell r="AB3970" t="str">
            <v>2010 or before</v>
          </cell>
        </row>
        <row r="3971">
          <cell r="E3971">
            <v>974.69</v>
          </cell>
          <cell r="Z3971" t="str">
            <v>Legacy</v>
          </cell>
          <cell r="AA3971" t="str">
            <v>$1K or Below</v>
          </cell>
          <cell r="AB3971" t="str">
            <v>2010 or before</v>
          </cell>
        </row>
        <row r="3972">
          <cell r="E3972">
            <v>974.25</v>
          </cell>
          <cell r="Z3972" t="str">
            <v>Legacy</v>
          </cell>
          <cell r="AA3972" t="str">
            <v>$1K or Below</v>
          </cell>
          <cell r="AB3972">
            <v>2012</v>
          </cell>
        </row>
        <row r="3973">
          <cell r="E3973">
            <v>973.58</v>
          </cell>
          <cell r="Z3973" t="str">
            <v>Legacy</v>
          </cell>
          <cell r="AA3973" t="str">
            <v>$1K or Below</v>
          </cell>
          <cell r="AB3973" t="str">
            <v>2010 or before</v>
          </cell>
        </row>
        <row r="3974">
          <cell r="E3974">
            <v>971.43</v>
          </cell>
          <cell r="Z3974" t="str">
            <v>Legacy</v>
          </cell>
          <cell r="AA3974" t="str">
            <v>$1K or Below</v>
          </cell>
          <cell r="AB3974" t="str">
            <v>2010 or before</v>
          </cell>
        </row>
        <row r="3975">
          <cell r="E3975">
            <v>971.22</v>
          </cell>
          <cell r="Z3975" t="str">
            <v>Ungating</v>
          </cell>
          <cell r="AA3975" t="str">
            <v>$1K or Below</v>
          </cell>
          <cell r="AB3975">
            <v>2012</v>
          </cell>
        </row>
        <row r="3976">
          <cell r="E3976">
            <v>970.82</v>
          </cell>
          <cell r="Z3976" t="str">
            <v>Legacy</v>
          </cell>
          <cell r="AA3976" t="str">
            <v>$1K or Below</v>
          </cell>
          <cell r="AB3976" t="str">
            <v>2010 or before</v>
          </cell>
        </row>
        <row r="3977">
          <cell r="E3977">
            <v>969.69</v>
          </cell>
          <cell r="Z3977" t="str">
            <v>Legacy</v>
          </cell>
          <cell r="AA3977" t="str">
            <v>$1K or Below</v>
          </cell>
          <cell r="AB3977">
            <v>2011</v>
          </cell>
        </row>
        <row r="3978">
          <cell r="E3978">
            <v>967.8</v>
          </cell>
          <cell r="Z3978" t="str">
            <v>Legacy</v>
          </cell>
          <cell r="AA3978" t="str">
            <v>$1K or Below</v>
          </cell>
          <cell r="AB3978" t="str">
            <v>2010 or before</v>
          </cell>
        </row>
        <row r="3979">
          <cell r="E3979">
            <v>967.4</v>
          </cell>
          <cell r="Z3979" t="str">
            <v>Ungating</v>
          </cell>
          <cell r="AA3979" t="str">
            <v>$1K or Below</v>
          </cell>
          <cell r="AB3979">
            <v>2012</v>
          </cell>
        </row>
        <row r="3980">
          <cell r="E3980">
            <v>966.79</v>
          </cell>
          <cell r="Z3980" t="str">
            <v>Legacy</v>
          </cell>
          <cell r="AA3980" t="str">
            <v>$1K or Below</v>
          </cell>
          <cell r="AB3980" t="str">
            <v>2010 or before</v>
          </cell>
        </row>
        <row r="3981">
          <cell r="E3981">
            <v>965.78</v>
          </cell>
          <cell r="Z3981" t="str">
            <v>Legacy</v>
          </cell>
          <cell r="AA3981" t="str">
            <v>$1K or Below</v>
          </cell>
          <cell r="AB3981" t="str">
            <v>2010 or before</v>
          </cell>
        </row>
        <row r="3982">
          <cell r="E3982">
            <v>964.31</v>
          </cell>
          <cell r="Z3982" t="str">
            <v>Legacy</v>
          </cell>
          <cell r="AA3982" t="str">
            <v>$1K or Below</v>
          </cell>
          <cell r="AB3982" t="str">
            <v>2010 or before</v>
          </cell>
        </row>
        <row r="3983">
          <cell r="E3983">
            <v>962.34</v>
          </cell>
          <cell r="Z3983" t="str">
            <v>Legacy</v>
          </cell>
          <cell r="AA3983" t="str">
            <v>$1K or Below</v>
          </cell>
          <cell r="AB3983" t="str">
            <v>2010 or before</v>
          </cell>
        </row>
        <row r="3984">
          <cell r="E3984">
            <v>961.51</v>
          </cell>
          <cell r="Z3984" t="str">
            <v>Legacy</v>
          </cell>
          <cell r="AA3984" t="str">
            <v>$1K or Below</v>
          </cell>
          <cell r="AB3984">
            <v>2011</v>
          </cell>
        </row>
        <row r="3985">
          <cell r="E3985">
            <v>960.81</v>
          </cell>
          <cell r="Z3985" t="str">
            <v>Legacy</v>
          </cell>
          <cell r="AA3985" t="str">
            <v>$1K or Below</v>
          </cell>
          <cell r="AB3985">
            <v>2011</v>
          </cell>
        </row>
        <row r="3986">
          <cell r="E3986">
            <v>960.43</v>
          </cell>
          <cell r="Z3986" t="str">
            <v>Legacy</v>
          </cell>
          <cell r="AA3986" t="str">
            <v>$1K or Below</v>
          </cell>
          <cell r="AB3986" t="str">
            <v>2010 or before</v>
          </cell>
        </row>
        <row r="3987">
          <cell r="E3987">
            <v>959.83</v>
          </cell>
          <cell r="Z3987" t="str">
            <v>Legacy</v>
          </cell>
          <cell r="AA3987" t="str">
            <v>$1K or Below</v>
          </cell>
          <cell r="AB3987">
            <v>2011</v>
          </cell>
        </row>
        <row r="3988">
          <cell r="E3988">
            <v>955.8</v>
          </cell>
          <cell r="Z3988" t="str">
            <v>Legacy</v>
          </cell>
          <cell r="AA3988" t="str">
            <v>$1K or Below</v>
          </cell>
          <cell r="AB3988" t="str">
            <v>2010 or before</v>
          </cell>
        </row>
        <row r="3989">
          <cell r="E3989">
            <v>954.94</v>
          </cell>
          <cell r="Z3989" t="str">
            <v>Legacy</v>
          </cell>
          <cell r="AA3989" t="str">
            <v>$1K or Below</v>
          </cell>
          <cell r="AB3989" t="str">
            <v>2010 or before</v>
          </cell>
        </row>
        <row r="3990">
          <cell r="E3990">
            <v>951.45</v>
          </cell>
          <cell r="Z3990" t="str">
            <v>Legacy</v>
          </cell>
          <cell r="AA3990" t="str">
            <v>$1K or Below</v>
          </cell>
          <cell r="AB3990" t="str">
            <v>2010 or before</v>
          </cell>
        </row>
        <row r="3991">
          <cell r="E3991">
            <v>950.63</v>
          </cell>
          <cell r="Z3991" t="str">
            <v>Legacy</v>
          </cell>
          <cell r="AA3991" t="str">
            <v>$1K or Below</v>
          </cell>
          <cell r="AB3991" t="str">
            <v>2010 or before</v>
          </cell>
        </row>
        <row r="3992">
          <cell r="E3992">
            <v>950.35</v>
          </cell>
          <cell r="Z3992" t="str">
            <v>Legacy</v>
          </cell>
          <cell r="AA3992" t="str">
            <v>$1K or Below</v>
          </cell>
          <cell r="AB3992" t="str">
            <v>2010 or before</v>
          </cell>
        </row>
        <row r="3993">
          <cell r="E3993">
            <v>949.1</v>
          </cell>
          <cell r="Z3993" t="str">
            <v>Inbound</v>
          </cell>
          <cell r="AA3993" t="str">
            <v>$1K or Below</v>
          </cell>
          <cell r="AB3993">
            <v>2012</v>
          </cell>
        </row>
        <row r="3994">
          <cell r="E3994">
            <v>948.32</v>
          </cell>
          <cell r="Z3994" t="str">
            <v>Legacy</v>
          </cell>
          <cell r="AA3994" t="str">
            <v>$1K or Below</v>
          </cell>
          <cell r="AB3994" t="str">
            <v>2010 or before</v>
          </cell>
        </row>
        <row r="3995">
          <cell r="E3995">
            <v>947.95</v>
          </cell>
          <cell r="Z3995" t="str">
            <v>Legacy</v>
          </cell>
          <cell r="AA3995" t="str">
            <v>$1K or Below</v>
          </cell>
          <cell r="AB3995" t="str">
            <v>2010 or before</v>
          </cell>
        </row>
        <row r="3996">
          <cell r="E3996">
            <v>947.46</v>
          </cell>
          <cell r="Z3996" t="str">
            <v>Ungating</v>
          </cell>
          <cell r="AA3996" t="str">
            <v>$1K or Below</v>
          </cell>
          <cell r="AB3996">
            <v>2012</v>
          </cell>
        </row>
        <row r="3997">
          <cell r="E3997">
            <v>946.27</v>
          </cell>
          <cell r="Z3997" t="str">
            <v>Legacy</v>
          </cell>
          <cell r="AA3997" t="str">
            <v>$1K or Below</v>
          </cell>
          <cell r="AB3997" t="str">
            <v>2010 or before</v>
          </cell>
        </row>
        <row r="3998">
          <cell r="E3998">
            <v>945.95</v>
          </cell>
          <cell r="Z3998" t="str">
            <v>Legacy</v>
          </cell>
          <cell r="AA3998" t="str">
            <v>$1K or Below</v>
          </cell>
          <cell r="AB3998" t="str">
            <v>2010 or before</v>
          </cell>
        </row>
        <row r="3999">
          <cell r="E3999">
            <v>945.55</v>
          </cell>
          <cell r="Z3999" t="str">
            <v>Legacy</v>
          </cell>
          <cell r="AA3999" t="str">
            <v>$1K or Below</v>
          </cell>
          <cell r="AB3999" t="str">
            <v>2010 or before</v>
          </cell>
        </row>
        <row r="4000">
          <cell r="E4000">
            <v>944.52</v>
          </cell>
          <cell r="Z4000" t="str">
            <v>Legacy</v>
          </cell>
          <cell r="AA4000" t="str">
            <v>$1K or Below</v>
          </cell>
          <cell r="AB4000" t="str">
            <v>2010 or before</v>
          </cell>
        </row>
        <row r="4001">
          <cell r="E4001">
            <v>941.68</v>
          </cell>
          <cell r="Z4001" t="str">
            <v>Legacy</v>
          </cell>
          <cell r="AA4001" t="str">
            <v>$1K or Below</v>
          </cell>
          <cell r="AB4001" t="str">
            <v>2010 or before</v>
          </cell>
        </row>
        <row r="4002">
          <cell r="E4002">
            <v>939.1</v>
          </cell>
          <cell r="Z4002" t="str">
            <v>Legacy</v>
          </cell>
          <cell r="AA4002" t="str">
            <v>$1K or Below</v>
          </cell>
          <cell r="AB4002">
            <v>2011</v>
          </cell>
        </row>
        <row r="4003">
          <cell r="E4003">
            <v>938.56</v>
          </cell>
          <cell r="Z4003" t="str">
            <v>Legacy</v>
          </cell>
          <cell r="AA4003" t="str">
            <v>$1K or Below</v>
          </cell>
          <cell r="AB4003" t="str">
            <v>2010 or before</v>
          </cell>
        </row>
        <row r="4004">
          <cell r="E4004">
            <v>936</v>
          </cell>
          <cell r="Z4004" t="str">
            <v>Inbound</v>
          </cell>
          <cell r="AA4004" t="str">
            <v>$1K or Below</v>
          </cell>
          <cell r="AB4004">
            <v>2012</v>
          </cell>
        </row>
        <row r="4005">
          <cell r="E4005">
            <v>932.85</v>
          </cell>
          <cell r="Z4005" t="str">
            <v>Legacy</v>
          </cell>
          <cell r="AA4005" t="str">
            <v>$1K or Below</v>
          </cell>
          <cell r="AB4005" t="str">
            <v>2010 or before</v>
          </cell>
        </row>
        <row r="4006">
          <cell r="E4006">
            <v>925.86</v>
          </cell>
          <cell r="Z4006" t="str">
            <v>Legacy</v>
          </cell>
          <cell r="AA4006" t="str">
            <v>$1K or Below</v>
          </cell>
          <cell r="AB4006" t="str">
            <v>2010 or before</v>
          </cell>
        </row>
        <row r="4007">
          <cell r="E4007">
            <v>923.77</v>
          </cell>
          <cell r="Z4007" t="str">
            <v>Legacy</v>
          </cell>
          <cell r="AA4007" t="str">
            <v>$1K or Below</v>
          </cell>
          <cell r="AB4007" t="str">
            <v>2010 or before</v>
          </cell>
        </row>
        <row r="4008">
          <cell r="E4008">
            <v>921.5</v>
          </cell>
          <cell r="Z4008" t="str">
            <v>Legacy</v>
          </cell>
          <cell r="AA4008" t="str">
            <v>$1K or Below</v>
          </cell>
          <cell r="AB4008" t="str">
            <v>2010 or before</v>
          </cell>
        </row>
        <row r="4009">
          <cell r="E4009">
            <v>921.04</v>
          </cell>
          <cell r="Z4009" t="str">
            <v>Legacy</v>
          </cell>
          <cell r="AA4009" t="str">
            <v>$1K or Below</v>
          </cell>
          <cell r="AB4009" t="str">
            <v>2010 or before</v>
          </cell>
        </row>
        <row r="4010">
          <cell r="E4010">
            <v>919.74</v>
          </cell>
          <cell r="Z4010" t="str">
            <v>Legacy</v>
          </cell>
          <cell r="AA4010" t="str">
            <v>$1K or Below</v>
          </cell>
          <cell r="AB4010">
            <v>2012</v>
          </cell>
        </row>
        <row r="4011">
          <cell r="E4011">
            <v>918.77</v>
          </cell>
          <cell r="Z4011" t="str">
            <v>Legacy</v>
          </cell>
          <cell r="AA4011" t="str">
            <v>$1K or Below</v>
          </cell>
          <cell r="AB4011" t="str">
            <v>2010 or before</v>
          </cell>
        </row>
        <row r="4012">
          <cell r="E4012">
            <v>918.2</v>
          </cell>
          <cell r="Z4012" t="str">
            <v>Inbound</v>
          </cell>
          <cell r="AA4012" t="str">
            <v>$1K or Below</v>
          </cell>
          <cell r="AB4012">
            <v>2012</v>
          </cell>
        </row>
        <row r="4013">
          <cell r="E4013">
            <v>917.43</v>
          </cell>
          <cell r="Z4013" t="str">
            <v>Legacy</v>
          </cell>
          <cell r="AA4013" t="str">
            <v>$1K or Below</v>
          </cell>
          <cell r="AB4013" t="str">
            <v>2010 or before</v>
          </cell>
        </row>
        <row r="4014">
          <cell r="E4014">
            <v>915.15</v>
          </cell>
          <cell r="Z4014" t="str">
            <v>Legacy</v>
          </cell>
          <cell r="AA4014" t="str">
            <v>$1K or Below</v>
          </cell>
          <cell r="AB4014" t="str">
            <v>2010 or before</v>
          </cell>
        </row>
        <row r="4015">
          <cell r="E4015">
            <v>915.08</v>
          </cell>
          <cell r="Z4015" t="str">
            <v>Legacy</v>
          </cell>
          <cell r="AA4015" t="str">
            <v>$1K or Below</v>
          </cell>
          <cell r="AB4015" t="str">
            <v>2010 or before</v>
          </cell>
        </row>
        <row r="4016">
          <cell r="E4016">
            <v>914.82</v>
          </cell>
          <cell r="Z4016" t="str">
            <v>Legacy</v>
          </cell>
          <cell r="AA4016" t="str">
            <v>$1K or Below</v>
          </cell>
          <cell r="AB4016" t="str">
            <v>2010 or before</v>
          </cell>
        </row>
        <row r="4017">
          <cell r="E4017">
            <v>911.9</v>
          </cell>
          <cell r="Z4017" t="str">
            <v>Legacy</v>
          </cell>
          <cell r="AA4017" t="str">
            <v>$1K or Below</v>
          </cell>
          <cell r="AB4017" t="str">
            <v>2010 or before</v>
          </cell>
        </row>
        <row r="4018">
          <cell r="E4018">
            <v>909.99</v>
          </cell>
          <cell r="Z4018" t="str">
            <v>Inbound</v>
          </cell>
          <cell r="AA4018" t="str">
            <v>$1K or Below</v>
          </cell>
          <cell r="AB4018">
            <v>2012</v>
          </cell>
        </row>
        <row r="4019">
          <cell r="E4019">
            <v>905.68</v>
          </cell>
          <cell r="Z4019" t="str">
            <v>Legacy</v>
          </cell>
          <cell r="AA4019" t="str">
            <v>$1K or Below</v>
          </cell>
          <cell r="AB4019" t="str">
            <v>2010 or before</v>
          </cell>
        </row>
        <row r="4020">
          <cell r="E4020">
            <v>905.58</v>
          </cell>
          <cell r="Z4020" t="str">
            <v>Ungating</v>
          </cell>
          <cell r="AA4020" t="str">
            <v>$1K or Below</v>
          </cell>
          <cell r="AB4020">
            <v>2012</v>
          </cell>
        </row>
        <row r="4021">
          <cell r="E4021">
            <v>901.11</v>
          </cell>
          <cell r="Z4021" t="str">
            <v>Legacy</v>
          </cell>
          <cell r="AA4021" t="str">
            <v>$1K or Below</v>
          </cell>
          <cell r="AB4021" t="str">
            <v>2010 or before</v>
          </cell>
        </row>
        <row r="4022">
          <cell r="E4022">
            <v>901.04</v>
          </cell>
          <cell r="Z4022" t="str">
            <v>Inbound</v>
          </cell>
          <cell r="AA4022" t="str">
            <v>$1K or Below</v>
          </cell>
          <cell r="AB4022">
            <v>2012</v>
          </cell>
        </row>
        <row r="4023">
          <cell r="E4023">
            <v>900.47</v>
          </cell>
          <cell r="Z4023" t="str">
            <v>Legacy</v>
          </cell>
          <cell r="AA4023" t="str">
            <v>$1K or Below</v>
          </cell>
          <cell r="AB4023" t="str">
            <v>2010 or before</v>
          </cell>
        </row>
        <row r="4024">
          <cell r="E4024">
            <v>898.96</v>
          </cell>
          <cell r="Z4024" t="str">
            <v>Legacy</v>
          </cell>
          <cell r="AA4024" t="str">
            <v>$1K or Below</v>
          </cell>
          <cell r="AB4024">
            <v>2011</v>
          </cell>
        </row>
        <row r="4025">
          <cell r="E4025">
            <v>898.29</v>
          </cell>
          <cell r="Z4025" t="str">
            <v>Legacy</v>
          </cell>
          <cell r="AA4025" t="str">
            <v>$1K or Below</v>
          </cell>
          <cell r="AB4025" t="str">
            <v>2010 or before</v>
          </cell>
        </row>
        <row r="4026">
          <cell r="E4026">
            <v>893.98</v>
          </cell>
          <cell r="Z4026" t="str">
            <v>Legacy</v>
          </cell>
          <cell r="AA4026" t="str">
            <v>$1K or Below</v>
          </cell>
          <cell r="AB4026">
            <v>2012</v>
          </cell>
        </row>
        <row r="4027">
          <cell r="E4027">
            <v>893.73</v>
          </cell>
          <cell r="Z4027" t="str">
            <v>Legacy</v>
          </cell>
          <cell r="AA4027" t="str">
            <v>$1K or Below</v>
          </cell>
          <cell r="AB4027" t="str">
            <v>2010 or before</v>
          </cell>
        </row>
        <row r="4028">
          <cell r="E4028">
            <v>893</v>
          </cell>
          <cell r="Z4028" t="str">
            <v>Legacy</v>
          </cell>
          <cell r="AA4028" t="str">
            <v>$1K or Below</v>
          </cell>
          <cell r="AB4028" t="str">
            <v>2010 or before</v>
          </cell>
        </row>
        <row r="4029">
          <cell r="E4029">
            <v>890.91</v>
          </cell>
          <cell r="Z4029" t="str">
            <v>Legacy</v>
          </cell>
          <cell r="AA4029" t="str">
            <v>$1K or Below</v>
          </cell>
          <cell r="AB4029" t="str">
            <v>2010 or before</v>
          </cell>
        </row>
        <row r="4030">
          <cell r="E4030">
            <v>888.04</v>
          </cell>
          <cell r="Z4030" t="str">
            <v>Legacy</v>
          </cell>
          <cell r="AA4030" t="str">
            <v>$1K or Below</v>
          </cell>
          <cell r="AB4030" t="str">
            <v>2010 or before</v>
          </cell>
        </row>
        <row r="4031">
          <cell r="E4031">
            <v>887.91</v>
          </cell>
          <cell r="Z4031" t="str">
            <v>Legacy</v>
          </cell>
          <cell r="AA4031" t="str">
            <v>$1K or Below</v>
          </cell>
          <cell r="AB4031" t="str">
            <v>2010 or before</v>
          </cell>
        </row>
        <row r="4032">
          <cell r="E4032">
            <v>887.35</v>
          </cell>
          <cell r="Z4032" t="str">
            <v>Legacy</v>
          </cell>
          <cell r="AA4032" t="str">
            <v>$1K or Below</v>
          </cell>
          <cell r="AB4032">
            <v>2012</v>
          </cell>
        </row>
        <row r="4033">
          <cell r="E4033">
            <v>887.16</v>
          </cell>
          <cell r="Z4033" t="str">
            <v>Legacy</v>
          </cell>
          <cell r="AA4033" t="str">
            <v>$1K or Below</v>
          </cell>
          <cell r="AB4033" t="str">
            <v>2010 or before</v>
          </cell>
        </row>
        <row r="4034">
          <cell r="E4034">
            <v>886.77</v>
          </cell>
          <cell r="Z4034" t="str">
            <v>Legacy</v>
          </cell>
          <cell r="AA4034" t="str">
            <v>$1K or Below</v>
          </cell>
          <cell r="AB4034">
            <v>2011</v>
          </cell>
        </row>
        <row r="4035">
          <cell r="E4035">
            <v>886.76</v>
          </cell>
          <cell r="Z4035" t="str">
            <v>Legacy</v>
          </cell>
          <cell r="AA4035" t="str">
            <v>$1K or Below</v>
          </cell>
          <cell r="AB4035" t="str">
            <v>2010 or before</v>
          </cell>
        </row>
        <row r="4036">
          <cell r="E4036">
            <v>886.28</v>
          </cell>
          <cell r="Z4036" t="str">
            <v>Legacy</v>
          </cell>
          <cell r="AA4036" t="str">
            <v>$1K or Below</v>
          </cell>
          <cell r="AB4036" t="str">
            <v>2010 or before</v>
          </cell>
        </row>
        <row r="4037">
          <cell r="E4037">
            <v>883.94</v>
          </cell>
          <cell r="Z4037" t="str">
            <v>Legacy</v>
          </cell>
          <cell r="AA4037" t="str">
            <v>$1K or Below</v>
          </cell>
          <cell r="AB4037" t="str">
            <v>2010 or before</v>
          </cell>
        </row>
        <row r="4038">
          <cell r="E4038">
            <v>881.7</v>
          </cell>
          <cell r="Z4038" t="str">
            <v>Legacy</v>
          </cell>
          <cell r="AA4038" t="str">
            <v>$1K or Below</v>
          </cell>
          <cell r="AB4038">
            <v>2011</v>
          </cell>
        </row>
        <row r="4039">
          <cell r="E4039">
            <v>881.52</v>
          </cell>
          <cell r="Z4039" t="str">
            <v>Legacy</v>
          </cell>
          <cell r="AA4039" t="str">
            <v>$1K or Below</v>
          </cell>
          <cell r="AB4039" t="str">
            <v>2010 or before</v>
          </cell>
        </row>
        <row r="4040">
          <cell r="E4040">
            <v>881.49</v>
          </cell>
          <cell r="Z4040" t="str">
            <v>Legacy</v>
          </cell>
          <cell r="AA4040" t="str">
            <v>$1K or Below</v>
          </cell>
          <cell r="AB4040" t="str">
            <v>2010 or before</v>
          </cell>
        </row>
        <row r="4041">
          <cell r="E4041">
            <v>880.88</v>
          </cell>
          <cell r="Z4041" t="str">
            <v>Legacy</v>
          </cell>
          <cell r="AA4041" t="str">
            <v>$1K or Below</v>
          </cell>
          <cell r="AB4041" t="str">
            <v>2010 or before</v>
          </cell>
        </row>
        <row r="4042">
          <cell r="E4042">
            <v>880.84</v>
          </cell>
          <cell r="Z4042" t="str">
            <v>Legacy</v>
          </cell>
          <cell r="AA4042" t="str">
            <v>$1K or Below</v>
          </cell>
          <cell r="AB4042" t="str">
            <v>2010 or before</v>
          </cell>
        </row>
        <row r="4043">
          <cell r="E4043">
            <v>880.6</v>
          </cell>
          <cell r="Z4043" t="str">
            <v>Legacy</v>
          </cell>
          <cell r="AA4043" t="str">
            <v>$1K or Below</v>
          </cell>
          <cell r="AB4043" t="str">
            <v>2010 or before</v>
          </cell>
        </row>
        <row r="4044">
          <cell r="E4044">
            <v>879.2</v>
          </cell>
          <cell r="Z4044" t="str">
            <v>Legacy</v>
          </cell>
          <cell r="AA4044" t="str">
            <v>$1K or Below</v>
          </cell>
          <cell r="AB4044" t="str">
            <v>2010 or before</v>
          </cell>
        </row>
        <row r="4045">
          <cell r="E4045">
            <v>876.78</v>
          </cell>
          <cell r="Z4045" t="str">
            <v>Legacy</v>
          </cell>
          <cell r="AA4045" t="str">
            <v>$1K or Below</v>
          </cell>
          <cell r="AB4045" t="str">
            <v>2010 or before</v>
          </cell>
        </row>
        <row r="4046">
          <cell r="E4046">
            <v>876.5</v>
          </cell>
          <cell r="Z4046" t="str">
            <v>Legacy</v>
          </cell>
          <cell r="AA4046" t="str">
            <v>$1K or Below</v>
          </cell>
          <cell r="AB4046" t="str">
            <v>2010 or before</v>
          </cell>
        </row>
        <row r="4047">
          <cell r="E4047">
            <v>873</v>
          </cell>
          <cell r="Z4047" t="str">
            <v>Legacy</v>
          </cell>
          <cell r="AA4047" t="str">
            <v>$1K or Below</v>
          </cell>
          <cell r="AB4047" t="str">
            <v>2010 or before</v>
          </cell>
        </row>
        <row r="4048">
          <cell r="E4048">
            <v>872.5</v>
          </cell>
          <cell r="Z4048" t="str">
            <v>Legacy</v>
          </cell>
          <cell r="AA4048" t="str">
            <v>$1K or Below</v>
          </cell>
          <cell r="AB4048" t="str">
            <v>2010 or before</v>
          </cell>
        </row>
        <row r="4049">
          <cell r="E4049">
            <v>870.29</v>
          </cell>
          <cell r="Z4049" t="str">
            <v>Legacy</v>
          </cell>
          <cell r="AA4049" t="str">
            <v>$1K or Below</v>
          </cell>
          <cell r="AB4049" t="str">
            <v>2010 or before</v>
          </cell>
        </row>
        <row r="4050">
          <cell r="E4050">
            <v>869.91</v>
          </cell>
          <cell r="Z4050" t="str">
            <v>Legacy</v>
          </cell>
          <cell r="AA4050" t="str">
            <v>$1K or Below</v>
          </cell>
          <cell r="AB4050" t="str">
            <v>2010 or before</v>
          </cell>
        </row>
        <row r="4051">
          <cell r="E4051">
            <v>869.32</v>
          </cell>
          <cell r="Z4051" t="str">
            <v>Legacy</v>
          </cell>
          <cell r="AA4051" t="str">
            <v>$1K or Below</v>
          </cell>
          <cell r="AB4051">
            <v>2011</v>
          </cell>
        </row>
        <row r="4052">
          <cell r="E4052">
            <v>868.38</v>
          </cell>
          <cell r="Z4052" t="str">
            <v>Legacy</v>
          </cell>
          <cell r="AA4052" t="str">
            <v>$1K or Below</v>
          </cell>
          <cell r="AB4052" t="str">
            <v>2010 or before</v>
          </cell>
        </row>
        <row r="4053">
          <cell r="E4053">
            <v>867.73</v>
          </cell>
          <cell r="Z4053" t="str">
            <v>Ungating</v>
          </cell>
          <cell r="AA4053" t="str">
            <v>$1K or Below</v>
          </cell>
          <cell r="AB4053">
            <v>2012</v>
          </cell>
        </row>
        <row r="4054">
          <cell r="E4054">
            <v>867.51</v>
          </cell>
          <cell r="Z4054" t="str">
            <v>Outbound</v>
          </cell>
          <cell r="AA4054" t="str">
            <v>$1K or Below</v>
          </cell>
          <cell r="AB4054">
            <v>2012</v>
          </cell>
        </row>
        <row r="4055">
          <cell r="E4055">
            <v>867.44</v>
          </cell>
          <cell r="Z4055" t="str">
            <v>Legacy</v>
          </cell>
          <cell r="AA4055" t="str">
            <v>$1K or Below</v>
          </cell>
          <cell r="AB4055" t="str">
            <v>2010 or before</v>
          </cell>
        </row>
        <row r="4056">
          <cell r="E4056">
            <v>865.27</v>
          </cell>
          <cell r="Z4056" t="str">
            <v>Legacy</v>
          </cell>
          <cell r="AA4056" t="str">
            <v>$1K or Below</v>
          </cell>
          <cell r="AB4056" t="str">
            <v>2010 or before</v>
          </cell>
        </row>
        <row r="4057">
          <cell r="E4057">
            <v>864.59</v>
          </cell>
          <cell r="Z4057" t="str">
            <v>Legacy</v>
          </cell>
          <cell r="AA4057" t="str">
            <v>$1K or Below</v>
          </cell>
          <cell r="AB4057" t="str">
            <v>2010 or before</v>
          </cell>
        </row>
        <row r="4058">
          <cell r="E4058">
            <v>861.5</v>
          </cell>
          <cell r="Z4058" t="str">
            <v>Legacy</v>
          </cell>
          <cell r="AA4058" t="str">
            <v>$1K or Below</v>
          </cell>
          <cell r="AB4058" t="str">
            <v>2010 or before</v>
          </cell>
        </row>
        <row r="4059">
          <cell r="E4059">
            <v>861.11</v>
          </cell>
          <cell r="Z4059" t="str">
            <v>Legacy</v>
          </cell>
          <cell r="AA4059" t="str">
            <v>$1K or Below</v>
          </cell>
          <cell r="AB4059" t="str">
            <v>2010 or before</v>
          </cell>
        </row>
        <row r="4060">
          <cell r="E4060">
            <v>860.25</v>
          </cell>
          <cell r="Z4060" t="str">
            <v>Legacy</v>
          </cell>
          <cell r="AA4060" t="str">
            <v>$1K or Below</v>
          </cell>
          <cell r="AB4060" t="str">
            <v>2010 or before</v>
          </cell>
        </row>
        <row r="4061">
          <cell r="E4061">
            <v>859.57</v>
          </cell>
          <cell r="Z4061" t="str">
            <v>Legacy</v>
          </cell>
          <cell r="AA4061" t="str">
            <v>$1K or Below</v>
          </cell>
          <cell r="AB4061" t="str">
            <v>2010 or before</v>
          </cell>
        </row>
        <row r="4062">
          <cell r="E4062">
            <v>858.75</v>
          </cell>
          <cell r="Z4062" t="str">
            <v>Legacy</v>
          </cell>
          <cell r="AA4062" t="str">
            <v>$1K or Below</v>
          </cell>
          <cell r="AB4062" t="str">
            <v>2010 or before</v>
          </cell>
        </row>
        <row r="4063">
          <cell r="E4063">
            <v>858.03</v>
          </cell>
          <cell r="Z4063" t="str">
            <v>Legacy</v>
          </cell>
          <cell r="AA4063" t="str">
            <v>$1K or Below</v>
          </cell>
          <cell r="AB4063" t="str">
            <v>2010 or before</v>
          </cell>
        </row>
        <row r="4064">
          <cell r="E4064">
            <v>857.94</v>
          </cell>
          <cell r="Z4064" t="str">
            <v>Legacy</v>
          </cell>
          <cell r="AA4064" t="str">
            <v>$1K or Below</v>
          </cell>
          <cell r="AB4064" t="str">
            <v>2010 or before</v>
          </cell>
        </row>
        <row r="4065">
          <cell r="E4065">
            <v>857.56</v>
          </cell>
          <cell r="Z4065" t="str">
            <v>Outbound</v>
          </cell>
          <cell r="AA4065" t="str">
            <v>$1K or Below</v>
          </cell>
          <cell r="AB4065">
            <v>2012</v>
          </cell>
        </row>
        <row r="4066">
          <cell r="E4066">
            <v>857.03</v>
          </cell>
          <cell r="Z4066" t="str">
            <v>Inbound</v>
          </cell>
          <cell r="AA4066" t="str">
            <v>$1K or Below</v>
          </cell>
          <cell r="AB4066">
            <v>2012</v>
          </cell>
        </row>
        <row r="4067">
          <cell r="E4067">
            <v>855.73</v>
          </cell>
          <cell r="Z4067" t="str">
            <v>Legacy</v>
          </cell>
          <cell r="AA4067" t="str">
            <v>$1K or Below</v>
          </cell>
          <cell r="AB4067" t="str">
            <v>2010 or before</v>
          </cell>
        </row>
        <row r="4068">
          <cell r="E4068">
            <v>854.55</v>
          </cell>
          <cell r="Z4068" t="str">
            <v>Legacy</v>
          </cell>
          <cell r="AA4068" t="str">
            <v>$1K or Below</v>
          </cell>
          <cell r="AB4068">
            <v>2011</v>
          </cell>
        </row>
        <row r="4069">
          <cell r="E4069">
            <v>853.94</v>
          </cell>
          <cell r="Z4069" t="str">
            <v>Legacy</v>
          </cell>
          <cell r="AA4069" t="str">
            <v>$1K or Below</v>
          </cell>
          <cell r="AB4069">
            <v>2012</v>
          </cell>
        </row>
        <row r="4070">
          <cell r="E4070">
            <v>852.59</v>
          </cell>
          <cell r="Z4070" t="str">
            <v>Ungating</v>
          </cell>
          <cell r="AA4070" t="str">
            <v>$1K or Below</v>
          </cell>
          <cell r="AB4070">
            <v>2013</v>
          </cell>
        </row>
        <row r="4071">
          <cell r="E4071">
            <v>851.74</v>
          </cell>
          <cell r="Z4071" t="str">
            <v>Legacy</v>
          </cell>
          <cell r="AA4071" t="str">
            <v>$1K or Below</v>
          </cell>
          <cell r="AB4071" t="str">
            <v>2010 or before</v>
          </cell>
        </row>
        <row r="4072">
          <cell r="E4072">
            <v>851.71</v>
          </cell>
          <cell r="Z4072" t="str">
            <v>Legacy</v>
          </cell>
          <cell r="AA4072" t="str">
            <v>$1K or Below</v>
          </cell>
          <cell r="AB4072" t="str">
            <v>2010 or before</v>
          </cell>
        </row>
        <row r="4073">
          <cell r="E4073">
            <v>851.5</v>
          </cell>
          <cell r="Z4073" t="str">
            <v>Legacy</v>
          </cell>
          <cell r="AA4073" t="str">
            <v>$1K or Below</v>
          </cell>
          <cell r="AB4073" t="str">
            <v>2010 or before</v>
          </cell>
        </row>
        <row r="4074">
          <cell r="E4074">
            <v>851.38</v>
          </cell>
          <cell r="Z4074" t="str">
            <v>Ungating</v>
          </cell>
          <cell r="AA4074" t="str">
            <v>$1K or Below</v>
          </cell>
          <cell r="AB4074">
            <v>2012</v>
          </cell>
        </row>
        <row r="4075">
          <cell r="E4075">
            <v>851.25</v>
          </cell>
          <cell r="Z4075" t="str">
            <v>Legacy</v>
          </cell>
          <cell r="AA4075" t="str">
            <v>$1K or Below</v>
          </cell>
          <cell r="AB4075" t="str">
            <v>2010 or before</v>
          </cell>
        </row>
        <row r="4076">
          <cell r="E4076">
            <v>851.06</v>
          </cell>
          <cell r="Z4076" t="str">
            <v>Ungating</v>
          </cell>
          <cell r="AA4076" t="str">
            <v>$1K or Below</v>
          </cell>
          <cell r="AB4076">
            <v>2012</v>
          </cell>
        </row>
        <row r="4077">
          <cell r="E4077">
            <v>851</v>
          </cell>
          <cell r="Z4077" t="str">
            <v>Ungating</v>
          </cell>
          <cell r="AA4077" t="str">
            <v>$1K or Below</v>
          </cell>
          <cell r="AB4077">
            <v>2012</v>
          </cell>
        </row>
        <row r="4078">
          <cell r="E4078">
            <v>850.68</v>
          </cell>
          <cell r="Z4078" t="str">
            <v>Legacy</v>
          </cell>
          <cell r="AA4078" t="str">
            <v>$1K or Below</v>
          </cell>
          <cell r="AB4078" t="str">
            <v>2010 or before</v>
          </cell>
        </row>
        <row r="4079">
          <cell r="E4079">
            <v>847.74</v>
          </cell>
          <cell r="Z4079" t="str">
            <v>Legacy</v>
          </cell>
          <cell r="AA4079" t="str">
            <v>$1K or Below</v>
          </cell>
          <cell r="AB4079" t="str">
            <v>2010 or before</v>
          </cell>
        </row>
        <row r="4080">
          <cell r="E4080">
            <v>847.34</v>
          </cell>
          <cell r="Z4080" t="str">
            <v>Ungating</v>
          </cell>
          <cell r="AA4080" t="str">
            <v>$1K or Below</v>
          </cell>
          <cell r="AB4080">
            <v>2012</v>
          </cell>
        </row>
        <row r="4081">
          <cell r="E4081">
            <v>844.58</v>
          </cell>
          <cell r="Z4081" t="str">
            <v>Legacy</v>
          </cell>
          <cell r="AA4081" t="str">
            <v>$1K or Below</v>
          </cell>
          <cell r="AB4081" t="str">
            <v>2010 or before</v>
          </cell>
        </row>
        <row r="4082">
          <cell r="E4082">
            <v>844.49</v>
          </cell>
          <cell r="Z4082" t="str">
            <v>Ungating</v>
          </cell>
          <cell r="AA4082" t="str">
            <v>$1K or Below</v>
          </cell>
          <cell r="AB4082">
            <v>2012</v>
          </cell>
        </row>
        <row r="4083">
          <cell r="E4083">
            <v>843.32</v>
          </cell>
          <cell r="Z4083" t="str">
            <v>Ungating</v>
          </cell>
          <cell r="AA4083" t="str">
            <v>$1K or Below</v>
          </cell>
          <cell r="AB4083">
            <v>2011</v>
          </cell>
        </row>
        <row r="4084">
          <cell r="E4084">
            <v>842.98</v>
          </cell>
          <cell r="Z4084" t="str">
            <v>Legacy</v>
          </cell>
          <cell r="AA4084" t="str">
            <v>$1K or Below</v>
          </cell>
          <cell r="AB4084" t="str">
            <v>2010 or before</v>
          </cell>
        </row>
        <row r="4085">
          <cell r="E4085">
            <v>841.23</v>
          </cell>
          <cell r="Z4085" t="str">
            <v>Legacy</v>
          </cell>
          <cell r="AA4085" t="str">
            <v>$1K or Below</v>
          </cell>
          <cell r="AB4085" t="str">
            <v>2010 or before</v>
          </cell>
        </row>
        <row r="4086">
          <cell r="E4086">
            <v>840.12</v>
          </cell>
          <cell r="Z4086" t="str">
            <v>Legacy</v>
          </cell>
          <cell r="AA4086" t="str">
            <v>$1K or Below</v>
          </cell>
          <cell r="AB4086" t="str">
            <v>2010 or before</v>
          </cell>
        </row>
        <row r="4087">
          <cell r="E4087">
            <v>839.93</v>
          </cell>
          <cell r="Z4087" t="str">
            <v>Legacy</v>
          </cell>
          <cell r="AA4087" t="str">
            <v>$1K or Below</v>
          </cell>
          <cell r="AB4087" t="str">
            <v>2010 or before</v>
          </cell>
        </row>
        <row r="4088">
          <cell r="E4088">
            <v>839.59</v>
          </cell>
          <cell r="Z4088" t="str">
            <v>Legacy</v>
          </cell>
          <cell r="AA4088" t="str">
            <v>$1K or Below</v>
          </cell>
          <cell r="AB4088" t="str">
            <v>2010 or before</v>
          </cell>
        </row>
        <row r="4089">
          <cell r="E4089">
            <v>838.21</v>
          </cell>
          <cell r="Z4089" t="str">
            <v>Legacy</v>
          </cell>
          <cell r="AA4089" t="str">
            <v>$1K or Below</v>
          </cell>
          <cell r="AB4089" t="str">
            <v>2010 or before</v>
          </cell>
        </row>
        <row r="4090">
          <cell r="E4090">
            <v>837.86</v>
          </cell>
          <cell r="Z4090" t="str">
            <v>Legacy</v>
          </cell>
          <cell r="AA4090" t="str">
            <v>$1K or Below</v>
          </cell>
          <cell r="AB4090" t="str">
            <v>2010 or before</v>
          </cell>
        </row>
        <row r="4091">
          <cell r="E4091">
            <v>836.81</v>
          </cell>
          <cell r="Z4091" t="str">
            <v>Legacy</v>
          </cell>
          <cell r="AA4091" t="str">
            <v>$1K or Below</v>
          </cell>
          <cell r="AB4091" t="str">
            <v>2010 or before</v>
          </cell>
        </row>
        <row r="4092">
          <cell r="E4092">
            <v>835.32</v>
          </cell>
          <cell r="Z4092" t="str">
            <v>Ungating</v>
          </cell>
          <cell r="AA4092" t="str">
            <v>$1K or Below</v>
          </cell>
          <cell r="AB4092">
            <v>2011</v>
          </cell>
        </row>
        <row r="4093">
          <cell r="E4093">
            <v>829</v>
          </cell>
          <cell r="Z4093" t="str">
            <v>Ungating</v>
          </cell>
          <cell r="AA4093" t="str">
            <v>$1K or Below</v>
          </cell>
          <cell r="AB4093">
            <v>2012</v>
          </cell>
        </row>
        <row r="4094">
          <cell r="E4094">
            <v>828.86</v>
          </cell>
          <cell r="Z4094" t="str">
            <v>Legacy</v>
          </cell>
          <cell r="AA4094" t="str">
            <v>$1K or Below</v>
          </cell>
          <cell r="AB4094" t="str">
            <v>2010 or before</v>
          </cell>
        </row>
        <row r="4095">
          <cell r="E4095">
            <v>828.45</v>
          </cell>
          <cell r="Z4095" t="str">
            <v>Legacy</v>
          </cell>
          <cell r="AA4095" t="str">
            <v>$1K or Below</v>
          </cell>
          <cell r="AB4095" t="str">
            <v>2010 or before</v>
          </cell>
        </row>
        <row r="4096">
          <cell r="E4096">
            <v>828.37</v>
          </cell>
          <cell r="Z4096" t="str">
            <v>Legacy</v>
          </cell>
          <cell r="AA4096" t="str">
            <v>$1K or Below</v>
          </cell>
          <cell r="AB4096">
            <v>2011</v>
          </cell>
        </row>
        <row r="4097">
          <cell r="E4097">
            <v>828.06</v>
          </cell>
          <cell r="Z4097" t="str">
            <v>Legacy</v>
          </cell>
          <cell r="AA4097" t="str">
            <v>$1K or Below</v>
          </cell>
          <cell r="AB4097" t="str">
            <v>2010 or before</v>
          </cell>
        </row>
        <row r="4098">
          <cell r="E4098">
            <v>824.8</v>
          </cell>
          <cell r="Z4098" t="str">
            <v>Legacy</v>
          </cell>
          <cell r="AA4098" t="str">
            <v>$1K or Below</v>
          </cell>
          <cell r="AB4098" t="str">
            <v>2010 or before</v>
          </cell>
        </row>
        <row r="4099">
          <cell r="E4099">
            <v>824.8</v>
          </cell>
          <cell r="Z4099" t="str">
            <v>Ungating</v>
          </cell>
          <cell r="AA4099" t="str">
            <v>$1K or Below</v>
          </cell>
          <cell r="AB4099">
            <v>2013</v>
          </cell>
        </row>
        <row r="4100">
          <cell r="E4100">
            <v>823.2</v>
          </cell>
          <cell r="Z4100" t="str">
            <v>Legacy</v>
          </cell>
          <cell r="AA4100" t="str">
            <v>$1K or Below</v>
          </cell>
          <cell r="AB4100" t="str">
            <v>2010 or before</v>
          </cell>
        </row>
        <row r="4101">
          <cell r="E4101">
            <v>822.02</v>
          </cell>
          <cell r="Z4101" t="str">
            <v>Legacy</v>
          </cell>
          <cell r="AA4101" t="str">
            <v>$1K or Below</v>
          </cell>
          <cell r="AB4101" t="str">
            <v>2010 or before</v>
          </cell>
        </row>
        <row r="4102">
          <cell r="E4102">
            <v>821.85</v>
          </cell>
          <cell r="Z4102" t="str">
            <v>Inbound</v>
          </cell>
          <cell r="AA4102" t="str">
            <v>$1K or Below</v>
          </cell>
          <cell r="AB4102">
            <v>2012</v>
          </cell>
        </row>
        <row r="4103">
          <cell r="E4103">
            <v>820.98</v>
          </cell>
          <cell r="Z4103" t="str">
            <v>Legacy</v>
          </cell>
          <cell r="AA4103" t="str">
            <v>$1K or Below</v>
          </cell>
          <cell r="AB4103" t="str">
            <v>2010 or before</v>
          </cell>
        </row>
        <row r="4104">
          <cell r="E4104">
            <v>820.92</v>
          </cell>
          <cell r="Z4104" t="str">
            <v>Legacy</v>
          </cell>
          <cell r="AA4104" t="str">
            <v>$1K or Below</v>
          </cell>
          <cell r="AB4104" t="str">
            <v>2010 or before</v>
          </cell>
        </row>
        <row r="4105">
          <cell r="E4105">
            <v>817.86</v>
          </cell>
          <cell r="Z4105" t="str">
            <v>Ungating</v>
          </cell>
          <cell r="AA4105" t="str">
            <v>$1K or Below</v>
          </cell>
          <cell r="AB4105">
            <v>2011</v>
          </cell>
        </row>
        <row r="4106">
          <cell r="E4106">
            <v>816.29</v>
          </cell>
          <cell r="Z4106" t="str">
            <v>Legacy</v>
          </cell>
          <cell r="AA4106" t="str">
            <v>$1K or Below</v>
          </cell>
          <cell r="AB4106" t="str">
            <v>2010 or before</v>
          </cell>
        </row>
        <row r="4107">
          <cell r="E4107">
            <v>816.05</v>
          </cell>
          <cell r="Z4107" t="str">
            <v>Legacy</v>
          </cell>
          <cell r="AA4107" t="str">
            <v>$1K or Below</v>
          </cell>
          <cell r="AB4107" t="str">
            <v>2010 or before</v>
          </cell>
        </row>
        <row r="4108">
          <cell r="E4108">
            <v>815.98</v>
          </cell>
          <cell r="Z4108" t="str">
            <v>Legacy</v>
          </cell>
          <cell r="AA4108" t="str">
            <v>$1K or Below</v>
          </cell>
          <cell r="AB4108" t="str">
            <v>2010 or before</v>
          </cell>
        </row>
        <row r="4109">
          <cell r="E4109">
            <v>814.81</v>
          </cell>
          <cell r="Z4109" t="str">
            <v>Legacy</v>
          </cell>
          <cell r="AA4109" t="str">
            <v>$1K or Below</v>
          </cell>
          <cell r="AB4109">
            <v>2012</v>
          </cell>
        </row>
        <row r="4110">
          <cell r="E4110">
            <v>811.81</v>
          </cell>
          <cell r="Z4110" t="str">
            <v>Legacy</v>
          </cell>
          <cell r="AA4110" t="str">
            <v>$1K or Below</v>
          </cell>
          <cell r="AB4110" t="str">
            <v>2010 or before</v>
          </cell>
        </row>
        <row r="4111">
          <cell r="E4111">
            <v>811.2</v>
          </cell>
          <cell r="Z4111" t="str">
            <v>Inbound</v>
          </cell>
          <cell r="AA4111" t="str">
            <v>$1K or Below</v>
          </cell>
          <cell r="AB4111">
            <v>2012</v>
          </cell>
        </row>
        <row r="4112">
          <cell r="E4112">
            <v>809.53</v>
          </cell>
          <cell r="Z4112" t="str">
            <v>Ungating</v>
          </cell>
          <cell r="AA4112" t="str">
            <v>$1K or Below</v>
          </cell>
          <cell r="AB4112">
            <v>2012</v>
          </cell>
        </row>
        <row r="4113">
          <cell r="E4113">
            <v>807.21</v>
          </cell>
          <cell r="Z4113" t="str">
            <v>Legacy</v>
          </cell>
          <cell r="AA4113" t="str">
            <v>$1K or Below</v>
          </cell>
          <cell r="AB4113" t="str">
            <v>2010 or before</v>
          </cell>
        </row>
        <row r="4114">
          <cell r="E4114">
            <v>806.89</v>
          </cell>
          <cell r="Z4114" t="str">
            <v>Legacy</v>
          </cell>
          <cell r="AA4114" t="str">
            <v>$1K or Below</v>
          </cell>
          <cell r="AB4114" t="str">
            <v>2010 or before</v>
          </cell>
        </row>
        <row r="4115">
          <cell r="E4115">
            <v>806.79</v>
          </cell>
          <cell r="Z4115" t="str">
            <v>Legacy</v>
          </cell>
          <cell r="AA4115" t="str">
            <v>$1K or Below</v>
          </cell>
          <cell r="AB4115" t="str">
            <v>2010 or before</v>
          </cell>
        </row>
        <row r="4116">
          <cell r="E4116">
            <v>806.55</v>
          </cell>
          <cell r="Z4116" t="str">
            <v>Legacy</v>
          </cell>
          <cell r="AA4116" t="str">
            <v>$1K or Below</v>
          </cell>
          <cell r="AB4116" t="str">
            <v>2010 or before</v>
          </cell>
        </row>
        <row r="4117">
          <cell r="E4117">
            <v>806.11</v>
          </cell>
          <cell r="Z4117" t="str">
            <v>Legacy</v>
          </cell>
          <cell r="AA4117" t="str">
            <v>$1K or Below</v>
          </cell>
          <cell r="AB4117" t="str">
            <v>2010 or before</v>
          </cell>
        </row>
        <row r="4118">
          <cell r="E4118">
            <v>805.13</v>
          </cell>
          <cell r="Z4118" t="str">
            <v>Legacy</v>
          </cell>
          <cell r="AA4118" t="str">
            <v>$1K or Below</v>
          </cell>
          <cell r="AB4118">
            <v>2011</v>
          </cell>
        </row>
        <row r="4119">
          <cell r="E4119">
            <v>804.71</v>
          </cell>
          <cell r="Z4119" t="str">
            <v>Legacy</v>
          </cell>
          <cell r="AA4119" t="str">
            <v>$1K or Below</v>
          </cell>
          <cell r="AB4119" t="str">
            <v>2010 or before</v>
          </cell>
        </row>
        <row r="4120">
          <cell r="E4120">
            <v>803.19</v>
          </cell>
          <cell r="Z4120" t="str">
            <v>Legacy</v>
          </cell>
          <cell r="AA4120" t="str">
            <v>$1K or Below</v>
          </cell>
          <cell r="AB4120" t="str">
            <v>2010 or before</v>
          </cell>
        </row>
        <row r="4121">
          <cell r="E4121">
            <v>802.84</v>
          </cell>
          <cell r="Z4121" t="str">
            <v>Legacy</v>
          </cell>
          <cell r="AA4121" t="str">
            <v>$1K or Below</v>
          </cell>
          <cell r="AB4121" t="str">
            <v>2010 or before</v>
          </cell>
        </row>
        <row r="4122">
          <cell r="E4122">
            <v>800.3</v>
          </cell>
          <cell r="Z4122" t="str">
            <v>Inbound</v>
          </cell>
          <cell r="AA4122" t="str">
            <v>$1K or Below</v>
          </cell>
          <cell r="AB4122">
            <v>2012</v>
          </cell>
        </row>
        <row r="4123">
          <cell r="E4123">
            <v>800.19</v>
          </cell>
          <cell r="Z4123" t="str">
            <v>Legacy</v>
          </cell>
          <cell r="AA4123" t="str">
            <v>$1K or Below</v>
          </cell>
          <cell r="AB4123">
            <v>2012</v>
          </cell>
        </row>
        <row r="4124">
          <cell r="E4124">
            <v>799.77</v>
          </cell>
          <cell r="Z4124" t="str">
            <v>Inbound</v>
          </cell>
          <cell r="AA4124" t="str">
            <v>$1K or Below</v>
          </cell>
          <cell r="AB4124">
            <v>2011</v>
          </cell>
        </row>
        <row r="4125">
          <cell r="E4125">
            <v>798</v>
          </cell>
          <cell r="Z4125" t="str">
            <v>Legacy</v>
          </cell>
          <cell r="AA4125" t="str">
            <v>$1K or Below</v>
          </cell>
          <cell r="AB4125">
            <v>2011</v>
          </cell>
        </row>
        <row r="4126">
          <cell r="E4126">
            <v>797.65</v>
          </cell>
          <cell r="Z4126" t="str">
            <v>Legacy</v>
          </cell>
          <cell r="AA4126" t="str">
            <v>$1K or Below</v>
          </cell>
          <cell r="AB4126" t="str">
            <v>2010 or before</v>
          </cell>
        </row>
        <row r="4127">
          <cell r="E4127">
            <v>796.73</v>
          </cell>
          <cell r="Z4127" t="str">
            <v>Ungating</v>
          </cell>
          <cell r="AA4127" t="str">
            <v>$1K or Below</v>
          </cell>
          <cell r="AB4127">
            <v>2012</v>
          </cell>
        </row>
        <row r="4128">
          <cell r="E4128">
            <v>794.95</v>
          </cell>
          <cell r="Z4128" t="str">
            <v>Legacy</v>
          </cell>
          <cell r="AA4128" t="str">
            <v>$1K or Below</v>
          </cell>
          <cell r="AB4128">
            <v>2011</v>
          </cell>
        </row>
        <row r="4129">
          <cell r="E4129">
            <v>794.65</v>
          </cell>
          <cell r="Z4129" t="str">
            <v>Legacy</v>
          </cell>
          <cell r="AA4129" t="str">
            <v>$1K or Below</v>
          </cell>
          <cell r="AB4129" t="str">
            <v>2010 or before</v>
          </cell>
        </row>
        <row r="4130">
          <cell r="E4130">
            <v>791.9</v>
          </cell>
          <cell r="Z4130" t="str">
            <v>Legacy</v>
          </cell>
          <cell r="AA4130" t="str">
            <v>$1K or Below</v>
          </cell>
          <cell r="AB4130">
            <v>2011</v>
          </cell>
        </row>
        <row r="4131">
          <cell r="E4131">
            <v>791.43</v>
          </cell>
          <cell r="Z4131" t="str">
            <v>Global</v>
          </cell>
          <cell r="AA4131" t="str">
            <v>$1K or Below</v>
          </cell>
          <cell r="AB4131">
            <v>2012</v>
          </cell>
        </row>
        <row r="4132">
          <cell r="E4132">
            <v>791.35</v>
          </cell>
          <cell r="Z4132" t="str">
            <v>Legacy</v>
          </cell>
          <cell r="AA4132" t="str">
            <v>$1K or Below</v>
          </cell>
          <cell r="AB4132">
            <v>2011</v>
          </cell>
        </row>
        <row r="4133">
          <cell r="E4133">
            <v>786.34</v>
          </cell>
          <cell r="Z4133" t="str">
            <v>Ungating</v>
          </cell>
          <cell r="AA4133" t="str">
            <v>$1K or Below</v>
          </cell>
          <cell r="AB4133">
            <v>2012</v>
          </cell>
        </row>
        <row r="4134">
          <cell r="E4134">
            <v>785.25</v>
          </cell>
          <cell r="Z4134" t="str">
            <v>Legacy</v>
          </cell>
          <cell r="AA4134" t="str">
            <v>$1K or Below</v>
          </cell>
          <cell r="AB4134" t="str">
            <v>2010 or before</v>
          </cell>
        </row>
        <row r="4135">
          <cell r="E4135">
            <v>784.58</v>
          </cell>
          <cell r="Z4135" t="str">
            <v>Legacy</v>
          </cell>
          <cell r="AA4135" t="str">
            <v>$1K or Below</v>
          </cell>
          <cell r="AB4135" t="str">
            <v>2010 or before</v>
          </cell>
        </row>
        <row r="4136">
          <cell r="E4136">
            <v>781.4</v>
          </cell>
          <cell r="Z4136" t="str">
            <v>Legacy</v>
          </cell>
          <cell r="AA4136" t="str">
            <v>$1K or Below</v>
          </cell>
          <cell r="AB4136" t="str">
            <v>2010 or before</v>
          </cell>
        </row>
        <row r="4137">
          <cell r="E4137">
            <v>780.99</v>
          </cell>
          <cell r="Z4137" t="str">
            <v>Legacy</v>
          </cell>
          <cell r="AA4137" t="str">
            <v>$1K or Below</v>
          </cell>
          <cell r="AB4137" t="str">
            <v>2010 or before</v>
          </cell>
        </row>
        <row r="4138">
          <cell r="E4138">
            <v>779.85</v>
          </cell>
          <cell r="Z4138" t="str">
            <v>Legacy</v>
          </cell>
          <cell r="AA4138" t="str">
            <v>$1K or Below</v>
          </cell>
          <cell r="AB4138" t="str">
            <v>2010 or before</v>
          </cell>
        </row>
        <row r="4139">
          <cell r="E4139">
            <v>779.83</v>
          </cell>
          <cell r="Z4139" t="str">
            <v>Legacy</v>
          </cell>
          <cell r="AA4139" t="str">
            <v>$1K or Below</v>
          </cell>
          <cell r="AB4139" t="str">
            <v>2010 or before</v>
          </cell>
        </row>
        <row r="4140">
          <cell r="E4140">
            <v>779.38</v>
          </cell>
          <cell r="Z4140" t="str">
            <v>Legacy</v>
          </cell>
          <cell r="AA4140" t="str">
            <v>$1K or Below</v>
          </cell>
          <cell r="AB4140" t="str">
            <v>2010 or before</v>
          </cell>
        </row>
        <row r="4141">
          <cell r="E4141">
            <v>779.06</v>
          </cell>
          <cell r="Z4141" t="str">
            <v>Legacy</v>
          </cell>
          <cell r="AA4141" t="str">
            <v>$1K or Below</v>
          </cell>
          <cell r="AB4141" t="str">
            <v>2010 or before</v>
          </cell>
        </row>
        <row r="4142">
          <cell r="E4142">
            <v>778.49</v>
          </cell>
          <cell r="Z4142" t="str">
            <v>Global</v>
          </cell>
          <cell r="AA4142" t="str">
            <v>$1K or Below</v>
          </cell>
          <cell r="AB4142">
            <v>2012</v>
          </cell>
        </row>
        <row r="4143">
          <cell r="E4143">
            <v>777.93</v>
          </cell>
          <cell r="Z4143" t="str">
            <v>Inbound</v>
          </cell>
          <cell r="AA4143" t="str">
            <v>$1K or Below</v>
          </cell>
          <cell r="AB4143">
            <v>2012</v>
          </cell>
        </row>
        <row r="4144">
          <cell r="E4144">
            <v>775.93</v>
          </cell>
          <cell r="Z4144" t="str">
            <v>Legacy</v>
          </cell>
          <cell r="AA4144" t="str">
            <v>$1K or Below</v>
          </cell>
          <cell r="AB4144" t="str">
            <v>2010 or before</v>
          </cell>
        </row>
        <row r="4145">
          <cell r="E4145">
            <v>775.08</v>
          </cell>
          <cell r="Z4145" t="str">
            <v>Legacy</v>
          </cell>
          <cell r="AA4145" t="str">
            <v>$1K or Below</v>
          </cell>
          <cell r="AB4145" t="str">
            <v>2010 or before</v>
          </cell>
        </row>
        <row r="4146">
          <cell r="E4146">
            <v>775</v>
          </cell>
          <cell r="Z4146" t="str">
            <v>Global</v>
          </cell>
          <cell r="AA4146" t="str">
            <v>$1K or Below</v>
          </cell>
          <cell r="AB4146">
            <v>2012</v>
          </cell>
        </row>
        <row r="4147">
          <cell r="E4147">
            <v>772.37</v>
          </cell>
          <cell r="Z4147" t="str">
            <v>Inbound</v>
          </cell>
          <cell r="AA4147" t="str">
            <v>$1K or Below</v>
          </cell>
          <cell r="AB4147">
            <v>2012</v>
          </cell>
        </row>
        <row r="4148">
          <cell r="E4148">
            <v>770.9</v>
          </cell>
          <cell r="Z4148" t="str">
            <v>Legacy</v>
          </cell>
          <cell r="AA4148" t="str">
            <v>$1K or Below</v>
          </cell>
          <cell r="AB4148" t="str">
            <v>2010 or before</v>
          </cell>
        </row>
        <row r="4149">
          <cell r="E4149">
            <v>770.27</v>
          </cell>
          <cell r="Z4149" t="str">
            <v>Legacy</v>
          </cell>
          <cell r="AA4149" t="str">
            <v>$1K or Below</v>
          </cell>
          <cell r="AB4149" t="str">
            <v>2010 or before</v>
          </cell>
        </row>
        <row r="4150">
          <cell r="E4150">
            <v>768</v>
          </cell>
          <cell r="Z4150" t="str">
            <v>Legacy</v>
          </cell>
          <cell r="AA4150" t="str">
            <v>$1K or Below</v>
          </cell>
          <cell r="AB4150">
            <v>2012</v>
          </cell>
        </row>
        <row r="4151">
          <cell r="E4151">
            <v>767.4</v>
          </cell>
          <cell r="Z4151" t="str">
            <v>Legacy</v>
          </cell>
          <cell r="AA4151" t="str">
            <v>$1K or Below</v>
          </cell>
          <cell r="AB4151" t="str">
            <v>2010 or before</v>
          </cell>
        </row>
        <row r="4152">
          <cell r="E4152">
            <v>765.77</v>
          </cell>
          <cell r="Z4152" t="str">
            <v>Legacy</v>
          </cell>
          <cell r="AA4152" t="str">
            <v>$1K or Below</v>
          </cell>
          <cell r="AB4152" t="str">
            <v>2010 or before</v>
          </cell>
        </row>
        <row r="4153">
          <cell r="E4153">
            <v>764.54</v>
          </cell>
          <cell r="Z4153" t="str">
            <v>Legacy</v>
          </cell>
          <cell r="AA4153" t="str">
            <v>$1K or Below</v>
          </cell>
          <cell r="AB4153" t="str">
            <v>2010 or before</v>
          </cell>
        </row>
        <row r="4154">
          <cell r="E4154">
            <v>763.55</v>
          </cell>
          <cell r="Z4154" t="str">
            <v>Legacy</v>
          </cell>
          <cell r="AA4154" t="str">
            <v>$1K or Below</v>
          </cell>
          <cell r="AB4154" t="str">
            <v>2010 or before</v>
          </cell>
        </row>
        <row r="4155">
          <cell r="E4155">
            <v>763.54</v>
          </cell>
          <cell r="Z4155" t="str">
            <v>Ungating</v>
          </cell>
          <cell r="AA4155" t="str">
            <v>$1K or Below</v>
          </cell>
          <cell r="AB4155">
            <v>2012</v>
          </cell>
        </row>
        <row r="4156">
          <cell r="E4156">
            <v>763.34</v>
          </cell>
          <cell r="Z4156" t="str">
            <v>Legacy</v>
          </cell>
          <cell r="AA4156" t="str">
            <v>$1K or Below</v>
          </cell>
          <cell r="AB4156" t="str">
            <v>2010 or before</v>
          </cell>
        </row>
        <row r="4157">
          <cell r="E4157">
            <v>761.82</v>
          </cell>
          <cell r="Z4157" t="str">
            <v>Legacy</v>
          </cell>
          <cell r="AA4157" t="str">
            <v>$1K or Below</v>
          </cell>
          <cell r="AB4157">
            <v>2012</v>
          </cell>
        </row>
        <row r="4158">
          <cell r="E4158">
            <v>760.8</v>
          </cell>
          <cell r="Z4158" t="str">
            <v>Legacy</v>
          </cell>
          <cell r="AA4158" t="str">
            <v>$1K or Below</v>
          </cell>
          <cell r="AB4158" t="str">
            <v>2010 or before</v>
          </cell>
        </row>
        <row r="4159">
          <cell r="E4159">
            <v>759.72</v>
          </cell>
          <cell r="Z4159" t="str">
            <v>Legacy</v>
          </cell>
          <cell r="AA4159" t="str">
            <v>$1K or Below</v>
          </cell>
          <cell r="AB4159">
            <v>2011</v>
          </cell>
        </row>
        <row r="4160">
          <cell r="E4160">
            <v>759.6</v>
          </cell>
          <cell r="Z4160" t="str">
            <v>Legacy</v>
          </cell>
          <cell r="AA4160" t="str">
            <v>$1K or Below</v>
          </cell>
          <cell r="AB4160" t="str">
            <v>2010 or before</v>
          </cell>
        </row>
        <row r="4161">
          <cell r="E4161">
            <v>759.28</v>
          </cell>
          <cell r="Z4161" t="str">
            <v>Legacy</v>
          </cell>
          <cell r="AA4161" t="str">
            <v>$1K or Below</v>
          </cell>
          <cell r="AB4161" t="str">
            <v>2010 or before</v>
          </cell>
        </row>
        <row r="4162">
          <cell r="E4162">
            <v>759.2</v>
          </cell>
          <cell r="Z4162" t="str">
            <v>Outbound</v>
          </cell>
          <cell r="AA4162" t="str">
            <v>$1K or Below</v>
          </cell>
          <cell r="AB4162">
            <v>2012</v>
          </cell>
        </row>
        <row r="4163">
          <cell r="E4163">
            <v>759</v>
          </cell>
          <cell r="Z4163" t="str">
            <v>Inbound</v>
          </cell>
          <cell r="AA4163" t="str">
            <v>$1K or Below</v>
          </cell>
          <cell r="AB4163">
            <v>2012</v>
          </cell>
        </row>
        <row r="4164">
          <cell r="E4164">
            <v>758.14</v>
          </cell>
          <cell r="Z4164" t="str">
            <v>Legacy</v>
          </cell>
          <cell r="AA4164" t="str">
            <v>$1K or Below</v>
          </cell>
          <cell r="AB4164" t="str">
            <v>2010 or before</v>
          </cell>
        </row>
        <row r="4165">
          <cell r="E4165">
            <v>757.8</v>
          </cell>
          <cell r="Z4165" t="str">
            <v>Inbound</v>
          </cell>
          <cell r="AA4165" t="str">
            <v>$1K or Below</v>
          </cell>
          <cell r="AB4165">
            <v>2012</v>
          </cell>
        </row>
        <row r="4166">
          <cell r="E4166">
            <v>755.84</v>
          </cell>
          <cell r="Z4166" t="str">
            <v>Legacy</v>
          </cell>
          <cell r="AA4166" t="str">
            <v>$1K or Below</v>
          </cell>
          <cell r="AB4166">
            <v>2012</v>
          </cell>
        </row>
        <row r="4167">
          <cell r="E4167">
            <v>754.34</v>
          </cell>
          <cell r="Z4167" t="str">
            <v>Legacy</v>
          </cell>
          <cell r="AA4167" t="str">
            <v>$1K or Below</v>
          </cell>
          <cell r="AB4167">
            <v>2011</v>
          </cell>
        </row>
        <row r="4168">
          <cell r="E4168">
            <v>752.36</v>
          </cell>
          <cell r="Z4168" t="str">
            <v>Legacy</v>
          </cell>
          <cell r="AA4168" t="str">
            <v>$1K or Below</v>
          </cell>
          <cell r="AB4168" t="str">
            <v>2010 or before</v>
          </cell>
        </row>
        <row r="4169">
          <cell r="E4169">
            <v>751.4</v>
          </cell>
          <cell r="Z4169" t="str">
            <v>Legacy</v>
          </cell>
          <cell r="AA4169" t="str">
            <v>$1K or Below</v>
          </cell>
          <cell r="AB4169" t="str">
            <v>2010 or before</v>
          </cell>
        </row>
        <row r="4170">
          <cell r="E4170">
            <v>749.81</v>
          </cell>
          <cell r="Z4170" t="str">
            <v>Ungating</v>
          </cell>
          <cell r="AA4170" t="str">
            <v>$1K or Below</v>
          </cell>
          <cell r="AB4170">
            <v>2012</v>
          </cell>
        </row>
        <row r="4171">
          <cell r="E4171">
            <v>749.5</v>
          </cell>
          <cell r="Z4171" t="str">
            <v>Legacy</v>
          </cell>
          <cell r="AA4171" t="str">
            <v>$1K or Below</v>
          </cell>
          <cell r="AB4171" t="str">
            <v>2010 or before</v>
          </cell>
        </row>
        <row r="4172">
          <cell r="E4172">
            <v>748.9</v>
          </cell>
          <cell r="Z4172" t="str">
            <v>Inbound</v>
          </cell>
          <cell r="AA4172" t="str">
            <v>$1K or Below</v>
          </cell>
          <cell r="AB4172">
            <v>2012</v>
          </cell>
        </row>
        <row r="4173">
          <cell r="E4173">
            <v>747.62</v>
          </cell>
          <cell r="Z4173" t="str">
            <v>Global</v>
          </cell>
          <cell r="AA4173" t="str">
            <v>$1K or Below</v>
          </cell>
          <cell r="AB4173">
            <v>2012</v>
          </cell>
        </row>
        <row r="4174">
          <cell r="E4174">
            <v>747.6</v>
          </cell>
          <cell r="Z4174" t="str">
            <v>Inbound</v>
          </cell>
          <cell r="AA4174" t="str">
            <v>$1K or Below</v>
          </cell>
          <cell r="AB4174">
            <v>2012</v>
          </cell>
        </row>
        <row r="4175">
          <cell r="E4175">
            <v>746.85</v>
          </cell>
          <cell r="Z4175" t="str">
            <v>Legacy</v>
          </cell>
          <cell r="AA4175" t="str">
            <v>$1K or Below</v>
          </cell>
          <cell r="AB4175" t="str">
            <v>2010 or before</v>
          </cell>
        </row>
        <row r="4176">
          <cell r="E4176">
            <v>746.58</v>
          </cell>
          <cell r="Z4176" t="str">
            <v>Legacy</v>
          </cell>
          <cell r="AA4176" t="str">
            <v>$1K or Below</v>
          </cell>
          <cell r="AB4176">
            <v>2012</v>
          </cell>
        </row>
        <row r="4177">
          <cell r="E4177">
            <v>743.09</v>
          </cell>
          <cell r="Z4177" t="str">
            <v>Legacy</v>
          </cell>
          <cell r="AA4177" t="str">
            <v>$1K or Below</v>
          </cell>
          <cell r="AB4177" t="str">
            <v>2010 or before</v>
          </cell>
        </row>
        <row r="4178">
          <cell r="E4178">
            <v>739.99</v>
          </cell>
          <cell r="Z4178" t="str">
            <v>Legacy</v>
          </cell>
          <cell r="AA4178" t="str">
            <v>$1K or Below</v>
          </cell>
          <cell r="AB4178" t="str">
            <v>2010 or before</v>
          </cell>
        </row>
        <row r="4179">
          <cell r="E4179">
            <v>739.73</v>
          </cell>
          <cell r="Z4179" t="str">
            <v>Legacy</v>
          </cell>
          <cell r="AA4179" t="str">
            <v>$1K or Below</v>
          </cell>
          <cell r="AB4179" t="str">
            <v>2010 or before</v>
          </cell>
        </row>
        <row r="4180">
          <cell r="E4180">
            <v>737.72</v>
          </cell>
          <cell r="Z4180" t="str">
            <v>Legacy</v>
          </cell>
          <cell r="AA4180" t="str">
            <v>$1K or Below</v>
          </cell>
          <cell r="AB4180" t="str">
            <v>2010 or before</v>
          </cell>
        </row>
        <row r="4181">
          <cell r="E4181">
            <v>735.33</v>
          </cell>
          <cell r="Z4181" t="str">
            <v>Legacy</v>
          </cell>
          <cell r="AA4181" t="str">
            <v>$1K or Below</v>
          </cell>
          <cell r="AB4181" t="str">
            <v>2010 or before</v>
          </cell>
        </row>
        <row r="4182">
          <cell r="E4182">
            <v>734.96</v>
          </cell>
          <cell r="Z4182" t="str">
            <v>Legacy</v>
          </cell>
          <cell r="AA4182" t="str">
            <v>$1K or Below</v>
          </cell>
          <cell r="AB4182" t="str">
            <v>2010 or before</v>
          </cell>
        </row>
        <row r="4183">
          <cell r="E4183">
            <v>733.47</v>
          </cell>
          <cell r="Z4183" t="str">
            <v>Legacy</v>
          </cell>
          <cell r="AA4183" t="str">
            <v>$1K or Below</v>
          </cell>
          <cell r="AB4183" t="str">
            <v>2010 or before</v>
          </cell>
        </row>
        <row r="4184">
          <cell r="E4184">
            <v>733</v>
          </cell>
          <cell r="Z4184" t="str">
            <v>Inbound</v>
          </cell>
          <cell r="AA4184" t="str">
            <v>$1K or Below</v>
          </cell>
          <cell r="AB4184">
            <v>2012</v>
          </cell>
        </row>
        <row r="4185">
          <cell r="E4185">
            <v>731.57</v>
          </cell>
          <cell r="Z4185" t="str">
            <v>Ungating</v>
          </cell>
          <cell r="AA4185" t="str">
            <v>$1K or Below</v>
          </cell>
          <cell r="AB4185">
            <v>2011</v>
          </cell>
        </row>
        <row r="4186">
          <cell r="E4186">
            <v>731.3</v>
          </cell>
          <cell r="Z4186" t="str">
            <v>Legacy</v>
          </cell>
          <cell r="AA4186" t="str">
            <v>$1K or Below</v>
          </cell>
          <cell r="AB4186" t="str">
            <v>2010 or before</v>
          </cell>
        </row>
        <row r="4187">
          <cell r="E4187">
            <v>730.58</v>
          </cell>
          <cell r="Z4187" t="str">
            <v>Legacy</v>
          </cell>
          <cell r="AA4187" t="str">
            <v>$1K or Below</v>
          </cell>
          <cell r="AB4187" t="str">
            <v>2010 or before</v>
          </cell>
        </row>
        <row r="4188">
          <cell r="E4188">
            <v>729.26</v>
          </cell>
          <cell r="Z4188" t="str">
            <v>Legacy</v>
          </cell>
          <cell r="AA4188" t="str">
            <v>$1K or Below</v>
          </cell>
          <cell r="AB4188">
            <v>2012</v>
          </cell>
        </row>
        <row r="4189">
          <cell r="E4189">
            <v>726.06</v>
          </cell>
          <cell r="Z4189" t="str">
            <v>Legacy</v>
          </cell>
          <cell r="AA4189" t="str">
            <v>$1K or Below</v>
          </cell>
          <cell r="AB4189" t="str">
            <v>2010 or before</v>
          </cell>
        </row>
        <row r="4190">
          <cell r="E4190">
            <v>725</v>
          </cell>
          <cell r="Z4190" t="str">
            <v>Legacy</v>
          </cell>
          <cell r="AA4190" t="str">
            <v>$1K or Below</v>
          </cell>
          <cell r="AB4190">
            <v>2011</v>
          </cell>
        </row>
        <row r="4191">
          <cell r="E4191">
            <v>724</v>
          </cell>
          <cell r="Z4191" t="str">
            <v>Legacy</v>
          </cell>
          <cell r="AA4191" t="str">
            <v>$1K or Below</v>
          </cell>
          <cell r="AB4191" t="str">
            <v>2010 or before</v>
          </cell>
        </row>
        <row r="4192">
          <cell r="E4192">
            <v>723.46</v>
          </cell>
          <cell r="Z4192" t="str">
            <v>Legacy</v>
          </cell>
          <cell r="AA4192" t="str">
            <v>$1K or Below</v>
          </cell>
          <cell r="AB4192" t="str">
            <v>2010 or before</v>
          </cell>
        </row>
        <row r="4193">
          <cell r="E4193">
            <v>723.42</v>
          </cell>
          <cell r="Z4193" t="str">
            <v>Legacy</v>
          </cell>
          <cell r="AA4193" t="str">
            <v>$1K or Below</v>
          </cell>
          <cell r="AB4193" t="str">
            <v>2010 or before</v>
          </cell>
        </row>
        <row r="4194">
          <cell r="E4194">
            <v>723.19</v>
          </cell>
          <cell r="Z4194" t="str">
            <v>Legacy</v>
          </cell>
          <cell r="AA4194" t="str">
            <v>$1K or Below</v>
          </cell>
          <cell r="AB4194" t="str">
            <v>2010 or before</v>
          </cell>
        </row>
        <row r="4195">
          <cell r="E4195">
            <v>721.7</v>
          </cell>
          <cell r="Z4195" t="str">
            <v>Legacy</v>
          </cell>
          <cell r="AA4195" t="str">
            <v>$1K or Below</v>
          </cell>
          <cell r="AB4195">
            <v>2012</v>
          </cell>
        </row>
        <row r="4196">
          <cell r="E4196">
            <v>716.42</v>
          </cell>
          <cell r="Z4196" t="str">
            <v>Legacy</v>
          </cell>
          <cell r="AA4196" t="str">
            <v>$1K or Below</v>
          </cell>
          <cell r="AB4196" t="str">
            <v>2010 or before</v>
          </cell>
        </row>
        <row r="4197">
          <cell r="E4197">
            <v>716.39</v>
          </cell>
          <cell r="Z4197" t="str">
            <v>Legacy</v>
          </cell>
          <cell r="AA4197" t="str">
            <v>$1K or Below</v>
          </cell>
          <cell r="AB4197">
            <v>2012</v>
          </cell>
        </row>
        <row r="4198">
          <cell r="E4198">
            <v>715.8</v>
          </cell>
          <cell r="Z4198" t="str">
            <v>Legacy</v>
          </cell>
          <cell r="AA4198" t="str">
            <v>$1K or Below</v>
          </cell>
          <cell r="AB4198" t="str">
            <v>2010 or before</v>
          </cell>
        </row>
        <row r="4199">
          <cell r="E4199">
            <v>715.42</v>
          </cell>
          <cell r="Z4199" t="str">
            <v>Legacy</v>
          </cell>
          <cell r="AA4199" t="str">
            <v>$1K or Below</v>
          </cell>
          <cell r="AB4199" t="str">
            <v>2010 or before</v>
          </cell>
        </row>
        <row r="4200">
          <cell r="E4200">
            <v>715.39</v>
          </cell>
          <cell r="Z4200" t="str">
            <v>Inbound</v>
          </cell>
          <cell r="AA4200" t="str">
            <v>$1K or Below</v>
          </cell>
          <cell r="AB4200">
            <v>2013</v>
          </cell>
        </row>
        <row r="4201">
          <cell r="E4201">
            <v>714.8</v>
          </cell>
          <cell r="Z4201" t="str">
            <v>Legacy</v>
          </cell>
          <cell r="AA4201" t="str">
            <v>$1K or Below</v>
          </cell>
          <cell r="AB4201" t="str">
            <v>2010 or before</v>
          </cell>
        </row>
        <row r="4202">
          <cell r="E4202">
            <v>714.77</v>
          </cell>
          <cell r="Z4202" t="str">
            <v>Legacy</v>
          </cell>
          <cell r="AA4202" t="str">
            <v>$1K or Below</v>
          </cell>
          <cell r="AB4202">
            <v>2012</v>
          </cell>
        </row>
        <row r="4203">
          <cell r="E4203">
            <v>714.68</v>
          </cell>
          <cell r="Z4203" t="str">
            <v>Legacy</v>
          </cell>
          <cell r="AA4203" t="str">
            <v>$1K or Below</v>
          </cell>
          <cell r="AB4203">
            <v>2012</v>
          </cell>
        </row>
        <row r="4204">
          <cell r="E4204">
            <v>712.97</v>
          </cell>
          <cell r="Z4204" t="str">
            <v>Legacy</v>
          </cell>
          <cell r="AA4204" t="str">
            <v>$1K or Below</v>
          </cell>
          <cell r="AB4204" t="str">
            <v>2010 or before</v>
          </cell>
        </row>
        <row r="4205">
          <cell r="E4205">
            <v>710.23</v>
          </cell>
          <cell r="Z4205" t="str">
            <v>Legacy</v>
          </cell>
          <cell r="AA4205" t="str">
            <v>$1K or Below</v>
          </cell>
          <cell r="AB4205" t="str">
            <v>2010 or before</v>
          </cell>
        </row>
        <row r="4206">
          <cell r="E4206">
            <v>708.58</v>
          </cell>
          <cell r="Z4206" t="str">
            <v>Legacy</v>
          </cell>
          <cell r="AA4206" t="str">
            <v>$1K or Below</v>
          </cell>
          <cell r="AB4206" t="str">
            <v>2010 or before</v>
          </cell>
        </row>
        <row r="4207">
          <cell r="E4207">
            <v>707.76</v>
          </cell>
          <cell r="Z4207" t="str">
            <v>Legacy</v>
          </cell>
          <cell r="AA4207" t="str">
            <v>$1K or Below</v>
          </cell>
          <cell r="AB4207" t="str">
            <v>2010 or before</v>
          </cell>
        </row>
        <row r="4208">
          <cell r="E4208">
            <v>707</v>
          </cell>
          <cell r="Z4208" t="str">
            <v>Inbound</v>
          </cell>
          <cell r="AA4208" t="str">
            <v>$1K or Below</v>
          </cell>
          <cell r="AB4208">
            <v>2012</v>
          </cell>
        </row>
        <row r="4209">
          <cell r="E4209">
            <v>706.73</v>
          </cell>
          <cell r="Z4209" t="str">
            <v>Legacy</v>
          </cell>
          <cell r="AA4209" t="str">
            <v>$1K or Below</v>
          </cell>
          <cell r="AB4209" t="str">
            <v>2010 or before</v>
          </cell>
        </row>
        <row r="4210">
          <cell r="E4210">
            <v>706.33</v>
          </cell>
          <cell r="Z4210" t="str">
            <v>Legacy</v>
          </cell>
          <cell r="AA4210" t="str">
            <v>$1K or Below</v>
          </cell>
          <cell r="AB4210" t="str">
            <v>2010 or before</v>
          </cell>
        </row>
        <row r="4211">
          <cell r="E4211">
            <v>705.79</v>
          </cell>
          <cell r="Z4211" t="str">
            <v>Legacy</v>
          </cell>
          <cell r="AA4211" t="str">
            <v>$1K or Below</v>
          </cell>
          <cell r="AB4211" t="str">
            <v>2010 or before</v>
          </cell>
        </row>
        <row r="4212">
          <cell r="E4212">
            <v>705.33</v>
          </cell>
          <cell r="Z4212" t="str">
            <v>Legacy</v>
          </cell>
          <cell r="AA4212" t="str">
            <v>$1K or Below</v>
          </cell>
          <cell r="AB4212" t="str">
            <v>2010 or before</v>
          </cell>
        </row>
        <row r="4213">
          <cell r="E4213">
            <v>705</v>
          </cell>
          <cell r="Z4213" t="str">
            <v>Legacy</v>
          </cell>
          <cell r="AA4213" t="str">
            <v>$1K or Below</v>
          </cell>
          <cell r="AB4213" t="str">
            <v>2010 or before</v>
          </cell>
        </row>
        <row r="4214">
          <cell r="E4214">
            <v>701.83</v>
          </cell>
          <cell r="Z4214" t="str">
            <v>Legacy</v>
          </cell>
          <cell r="AA4214" t="str">
            <v>$1K or Below</v>
          </cell>
          <cell r="AB4214">
            <v>2011</v>
          </cell>
        </row>
        <row r="4215">
          <cell r="E4215">
            <v>701.71</v>
          </cell>
          <cell r="Z4215" t="str">
            <v>Legacy</v>
          </cell>
          <cell r="AA4215" t="str">
            <v>$1K or Below</v>
          </cell>
          <cell r="AB4215">
            <v>2011</v>
          </cell>
        </row>
        <row r="4216">
          <cell r="E4216">
            <v>700.64</v>
          </cell>
          <cell r="Z4216" t="str">
            <v>Legacy</v>
          </cell>
          <cell r="AA4216" t="str">
            <v>$1K or Below</v>
          </cell>
          <cell r="AB4216" t="str">
            <v>2010 or before</v>
          </cell>
        </row>
        <row r="4217">
          <cell r="E4217">
            <v>700.12</v>
          </cell>
          <cell r="Z4217" t="str">
            <v>Legacy</v>
          </cell>
          <cell r="AA4217" t="str">
            <v>$1K or Below</v>
          </cell>
          <cell r="AB4217" t="str">
            <v>2010 or before</v>
          </cell>
        </row>
        <row r="4218">
          <cell r="E4218">
            <v>699.9</v>
          </cell>
          <cell r="Z4218" t="str">
            <v>Global</v>
          </cell>
          <cell r="AA4218" t="str">
            <v>$1K or Below</v>
          </cell>
          <cell r="AB4218">
            <v>2012</v>
          </cell>
        </row>
        <row r="4219">
          <cell r="E4219">
            <v>698.99</v>
          </cell>
          <cell r="Z4219" t="str">
            <v>Legacy</v>
          </cell>
          <cell r="AA4219" t="str">
            <v>$1K or Below</v>
          </cell>
          <cell r="AB4219" t="str">
            <v>2010 or before</v>
          </cell>
        </row>
        <row r="4220">
          <cell r="E4220">
            <v>698.42</v>
          </cell>
          <cell r="Z4220" t="str">
            <v>Legacy</v>
          </cell>
          <cell r="AA4220" t="str">
            <v>$1K or Below</v>
          </cell>
          <cell r="AB4220">
            <v>2012</v>
          </cell>
        </row>
        <row r="4221">
          <cell r="E4221">
            <v>697.47</v>
          </cell>
          <cell r="Z4221" t="str">
            <v>Legacy</v>
          </cell>
          <cell r="AA4221" t="str">
            <v>$1K or Below</v>
          </cell>
          <cell r="AB4221" t="str">
            <v>2010 or before</v>
          </cell>
        </row>
        <row r="4222">
          <cell r="E4222">
            <v>695.69</v>
          </cell>
          <cell r="Z4222" t="str">
            <v>Legacy</v>
          </cell>
          <cell r="AA4222" t="str">
            <v>$1K or Below</v>
          </cell>
          <cell r="AB4222" t="str">
            <v>2010 or before</v>
          </cell>
        </row>
        <row r="4223">
          <cell r="E4223">
            <v>695.12</v>
          </cell>
          <cell r="Z4223" t="str">
            <v>Legacy</v>
          </cell>
          <cell r="AA4223" t="str">
            <v>$1K or Below</v>
          </cell>
          <cell r="AB4223" t="str">
            <v>2010 or before</v>
          </cell>
        </row>
        <row r="4224">
          <cell r="E4224">
            <v>692.31</v>
          </cell>
          <cell r="Z4224" t="str">
            <v>Legacy</v>
          </cell>
          <cell r="AA4224" t="str">
            <v>$1K or Below</v>
          </cell>
          <cell r="AB4224" t="str">
            <v>2010 or before</v>
          </cell>
        </row>
        <row r="4225">
          <cell r="E4225">
            <v>690.6</v>
          </cell>
          <cell r="Z4225" t="str">
            <v>Outbound</v>
          </cell>
          <cell r="AA4225" t="str">
            <v>$1K or Below</v>
          </cell>
          <cell r="AB4225">
            <v>2012</v>
          </cell>
        </row>
        <row r="4226">
          <cell r="E4226">
            <v>689.12</v>
          </cell>
          <cell r="Z4226" t="str">
            <v>Legacy</v>
          </cell>
          <cell r="AA4226" t="str">
            <v>$1K or Below</v>
          </cell>
          <cell r="AB4226" t="str">
            <v>2010 or before</v>
          </cell>
        </row>
        <row r="4227">
          <cell r="E4227">
            <v>688.55</v>
          </cell>
          <cell r="Z4227" t="str">
            <v>Legacy</v>
          </cell>
          <cell r="AA4227" t="str">
            <v>$1K or Below</v>
          </cell>
          <cell r="AB4227" t="str">
            <v>2010 or before</v>
          </cell>
        </row>
        <row r="4228">
          <cell r="E4228">
            <v>688.18</v>
          </cell>
          <cell r="Z4228" t="str">
            <v>Legacy</v>
          </cell>
          <cell r="AA4228" t="str">
            <v>$1K or Below</v>
          </cell>
          <cell r="AB4228" t="str">
            <v>2010 or before</v>
          </cell>
        </row>
        <row r="4229">
          <cell r="E4229">
            <v>687.26</v>
          </cell>
          <cell r="Z4229" t="str">
            <v>Legacy</v>
          </cell>
          <cell r="AA4229" t="str">
            <v>$1K or Below</v>
          </cell>
          <cell r="AB4229" t="str">
            <v>2010 or before</v>
          </cell>
        </row>
        <row r="4230">
          <cell r="E4230">
            <v>686.92</v>
          </cell>
          <cell r="Z4230" t="str">
            <v>Legacy</v>
          </cell>
          <cell r="AA4230" t="str">
            <v>$1K or Below</v>
          </cell>
          <cell r="AB4230" t="str">
            <v>2010 or before</v>
          </cell>
        </row>
        <row r="4231">
          <cell r="E4231">
            <v>686.47</v>
          </cell>
          <cell r="Z4231" t="str">
            <v>Legacy</v>
          </cell>
          <cell r="AA4231" t="str">
            <v>$1K or Below</v>
          </cell>
          <cell r="AB4231">
            <v>2012</v>
          </cell>
        </row>
        <row r="4232">
          <cell r="E4232">
            <v>686.31</v>
          </cell>
          <cell r="Z4232" t="str">
            <v>Legacy</v>
          </cell>
          <cell r="AA4232" t="str">
            <v>$1K or Below</v>
          </cell>
          <cell r="AB4232" t="str">
            <v>2010 or before</v>
          </cell>
        </row>
        <row r="4233">
          <cell r="E4233">
            <v>683.02</v>
          </cell>
          <cell r="Z4233" t="str">
            <v>Legacy</v>
          </cell>
          <cell r="AA4233" t="str">
            <v>$1K or Below</v>
          </cell>
          <cell r="AB4233" t="str">
            <v>2010 or before</v>
          </cell>
        </row>
        <row r="4234">
          <cell r="E4234">
            <v>682.14</v>
          </cell>
          <cell r="Z4234" t="str">
            <v>Global</v>
          </cell>
          <cell r="AA4234" t="str">
            <v>$1K or Below</v>
          </cell>
          <cell r="AB4234">
            <v>2012</v>
          </cell>
        </row>
        <row r="4235">
          <cell r="E4235">
            <v>681.88</v>
          </cell>
          <cell r="Z4235" t="str">
            <v>Legacy</v>
          </cell>
          <cell r="AA4235" t="str">
            <v>$1K or Below</v>
          </cell>
          <cell r="AB4235" t="str">
            <v>2010 or before</v>
          </cell>
        </row>
        <row r="4236">
          <cell r="E4236">
            <v>681.49</v>
          </cell>
          <cell r="Z4236" t="str">
            <v>Legacy</v>
          </cell>
          <cell r="AA4236" t="str">
            <v>$1K or Below</v>
          </cell>
          <cell r="AB4236">
            <v>2011</v>
          </cell>
        </row>
        <row r="4237">
          <cell r="E4237">
            <v>680.05</v>
          </cell>
          <cell r="Z4237" t="str">
            <v>Legacy</v>
          </cell>
          <cell r="AA4237" t="str">
            <v>$1K or Below</v>
          </cell>
          <cell r="AB4237" t="str">
            <v>2010 or before</v>
          </cell>
        </row>
        <row r="4238">
          <cell r="E4238">
            <v>678.69</v>
          </cell>
          <cell r="Z4238" t="str">
            <v>Outbound</v>
          </cell>
          <cell r="AA4238" t="str">
            <v>$1K or Below</v>
          </cell>
          <cell r="AB4238">
            <v>2011</v>
          </cell>
        </row>
        <row r="4239">
          <cell r="E4239">
            <v>678.65</v>
          </cell>
          <cell r="Z4239" t="str">
            <v>Legacy</v>
          </cell>
          <cell r="AA4239" t="str">
            <v>$1K or Below</v>
          </cell>
          <cell r="AB4239">
            <v>2011</v>
          </cell>
        </row>
        <row r="4240">
          <cell r="E4240">
            <v>675.38</v>
          </cell>
          <cell r="Z4240" t="str">
            <v>Legacy</v>
          </cell>
          <cell r="AA4240" t="str">
            <v>$1K or Below</v>
          </cell>
          <cell r="AB4240" t="str">
            <v>2010 or before</v>
          </cell>
        </row>
        <row r="4241">
          <cell r="E4241">
            <v>674.47</v>
          </cell>
          <cell r="Z4241" t="str">
            <v>Ungating</v>
          </cell>
          <cell r="AA4241" t="str">
            <v>$1K or Below</v>
          </cell>
          <cell r="AB4241">
            <v>2012</v>
          </cell>
        </row>
        <row r="4242">
          <cell r="E4242">
            <v>674.31</v>
          </cell>
          <cell r="Z4242" t="str">
            <v>Legacy</v>
          </cell>
          <cell r="AA4242" t="str">
            <v>$1K or Below</v>
          </cell>
          <cell r="AB4242" t="str">
            <v>2010 or before</v>
          </cell>
        </row>
        <row r="4243">
          <cell r="E4243">
            <v>673.83</v>
          </cell>
          <cell r="Z4243" t="str">
            <v>Legacy</v>
          </cell>
          <cell r="AA4243" t="str">
            <v>$1K or Below</v>
          </cell>
          <cell r="AB4243" t="str">
            <v>2010 or before</v>
          </cell>
        </row>
        <row r="4244">
          <cell r="E4244">
            <v>673.4</v>
          </cell>
          <cell r="Z4244" t="str">
            <v>Inbound</v>
          </cell>
          <cell r="AA4244" t="str">
            <v>$1K or Below</v>
          </cell>
          <cell r="AB4244">
            <v>2012</v>
          </cell>
        </row>
        <row r="4245">
          <cell r="E4245">
            <v>673.21</v>
          </cell>
          <cell r="Z4245" t="str">
            <v>Legacy</v>
          </cell>
          <cell r="AA4245" t="str">
            <v>$1K or Below</v>
          </cell>
          <cell r="AB4245">
            <v>2011</v>
          </cell>
        </row>
        <row r="4246">
          <cell r="E4246">
            <v>671.17</v>
          </cell>
          <cell r="Z4246" t="str">
            <v>Legacy</v>
          </cell>
          <cell r="AA4246" t="str">
            <v>$1K or Below</v>
          </cell>
          <cell r="AB4246" t="str">
            <v>2010 or before</v>
          </cell>
        </row>
        <row r="4247">
          <cell r="E4247">
            <v>670.15</v>
          </cell>
          <cell r="Z4247" t="str">
            <v>Legacy</v>
          </cell>
          <cell r="AA4247" t="str">
            <v>$1K or Below</v>
          </cell>
          <cell r="AB4247" t="str">
            <v>2010 or before</v>
          </cell>
        </row>
        <row r="4248">
          <cell r="E4248">
            <v>668.29</v>
          </cell>
          <cell r="Z4248" t="str">
            <v>Ungating</v>
          </cell>
          <cell r="AA4248" t="str">
            <v>$1K or Below</v>
          </cell>
          <cell r="AB4248">
            <v>2013</v>
          </cell>
        </row>
        <row r="4249">
          <cell r="E4249">
            <v>667.84</v>
          </cell>
          <cell r="Z4249" t="str">
            <v>Legacy</v>
          </cell>
          <cell r="AA4249" t="str">
            <v>$1K or Below</v>
          </cell>
          <cell r="AB4249" t="str">
            <v>2010 or before</v>
          </cell>
        </row>
        <row r="4250">
          <cell r="E4250">
            <v>666.69</v>
          </cell>
          <cell r="Z4250" t="str">
            <v>Legacy</v>
          </cell>
          <cell r="AA4250" t="str">
            <v>$1K or Below</v>
          </cell>
          <cell r="AB4250" t="str">
            <v>2010 or before</v>
          </cell>
        </row>
        <row r="4251">
          <cell r="E4251">
            <v>666.45</v>
          </cell>
          <cell r="Z4251" t="str">
            <v>Legacy</v>
          </cell>
          <cell r="AA4251" t="str">
            <v>$1K or Below</v>
          </cell>
          <cell r="AB4251" t="str">
            <v>2010 or before</v>
          </cell>
        </row>
        <row r="4252">
          <cell r="E4252">
            <v>666.12</v>
          </cell>
          <cell r="Z4252" t="str">
            <v>Legacy</v>
          </cell>
          <cell r="AA4252" t="str">
            <v>$1K or Below</v>
          </cell>
          <cell r="AB4252">
            <v>2011</v>
          </cell>
        </row>
        <row r="4253">
          <cell r="E4253">
            <v>664.1</v>
          </cell>
          <cell r="Z4253" t="str">
            <v>Legacy</v>
          </cell>
          <cell r="AA4253" t="str">
            <v>$1K or Below</v>
          </cell>
          <cell r="AB4253" t="str">
            <v>2010 or before</v>
          </cell>
        </row>
        <row r="4254">
          <cell r="E4254">
            <v>663.66</v>
          </cell>
          <cell r="Z4254" t="str">
            <v>Legacy</v>
          </cell>
          <cell r="AA4254" t="str">
            <v>$1K or Below</v>
          </cell>
          <cell r="AB4254" t="str">
            <v>2010 or before</v>
          </cell>
        </row>
        <row r="4255">
          <cell r="E4255">
            <v>663</v>
          </cell>
          <cell r="Z4255" t="str">
            <v>Inbound</v>
          </cell>
          <cell r="AA4255" t="str">
            <v>$1K or Below</v>
          </cell>
          <cell r="AB4255">
            <v>2012</v>
          </cell>
        </row>
        <row r="4256">
          <cell r="E4256">
            <v>662.62</v>
          </cell>
          <cell r="Z4256" t="str">
            <v>Legacy</v>
          </cell>
          <cell r="AA4256" t="str">
            <v>$1K or Below</v>
          </cell>
          <cell r="AB4256" t="str">
            <v>2010 or before</v>
          </cell>
        </row>
        <row r="4257">
          <cell r="E4257">
            <v>662.1</v>
          </cell>
          <cell r="Z4257" t="str">
            <v>Legacy</v>
          </cell>
          <cell r="AA4257" t="str">
            <v>$1K or Below</v>
          </cell>
          <cell r="AB4257" t="str">
            <v>2010 or before</v>
          </cell>
        </row>
        <row r="4258">
          <cell r="E4258">
            <v>661.04</v>
          </cell>
          <cell r="Z4258" t="str">
            <v>Legacy</v>
          </cell>
          <cell r="AA4258" t="str">
            <v>$1K or Below</v>
          </cell>
          <cell r="AB4258">
            <v>2012</v>
          </cell>
        </row>
        <row r="4259">
          <cell r="E4259">
            <v>660.6</v>
          </cell>
          <cell r="Z4259" t="str">
            <v>Legacy</v>
          </cell>
          <cell r="AA4259" t="str">
            <v>$1K or Below</v>
          </cell>
          <cell r="AB4259" t="str">
            <v>2010 or before</v>
          </cell>
        </row>
        <row r="4260">
          <cell r="E4260">
            <v>659.14</v>
          </cell>
          <cell r="Z4260" t="str">
            <v>Legacy</v>
          </cell>
          <cell r="AA4260" t="str">
            <v>$1K or Below</v>
          </cell>
          <cell r="AB4260" t="str">
            <v>2010 or before</v>
          </cell>
        </row>
        <row r="4261">
          <cell r="E4261">
            <v>657.81</v>
          </cell>
          <cell r="Z4261" t="str">
            <v>Legacy</v>
          </cell>
          <cell r="AA4261" t="str">
            <v>$1K or Below</v>
          </cell>
          <cell r="AB4261" t="str">
            <v>2010 or before</v>
          </cell>
        </row>
        <row r="4262">
          <cell r="E4262">
            <v>655</v>
          </cell>
          <cell r="Z4262" t="str">
            <v>Inbound</v>
          </cell>
          <cell r="AA4262" t="str">
            <v>$1K or Below</v>
          </cell>
          <cell r="AB4262">
            <v>2012</v>
          </cell>
        </row>
        <row r="4263">
          <cell r="E4263">
            <v>654.98</v>
          </cell>
          <cell r="Z4263" t="str">
            <v>Legacy</v>
          </cell>
          <cell r="AA4263" t="str">
            <v>$1K or Below</v>
          </cell>
          <cell r="AB4263" t="str">
            <v>2010 or before</v>
          </cell>
        </row>
        <row r="4264">
          <cell r="E4264">
            <v>654.38</v>
          </cell>
          <cell r="Z4264" t="str">
            <v>Legacy</v>
          </cell>
          <cell r="AA4264" t="str">
            <v>$1K or Below</v>
          </cell>
          <cell r="AB4264" t="str">
            <v>2010 or before</v>
          </cell>
        </row>
        <row r="4265">
          <cell r="E4265">
            <v>652.22</v>
          </cell>
          <cell r="Z4265" t="str">
            <v>Legacy</v>
          </cell>
          <cell r="AA4265" t="str">
            <v>$1K or Below</v>
          </cell>
          <cell r="AB4265" t="str">
            <v>2010 or before</v>
          </cell>
        </row>
        <row r="4266">
          <cell r="E4266">
            <v>652.17999999999995</v>
          </cell>
          <cell r="Z4266" t="str">
            <v>Legacy</v>
          </cell>
          <cell r="AA4266" t="str">
            <v>$1K or Below</v>
          </cell>
          <cell r="AB4266">
            <v>2011</v>
          </cell>
        </row>
        <row r="4267">
          <cell r="E4267">
            <v>650.29</v>
          </cell>
          <cell r="Z4267" t="str">
            <v>Legacy</v>
          </cell>
          <cell r="AA4267" t="str">
            <v>$1K or Below</v>
          </cell>
          <cell r="AB4267">
            <v>2011</v>
          </cell>
        </row>
        <row r="4268">
          <cell r="E4268">
            <v>650.09</v>
          </cell>
          <cell r="Z4268" t="str">
            <v>Legacy</v>
          </cell>
          <cell r="AA4268" t="str">
            <v>$1K or Below</v>
          </cell>
          <cell r="AB4268" t="str">
            <v>2010 or before</v>
          </cell>
        </row>
        <row r="4269">
          <cell r="E4269">
            <v>649.53</v>
          </cell>
          <cell r="Z4269" t="str">
            <v>Legacy</v>
          </cell>
          <cell r="AA4269" t="str">
            <v>$1K or Below</v>
          </cell>
          <cell r="AB4269" t="str">
            <v>2010 or before</v>
          </cell>
        </row>
        <row r="4270">
          <cell r="E4270">
            <v>648.89</v>
          </cell>
          <cell r="Z4270" t="str">
            <v>Legacy</v>
          </cell>
          <cell r="AA4270" t="str">
            <v>$1K or Below</v>
          </cell>
          <cell r="AB4270" t="str">
            <v>2010 or before</v>
          </cell>
        </row>
        <row r="4271">
          <cell r="E4271">
            <v>648.55999999999995</v>
          </cell>
          <cell r="Z4271" t="str">
            <v>Legacy</v>
          </cell>
          <cell r="AA4271" t="str">
            <v>$1K or Below</v>
          </cell>
          <cell r="AB4271" t="str">
            <v>2010 or before</v>
          </cell>
        </row>
        <row r="4272">
          <cell r="E4272">
            <v>647.82000000000005</v>
          </cell>
          <cell r="Z4272" t="str">
            <v>Legacy</v>
          </cell>
          <cell r="AA4272" t="str">
            <v>$1K or Below</v>
          </cell>
          <cell r="AB4272" t="str">
            <v>2010 or before</v>
          </cell>
        </row>
        <row r="4273">
          <cell r="E4273">
            <v>647.4</v>
          </cell>
          <cell r="Z4273" t="str">
            <v>Legacy</v>
          </cell>
          <cell r="AA4273" t="str">
            <v>$1K or Below</v>
          </cell>
          <cell r="AB4273" t="str">
            <v>2010 or before</v>
          </cell>
        </row>
        <row r="4274">
          <cell r="E4274">
            <v>646</v>
          </cell>
          <cell r="Z4274" t="str">
            <v>Legacy</v>
          </cell>
          <cell r="AA4274" t="str">
            <v>$1K or Below</v>
          </cell>
          <cell r="AB4274" t="str">
            <v>2010 or before</v>
          </cell>
        </row>
        <row r="4275">
          <cell r="E4275">
            <v>645.6</v>
          </cell>
          <cell r="Z4275" t="str">
            <v>Legacy</v>
          </cell>
          <cell r="AA4275" t="str">
            <v>$1K or Below</v>
          </cell>
          <cell r="AB4275" t="str">
            <v>2010 or before</v>
          </cell>
        </row>
        <row r="4276">
          <cell r="E4276">
            <v>645.58000000000004</v>
          </cell>
          <cell r="Z4276" t="str">
            <v>Legacy</v>
          </cell>
          <cell r="AA4276" t="str">
            <v>$1K or Below</v>
          </cell>
          <cell r="AB4276">
            <v>2011</v>
          </cell>
        </row>
        <row r="4277">
          <cell r="E4277">
            <v>644.66999999999996</v>
          </cell>
          <cell r="Z4277" t="str">
            <v>Legacy</v>
          </cell>
          <cell r="AA4277" t="str">
            <v>$1K or Below</v>
          </cell>
          <cell r="AB4277" t="str">
            <v>2010 or before</v>
          </cell>
        </row>
        <row r="4278">
          <cell r="E4278">
            <v>644.17999999999995</v>
          </cell>
          <cell r="Z4278" t="str">
            <v>Legacy</v>
          </cell>
          <cell r="AA4278" t="str">
            <v>$1K or Below</v>
          </cell>
          <cell r="AB4278" t="str">
            <v>2010 or before</v>
          </cell>
        </row>
        <row r="4279">
          <cell r="E4279">
            <v>644.16</v>
          </cell>
          <cell r="Z4279" t="str">
            <v>Legacy</v>
          </cell>
          <cell r="AA4279" t="str">
            <v>$1K or Below</v>
          </cell>
          <cell r="AB4279" t="str">
            <v>2010 or before</v>
          </cell>
        </row>
        <row r="4280">
          <cell r="E4280">
            <v>643.77</v>
          </cell>
          <cell r="Z4280" t="str">
            <v>Legacy</v>
          </cell>
          <cell r="AA4280" t="str">
            <v>$1K or Below</v>
          </cell>
          <cell r="AB4280">
            <v>2011</v>
          </cell>
        </row>
        <row r="4281">
          <cell r="E4281">
            <v>643.46</v>
          </cell>
          <cell r="Z4281" t="str">
            <v>Legacy</v>
          </cell>
          <cell r="AA4281" t="str">
            <v>$1K or Below</v>
          </cell>
          <cell r="AB4281">
            <v>2011</v>
          </cell>
        </row>
        <row r="4282">
          <cell r="E4282">
            <v>643.20000000000005</v>
          </cell>
          <cell r="Z4282" t="str">
            <v>Legacy</v>
          </cell>
          <cell r="AA4282" t="str">
            <v>$1K or Below</v>
          </cell>
          <cell r="AB4282" t="str">
            <v>2010 or before</v>
          </cell>
        </row>
        <row r="4283">
          <cell r="E4283">
            <v>642.39</v>
          </cell>
          <cell r="Z4283" t="str">
            <v>Legacy</v>
          </cell>
          <cell r="AA4283" t="str">
            <v>$1K or Below</v>
          </cell>
          <cell r="AB4283" t="str">
            <v>2010 or before</v>
          </cell>
        </row>
        <row r="4284">
          <cell r="E4284">
            <v>642.34</v>
          </cell>
          <cell r="Z4284" t="str">
            <v>Legacy</v>
          </cell>
          <cell r="AA4284" t="str">
            <v>$1K or Below</v>
          </cell>
          <cell r="AB4284" t="str">
            <v>2010 or before</v>
          </cell>
        </row>
        <row r="4285">
          <cell r="E4285">
            <v>641.82000000000005</v>
          </cell>
          <cell r="Z4285" t="str">
            <v>Legacy</v>
          </cell>
          <cell r="AA4285" t="str">
            <v>$1K or Below</v>
          </cell>
          <cell r="AB4285" t="str">
            <v>2010 or before</v>
          </cell>
        </row>
        <row r="4286">
          <cell r="E4286">
            <v>641.07000000000005</v>
          </cell>
          <cell r="Z4286" t="str">
            <v>Legacy</v>
          </cell>
          <cell r="AA4286" t="str">
            <v>$1K or Below</v>
          </cell>
          <cell r="AB4286" t="str">
            <v>2010 or before</v>
          </cell>
        </row>
        <row r="4287">
          <cell r="E4287">
            <v>640.48</v>
          </cell>
          <cell r="Z4287" t="str">
            <v>Inbound</v>
          </cell>
          <cell r="AA4287" t="str">
            <v>$1K or Below</v>
          </cell>
          <cell r="AB4287">
            <v>2012</v>
          </cell>
        </row>
        <row r="4288">
          <cell r="E4288">
            <v>640.14</v>
          </cell>
          <cell r="Z4288" t="str">
            <v>Legacy</v>
          </cell>
          <cell r="AA4288" t="str">
            <v>$1K or Below</v>
          </cell>
          <cell r="AB4288">
            <v>2012</v>
          </cell>
        </row>
        <row r="4289">
          <cell r="E4289">
            <v>635.41999999999996</v>
          </cell>
          <cell r="Z4289" t="str">
            <v>Legacy</v>
          </cell>
          <cell r="AA4289" t="str">
            <v>$1K or Below</v>
          </cell>
          <cell r="AB4289" t="str">
            <v>2010 or before</v>
          </cell>
        </row>
        <row r="4290">
          <cell r="E4290">
            <v>633.67999999999995</v>
          </cell>
          <cell r="Z4290" t="str">
            <v>Legacy</v>
          </cell>
          <cell r="AA4290" t="str">
            <v>$1K or Below</v>
          </cell>
          <cell r="AB4290" t="str">
            <v>2010 or before</v>
          </cell>
        </row>
        <row r="4291">
          <cell r="E4291">
            <v>629.73</v>
          </cell>
          <cell r="Z4291" t="str">
            <v>Legacy</v>
          </cell>
          <cell r="AA4291" t="str">
            <v>$1K or Below</v>
          </cell>
          <cell r="AB4291">
            <v>2012</v>
          </cell>
        </row>
        <row r="4292">
          <cell r="E4292">
            <v>628.12</v>
          </cell>
          <cell r="Z4292" t="str">
            <v>Legacy</v>
          </cell>
          <cell r="AA4292" t="str">
            <v>$1K or Below</v>
          </cell>
          <cell r="AB4292" t="str">
            <v>2010 or before</v>
          </cell>
        </row>
        <row r="4293">
          <cell r="E4293">
            <v>627.57000000000005</v>
          </cell>
          <cell r="Z4293" t="str">
            <v>Legacy</v>
          </cell>
          <cell r="AA4293" t="str">
            <v>$1K or Below</v>
          </cell>
          <cell r="AB4293" t="str">
            <v>2010 or before</v>
          </cell>
        </row>
        <row r="4294">
          <cell r="E4294">
            <v>627.41999999999996</v>
          </cell>
          <cell r="Z4294" t="str">
            <v>Legacy</v>
          </cell>
          <cell r="AA4294" t="str">
            <v>$1K or Below</v>
          </cell>
          <cell r="AB4294" t="str">
            <v>2010 or before</v>
          </cell>
        </row>
        <row r="4295">
          <cell r="E4295">
            <v>625.55999999999995</v>
          </cell>
          <cell r="Z4295" t="str">
            <v>Legacy</v>
          </cell>
          <cell r="AA4295" t="str">
            <v>$1K or Below</v>
          </cell>
          <cell r="AB4295" t="str">
            <v>2010 or before</v>
          </cell>
        </row>
        <row r="4296">
          <cell r="E4296">
            <v>623.25</v>
          </cell>
          <cell r="Z4296" t="str">
            <v>Legacy</v>
          </cell>
          <cell r="AA4296" t="str">
            <v>$1K or Below</v>
          </cell>
          <cell r="AB4296" t="str">
            <v>2010 or before</v>
          </cell>
        </row>
        <row r="4297">
          <cell r="E4297">
            <v>622.73</v>
          </cell>
          <cell r="Z4297" t="str">
            <v>Legacy</v>
          </cell>
          <cell r="AA4297" t="str">
            <v>$1K or Below</v>
          </cell>
          <cell r="AB4297" t="str">
            <v>2010 or before</v>
          </cell>
        </row>
        <row r="4298">
          <cell r="E4298">
            <v>622.67999999999995</v>
          </cell>
          <cell r="Z4298" t="str">
            <v>Legacy</v>
          </cell>
          <cell r="AA4298" t="str">
            <v>$1K or Below</v>
          </cell>
          <cell r="AB4298" t="str">
            <v>2010 or before</v>
          </cell>
        </row>
        <row r="4299">
          <cell r="E4299">
            <v>622.49</v>
          </cell>
          <cell r="Z4299" t="str">
            <v>Legacy</v>
          </cell>
          <cell r="AA4299" t="str">
            <v>$1K or Below</v>
          </cell>
          <cell r="AB4299">
            <v>2011</v>
          </cell>
        </row>
        <row r="4300">
          <cell r="E4300">
            <v>622.25</v>
          </cell>
          <cell r="Z4300" t="str">
            <v>Legacy</v>
          </cell>
          <cell r="AA4300" t="str">
            <v>$1K or Below</v>
          </cell>
          <cell r="AB4300" t="str">
            <v>2010 or before</v>
          </cell>
        </row>
        <row r="4301">
          <cell r="E4301">
            <v>621.34</v>
          </cell>
          <cell r="Z4301" t="str">
            <v>Legacy</v>
          </cell>
          <cell r="AA4301" t="str">
            <v>$1K or Below</v>
          </cell>
          <cell r="AB4301" t="str">
            <v>2010 or before</v>
          </cell>
        </row>
        <row r="4302">
          <cell r="E4302">
            <v>620.9</v>
          </cell>
          <cell r="Z4302" t="str">
            <v>Legacy</v>
          </cell>
          <cell r="AA4302" t="str">
            <v>$1K or Below</v>
          </cell>
          <cell r="AB4302" t="str">
            <v>2010 or before</v>
          </cell>
        </row>
        <row r="4303">
          <cell r="E4303">
            <v>620.87</v>
          </cell>
          <cell r="Z4303" t="str">
            <v>Legacy</v>
          </cell>
          <cell r="AA4303" t="str">
            <v>$1K or Below</v>
          </cell>
          <cell r="AB4303" t="str">
            <v>2010 or before</v>
          </cell>
        </row>
        <row r="4304">
          <cell r="E4304">
            <v>620.83000000000004</v>
          </cell>
          <cell r="Z4304" t="str">
            <v>Legacy</v>
          </cell>
          <cell r="AA4304" t="str">
            <v>$1K or Below</v>
          </cell>
          <cell r="AB4304" t="str">
            <v>2010 or before</v>
          </cell>
        </row>
        <row r="4305">
          <cell r="E4305">
            <v>619.85</v>
          </cell>
          <cell r="Z4305" t="str">
            <v>Legacy</v>
          </cell>
          <cell r="AA4305" t="str">
            <v>$1K or Below</v>
          </cell>
          <cell r="AB4305" t="str">
            <v>2010 or before</v>
          </cell>
        </row>
        <row r="4306">
          <cell r="E4306">
            <v>619.73</v>
          </cell>
          <cell r="Z4306" t="str">
            <v>Legacy</v>
          </cell>
          <cell r="AA4306" t="str">
            <v>$1K or Below</v>
          </cell>
          <cell r="AB4306" t="str">
            <v>2010 or before</v>
          </cell>
        </row>
        <row r="4307">
          <cell r="E4307">
            <v>619.29999999999995</v>
          </cell>
          <cell r="Z4307" t="str">
            <v>Legacy</v>
          </cell>
          <cell r="AA4307" t="str">
            <v>$1K or Below</v>
          </cell>
          <cell r="AB4307" t="str">
            <v>2010 or before</v>
          </cell>
        </row>
        <row r="4308">
          <cell r="E4308">
            <v>619.22</v>
          </cell>
          <cell r="Z4308" t="str">
            <v>Legacy</v>
          </cell>
          <cell r="AA4308" t="str">
            <v>$1K or Below</v>
          </cell>
          <cell r="AB4308" t="str">
            <v>2010 or before</v>
          </cell>
        </row>
        <row r="4309">
          <cell r="E4309">
            <v>618.6</v>
          </cell>
          <cell r="Z4309" t="str">
            <v>Ungating</v>
          </cell>
          <cell r="AA4309" t="str">
            <v>$1K or Below</v>
          </cell>
          <cell r="AB4309">
            <v>2012</v>
          </cell>
        </row>
        <row r="4310">
          <cell r="E4310">
            <v>617.97</v>
          </cell>
          <cell r="Z4310" t="str">
            <v>Legacy</v>
          </cell>
          <cell r="AA4310" t="str">
            <v>$1K or Below</v>
          </cell>
          <cell r="AB4310" t="str">
            <v>2010 or before</v>
          </cell>
        </row>
        <row r="4311">
          <cell r="E4311">
            <v>616.41999999999996</v>
          </cell>
          <cell r="Z4311" t="str">
            <v>Legacy</v>
          </cell>
          <cell r="AA4311" t="str">
            <v>$1K or Below</v>
          </cell>
          <cell r="AB4311" t="str">
            <v>2010 or before</v>
          </cell>
        </row>
        <row r="4312">
          <cell r="E4312">
            <v>616.04999999999995</v>
          </cell>
          <cell r="Z4312" t="str">
            <v>Legacy</v>
          </cell>
          <cell r="AA4312" t="str">
            <v>$1K or Below</v>
          </cell>
          <cell r="AB4312" t="str">
            <v>2010 or before</v>
          </cell>
        </row>
        <row r="4313">
          <cell r="E4313">
            <v>614.96</v>
          </cell>
          <cell r="Z4313" t="str">
            <v>Inbound</v>
          </cell>
          <cell r="AA4313" t="str">
            <v>$1K or Below</v>
          </cell>
          <cell r="AB4313">
            <v>2012</v>
          </cell>
        </row>
        <row r="4314">
          <cell r="E4314">
            <v>614.1</v>
          </cell>
          <cell r="Z4314" t="str">
            <v>Legacy</v>
          </cell>
          <cell r="AA4314" t="str">
            <v>$1K or Below</v>
          </cell>
          <cell r="AB4314">
            <v>2011</v>
          </cell>
        </row>
        <row r="4315">
          <cell r="E4315">
            <v>613.75</v>
          </cell>
          <cell r="Z4315" t="str">
            <v>Legacy</v>
          </cell>
          <cell r="AA4315" t="str">
            <v>$1K or Below</v>
          </cell>
          <cell r="AB4315" t="str">
            <v>2010 or before</v>
          </cell>
        </row>
        <row r="4316">
          <cell r="E4316">
            <v>612.13</v>
          </cell>
          <cell r="Z4316" t="str">
            <v>Legacy</v>
          </cell>
          <cell r="AA4316" t="str">
            <v>$1K or Below</v>
          </cell>
          <cell r="AB4316" t="str">
            <v>2010 or before</v>
          </cell>
        </row>
        <row r="4317">
          <cell r="E4317">
            <v>611.49</v>
          </cell>
          <cell r="Z4317" t="str">
            <v>Legacy</v>
          </cell>
          <cell r="AA4317" t="str">
            <v>$1K or Below</v>
          </cell>
          <cell r="AB4317">
            <v>2012</v>
          </cell>
        </row>
        <row r="4318">
          <cell r="E4318">
            <v>609.70000000000005</v>
          </cell>
          <cell r="Z4318" t="str">
            <v>Legacy</v>
          </cell>
          <cell r="AA4318" t="str">
            <v>$1K or Below</v>
          </cell>
          <cell r="AB4318" t="str">
            <v>2010 or before</v>
          </cell>
        </row>
        <row r="4319">
          <cell r="E4319">
            <v>608.54999999999995</v>
          </cell>
          <cell r="Z4319" t="str">
            <v>Inbound</v>
          </cell>
          <cell r="AA4319" t="str">
            <v>$1K or Below</v>
          </cell>
          <cell r="AB4319">
            <v>2012</v>
          </cell>
        </row>
        <row r="4320">
          <cell r="E4320">
            <v>607.65</v>
          </cell>
          <cell r="Z4320" t="str">
            <v>Ungating</v>
          </cell>
          <cell r="AA4320" t="str">
            <v>$1K or Below</v>
          </cell>
          <cell r="AB4320">
            <v>2012</v>
          </cell>
        </row>
        <row r="4321">
          <cell r="E4321">
            <v>607.47</v>
          </cell>
          <cell r="Z4321" t="str">
            <v>Legacy</v>
          </cell>
          <cell r="AA4321" t="str">
            <v>$1K or Below</v>
          </cell>
          <cell r="AB4321">
            <v>2011</v>
          </cell>
        </row>
        <row r="4322">
          <cell r="E4322">
            <v>607.44000000000005</v>
          </cell>
          <cell r="Z4322" t="str">
            <v>Legacy</v>
          </cell>
          <cell r="AA4322" t="str">
            <v>$1K or Below</v>
          </cell>
          <cell r="AB4322" t="str">
            <v>2010 or before</v>
          </cell>
        </row>
        <row r="4323">
          <cell r="E4323">
            <v>605.95000000000005</v>
          </cell>
          <cell r="Z4323" t="str">
            <v>Legacy</v>
          </cell>
          <cell r="AA4323" t="str">
            <v>$1K or Below</v>
          </cell>
          <cell r="AB4323" t="str">
            <v>2010 or before</v>
          </cell>
        </row>
        <row r="4324">
          <cell r="E4324">
            <v>604.94000000000005</v>
          </cell>
          <cell r="Z4324" t="str">
            <v>Legacy</v>
          </cell>
          <cell r="AA4324" t="str">
            <v>$1K or Below</v>
          </cell>
          <cell r="AB4324" t="str">
            <v>2010 or before</v>
          </cell>
        </row>
        <row r="4325">
          <cell r="E4325">
            <v>603.61</v>
          </cell>
          <cell r="Z4325" t="str">
            <v>Legacy</v>
          </cell>
          <cell r="AA4325" t="str">
            <v>$1K or Below</v>
          </cell>
          <cell r="AB4325" t="str">
            <v>2010 or before</v>
          </cell>
        </row>
        <row r="4326">
          <cell r="E4326">
            <v>601.86</v>
          </cell>
          <cell r="Z4326" t="str">
            <v>Legacy</v>
          </cell>
          <cell r="AA4326" t="str">
            <v>$1K or Below</v>
          </cell>
          <cell r="AB4326" t="str">
            <v>2010 or before</v>
          </cell>
        </row>
        <row r="4327">
          <cell r="E4327">
            <v>599.69000000000005</v>
          </cell>
          <cell r="Z4327" t="str">
            <v>Legacy</v>
          </cell>
          <cell r="AA4327" t="str">
            <v>$1K or Below</v>
          </cell>
          <cell r="AB4327" t="str">
            <v>2010 or before</v>
          </cell>
        </row>
        <row r="4328">
          <cell r="E4328">
            <v>599.5</v>
          </cell>
          <cell r="Z4328" t="str">
            <v>Ungating</v>
          </cell>
          <cell r="AA4328" t="str">
            <v>$1K or Below</v>
          </cell>
          <cell r="AB4328">
            <v>2012</v>
          </cell>
        </row>
        <row r="4329">
          <cell r="E4329">
            <v>599.46</v>
          </cell>
          <cell r="Z4329" t="str">
            <v>Inbound</v>
          </cell>
          <cell r="AA4329" t="str">
            <v>$1K or Below</v>
          </cell>
          <cell r="AB4329">
            <v>2013</v>
          </cell>
        </row>
        <row r="4330">
          <cell r="E4330">
            <v>598.97</v>
          </cell>
          <cell r="Z4330" t="str">
            <v>Legacy</v>
          </cell>
          <cell r="AA4330" t="str">
            <v>$1K or Below</v>
          </cell>
          <cell r="AB4330" t="str">
            <v>2010 or before</v>
          </cell>
        </row>
        <row r="4331">
          <cell r="E4331">
            <v>598.73</v>
          </cell>
          <cell r="Z4331" t="str">
            <v>Legacy</v>
          </cell>
          <cell r="AA4331" t="str">
            <v>$1K or Below</v>
          </cell>
          <cell r="AB4331" t="str">
            <v>2010 or before</v>
          </cell>
        </row>
        <row r="4332">
          <cell r="E4332">
            <v>598.64</v>
          </cell>
          <cell r="Z4332" t="str">
            <v>Ungating</v>
          </cell>
          <cell r="AA4332" t="str">
            <v>$1K or Below</v>
          </cell>
          <cell r="AB4332">
            <v>2012</v>
          </cell>
        </row>
        <row r="4333">
          <cell r="E4333">
            <v>597.61</v>
          </cell>
          <cell r="Z4333" t="str">
            <v>Legacy</v>
          </cell>
          <cell r="AA4333" t="str">
            <v>$1K or Below</v>
          </cell>
          <cell r="AB4333">
            <v>2011</v>
          </cell>
        </row>
        <row r="4334">
          <cell r="E4334">
            <v>596.26</v>
          </cell>
          <cell r="Z4334" t="str">
            <v>Legacy</v>
          </cell>
          <cell r="AA4334" t="str">
            <v>$1K or Below</v>
          </cell>
          <cell r="AB4334">
            <v>2012</v>
          </cell>
        </row>
        <row r="4335">
          <cell r="E4335">
            <v>596.14</v>
          </cell>
          <cell r="Z4335" t="str">
            <v>Legacy</v>
          </cell>
          <cell r="AA4335" t="str">
            <v>$1K or Below</v>
          </cell>
          <cell r="AB4335" t="str">
            <v>2010 or before</v>
          </cell>
        </row>
        <row r="4336">
          <cell r="E4336">
            <v>594.09</v>
          </cell>
          <cell r="Z4336" t="str">
            <v>Legacy</v>
          </cell>
          <cell r="AA4336" t="str">
            <v>$1K or Below</v>
          </cell>
          <cell r="AB4336">
            <v>2011</v>
          </cell>
        </row>
        <row r="4337">
          <cell r="E4337">
            <v>593.08000000000004</v>
          </cell>
          <cell r="Z4337" t="str">
            <v>Ungating</v>
          </cell>
          <cell r="AA4337" t="str">
            <v>$1K or Below</v>
          </cell>
          <cell r="AB4337">
            <v>2012</v>
          </cell>
        </row>
        <row r="4338">
          <cell r="E4338">
            <v>592.41999999999996</v>
          </cell>
          <cell r="Z4338" t="str">
            <v>Legacy</v>
          </cell>
          <cell r="AA4338" t="str">
            <v>$1K or Below</v>
          </cell>
          <cell r="AB4338">
            <v>2012</v>
          </cell>
        </row>
        <row r="4339">
          <cell r="E4339">
            <v>590.34</v>
          </cell>
          <cell r="Z4339" t="str">
            <v>Legacy</v>
          </cell>
          <cell r="AA4339" t="str">
            <v>$1K or Below</v>
          </cell>
          <cell r="AB4339" t="str">
            <v>2010 or before</v>
          </cell>
        </row>
        <row r="4340">
          <cell r="E4340">
            <v>589.96</v>
          </cell>
          <cell r="Z4340" t="str">
            <v>Legacy</v>
          </cell>
          <cell r="AA4340" t="str">
            <v>$1K or Below</v>
          </cell>
          <cell r="AB4340" t="str">
            <v>2010 or before</v>
          </cell>
        </row>
        <row r="4341">
          <cell r="E4341">
            <v>588.91999999999996</v>
          </cell>
          <cell r="Z4341" t="str">
            <v>Legacy</v>
          </cell>
          <cell r="AA4341" t="str">
            <v>$1K or Below</v>
          </cell>
          <cell r="AB4341">
            <v>2011</v>
          </cell>
        </row>
        <row r="4342">
          <cell r="E4342">
            <v>588.66</v>
          </cell>
          <cell r="Z4342" t="str">
            <v>Legacy</v>
          </cell>
          <cell r="AA4342" t="str">
            <v>$1K or Below</v>
          </cell>
          <cell r="AB4342">
            <v>2011</v>
          </cell>
        </row>
        <row r="4343">
          <cell r="E4343">
            <v>584.98</v>
          </cell>
          <cell r="Z4343" t="str">
            <v>Legacy</v>
          </cell>
          <cell r="AA4343" t="str">
            <v>$1K or Below</v>
          </cell>
          <cell r="AB4343">
            <v>2012</v>
          </cell>
        </row>
        <row r="4344">
          <cell r="E4344">
            <v>584</v>
          </cell>
          <cell r="Z4344" t="str">
            <v>Legacy</v>
          </cell>
          <cell r="AA4344" t="str">
            <v>$1K or Below</v>
          </cell>
          <cell r="AB4344" t="str">
            <v>2010 or before</v>
          </cell>
        </row>
        <row r="4345">
          <cell r="E4345">
            <v>583.76</v>
          </cell>
          <cell r="Z4345" t="str">
            <v>Legacy</v>
          </cell>
          <cell r="AA4345" t="str">
            <v>$1K or Below</v>
          </cell>
          <cell r="AB4345">
            <v>2012</v>
          </cell>
        </row>
        <row r="4346">
          <cell r="E4346">
            <v>583.63</v>
          </cell>
          <cell r="Z4346" t="str">
            <v>Legacy</v>
          </cell>
          <cell r="AA4346" t="str">
            <v>$1K or Below</v>
          </cell>
          <cell r="AB4346" t="str">
            <v>2010 or before</v>
          </cell>
        </row>
        <row r="4347">
          <cell r="E4347">
            <v>583.1</v>
          </cell>
          <cell r="Z4347" t="str">
            <v>Legacy</v>
          </cell>
          <cell r="AA4347" t="str">
            <v>$1K or Below</v>
          </cell>
          <cell r="AB4347" t="str">
            <v>2010 or before</v>
          </cell>
        </row>
        <row r="4348">
          <cell r="E4348">
            <v>582.91</v>
          </cell>
          <cell r="Z4348" t="str">
            <v>Legacy</v>
          </cell>
          <cell r="AA4348" t="str">
            <v>$1K or Below</v>
          </cell>
          <cell r="AB4348" t="str">
            <v>2010 or before</v>
          </cell>
        </row>
        <row r="4349">
          <cell r="E4349">
            <v>582.79999999999995</v>
          </cell>
          <cell r="Z4349" t="str">
            <v>Legacy</v>
          </cell>
          <cell r="AA4349" t="str">
            <v>$1K or Below</v>
          </cell>
          <cell r="AB4349" t="str">
            <v>2010 or before</v>
          </cell>
        </row>
        <row r="4350">
          <cell r="E4350">
            <v>581.6</v>
          </cell>
          <cell r="Z4350" t="str">
            <v>Legacy</v>
          </cell>
          <cell r="AA4350" t="str">
            <v>$1K or Below</v>
          </cell>
          <cell r="AB4350" t="str">
            <v>2010 or before</v>
          </cell>
        </row>
        <row r="4351">
          <cell r="E4351">
            <v>578.11</v>
          </cell>
          <cell r="Z4351" t="str">
            <v>Legacy</v>
          </cell>
          <cell r="AA4351" t="str">
            <v>$1K or Below</v>
          </cell>
          <cell r="AB4351" t="str">
            <v>2010 or before</v>
          </cell>
        </row>
        <row r="4352">
          <cell r="E4352">
            <v>575.89</v>
          </cell>
          <cell r="Z4352" t="str">
            <v>Legacy</v>
          </cell>
          <cell r="AA4352" t="str">
            <v>$1K or Below</v>
          </cell>
          <cell r="AB4352">
            <v>2012</v>
          </cell>
        </row>
        <row r="4353">
          <cell r="E4353">
            <v>575.33000000000004</v>
          </cell>
          <cell r="Z4353" t="str">
            <v>Legacy</v>
          </cell>
          <cell r="AA4353" t="str">
            <v>$1K or Below</v>
          </cell>
          <cell r="AB4353" t="str">
            <v>2010 or before</v>
          </cell>
        </row>
        <row r="4354">
          <cell r="E4354">
            <v>575.14</v>
          </cell>
          <cell r="Z4354" t="str">
            <v>Ungating</v>
          </cell>
          <cell r="AA4354" t="str">
            <v>$1K or Below</v>
          </cell>
          <cell r="AB4354">
            <v>2012</v>
          </cell>
        </row>
        <row r="4355">
          <cell r="E4355">
            <v>574.75</v>
          </cell>
          <cell r="Z4355" t="str">
            <v>Ungating</v>
          </cell>
          <cell r="AA4355" t="str">
            <v>$1K or Below</v>
          </cell>
          <cell r="AB4355">
            <v>2012</v>
          </cell>
        </row>
        <row r="4356">
          <cell r="E4356">
            <v>574.74</v>
          </cell>
          <cell r="Z4356" t="str">
            <v>Inbound</v>
          </cell>
          <cell r="AA4356" t="str">
            <v>$1K or Below</v>
          </cell>
          <cell r="AB4356">
            <v>2012</v>
          </cell>
        </row>
        <row r="4357">
          <cell r="E4357">
            <v>573.38</v>
          </cell>
          <cell r="Z4357" t="str">
            <v>Legacy</v>
          </cell>
          <cell r="AA4357" t="str">
            <v>$1K or Below</v>
          </cell>
          <cell r="AB4357" t="str">
            <v>2010 or before</v>
          </cell>
        </row>
        <row r="4358">
          <cell r="E4358">
            <v>571.95000000000005</v>
          </cell>
          <cell r="Z4358" t="str">
            <v>Inbound</v>
          </cell>
          <cell r="AA4358" t="str">
            <v>$1K or Below</v>
          </cell>
          <cell r="AB4358">
            <v>2012</v>
          </cell>
        </row>
        <row r="4359">
          <cell r="E4359">
            <v>571.79999999999995</v>
          </cell>
          <cell r="Z4359" t="str">
            <v>Legacy</v>
          </cell>
          <cell r="AA4359" t="str">
            <v>$1K or Below</v>
          </cell>
          <cell r="AB4359" t="str">
            <v>2010 or before</v>
          </cell>
        </row>
        <row r="4360">
          <cell r="E4360">
            <v>570</v>
          </cell>
          <cell r="Z4360" t="str">
            <v>Legacy</v>
          </cell>
          <cell r="AA4360" t="str">
            <v>$1K or Below</v>
          </cell>
          <cell r="AB4360" t="str">
            <v>2010 or before</v>
          </cell>
        </row>
        <row r="4361">
          <cell r="E4361">
            <v>569.73</v>
          </cell>
          <cell r="Z4361" t="str">
            <v>Inbound</v>
          </cell>
          <cell r="AA4361" t="str">
            <v>$1K or Below</v>
          </cell>
          <cell r="AB4361">
            <v>2011</v>
          </cell>
        </row>
        <row r="4362">
          <cell r="E4362">
            <v>569.58000000000004</v>
          </cell>
          <cell r="Z4362" t="str">
            <v>Legacy</v>
          </cell>
          <cell r="AA4362" t="str">
            <v>$1K or Below</v>
          </cell>
          <cell r="AB4362" t="str">
            <v>2010 or before</v>
          </cell>
        </row>
        <row r="4363">
          <cell r="E4363">
            <v>568.6</v>
          </cell>
          <cell r="Z4363" t="str">
            <v>Inbound</v>
          </cell>
          <cell r="AA4363" t="str">
            <v>$1K or Below</v>
          </cell>
          <cell r="AB4363">
            <v>2012</v>
          </cell>
        </row>
        <row r="4364">
          <cell r="E4364">
            <v>567.64</v>
          </cell>
          <cell r="Z4364" t="str">
            <v>Legacy</v>
          </cell>
          <cell r="AA4364" t="str">
            <v>$1K or Below</v>
          </cell>
          <cell r="AB4364" t="str">
            <v>2010 or before</v>
          </cell>
        </row>
        <row r="4365">
          <cell r="E4365">
            <v>567</v>
          </cell>
          <cell r="Z4365" t="str">
            <v>Legacy</v>
          </cell>
          <cell r="AA4365" t="str">
            <v>$1K or Below</v>
          </cell>
          <cell r="AB4365" t="str">
            <v>2010 or before</v>
          </cell>
        </row>
        <row r="4366">
          <cell r="E4366">
            <v>566.94000000000005</v>
          </cell>
          <cell r="Z4366" t="str">
            <v>Ungating</v>
          </cell>
          <cell r="AA4366" t="str">
            <v>$1K or Below</v>
          </cell>
          <cell r="AB4366">
            <v>2012</v>
          </cell>
        </row>
        <row r="4367">
          <cell r="E4367">
            <v>566.87</v>
          </cell>
          <cell r="Z4367" t="str">
            <v>Legacy</v>
          </cell>
          <cell r="AA4367" t="str">
            <v>$1K or Below</v>
          </cell>
          <cell r="AB4367" t="str">
            <v>2010 or before</v>
          </cell>
        </row>
        <row r="4368">
          <cell r="E4368">
            <v>566.80999999999995</v>
          </cell>
          <cell r="Z4368" t="str">
            <v>Legacy</v>
          </cell>
          <cell r="AA4368" t="str">
            <v>$1K or Below</v>
          </cell>
          <cell r="AB4368">
            <v>2012</v>
          </cell>
        </row>
        <row r="4369">
          <cell r="E4369">
            <v>565.88</v>
          </cell>
          <cell r="Z4369" t="str">
            <v>Ungating</v>
          </cell>
          <cell r="AA4369" t="str">
            <v>$1K or Below</v>
          </cell>
          <cell r="AB4369">
            <v>2012</v>
          </cell>
        </row>
        <row r="4370">
          <cell r="E4370">
            <v>565.62</v>
          </cell>
          <cell r="Z4370" t="str">
            <v>Legacy</v>
          </cell>
          <cell r="AA4370" t="str">
            <v>$1K or Below</v>
          </cell>
          <cell r="AB4370" t="str">
            <v>2010 or before</v>
          </cell>
        </row>
        <row r="4371">
          <cell r="E4371">
            <v>565.03</v>
          </cell>
          <cell r="Z4371" t="str">
            <v>Legacy</v>
          </cell>
          <cell r="AA4371" t="str">
            <v>$1K or Below</v>
          </cell>
          <cell r="AB4371" t="str">
            <v>2010 or before</v>
          </cell>
        </row>
        <row r="4372">
          <cell r="E4372">
            <v>564.96</v>
          </cell>
          <cell r="Z4372" t="str">
            <v>Inbound</v>
          </cell>
          <cell r="AA4372" t="str">
            <v>$1K or Below</v>
          </cell>
          <cell r="AB4372">
            <v>2012</v>
          </cell>
        </row>
        <row r="4373">
          <cell r="E4373">
            <v>564.6</v>
          </cell>
          <cell r="Z4373" t="str">
            <v>Inbound</v>
          </cell>
          <cell r="AA4373" t="str">
            <v>$1K or Below</v>
          </cell>
          <cell r="AB4373">
            <v>2012</v>
          </cell>
        </row>
        <row r="4374">
          <cell r="E4374">
            <v>564.28</v>
          </cell>
          <cell r="Z4374" t="str">
            <v>Legacy</v>
          </cell>
          <cell r="AA4374" t="str">
            <v>$1K or Below</v>
          </cell>
          <cell r="AB4374" t="str">
            <v>2010 or before</v>
          </cell>
        </row>
        <row r="4375">
          <cell r="E4375">
            <v>564.03</v>
          </cell>
          <cell r="Z4375" t="str">
            <v>Legacy</v>
          </cell>
          <cell r="AA4375" t="str">
            <v>$1K or Below</v>
          </cell>
          <cell r="AB4375" t="str">
            <v>2010 or before</v>
          </cell>
        </row>
        <row r="4376">
          <cell r="E4376">
            <v>563.20000000000005</v>
          </cell>
          <cell r="Z4376" t="str">
            <v>Outbound</v>
          </cell>
          <cell r="AA4376" t="str">
            <v>$1K or Below</v>
          </cell>
          <cell r="AB4376">
            <v>2012</v>
          </cell>
        </row>
        <row r="4377">
          <cell r="E4377">
            <v>562.76</v>
          </cell>
          <cell r="Z4377" t="str">
            <v>Legacy</v>
          </cell>
          <cell r="AA4377" t="str">
            <v>$1K or Below</v>
          </cell>
          <cell r="AB4377" t="str">
            <v>2010 or before</v>
          </cell>
        </row>
        <row r="4378">
          <cell r="E4378">
            <v>562.5</v>
          </cell>
          <cell r="Z4378" t="str">
            <v>Legacy</v>
          </cell>
          <cell r="AA4378" t="str">
            <v>$1K or Below</v>
          </cell>
          <cell r="AB4378" t="str">
            <v>2010 or before</v>
          </cell>
        </row>
        <row r="4379">
          <cell r="E4379">
            <v>561.91999999999996</v>
          </cell>
          <cell r="Z4379" t="str">
            <v>Legacy</v>
          </cell>
          <cell r="AA4379" t="str">
            <v>$1K or Below</v>
          </cell>
          <cell r="AB4379" t="str">
            <v>2010 or before</v>
          </cell>
        </row>
        <row r="4380">
          <cell r="E4380">
            <v>561.55999999999995</v>
          </cell>
          <cell r="Z4380" t="str">
            <v>Ungating</v>
          </cell>
          <cell r="AA4380" t="str">
            <v>$1K or Below</v>
          </cell>
          <cell r="AB4380">
            <v>2012</v>
          </cell>
        </row>
        <row r="4381">
          <cell r="E4381">
            <v>560</v>
          </cell>
          <cell r="Z4381" t="str">
            <v>Legacy</v>
          </cell>
          <cell r="AA4381" t="str">
            <v>$1K or Below</v>
          </cell>
          <cell r="AB4381">
            <v>2011</v>
          </cell>
        </row>
        <row r="4382">
          <cell r="E4382">
            <v>559.5</v>
          </cell>
          <cell r="Z4382" t="str">
            <v>Legacy</v>
          </cell>
          <cell r="AA4382" t="str">
            <v>$1K or Below</v>
          </cell>
          <cell r="AB4382" t="str">
            <v>2010 or before</v>
          </cell>
        </row>
        <row r="4383">
          <cell r="E4383">
            <v>559.20000000000005</v>
          </cell>
          <cell r="Z4383" t="str">
            <v>Legacy</v>
          </cell>
          <cell r="AA4383" t="str">
            <v>$1K or Below</v>
          </cell>
          <cell r="AB4383" t="str">
            <v>2010 or before</v>
          </cell>
        </row>
        <row r="4384">
          <cell r="E4384">
            <v>558.97</v>
          </cell>
          <cell r="Z4384" t="str">
            <v>Legacy</v>
          </cell>
          <cell r="AA4384" t="str">
            <v>$1K or Below</v>
          </cell>
          <cell r="AB4384" t="str">
            <v>2010 or before</v>
          </cell>
        </row>
        <row r="4385">
          <cell r="E4385">
            <v>558.85</v>
          </cell>
          <cell r="Z4385" t="str">
            <v>Legacy</v>
          </cell>
          <cell r="AA4385" t="str">
            <v>$1K or Below</v>
          </cell>
          <cell r="AB4385">
            <v>2012</v>
          </cell>
        </row>
        <row r="4386">
          <cell r="E4386">
            <v>558.65</v>
          </cell>
          <cell r="Z4386" t="str">
            <v>Legacy</v>
          </cell>
          <cell r="AA4386" t="str">
            <v>$1K or Below</v>
          </cell>
          <cell r="AB4386" t="str">
            <v>2010 or before</v>
          </cell>
        </row>
        <row r="4387">
          <cell r="E4387">
            <v>558.64</v>
          </cell>
          <cell r="Z4387" t="str">
            <v>Legacy</v>
          </cell>
          <cell r="AA4387" t="str">
            <v>$1K or Below</v>
          </cell>
          <cell r="AB4387">
            <v>2012</v>
          </cell>
        </row>
        <row r="4388">
          <cell r="E4388">
            <v>557.54</v>
          </cell>
          <cell r="Z4388" t="str">
            <v>Legacy</v>
          </cell>
          <cell r="AA4388" t="str">
            <v>$1K or Below</v>
          </cell>
          <cell r="AB4388" t="str">
            <v>2010 or before</v>
          </cell>
        </row>
        <row r="4389">
          <cell r="E4389">
            <v>556.48</v>
          </cell>
          <cell r="Z4389" t="str">
            <v>Legacy</v>
          </cell>
          <cell r="AA4389" t="str">
            <v>$1K or Below</v>
          </cell>
          <cell r="AB4389" t="str">
            <v>2010 or before</v>
          </cell>
        </row>
        <row r="4390">
          <cell r="E4390">
            <v>556</v>
          </cell>
          <cell r="Z4390" t="str">
            <v>Outbound</v>
          </cell>
          <cell r="AA4390" t="str">
            <v>$1K or Below</v>
          </cell>
          <cell r="AB4390">
            <v>2012</v>
          </cell>
        </row>
        <row r="4391">
          <cell r="E4391">
            <v>555.69000000000005</v>
          </cell>
          <cell r="Z4391" t="str">
            <v>Legacy</v>
          </cell>
          <cell r="AA4391" t="str">
            <v>$1K or Below</v>
          </cell>
          <cell r="AB4391">
            <v>2011</v>
          </cell>
        </row>
        <row r="4392">
          <cell r="E4392">
            <v>553.79999999999995</v>
          </cell>
          <cell r="Z4392" t="str">
            <v>Legacy</v>
          </cell>
          <cell r="AA4392" t="str">
            <v>$1K or Below</v>
          </cell>
          <cell r="AB4392" t="str">
            <v>2010 or before</v>
          </cell>
        </row>
        <row r="4393">
          <cell r="E4393">
            <v>552.09</v>
          </cell>
          <cell r="Z4393" t="str">
            <v>Legacy</v>
          </cell>
          <cell r="AA4393" t="str">
            <v>$1K or Below</v>
          </cell>
          <cell r="AB4393" t="str">
            <v>2010 or before</v>
          </cell>
        </row>
        <row r="4394">
          <cell r="E4394">
            <v>551.41999999999996</v>
          </cell>
          <cell r="Z4394" t="str">
            <v>Ungating</v>
          </cell>
          <cell r="AA4394" t="str">
            <v>$1K or Below</v>
          </cell>
          <cell r="AB4394">
            <v>2012</v>
          </cell>
        </row>
        <row r="4395">
          <cell r="E4395">
            <v>550.57000000000005</v>
          </cell>
          <cell r="Z4395" t="str">
            <v>Legacy</v>
          </cell>
          <cell r="AA4395" t="str">
            <v>$1K or Below</v>
          </cell>
          <cell r="AB4395">
            <v>2011</v>
          </cell>
        </row>
        <row r="4396">
          <cell r="E4396">
            <v>548.45000000000005</v>
          </cell>
          <cell r="Z4396" t="str">
            <v>Outbound</v>
          </cell>
          <cell r="AA4396" t="str">
            <v>$1K or Below</v>
          </cell>
          <cell r="AB4396">
            <v>2012</v>
          </cell>
        </row>
        <row r="4397">
          <cell r="E4397">
            <v>548.36</v>
          </cell>
          <cell r="Z4397" t="str">
            <v>Legacy</v>
          </cell>
          <cell r="AA4397" t="str">
            <v>$1K or Below</v>
          </cell>
          <cell r="AB4397">
            <v>2012</v>
          </cell>
        </row>
        <row r="4398">
          <cell r="E4398">
            <v>546.04999999999995</v>
          </cell>
          <cell r="Z4398" t="str">
            <v>Legacy</v>
          </cell>
          <cell r="AA4398" t="str">
            <v>$1K or Below</v>
          </cell>
          <cell r="AB4398" t="str">
            <v>2010 or before</v>
          </cell>
        </row>
        <row r="4399">
          <cell r="E4399">
            <v>545.67999999999995</v>
          </cell>
          <cell r="Z4399" t="str">
            <v>Legacy</v>
          </cell>
          <cell r="AA4399" t="str">
            <v>$1K or Below</v>
          </cell>
          <cell r="AB4399" t="str">
            <v>2010 or before</v>
          </cell>
        </row>
        <row r="4400">
          <cell r="E4400">
            <v>543.05999999999995</v>
          </cell>
          <cell r="Z4400" t="str">
            <v>Legacy</v>
          </cell>
          <cell r="AA4400" t="str">
            <v>$1K or Below</v>
          </cell>
          <cell r="AB4400" t="str">
            <v>2010 or before</v>
          </cell>
        </row>
        <row r="4401">
          <cell r="E4401">
            <v>542.20000000000005</v>
          </cell>
          <cell r="Z4401" t="str">
            <v>Legacy</v>
          </cell>
          <cell r="AA4401" t="str">
            <v>$1K or Below</v>
          </cell>
          <cell r="AB4401">
            <v>2012</v>
          </cell>
        </row>
        <row r="4402">
          <cell r="E4402">
            <v>541.64</v>
          </cell>
          <cell r="Z4402" t="str">
            <v>Legacy</v>
          </cell>
          <cell r="AA4402" t="str">
            <v>$1K or Below</v>
          </cell>
          <cell r="AB4402" t="str">
            <v>2010 or before</v>
          </cell>
        </row>
        <row r="4403">
          <cell r="E4403">
            <v>541.39</v>
          </cell>
          <cell r="Z4403" t="str">
            <v>Legacy</v>
          </cell>
          <cell r="AA4403" t="str">
            <v>$1K or Below</v>
          </cell>
          <cell r="AB4403" t="str">
            <v>2010 or before</v>
          </cell>
        </row>
        <row r="4404">
          <cell r="E4404">
            <v>540.24</v>
          </cell>
          <cell r="Z4404" t="str">
            <v>Legacy</v>
          </cell>
          <cell r="AA4404" t="str">
            <v>$1K or Below</v>
          </cell>
          <cell r="AB4404">
            <v>2012</v>
          </cell>
        </row>
        <row r="4405">
          <cell r="E4405">
            <v>539.97</v>
          </cell>
          <cell r="Z4405" t="str">
            <v>Legacy</v>
          </cell>
          <cell r="AA4405" t="str">
            <v>$1K or Below</v>
          </cell>
          <cell r="AB4405" t="str">
            <v>2010 or before</v>
          </cell>
        </row>
        <row r="4406">
          <cell r="E4406">
            <v>539.96</v>
          </cell>
          <cell r="Z4406" t="str">
            <v>Legacy</v>
          </cell>
          <cell r="AA4406" t="str">
            <v>$1K or Below</v>
          </cell>
          <cell r="AB4406" t="str">
            <v>2010 or before</v>
          </cell>
        </row>
        <row r="4407">
          <cell r="E4407">
            <v>539.96</v>
          </cell>
          <cell r="Z4407" t="str">
            <v>Legacy</v>
          </cell>
          <cell r="AA4407" t="str">
            <v>$1K or Below</v>
          </cell>
          <cell r="AB4407" t="str">
            <v>2010 or before</v>
          </cell>
        </row>
        <row r="4408">
          <cell r="E4408">
            <v>538.83000000000004</v>
          </cell>
          <cell r="Z4408" t="str">
            <v>Legacy</v>
          </cell>
          <cell r="AA4408" t="str">
            <v>$1K or Below</v>
          </cell>
          <cell r="AB4408" t="str">
            <v>2010 or before</v>
          </cell>
        </row>
        <row r="4409">
          <cell r="E4409">
            <v>538.59</v>
          </cell>
          <cell r="Z4409" t="str">
            <v>Ungating</v>
          </cell>
          <cell r="AA4409" t="str">
            <v>$1K or Below</v>
          </cell>
          <cell r="AB4409">
            <v>2012</v>
          </cell>
        </row>
        <row r="4410">
          <cell r="E4410">
            <v>538.24</v>
          </cell>
          <cell r="Z4410" t="str">
            <v>Legacy</v>
          </cell>
          <cell r="AA4410" t="str">
            <v>$1K or Below</v>
          </cell>
          <cell r="AB4410">
            <v>2011</v>
          </cell>
        </row>
        <row r="4411">
          <cell r="E4411">
            <v>538.15</v>
          </cell>
          <cell r="Z4411" t="str">
            <v>Legacy</v>
          </cell>
          <cell r="AA4411" t="str">
            <v>$1K or Below</v>
          </cell>
          <cell r="AB4411" t="str">
            <v>2010 or before</v>
          </cell>
        </row>
        <row r="4412">
          <cell r="E4412">
            <v>537.52</v>
          </cell>
          <cell r="Z4412" t="str">
            <v>Ungating</v>
          </cell>
          <cell r="AA4412" t="str">
            <v>$1K or Below</v>
          </cell>
          <cell r="AB4412">
            <v>2012</v>
          </cell>
        </row>
        <row r="4413">
          <cell r="E4413">
            <v>537.03</v>
          </cell>
          <cell r="Z4413" t="str">
            <v>Legacy</v>
          </cell>
          <cell r="AA4413" t="str">
            <v>$1K or Below</v>
          </cell>
          <cell r="AB4413" t="str">
            <v>2010 or before</v>
          </cell>
        </row>
        <row r="4414">
          <cell r="E4414">
            <v>536.77</v>
          </cell>
          <cell r="Z4414" t="str">
            <v>Inbound</v>
          </cell>
          <cell r="AA4414" t="str">
            <v>$1K or Below</v>
          </cell>
          <cell r="AB4414">
            <v>2012</v>
          </cell>
        </row>
        <row r="4415">
          <cell r="E4415">
            <v>536.22</v>
          </cell>
          <cell r="Z4415" t="str">
            <v>Legacy</v>
          </cell>
          <cell r="AA4415" t="str">
            <v>$1K or Below</v>
          </cell>
          <cell r="AB4415" t="str">
            <v>2010 or before</v>
          </cell>
        </row>
        <row r="4416">
          <cell r="E4416">
            <v>535.70000000000005</v>
          </cell>
          <cell r="Z4416" t="str">
            <v>Legacy</v>
          </cell>
          <cell r="AA4416" t="str">
            <v>$1K or Below</v>
          </cell>
          <cell r="AB4416" t="str">
            <v>2010 or before</v>
          </cell>
        </row>
        <row r="4417">
          <cell r="E4417">
            <v>535.54</v>
          </cell>
          <cell r="Z4417" t="str">
            <v>Legacy</v>
          </cell>
          <cell r="AA4417" t="str">
            <v>$1K or Below</v>
          </cell>
          <cell r="AB4417" t="str">
            <v>2010 or before</v>
          </cell>
        </row>
        <row r="4418">
          <cell r="E4418">
            <v>535.5</v>
          </cell>
          <cell r="Z4418" t="str">
            <v>Inbound</v>
          </cell>
          <cell r="AA4418" t="str">
            <v>$1K or Below</v>
          </cell>
          <cell r="AB4418">
            <v>2012</v>
          </cell>
        </row>
        <row r="4419">
          <cell r="E4419">
            <v>534</v>
          </cell>
          <cell r="Z4419" t="str">
            <v>Legacy</v>
          </cell>
          <cell r="AA4419" t="str">
            <v>$1K or Below</v>
          </cell>
          <cell r="AB4419">
            <v>2012</v>
          </cell>
        </row>
        <row r="4420">
          <cell r="E4420">
            <v>533.21</v>
          </cell>
          <cell r="Z4420" t="str">
            <v>Ungating</v>
          </cell>
          <cell r="AA4420" t="str">
            <v>$1K or Below</v>
          </cell>
          <cell r="AB4420">
            <v>2011</v>
          </cell>
        </row>
        <row r="4421">
          <cell r="E4421">
            <v>532.36</v>
          </cell>
          <cell r="Z4421" t="str">
            <v>Legacy</v>
          </cell>
          <cell r="AA4421" t="str">
            <v>$1K or Below</v>
          </cell>
          <cell r="AB4421" t="str">
            <v>2010 or before</v>
          </cell>
        </row>
        <row r="4422">
          <cell r="E4422">
            <v>531.92999999999995</v>
          </cell>
          <cell r="Z4422" t="str">
            <v>Legacy</v>
          </cell>
          <cell r="AA4422" t="str">
            <v>$1K or Below</v>
          </cell>
          <cell r="AB4422" t="str">
            <v>2010 or before</v>
          </cell>
        </row>
        <row r="4423">
          <cell r="E4423">
            <v>531.88</v>
          </cell>
          <cell r="Z4423" t="str">
            <v>Ungating</v>
          </cell>
          <cell r="AA4423" t="str">
            <v>$1K or Below</v>
          </cell>
          <cell r="AB4423">
            <v>2012</v>
          </cell>
        </row>
        <row r="4424">
          <cell r="E4424">
            <v>530.66999999999996</v>
          </cell>
          <cell r="Z4424" t="str">
            <v>Legacy</v>
          </cell>
          <cell r="AA4424" t="str">
            <v>$1K or Below</v>
          </cell>
          <cell r="AB4424" t="str">
            <v>2010 or before</v>
          </cell>
        </row>
        <row r="4425">
          <cell r="E4425">
            <v>529.89</v>
          </cell>
          <cell r="Z4425" t="str">
            <v>Legacy</v>
          </cell>
          <cell r="AA4425" t="str">
            <v>$1K or Below</v>
          </cell>
          <cell r="AB4425" t="str">
            <v>2010 or before</v>
          </cell>
        </row>
        <row r="4426">
          <cell r="E4426">
            <v>529.71</v>
          </cell>
          <cell r="Z4426" t="str">
            <v>Legacy</v>
          </cell>
          <cell r="AA4426" t="str">
            <v>$1K or Below</v>
          </cell>
          <cell r="AB4426">
            <v>2011</v>
          </cell>
        </row>
        <row r="4427">
          <cell r="E4427">
            <v>529.02</v>
          </cell>
          <cell r="Z4427" t="str">
            <v>Legacy</v>
          </cell>
          <cell r="AA4427" t="str">
            <v>$1K or Below</v>
          </cell>
          <cell r="AB4427" t="str">
            <v>2010 or before</v>
          </cell>
        </row>
        <row r="4428">
          <cell r="E4428">
            <v>527.89</v>
          </cell>
          <cell r="Z4428" t="str">
            <v>Legacy</v>
          </cell>
          <cell r="AA4428" t="str">
            <v>$1K or Below</v>
          </cell>
          <cell r="AB4428" t="str">
            <v>2010 or before</v>
          </cell>
        </row>
        <row r="4429">
          <cell r="E4429">
            <v>527.29999999999995</v>
          </cell>
          <cell r="Z4429" t="str">
            <v>Outbound</v>
          </cell>
          <cell r="AA4429" t="str">
            <v>$1K or Below</v>
          </cell>
          <cell r="AB4429">
            <v>2012</v>
          </cell>
        </row>
        <row r="4430">
          <cell r="E4430">
            <v>527.29</v>
          </cell>
          <cell r="Z4430" t="str">
            <v>Legacy</v>
          </cell>
          <cell r="AA4430" t="str">
            <v>$1K or Below</v>
          </cell>
          <cell r="AB4430" t="str">
            <v>2010 or before</v>
          </cell>
        </row>
        <row r="4431">
          <cell r="E4431">
            <v>526.97</v>
          </cell>
          <cell r="Z4431" t="str">
            <v>Legacy</v>
          </cell>
          <cell r="AA4431" t="str">
            <v>$1K or Below</v>
          </cell>
          <cell r="AB4431" t="str">
            <v>2010 or before</v>
          </cell>
        </row>
        <row r="4432">
          <cell r="E4432">
            <v>526.75</v>
          </cell>
          <cell r="Z4432" t="str">
            <v>Legacy</v>
          </cell>
          <cell r="AA4432" t="str">
            <v>$1K or Below</v>
          </cell>
          <cell r="AB4432">
            <v>2011</v>
          </cell>
        </row>
        <row r="4433">
          <cell r="E4433">
            <v>526.37</v>
          </cell>
          <cell r="Z4433" t="str">
            <v>Legacy</v>
          </cell>
          <cell r="AA4433" t="str">
            <v>$1K or Below</v>
          </cell>
          <cell r="AB4433" t="str">
            <v>2010 or before</v>
          </cell>
        </row>
        <row r="4434">
          <cell r="E4434">
            <v>525.51</v>
          </cell>
          <cell r="Z4434" t="str">
            <v>Legacy</v>
          </cell>
          <cell r="AA4434" t="str">
            <v>$1K or Below</v>
          </cell>
          <cell r="AB4434" t="str">
            <v>2010 or before</v>
          </cell>
        </row>
        <row r="4435">
          <cell r="E4435">
            <v>525.44000000000005</v>
          </cell>
          <cell r="Z4435" t="str">
            <v>Legacy</v>
          </cell>
          <cell r="AA4435" t="str">
            <v>$1K or Below</v>
          </cell>
          <cell r="AB4435" t="str">
            <v>2010 or before</v>
          </cell>
        </row>
        <row r="4436">
          <cell r="E4436">
            <v>525.41999999999996</v>
          </cell>
          <cell r="Z4436" t="str">
            <v>Legacy</v>
          </cell>
          <cell r="AA4436" t="str">
            <v>$1K or Below</v>
          </cell>
          <cell r="AB4436" t="str">
            <v>2010 or before</v>
          </cell>
        </row>
        <row r="4437">
          <cell r="E4437">
            <v>525.38</v>
          </cell>
          <cell r="Z4437" t="str">
            <v>Legacy</v>
          </cell>
          <cell r="AA4437" t="str">
            <v>$1K or Below</v>
          </cell>
          <cell r="AB4437" t="str">
            <v>2010 or before</v>
          </cell>
        </row>
        <row r="4438">
          <cell r="E4438">
            <v>523.91</v>
          </cell>
          <cell r="Z4438" t="str">
            <v>Legacy</v>
          </cell>
          <cell r="AA4438" t="str">
            <v>$1K or Below</v>
          </cell>
          <cell r="AB4438" t="str">
            <v>2010 or before</v>
          </cell>
        </row>
        <row r="4439">
          <cell r="E4439">
            <v>523.15</v>
          </cell>
          <cell r="Z4439" t="str">
            <v>Legacy</v>
          </cell>
          <cell r="AA4439" t="str">
            <v>$1K or Below</v>
          </cell>
          <cell r="AB4439" t="str">
            <v>2010 or before</v>
          </cell>
        </row>
        <row r="4440">
          <cell r="E4440">
            <v>523.04</v>
          </cell>
          <cell r="Z4440" t="str">
            <v>Inbound</v>
          </cell>
          <cell r="AA4440" t="str">
            <v>$1K or Below</v>
          </cell>
          <cell r="AB4440">
            <v>2012</v>
          </cell>
        </row>
        <row r="4441">
          <cell r="E4441">
            <v>522.21</v>
          </cell>
          <cell r="Z4441" t="str">
            <v>Legacy</v>
          </cell>
          <cell r="AA4441" t="str">
            <v>$1K or Below</v>
          </cell>
          <cell r="AB4441">
            <v>2011</v>
          </cell>
        </row>
        <row r="4442">
          <cell r="E4442">
            <v>521.23</v>
          </cell>
          <cell r="Z4442" t="str">
            <v>Ungating</v>
          </cell>
          <cell r="AA4442" t="str">
            <v>$1K or Below</v>
          </cell>
          <cell r="AB4442">
            <v>2012</v>
          </cell>
        </row>
        <row r="4443">
          <cell r="E4443">
            <v>520.59</v>
          </cell>
          <cell r="Z4443" t="str">
            <v>Ungating</v>
          </cell>
          <cell r="AA4443" t="str">
            <v>$1K or Below</v>
          </cell>
          <cell r="AB4443">
            <v>2012</v>
          </cell>
        </row>
        <row r="4444">
          <cell r="E4444">
            <v>519.98</v>
          </cell>
          <cell r="Z4444" t="str">
            <v>Legacy</v>
          </cell>
          <cell r="AA4444" t="str">
            <v>$1K or Below</v>
          </cell>
          <cell r="AB4444" t="str">
            <v>2010 or before</v>
          </cell>
        </row>
        <row r="4445">
          <cell r="E4445">
            <v>518.97</v>
          </cell>
          <cell r="Z4445" t="str">
            <v>Ungating</v>
          </cell>
          <cell r="AA4445" t="str">
            <v>$1K or Below</v>
          </cell>
          <cell r="AB4445">
            <v>2011</v>
          </cell>
        </row>
        <row r="4446">
          <cell r="E4446">
            <v>518</v>
          </cell>
          <cell r="Z4446" t="str">
            <v>Legacy</v>
          </cell>
          <cell r="AA4446" t="str">
            <v>$1K or Below</v>
          </cell>
          <cell r="AB4446" t="str">
            <v>2010 or before</v>
          </cell>
        </row>
        <row r="4447">
          <cell r="E4447">
            <v>517.95000000000005</v>
          </cell>
          <cell r="Z4447" t="str">
            <v>Legacy</v>
          </cell>
          <cell r="AA4447" t="str">
            <v>$1K or Below</v>
          </cell>
          <cell r="AB4447" t="str">
            <v>2010 or before</v>
          </cell>
        </row>
        <row r="4448">
          <cell r="E4448">
            <v>515.30999999999995</v>
          </cell>
          <cell r="Z4448" t="str">
            <v>Inbound</v>
          </cell>
          <cell r="AA4448" t="str">
            <v>$1K or Below</v>
          </cell>
          <cell r="AB4448">
            <v>2012</v>
          </cell>
        </row>
        <row r="4449">
          <cell r="E4449">
            <v>514.35</v>
          </cell>
          <cell r="Z4449" t="str">
            <v>Legacy</v>
          </cell>
          <cell r="AA4449" t="str">
            <v>$1K or Below</v>
          </cell>
          <cell r="AB4449" t="str">
            <v>2010 or before</v>
          </cell>
        </row>
        <row r="4450">
          <cell r="E4450">
            <v>513.70000000000005</v>
          </cell>
          <cell r="Z4450" t="str">
            <v>Legacy</v>
          </cell>
          <cell r="AA4450" t="str">
            <v>$1K or Below</v>
          </cell>
          <cell r="AB4450" t="str">
            <v>2010 or before</v>
          </cell>
        </row>
        <row r="4451">
          <cell r="E4451">
            <v>512.91999999999996</v>
          </cell>
          <cell r="Z4451" t="str">
            <v>Legacy</v>
          </cell>
          <cell r="AA4451" t="str">
            <v>$1K or Below</v>
          </cell>
          <cell r="AB4451" t="str">
            <v>2010 or before</v>
          </cell>
        </row>
        <row r="4452">
          <cell r="E4452">
            <v>512.76</v>
          </cell>
          <cell r="Z4452" t="str">
            <v>Legacy</v>
          </cell>
          <cell r="AA4452" t="str">
            <v>$1K or Below</v>
          </cell>
          <cell r="AB4452" t="str">
            <v>2010 or before</v>
          </cell>
        </row>
        <row r="4453">
          <cell r="E4453">
            <v>511.7</v>
          </cell>
          <cell r="Z4453" t="str">
            <v>Legacy</v>
          </cell>
          <cell r="AA4453" t="str">
            <v>$1K or Below</v>
          </cell>
          <cell r="AB4453" t="str">
            <v>2010 or before</v>
          </cell>
        </row>
        <row r="4454">
          <cell r="E4454">
            <v>511.36</v>
          </cell>
          <cell r="Z4454" t="str">
            <v>Legacy</v>
          </cell>
          <cell r="AA4454" t="str">
            <v>$1K or Below</v>
          </cell>
          <cell r="AB4454">
            <v>2011</v>
          </cell>
        </row>
        <row r="4455">
          <cell r="E4455">
            <v>511.18</v>
          </cell>
          <cell r="Z4455" t="str">
            <v>Legacy</v>
          </cell>
          <cell r="AA4455" t="str">
            <v>$1K or Below</v>
          </cell>
          <cell r="AB4455">
            <v>2012</v>
          </cell>
        </row>
        <row r="4456">
          <cell r="E4456">
            <v>511.1</v>
          </cell>
          <cell r="Z4456" t="str">
            <v>Legacy</v>
          </cell>
          <cell r="AA4456" t="str">
            <v>$1K or Below</v>
          </cell>
          <cell r="AB4456" t="str">
            <v>2010 or before</v>
          </cell>
        </row>
        <row r="4457">
          <cell r="E4457">
            <v>510.58</v>
          </cell>
          <cell r="Z4457" t="str">
            <v>Legacy</v>
          </cell>
          <cell r="AA4457" t="str">
            <v>$1K or Below</v>
          </cell>
          <cell r="AB4457" t="str">
            <v>2010 or before</v>
          </cell>
        </row>
        <row r="4458">
          <cell r="E4458">
            <v>510.24</v>
          </cell>
          <cell r="Z4458" t="str">
            <v>Legacy</v>
          </cell>
          <cell r="AA4458" t="str">
            <v>$1K or Below</v>
          </cell>
          <cell r="AB4458" t="str">
            <v>2010 or before</v>
          </cell>
        </row>
        <row r="4459">
          <cell r="E4459">
            <v>508.94</v>
          </cell>
          <cell r="Z4459" t="str">
            <v>Legacy</v>
          </cell>
          <cell r="AA4459" t="str">
            <v>$1K or Below</v>
          </cell>
          <cell r="AB4459" t="str">
            <v>2010 or before</v>
          </cell>
        </row>
        <row r="4460">
          <cell r="E4460">
            <v>508.49</v>
          </cell>
          <cell r="Z4460" t="str">
            <v>Legacy</v>
          </cell>
          <cell r="AA4460" t="str">
            <v>$1K or Below</v>
          </cell>
          <cell r="AB4460">
            <v>2011</v>
          </cell>
        </row>
        <row r="4461">
          <cell r="E4461">
            <v>508.4</v>
          </cell>
          <cell r="Z4461" t="str">
            <v>Legacy</v>
          </cell>
          <cell r="AA4461" t="str">
            <v>$1K or Below</v>
          </cell>
          <cell r="AB4461" t="str">
            <v>2010 or before</v>
          </cell>
        </row>
        <row r="4462">
          <cell r="E4462">
            <v>508</v>
          </cell>
          <cell r="Z4462" t="str">
            <v>Inbound</v>
          </cell>
          <cell r="AA4462" t="str">
            <v>$1K or Below</v>
          </cell>
          <cell r="AB4462">
            <v>2012</v>
          </cell>
        </row>
        <row r="4463">
          <cell r="E4463">
            <v>508</v>
          </cell>
          <cell r="Z4463" t="str">
            <v>Legacy</v>
          </cell>
          <cell r="AA4463" t="str">
            <v>$1K or Below</v>
          </cell>
          <cell r="AB4463" t="str">
            <v>2010 or before</v>
          </cell>
        </row>
        <row r="4464">
          <cell r="E4464">
            <v>507.7</v>
          </cell>
          <cell r="Z4464" t="str">
            <v>Legacy</v>
          </cell>
          <cell r="AA4464" t="str">
            <v>$1K or Below</v>
          </cell>
          <cell r="AB4464" t="str">
            <v>2010 or before</v>
          </cell>
        </row>
        <row r="4465">
          <cell r="E4465">
            <v>507.4</v>
          </cell>
          <cell r="Z4465" t="str">
            <v>Legacy</v>
          </cell>
          <cell r="AA4465" t="str">
            <v>$1K or Below</v>
          </cell>
          <cell r="AB4465">
            <v>2012</v>
          </cell>
        </row>
        <row r="4466">
          <cell r="E4466">
            <v>507.2</v>
          </cell>
          <cell r="Z4466" t="str">
            <v>Legacy</v>
          </cell>
          <cell r="AA4466" t="str">
            <v>$1K or Below</v>
          </cell>
          <cell r="AB4466" t="str">
            <v>2010 or before</v>
          </cell>
        </row>
        <row r="4467">
          <cell r="E4467">
            <v>506.65</v>
          </cell>
          <cell r="Z4467" t="str">
            <v>Legacy</v>
          </cell>
          <cell r="AA4467" t="str">
            <v>$1K or Below</v>
          </cell>
          <cell r="AB4467" t="str">
            <v>2010 or before</v>
          </cell>
        </row>
        <row r="4468">
          <cell r="E4468">
            <v>505.78</v>
          </cell>
          <cell r="Z4468" t="str">
            <v>Legacy</v>
          </cell>
          <cell r="AA4468" t="str">
            <v>$1K or Below</v>
          </cell>
          <cell r="AB4468" t="str">
            <v>2010 or before</v>
          </cell>
        </row>
        <row r="4469">
          <cell r="E4469">
            <v>505.68</v>
          </cell>
          <cell r="Z4469" t="str">
            <v>Legacy</v>
          </cell>
          <cell r="AA4469" t="str">
            <v>$1K or Below</v>
          </cell>
          <cell r="AB4469" t="str">
            <v>2010 or before</v>
          </cell>
        </row>
        <row r="4470">
          <cell r="E4470">
            <v>505.52</v>
          </cell>
          <cell r="Z4470" t="str">
            <v>Legacy</v>
          </cell>
          <cell r="AA4470" t="str">
            <v>$1K or Below</v>
          </cell>
          <cell r="AB4470" t="str">
            <v>2010 or before</v>
          </cell>
        </row>
        <row r="4471">
          <cell r="E4471">
            <v>504</v>
          </cell>
          <cell r="Z4471" t="str">
            <v>Inbound</v>
          </cell>
          <cell r="AA4471" t="str">
            <v>$1K or Below</v>
          </cell>
          <cell r="AB4471">
            <v>2012</v>
          </cell>
        </row>
        <row r="4472">
          <cell r="E4472">
            <v>502.82</v>
          </cell>
          <cell r="Z4472" t="str">
            <v>Legacy</v>
          </cell>
          <cell r="AA4472" t="str">
            <v>$1K or Below</v>
          </cell>
          <cell r="AB4472" t="str">
            <v>2010 or before</v>
          </cell>
        </row>
        <row r="4473">
          <cell r="E4473">
            <v>500.2</v>
          </cell>
          <cell r="Z4473" t="str">
            <v>Legacy</v>
          </cell>
          <cell r="AA4473" t="str">
            <v>$1K or Below</v>
          </cell>
          <cell r="AB4473">
            <v>2011</v>
          </cell>
        </row>
        <row r="4474">
          <cell r="E4474">
            <v>500.08</v>
          </cell>
          <cell r="Z4474" t="str">
            <v>Legacy</v>
          </cell>
          <cell r="AA4474" t="str">
            <v>$1K or Below</v>
          </cell>
          <cell r="AB4474" t="str">
            <v>2010 or before</v>
          </cell>
        </row>
        <row r="4475">
          <cell r="E4475">
            <v>499.67</v>
          </cell>
          <cell r="Z4475" t="str">
            <v>Ungating</v>
          </cell>
          <cell r="AA4475" t="str">
            <v>$1K or Below</v>
          </cell>
          <cell r="AB4475">
            <v>2012</v>
          </cell>
        </row>
        <row r="4476">
          <cell r="E4476">
            <v>498.26</v>
          </cell>
          <cell r="Z4476" t="str">
            <v>Legacy</v>
          </cell>
          <cell r="AA4476" t="str">
            <v>$1K or Below</v>
          </cell>
          <cell r="AB4476" t="str">
            <v>2010 or before</v>
          </cell>
        </row>
        <row r="4477">
          <cell r="E4477">
            <v>497.76</v>
          </cell>
          <cell r="Z4477" t="str">
            <v>Inbound</v>
          </cell>
          <cell r="AA4477" t="str">
            <v>$1K or Below</v>
          </cell>
          <cell r="AB4477">
            <v>2012</v>
          </cell>
        </row>
        <row r="4478">
          <cell r="E4478">
            <v>496</v>
          </cell>
          <cell r="Z4478" t="str">
            <v>Outbound</v>
          </cell>
          <cell r="AA4478" t="str">
            <v>$1K or Below</v>
          </cell>
          <cell r="AB4478">
            <v>2012</v>
          </cell>
        </row>
        <row r="4479">
          <cell r="E4479">
            <v>495.68</v>
          </cell>
          <cell r="Z4479" t="str">
            <v>Legacy</v>
          </cell>
          <cell r="AA4479" t="str">
            <v>$1K or Below</v>
          </cell>
          <cell r="AB4479" t="str">
            <v>2010 or before</v>
          </cell>
        </row>
        <row r="4480">
          <cell r="E4480">
            <v>495.49</v>
          </cell>
          <cell r="Z4480" t="str">
            <v>Legacy</v>
          </cell>
          <cell r="AA4480" t="str">
            <v>$1K or Below</v>
          </cell>
          <cell r="AB4480" t="str">
            <v>2010 or before</v>
          </cell>
        </row>
        <row r="4481">
          <cell r="E4481">
            <v>495.41</v>
          </cell>
          <cell r="Z4481" t="str">
            <v>Legacy</v>
          </cell>
          <cell r="AA4481" t="str">
            <v>$1K or Below</v>
          </cell>
          <cell r="AB4481" t="str">
            <v>2010 or before</v>
          </cell>
        </row>
        <row r="4482">
          <cell r="E4482">
            <v>495</v>
          </cell>
          <cell r="Z4482" t="str">
            <v>Legacy</v>
          </cell>
          <cell r="AA4482" t="str">
            <v>$1K or Below</v>
          </cell>
          <cell r="AB4482" t="str">
            <v>2010 or before</v>
          </cell>
        </row>
        <row r="4483">
          <cell r="E4483">
            <v>493.29</v>
          </cell>
          <cell r="Z4483" t="str">
            <v>Legacy</v>
          </cell>
          <cell r="AA4483" t="str">
            <v>$1K or Below</v>
          </cell>
          <cell r="AB4483">
            <v>2011</v>
          </cell>
        </row>
        <row r="4484">
          <cell r="E4484">
            <v>492.85</v>
          </cell>
          <cell r="Z4484" t="str">
            <v>Legacy</v>
          </cell>
          <cell r="AA4484" t="str">
            <v>$1K or Below</v>
          </cell>
          <cell r="AB4484" t="str">
            <v>2010 or before</v>
          </cell>
        </row>
        <row r="4485">
          <cell r="E4485">
            <v>492.84</v>
          </cell>
          <cell r="Z4485" t="str">
            <v>Legacy</v>
          </cell>
          <cell r="AA4485" t="str">
            <v>$1K or Below</v>
          </cell>
          <cell r="AB4485" t="str">
            <v>2010 or before</v>
          </cell>
        </row>
        <row r="4486">
          <cell r="E4486">
            <v>492.11</v>
          </cell>
          <cell r="Z4486" t="str">
            <v>Legacy</v>
          </cell>
          <cell r="AA4486" t="str">
            <v>$1K or Below</v>
          </cell>
          <cell r="AB4486" t="str">
            <v>2010 or before</v>
          </cell>
        </row>
        <row r="4487">
          <cell r="E4487">
            <v>490</v>
          </cell>
          <cell r="Z4487" t="str">
            <v>Ungating</v>
          </cell>
          <cell r="AA4487" t="str">
            <v>$1K or Below</v>
          </cell>
          <cell r="AB4487">
            <v>2012</v>
          </cell>
        </row>
        <row r="4488">
          <cell r="E4488">
            <v>489.19</v>
          </cell>
          <cell r="Z4488" t="str">
            <v>Legacy</v>
          </cell>
          <cell r="AA4488" t="str">
            <v>$1K or Below</v>
          </cell>
          <cell r="AB4488" t="str">
            <v>2010 or before</v>
          </cell>
        </row>
        <row r="4489">
          <cell r="E4489">
            <v>488.71</v>
          </cell>
          <cell r="Z4489" t="str">
            <v>Legacy</v>
          </cell>
          <cell r="AA4489" t="str">
            <v>$1K or Below</v>
          </cell>
          <cell r="AB4489">
            <v>2011</v>
          </cell>
        </row>
        <row r="4490">
          <cell r="E4490">
            <v>487.5</v>
          </cell>
          <cell r="Z4490" t="str">
            <v>Legacy</v>
          </cell>
          <cell r="AA4490" t="str">
            <v>$1K or Below</v>
          </cell>
          <cell r="AB4490" t="str">
            <v>2010 or before</v>
          </cell>
        </row>
        <row r="4491">
          <cell r="E4491">
            <v>487.5</v>
          </cell>
          <cell r="Z4491" t="str">
            <v>Legacy</v>
          </cell>
          <cell r="AA4491" t="str">
            <v>$1K or Below</v>
          </cell>
          <cell r="AB4491" t="str">
            <v>2010 or before</v>
          </cell>
        </row>
        <row r="4492">
          <cell r="E4492">
            <v>487.48</v>
          </cell>
          <cell r="Z4492" t="str">
            <v>Legacy</v>
          </cell>
          <cell r="AA4492" t="str">
            <v>$1K or Below</v>
          </cell>
          <cell r="AB4492" t="str">
            <v>2010 or before</v>
          </cell>
        </row>
        <row r="4493">
          <cell r="E4493">
            <v>487</v>
          </cell>
          <cell r="Z4493" t="str">
            <v>Inbound</v>
          </cell>
          <cell r="AA4493" t="str">
            <v>$1K or Below</v>
          </cell>
          <cell r="AB4493">
            <v>2012</v>
          </cell>
        </row>
        <row r="4494">
          <cell r="E4494">
            <v>486.95</v>
          </cell>
          <cell r="Z4494" t="str">
            <v>Legacy</v>
          </cell>
          <cell r="AA4494" t="str">
            <v>$1K or Below</v>
          </cell>
          <cell r="AB4494" t="str">
            <v>2010 or before</v>
          </cell>
        </row>
        <row r="4495">
          <cell r="E4495">
            <v>486.48</v>
          </cell>
          <cell r="Z4495" t="str">
            <v>Inbound</v>
          </cell>
          <cell r="AA4495" t="str">
            <v>$1K or Below</v>
          </cell>
          <cell r="AB4495">
            <v>2012</v>
          </cell>
        </row>
        <row r="4496">
          <cell r="E4496">
            <v>486</v>
          </cell>
          <cell r="Z4496" t="str">
            <v>Legacy</v>
          </cell>
          <cell r="AA4496" t="str">
            <v>$1K or Below</v>
          </cell>
          <cell r="AB4496" t="str">
            <v>2010 or before</v>
          </cell>
        </row>
        <row r="4497">
          <cell r="E4497">
            <v>485.15</v>
          </cell>
          <cell r="Z4497" t="str">
            <v>Legacy</v>
          </cell>
          <cell r="AA4497" t="str">
            <v>$1K or Below</v>
          </cell>
          <cell r="AB4497" t="str">
            <v>2010 or before</v>
          </cell>
        </row>
        <row r="4498">
          <cell r="E4498">
            <v>483.99</v>
          </cell>
          <cell r="Z4498" t="str">
            <v>Legacy</v>
          </cell>
          <cell r="AA4498" t="str">
            <v>$1K or Below</v>
          </cell>
          <cell r="AB4498" t="str">
            <v>2010 or before</v>
          </cell>
        </row>
        <row r="4499">
          <cell r="E4499">
            <v>483.76</v>
          </cell>
          <cell r="Z4499" t="str">
            <v>Legacy</v>
          </cell>
          <cell r="AA4499" t="str">
            <v>$1K or Below</v>
          </cell>
          <cell r="AB4499" t="str">
            <v>2010 or before</v>
          </cell>
        </row>
        <row r="4500">
          <cell r="E4500">
            <v>483</v>
          </cell>
          <cell r="Z4500" t="str">
            <v>Legacy</v>
          </cell>
          <cell r="AA4500" t="str">
            <v>$1K or Below</v>
          </cell>
          <cell r="AB4500" t="str">
            <v>2010 or before</v>
          </cell>
        </row>
        <row r="4501">
          <cell r="E4501">
            <v>482.99</v>
          </cell>
          <cell r="Z4501" t="str">
            <v>Legacy</v>
          </cell>
          <cell r="AA4501" t="str">
            <v>$1K or Below</v>
          </cell>
          <cell r="AB4501" t="str">
            <v>2010 or before</v>
          </cell>
        </row>
        <row r="4502">
          <cell r="E4502">
            <v>482.4</v>
          </cell>
          <cell r="Z4502" t="str">
            <v>Legacy</v>
          </cell>
          <cell r="AA4502" t="str">
            <v>$1K or Below</v>
          </cell>
          <cell r="AB4502" t="str">
            <v>2010 or before</v>
          </cell>
        </row>
        <row r="4503">
          <cell r="E4503">
            <v>481.88</v>
          </cell>
          <cell r="Z4503" t="str">
            <v>Legacy</v>
          </cell>
          <cell r="AA4503" t="str">
            <v>$1K or Below</v>
          </cell>
          <cell r="AB4503" t="str">
            <v>2010 or before</v>
          </cell>
        </row>
        <row r="4504">
          <cell r="E4504">
            <v>480.94</v>
          </cell>
          <cell r="Z4504" t="str">
            <v>Legacy</v>
          </cell>
          <cell r="AA4504" t="str">
            <v>$1K or Below</v>
          </cell>
          <cell r="AB4504" t="str">
            <v>2010 or before</v>
          </cell>
        </row>
        <row r="4505">
          <cell r="E4505">
            <v>479.57</v>
          </cell>
          <cell r="Z4505" t="str">
            <v>Legacy</v>
          </cell>
          <cell r="AA4505" t="str">
            <v>$1K or Below</v>
          </cell>
          <cell r="AB4505" t="str">
            <v>2010 or before</v>
          </cell>
        </row>
        <row r="4506">
          <cell r="E4506">
            <v>479.12</v>
          </cell>
          <cell r="Z4506" t="str">
            <v>Legacy</v>
          </cell>
          <cell r="AA4506" t="str">
            <v>$1K or Below</v>
          </cell>
          <cell r="AB4506" t="str">
            <v>2010 or before</v>
          </cell>
        </row>
        <row r="4507">
          <cell r="E4507">
            <v>478.93</v>
          </cell>
          <cell r="Z4507" t="str">
            <v>Legacy</v>
          </cell>
          <cell r="AA4507" t="str">
            <v>$1K or Below</v>
          </cell>
          <cell r="AB4507">
            <v>2011</v>
          </cell>
        </row>
        <row r="4508">
          <cell r="E4508">
            <v>478.7</v>
          </cell>
          <cell r="Z4508" t="str">
            <v>Outbound</v>
          </cell>
          <cell r="AA4508" t="str">
            <v>$1K or Below</v>
          </cell>
          <cell r="AB4508">
            <v>2012</v>
          </cell>
        </row>
        <row r="4509">
          <cell r="E4509">
            <v>477.96</v>
          </cell>
          <cell r="Z4509" t="str">
            <v>Legacy</v>
          </cell>
          <cell r="AA4509" t="str">
            <v>$1K or Below</v>
          </cell>
          <cell r="AB4509" t="str">
            <v>2010 or before</v>
          </cell>
        </row>
        <row r="4510">
          <cell r="E4510">
            <v>477.9</v>
          </cell>
          <cell r="Z4510" t="str">
            <v>Legacy</v>
          </cell>
          <cell r="AA4510" t="str">
            <v>$1K or Below</v>
          </cell>
          <cell r="AB4510" t="str">
            <v>2010 or before</v>
          </cell>
        </row>
        <row r="4511">
          <cell r="E4511">
            <v>477.76</v>
          </cell>
          <cell r="Z4511" t="str">
            <v>Legacy</v>
          </cell>
          <cell r="AA4511" t="str">
            <v>$1K or Below</v>
          </cell>
          <cell r="AB4511" t="str">
            <v>2010 or before</v>
          </cell>
        </row>
        <row r="4512">
          <cell r="E4512">
            <v>475.97</v>
          </cell>
          <cell r="Z4512" t="str">
            <v>Legacy</v>
          </cell>
          <cell r="AA4512" t="str">
            <v>$1K or Below</v>
          </cell>
          <cell r="AB4512">
            <v>2012</v>
          </cell>
        </row>
        <row r="4513">
          <cell r="E4513">
            <v>474.9</v>
          </cell>
          <cell r="Z4513" t="str">
            <v>Legacy</v>
          </cell>
          <cell r="AA4513" t="str">
            <v>$1K or Below</v>
          </cell>
          <cell r="AB4513" t="str">
            <v>2010 or before</v>
          </cell>
        </row>
        <row r="4514">
          <cell r="E4514">
            <v>474.9</v>
          </cell>
          <cell r="Z4514" t="str">
            <v>Legacy</v>
          </cell>
          <cell r="AA4514" t="str">
            <v>$1K or Below</v>
          </cell>
          <cell r="AB4514" t="str">
            <v>2010 or before</v>
          </cell>
        </row>
        <row r="4515">
          <cell r="E4515">
            <v>472.69</v>
          </cell>
          <cell r="Z4515" t="str">
            <v>Legacy</v>
          </cell>
          <cell r="AA4515" t="str">
            <v>$1K or Below</v>
          </cell>
          <cell r="AB4515" t="str">
            <v>2010 or before</v>
          </cell>
        </row>
        <row r="4516">
          <cell r="E4516">
            <v>472.37</v>
          </cell>
          <cell r="Z4516" t="str">
            <v>Inbound</v>
          </cell>
          <cell r="AA4516" t="str">
            <v>$1K or Below</v>
          </cell>
          <cell r="AB4516">
            <v>2012</v>
          </cell>
        </row>
        <row r="4517">
          <cell r="E4517">
            <v>471.67</v>
          </cell>
          <cell r="Z4517" t="str">
            <v>Legacy</v>
          </cell>
          <cell r="AA4517" t="str">
            <v>$1K or Below</v>
          </cell>
          <cell r="AB4517" t="str">
            <v>2010 or before</v>
          </cell>
        </row>
        <row r="4518">
          <cell r="E4518">
            <v>471.67</v>
          </cell>
          <cell r="Z4518" t="str">
            <v>Legacy</v>
          </cell>
          <cell r="AA4518" t="str">
            <v>$1K or Below</v>
          </cell>
          <cell r="AB4518">
            <v>2011</v>
          </cell>
        </row>
        <row r="4519">
          <cell r="E4519">
            <v>471.24</v>
          </cell>
          <cell r="Z4519" t="str">
            <v>Legacy</v>
          </cell>
          <cell r="AA4519" t="str">
            <v>$1K or Below</v>
          </cell>
          <cell r="AB4519" t="str">
            <v>2010 or before</v>
          </cell>
        </row>
        <row r="4520">
          <cell r="E4520">
            <v>471.04</v>
          </cell>
          <cell r="Z4520" t="str">
            <v>Legacy</v>
          </cell>
          <cell r="AA4520" t="str">
            <v>$1K or Below</v>
          </cell>
          <cell r="AB4520">
            <v>2011</v>
          </cell>
        </row>
        <row r="4521">
          <cell r="E4521">
            <v>470.55</v>
          </cell>
          <cell r="Z4521" t="str">
            <v>Legacy</v>
          </cell>
          <cell r="AA4521" t="str">
            <v>$1K or Below</v>
          </cell>
          <cell r="AB4521" t="str">
            <v>2010 or before</v>
          </cell>
        </row>
        <row r="4522">
          <cell r="E4522">
            <v>470</v>
          </cell>
          <cell r="Z4522" t="str">
            <v>Legacy</v>
          </cell>
          <cell r="AA4522" t="str">
            <v>$1K or Below</v>
          </cell>
          <cell r="AB4522">
            <v>2011</v>
          </cell>
        </row>
        <row r="4523">
          <cell r="E4523">
            <v>469.54</v>
          </cell>
          <cell r="Z4523" t="str">
            <v>Legacy</v>
          </cell>
          <cell r="AA4523" t="str">
            <v>$1K or Below</v>
          </cell>
          <cell r="AB4523" t="str">
            <v>2010 or before</v>
          </cell>
        </row>
        <row r="4524">
          <cell r="E4524">
            <v>469.48</v>
          </cell>
          <cell r="Z4524" t="str">
            <v>Legacy</v>
          </cell>
          <cell r="AA4524" t="str">
            <v>$1K or Below</v>
          </cell>
          <cell r="AB4524">
            <v>2012</v>
          </cell>
        </row>
        <row r="4525">
          <cell r="E4525">
            <v>468.98</v>
          </cell>
          <cell r="Z4525" t="str">
            <v>Legacy</v>
          </cell>
          <cell r="AA4525" t="str">
            <v>$1K or Below</v>
          </cell>
          <cell r="AB4525" t="str">
            <v>2010 or before</v>
          </cell>
        </row>
        <row r="4526">
          <cell r="E4526">
            <v>468.82</v>
          </cell>
          <cell r="Z4526" t="str">
            <v>Legacy</v>
          </cell>
          <cell r="AA4526" t="str">
            <v>$1K or Below</v>
          </cell>
          <cell r="AB4526" t="str">
            <v>2010 or before</v>
          </cell>
        </row>
        <row r="4527">
          <cell r="E4527">
            <v>468.41</v>
          </cell>
          <cell r="Z4527" t="str">
            <v>Legacy</v>
          </cell>
          <cell r="AA4527" t="str">
            <v>$1K or Below</v>
          </cell>
          <cell r="AB4527">
            <v>2011</v>
          </cell>
        </row>
        <row r="4528">
          <cell r="E4528">
            <v>468.09</v>
          </cell>
          <cell r="Z4528" t="str">
            <v>Legacy</v>
          </cell>
          <cell r="AA4528" t="str">
            <v>$1K or Below</v>
          </cell>
          <cell r="AB4528" t="str">
            <v>2010 or before</v>
          </cell>
        </row>
        <row r="4529">
          <cell r="E4529">
            <v>467.47</v>
          </cell>
          <cell r="Z4529" t="str">
            <v>Inbound</v>
          </cell>
          <cell r="AA4529" t="str">
            <v>$1K or Below</v>
          </cell>
          <cell r="AB4529">
            <v>2012</v>
          </cell>
        </row>
        <row r="4530">
          <cell r="E4530">
            <v>467.33</v>
          </cell>
          <cell r="Z4530" t="str">
            <v>Legacy</v>
          </cell>
          <cell r="AA4530" t="str">
            <v>$1K or Below</v>
          </cell>
          <cell r="AB4530" t="str">
            <v>2010 or before</v>
          </cell>
        </row>
        <row r="4531">
          <cell r="E4531">
            <v>467.1</v>
          </cell>
          <cell r="Z4531" t="str">
            <v>Legacy</v>
          </cell>
          <cell r="AA4531" t="str">
            <v>$1K or Below</v>
          </cell>
          <cell r="AB4531" t="str">
            <v>2010 or before</v>
          </cell>
        </row>
        <row r="4532">
          <cell r="E4532">
            <v>466.95</v>
          </cell>
          <cell r="Z4532" t="str">
            <v>Inbound</v>
          </cell>
          <cell r="AA4532" t="str">
            <v>$1K or Below</v>
          </cell>
          <cell r="AB4532">
            <v>2012</v>
          </cell>
        </row>
        <row r="4533">
          <cell r="E4533">
            <v>466.88</v>
          </cell>
          <cell r="Z4533" t="str">
            <v>Legacy</v>
          </cell>
          <cell r="AA4533" t="str">
            <v>$1K or Below</v>
          </cell>
          <cell r="AB4533" t="str">
            <v>2010 or before</v>
          </cell>
        </row>
        <row r="4534">
          <cell r="E4534">
            <v>465.97</v>
          </cell>
          <cell r="Z4534" t="str">
            <v>Legacy</v>
          </cell>
          <cell r="AA4534" t="str">
            <v>$1K or Below</v>
          </cell>
          <cell r="AB4534" t="str">
            <v>2010 or before</v>
          </cell>
        </row>
        <row r="4535">
          <cell r="E4535">
            <v>465.92</v>
          </cell>
          <cell r="Z4535" t="str">
            <v>Legacy</v>
          </cell>
          <cell r="AA4535" t="str">
            <v>$1K or Below</v>
          </cell>
          <cell r="AB4535">
            <v>2011</v>
          </cell>
        </row>
        <row r="4536">
          <cell r="E4536">
            <v>465.59</v>
          </cell>
          <cell r="Z4536" t="str">
            <v>Legacy</v>
          </cell>
          <cell r="AA4536" t="str">
            <v>$1K or Below</v>
          </cell>
          <cell r="AB4536" t="str">
            <v>2010 or before</v>
          </cell>
        </row>
        <row r="4537">
          <cell r="E4537">
            <v>465.49</v>
          </cell>
          <cell r="Z4537" t="str">
            <v>Legacy</v>
          </cell>
          <cell r="AA4537" t="str">
            <v>$1K or Below</v>
          </cell>
          <cell r="AB4537" t="str">
            <v>2010 or before</v>
          </cell>
        </row>
        <row r="4538">
          <cell r="E4538">
            <v>465.12</v>
          </cell>
          <cell r="Z4538" t="str">
            <v>Legacy</v>
          </cell>
          <cell r="AA4538" t="str">
            <v>$1K or Below</v>
          </cell>
          <cell r="AB4538" t="str">
            <v>2010 or before</v>
          </cell>
        </row>
        <row r="4539">
          <cell r="E4539">
            <v>465.04</v>
          </cell>
          <cell r="Z4539" t="str">
            <v>Legacy</v>
          </cell>
          <cell r="AA4539" t="str">
            <v>$1K or Below</v>
          </cell>
          <cell r="AB4539">
            <v>2012</v>
          </cell>
        </row>
        <row r="4540">
          <cell r="E4540">
            <v>464.51</v>
          </cell>
          <cell r="Z4540" t="str">
            <v>Legacy</v>
          </cell>
          <cell r="AA4540" t="str">
            <v>$1K or Below</v>
          </cell>
          <cell r="AB4540" t="str">
            <v>2010 or before</v>
          </cell>
        </row>
        <row r="4541">
          <cell r="E4541">
            <v>464.34</v>
          </cell>
          <cell r="Z4541" t="str">
            <v>Legacy</v>
          </cell>
          <cell r="AA4541" t="str">
            <v>$1K or Below</v>
          </cell>
          <cell r="AB4541" t="str">
            <v>2010 or before</v>
          </cell>
        </row>
        <row r="4542">
          <cell r="E4542">
            <v>464</v>
          </cell>
          <cell r="Z4542" t="str">
            <v>Inbound</v>
          </cell>
          <cell r="AA4542" t="str">
            <v>$1K or Below</v>
          </cell>
          <cell r="AB4542">
            <v>2012</v>
          </cell>
        </row>
        <row r="4543">
          <cell r="E4543">
            <v>463.23</v>
          </cell>
          <cell r="Z4543" t="str">
            <v>Legacy</v>
          </cell>
          <cell r="AA4543" t="str">
            <v>$1K or Below</v>
          </cell>
          <cell r="AB4543" t="str">
            <v>2010 or before</v>
          </cell>
        </row>
        <row r="4544">
          <cell r="E4544">
            <v>462.97</v>
          </cell>
          <cell r="Z4544" t="str">
            <v>Legacy</v>
          </cell>
          <cell r="AA4544" t="str">
            <v>$1K or Below</v>
          </cell>
          <cell r="AB4544">
            <v>2011</v>
          </cell>
        </row>
        <row r="4545">
          <cell r="E4545">
            <v>462.96</v>
          </cell>
          <cell r="Z4545" t="str">
            <v>Legacy</v>
          </cell>
          <cell r="AA4545" t="str">
            <v>$1K or Below</v>
          </cell>
          <cell r="AB4545">
            <v>2011</v>
          </cell>
        </row>
        <row r="4546">
          <cell r="E4546">
            <v>462.57</v>
          </cell>
          <cell r="Z4546" t="str">
            <v>Legacy</v>
          </cell>
          <cell r="AA4546" t="str">
            <v>$1K or Below</v>
          </cell>
          <cell r="AB4546" t="str">
            <v>2010 or before</v>
          </cell>
        </row>
        <row r="4547">
          <cell r="E4547">
            <v>462.2</v>
          </cell>
          <cell r="Z4547" t="str">
            <v>Legacy</v>
          </cell>
          <cell r="AA4547" t="str">
            <v>$1K or Below</v>
          </cell>
          <cell r="AB4547" t="str">
            <v>2010 or before</v>
          </cell>
        </row>
        <row r="4548">
          <cell r="E4548">
            <v>461.03</v>
          </cell>
          <cell r="Z4548" t="str">
            <v>Legacy</v>
          </cell>
          <cell r="AA4548" t="str">
            <v>$1K or Below</v>
          </cell>
          <cell r="AB4548" t="str">
            <v>2010 or before</v>
          </cell>
        </row>
        <row r="4549">
          <cell r="E4549">
            <v>460.63</v>
          </cell>
          <cell r="Z4549" t="str">
            <v>Legacy</v>
          </cell>
          <cell r="AA4549" t="str">
            <v>$1K or Below</v>
          </cell>
          <cell r="AB4549" t="str">
            <v>2010 or before</v>
          </cell>
        </row>
        <row r="4550">
          <cell r="E4550">
            <v>459.7</v>
          </cell>
          <cell r="Z4550" t="str">
            <v>Legacy</v>
          </cell>
          <cell r="AA4550" t="str">
            <v>$1K or Below</v>
          </cell>
          <cell r="AB4550">
            <v>2011</v>
          </cell>
        </row>
        <row r="4551">
          <cell r="E4551">
            <v>459.49</v>
          </cell>
          <cell r="Z4551" t="str">
            <v>Legacy</v>
          </cell>
          <cell r="AA4551" t="str">
            <v>$1K or Below</v>
          </cell>
          <cell r="AB4551">
            <v>2012</v>
          </cell>
        </row>
        <row r="4552">
          <cell r="E4552">
            <v>459.18</v>
          </cell>
          <cell r="Z4552" t="str">
            <v>Legacy</v>
          </cell>
          <cell r="AA4552" t="str">
            <v>$1K or Below</v>
          </cell>
          <cell r="AB4552" t="str">
            <v>2010 or before</v>
          </cell>
        </row>
        <row r="4553">
          <cell r="E4553">
            <v>458.74</v>
          </cell>
          <cell r="Z4553" t="str">
            <v>Legacy</v>
          </cell>
          <cell r="AA4553" t="str">
            <v>$1K or Below</v>
          </cell>
          <cell r="AB4553" t="str">
            <v>2010 or before</v>
          </cell>
        </row>
        <row r="4554">
          <cell r="E4554">
            <v>457.83</v>
          </cell>
          <cell r="Z4554" t="str">
            <v>Legacy</v>
          </cell>
          <cell r="AA4554" t="str">
            <v>$1K or Below</v>
          </cell>
          <cell r="AB4554">
            <v>2011</v>
          </cell>
        </row>
        <row r="4555">
          <cell r="E4555">
            <v>457.07</v>
          </cell>
          <cell r="Z4555" t="str">
            <v>Legacy</v>
          </cell>
          <cell r="AA4555" t="str">
            <v>$1K or Below</v>
          </cell>
          <cell r="AB4555" t="str">
            <v>2010 or before</v>
          </cell>
        </row>
        <row r="4556">
          <cell r="E4556">
            <v>456.97</v>
          </cell>
          <cell r="Z4556" t="str">
            <v>Legacy</v>
          </cell>
          <cell r="AA4556" t="str">
            <v>$1K or Below</v>
          </cell>
          <cell r="AB4556" t="str">
            <v>2010 or before</v>
          </cell>
        </row>
        <row r="4557">
          <cell r="E4557">
            <v>456.86</v>
          </cell>
          <cell r="Z4557" t="str">
            <v>Legacy</v>
          </cell>
          <cell r="AA4557" t="str">
            <v>$1K or Below</v>
          </cell>
          <cell r="AB4557" t="str">
            <v>2010 or before</v>
          </cell>
        </row>
        <row r="4558">
          <cell r="E4558">
            <v>456.38</v>
          </cell>
          <cell r="Z4558" t="str">
            <v>Legacy</v>
          </cell>
          <cell r="AA4558" t="str">
            <v>$1K or Below</v>
          </cell>
          <cell r="AB4558" t="str">
            <v>2010 or before</v>
          </cell>
        </row>
        <row r="4559">
          <cell r="E4559">
            <v>455.89</v>
          </cell>
          <cell r="Z4559" t="str">
            <v>Legacy</v>
          </cell>
          <cell r="AA4559" t="str">
            <v>$1K or Below</v>
          </cell>
          <cell r="AB4559" t="str">
            <v>2010 or before</v>
          </cell>
        </row>
        <row r="4560">
          <cell r="E4560">
            <v>454.1</v>
          </cell>
          <cell r="Z4560" t="str">
            <v>Legacy</v>
          </cell>
          <cell r="AA4560" t="str">
            <v>$1K or Below</v>
          </cell>
          <cell r="AB4560" t="str">
            <v>2010 or before</v>
          </cell>
        </row>
        <row r="4561">
          <cell r="E4561">
            <v>453.45</v>
          </cell>
          <cell r="Z4561" t="str">
            <v>Legacy</v>
          </cell>
          <cell r="AA4561" t="str">
            <v>$1K or Below</v>
          </cell>
          <cell r="AB4561" t="str">
            <v>2010 or before</v>
          </cell>
        </row>
        <row r="4562">
          <cell r="E4562">
            <v>451.12</v>
          </cell>
          <cell r="Z4562" t="str">
            <v>Legacy</v>
          </cell>
          <cell r="AA4562" t="str">
            <v>$1K or Below</v>
          </cell>
          <cell r="AB4562" t="str">
            <v>2010 or before</v>
          </cell>
        </row>
        <row r="4563">
          <cell r="E4563">
            <v>450.89</v>
          </cell>
          <cell r="Z4563" t="str">
            <v>Legacy</v>
          </cell>
          <cell r="AA4563" t="str">
            <v>$1K or Below</v>
          </cell>
          <cell r="AB4563" t="str">
            <v>2010 or before</v>
          </cell>
        </row>
        <row r="4564">
          <cell r="E4564">
            <v>450.43</v>
          </cell>
          <cell r="Z4564" t="str">
            <v>Legacy</v>
          </cell>
          <cell r="AA4564" t="str">
            <v>$1K or Below</v>
          </cell>
          <cell r="AB4564">
            <v>2012</v>
          </cell>
        </row>
        <row r="4565">
          <cell r="E4565">
            <v>449.94</v>
          </cell>
          <cell r="Z4565" t="str">
            <v>Legacy</v>
          </cell>
          <cell r="AA4565" t="str">
            <v>$1K or Below</v>
          </cell>
          <cell r="AB4565" t="str">
            <v>2010 or before</v>
          </cell>
        </row>
        <row r="4566">
          <cell r="E4566">
            <v>447.25</v>
          </cell>
          <cell r="Z4566" t="str">
            <v>Legacy</v>
          </cell>
          <cell r="AA4566" t="str">
            <v>$1K or Below</v>
          </cell>
          <cell r="AB4566" t="str">
            <v>2010 or before</v>
          </cell>
        </row>
        <row r="4567">
          <cell r="E4567">
            <v>446.99</v>
          </cell>
          <cell r="Z4567" t="str">
            <v>Legacy</v>
          </cell>
          <cell r="AA4567" t="str">
            <v>$1K or Below</v>
          </cell>
          <cell r="AB4567" t="str">
            <v>2010 or before</v>
          </cell>
        </row>
        <row r="4568">
          <cell r="E4568">
            <v>446.99</v>
          </cell>
          <cell r="Z4568" t="str">
            <v>Legacy</v>
          </cell>
          <cell r="AA4568" t="str">
            <v>$1K or Below</v>
          </cell>
          <cell r="AB4568" t="str">
            <v>2010 or before</v>
          </cell>
        </row>
        <row r="4569">
          <cell r="E4569">
            <v>446.88</v>
          </cell>
          <cell r="Z4569" t="str">
            <v>Legacy</v>
          </cell>
          <cell r="AA4569" t="str">
            <v>$1K or Below</v>
          </cell>
          <cell r="AB4569" t="str">
            <v>2010 or before</v>
          </cell>
        </row>
        <row r="4570">
          <cell r="E4570">
            <v>446.19</v>
          </cell>
          <cell r="Z4570" t="str">
            <v>Legacy</v>
          </cell>
          <cell r="AA4570" t="str">
            <v>$1K or Below</v>
          </cell>
          <cell r="AB4570" t="str">
            <v>2010 or before</v>
          </cell>
        </row>
        <row r="4571">
          <cell r="E4571">
            <v>446.11</v>
          </cell>
          <cell r="Z4571" t="str">
            <v>Legacy</v>
          </cell>
          <cell r="AA4571" t="str">
            <v>$1K or Below</v>
          </cell>
          <cell r="AB4571" t="str">
            <v>2010 or before</v>
          </cell>
        </row>
        <row r="4572">
          <cell r="E4572">
            <v>446.03</v>
          </cell>
          <cell r="Z4572" t="str">
            <v>Legacy</v>
          </cell>
          <cell r="AA4572" t="str">
            <v>$1K or Below</v>
          </cell>
          <cell r="AB4572" t="str">
            <v>2010 or before</v>
          </cell>
        </row>
        <row r="4573">
          <cell r="E4573">
            <v>445.34</v>
          </cell>
          <cell r="Z4573" t="str">
            <v>Legacy</v>
          </cell>
          <cell r="AA4573" t="str">
            <v>$1K or Below</v>
          </cell>
          <cell r="AB4573" t="str">
            <v>2010 or before</v>
          </cell>
        </row>
        <row r="4574">
          <cell r="E4574">
            <v>444.64</v>
          </cell>
          <cell r="Z4574" t="str">
            <v>Legacy</v>
          </cell>
          <cell r="AA4574" t="str">
            <v>$1K or Below</v>
          </cell>
          <cell r="AB4574" t="str">
            <v>2010 or before</v>
          </cell>
        </row>
        <row r="4575">
          <cell r="E4575">
            <v>443.87</v>
          </cell>
          <cell r="Z4575" t="str">
            <v>Legacy</v>
          </cell>
          <cell r="AA4575" t="str">
            <v>$1K or Below</v>
          </cell>
          <cell r="AB4575" t="str">
            <v>2010 or before</v>
          </cell>
        </row>
        <row r="4576">
          <cell r="E4576">
            <v>443.56</v>
          </cell>
          <cell r="Z4576" t="str">
            <v>Legacy</v>
          </cell>
          <cell r="AA4576" t="str">
            <v>$1K or Below</v>
          </cell>
          <cell r="AB4576" t="str">
            <v>2010 or before</v>
          </cell>
        </row>
        <row r="4577">
          <cell r="E4577">
            <v>442.83</v>
          </cell>
          <cell r="Z4577" t="str">
            <v>Legacy</v>
          </cell>
          <cell r="AA4577" t="str">
            <v>$1K or Below</v>
          </cell>
          <cell r="AB4577">
            <v>2011</v>
          </cell>
        </row>
        <row r="4578">
          <cell r="E4578">
            <v>442.35</v>
          </cell>
          <cell r="Z4578" t="str">
            <v>Legacy</v>
          </cell>
          <cell r="AA4578" t="str">
            <v>$1K or Below</v>
          </cell>
          <cell r="AB4578" t="str">
            <v>2010 or before</v>
          </cell>
        </row>
        <row r="4579">
          <cell r="E4579">
            <v>440.89</v>
          </cell>
          <cell r="Z4579" t="str">
            <v>Legacy</v>
          </cell>
          <cell r="AA4579" t="str">
            <v>$1K or Below</v>
          </cell>
          <cell r="AB4579" t="str">
            <v>2010 or before</v>
          </cell>
        </row>
        <row r="4580">
          <cell r="E4580">
            <v>440.41</v>
          </cell>
          <cell r="Z4580" t="str">
            <v>Legacy</v>
          </cell>
          <cell r="AA4580" t="str">
            <v>$1K or Below</v>
          </cell>
          <cell r="AB4580">
            <v>2012</v>
          </cell>
        </row>
        <row r="4581">
          <cell r="E4581">
            <v>440.29</v>
          </cell>
          <cell r="Z4581" t="str">
            <v>Legacy</v>
          </cell>
          <cell r="AA4581" t="str">
            <v>$1K or Below</v>
          </cell>
          <cell r="AB4581" t="str">
            <v>2010 or before</v>
          </cell>
        </row>
        <row r="4582">
          <cell r="E4582">
            <v>439.75</v>
          </cell>
          <cell r="Z4582" t="str">
            <v>Legacy</v>
          </cell>
          <cell r="AA4582" t="str">
            <v>$1K or Below</v>
          </cell>
          <cell r="AB4582" t="str">
            <v>2010 or before</v>
          </cell>
        </row>
        <row r="4583">
          <cell r="E4583">
            <v>438.41</v>
          </cell>
          <cell r="Z4583" t="str">
            <v>Legacy</v>
          </cell>
          <cell r="AA4583" t="str">
            <v>$1K or Below</v>
          </cell>
          <cell r="AB4583">
            <v>2011</v>
          </cell>
        </row>
        <row r="4584">
          <cell r="E4584">
            <v>438</v>
          </cell>
          <cell r="Z4584" t="str">
            <v>Legacy</v>
          </cell>
          <cell r="AA4584" t="str">
            <v>$1K or Below</v>
          </cell>
          <cell r="AB4584">
            <v>2012</v>
          </cell>
        </row>
        <row r="4585">
          <cell r="E4585">
            <v>436.47</v>
          </cell>
          <cell r="Z4585" t="str">
            <v>Legacy</v>
          </cell>
          <cell r="AA4585" t="str">
            <v>$1K or Below</v>
          </cell>
          <cell r="AB4585" t="str">
            <v>2010 or before</v>
          </cell>
        </row>
        <row r="4586">
          <cell r="E4586">
            <v>436.3</v>
          </cell>
          <cell r="Z4586" t="str">
            <v>Legacy</v>
          </cell>
          <cell r="AA4586" t="str">
            <v>$1K or Below</v>
          </cell>
          <cell r="AB4586" t="str">
            <v>2010 or before</v>
          </cell>
        </row>
        <row r="4587">
          <cell r="E4587">
            <v>435.05</v>
          </cell>
          <cell r="Z4587" t="str">
            <v>Inbound</v>
          </cell>
          <cell r="AA4587" t="str">
            <v>$1K or Below</v>
          </cell>
          <cell r="AB4587">
            <v>2012</v>
          </cell>
        </row>
        <row r="4588">
          <cell r="E4588">
            <v>434.38</v>
          </cell>
          <cell r="Z4588" t="str">
            <v>Legacy</v>
          </cell>
          <cell r="AA4588" t="str">
            <v>$1K or Below</v>
          </cell>
          <cell r="AB4588" t="str">
            <v>2010 or before</v>
          </cell>
        </row>
        <row r="4589">
          <cell r="E4589">
            <v>434.01</v>
          </cell>
          <cell r="Z4589" t="str">
            <v>Legacy</v>
          </cell>
          <cell r="AA4589" t="str">
            <v>$1K or Below</v>
          </cell>
          <cell r="AB4589" t="str">
            <v>2010 or before</v>
          </cell>
        </row>
        <row r="4590">
          <cell r="E4590">
            <v>433.22</v>
          </cell>
          <cell r="Z4590" t="str">
            <v>Outbound</v>
          </cell>
          <cell r="AA4590" t="str">
            <v>$1K or Below</v>
          </cell>
          <cell r="AB4590">
            <v>2012</v>
          </cell>
        </row>
        <row r="4591">
          <cell r="E4591">
            <v>433</v>
          </cell>
          <cell r="Z4591" t="str">
            <v>Legacy</v>
          </cell>
          <cell r="AA4591" t="str">
            <v>$1K or Below</v>
          </cell>
          <cell r="AB4591" t="str">
            <v>2010 or before</v>
          </cell>
        </row>
        <row r="4592">
          <cell r="E4592">
            <v>432.53</v>
          </cell>
          <cell r="Z4592" t="str">
            <v>Inbound</v>
          </cell>
          <cell r="AA4592" t="str">
            <v>$1K or Below</v>
          </cell>
          <cell r="AB4592">
            <v>2012</v>
          </cell>
        </row>
        <row r="4593">
          <cell r="E4593">
            <v>432.36</v>
          </cell>
          <cell r="Z4593" t="str">
            <v>Legacy</v>
          </cell>
          <cell r="AA4593" t="str">
            <v>$1K or Below</v>
          </cell>
          <cell r="AB4593">
            <v>2011</v>
          </cell>
        </row>
        <row r="4594">
          <cell r="E4594">
            <v>430.94</v>
          </cell>
          <cell r="Z4594" t="str">
            <v>Legacy</v>
          </cell>
          <cell r="AA4594" t="str">
            <v>$1K or Below</v>
          </cell>
          <cell r="AB4594" t="str">
            <v>2010 or before</v>
          </cell>
        </row>
        <row r="4595">
          <cell r="E4595">
            <v>430</v>
          </cell>
          <cell r="Z4595" t="str">
            <v>Ungating</v>
          </cell>
          <cell r="AA4595" t="str">
            <v>$1K or Below</v>
          </cell>
          <cell r="AB4595">
            <v>2012</v>
          </cell>
        </row>
        <row r="4596">
          <cell r="E4596">
            <v>429.86</v>
          </cell>
          <cell r="Z4596" t="str">
            <v>Legacy</v>
          </cell>
          <cell r="AA4596" t="str">
            <v>$1K or Below</v>
          </cell>
          <cell r="AB4596" t="str">
            <v>2010 or before</v>
          </cell>
        </row>
        <row r="4597">
          <cell r="E4597">
            <v>428.68</v>
          </cell>
          <cell r="Z4597" t="str">
            <v>Inbound</v>
          </cell>
          <cell r="AA4597" t="str">
            <v>$1K or Below</v>
          </cell>
          <cell r="AB4597">
            <v>2012</v>
          </cell>
        </row>
        <row r="4598">
          <cell r="E4598">
            <v>428.29</v>
          </cell>
          <cell r="Z4598" t="str">
            <v>Ungating</v>
          </cell>
          <cell r="AA4598" t="str">
            <v>$1K or Below</v>
          </cell>
          <cell r="AB4598">
            <v>2012</v>
          </cell>
        </row>
        <row r="4599">
          <cell r="E4599">
            <v>427.66</v>
          </cell>
          <cell r="Z4599" t="str">
            <v>Ungating</v>
          </cell>
          <cell r="AA4599" t="str">
            <v>$1K or Below</v>
          </cell>
          <cell r="AB4599">
            <v>2012</v>
          </cell>
        </row>
        <row r="4600">
          <cell r="E4600">
            <v>427.64</v>
          </cell>
          <cell r="Z4600" t="str">
            <v>Legacy</v>
          </cell>
          <cell r="AA4600" t="str">
            <v>$1K or Below</v>
          </cell>
          <cell r="AB4600" t="str">
            <v>2010 or before</v>
          </cell>
        </row>
        <row r="4601">
          <cell r="E4601">
            <v>426.87</v>
          </cell>
          <cell r="Z4601" t="str">
            <v>Legacy</v>
          </cell>
          <cell r="AA4601" t="str">
            <v>$1K or Below</v>
          </cell>
          <cell r="AB4601" t="str">
            <v>2010 or before</v>
          </cell>
        </row>
        <row r="4602">
          <cell r="E4602">
            <v>426.7</v>
          </cell>
          <cell r="Z4602" t="str">
            <v>Legacy</v>
          </cell>
          <cell r="AA4602" t="str">
            <v>$1K or Below</v>
          </cell>
          <cell r="AB4602" t="str">
            <v>2010 or before</v>
          </cell>
        </row>
        <row r="4603">
          <cell r="E4603">
            <v>426.2</v>
          </cell>
          <cell r="Z4603" t="str">
            <v>Legacy</v>
          </cell>
          <cell r="AA4603" t="str">
            <v>$1K or Below</v>
          </cell>
          <cell r="AB4603" t="str">
            <v>2010 or before</v>
          </cell>
        </row>
        <row r="4604">
          <cell r="E4604">
            <v>426.1</v>
          </cell>
          <cell r="Z4604" t="str">
            <v>Legacy</v>
          </cell>
          <cell r="AA4604" t="str">
            <v>$1K or Below</v>
          </cell>
          <cell r="AB4604" t="str">
            <v>2010 or before</v>
          </cell>
        </row>
        <row r="4605">
          <cell r="E4605">
            <v>425.43</v>
          </cell>
          <cell r="Z4605" t="str">
            <v>Inbound</v>
          </cell>
          <cell r="AA4605" t="str">
            <v>$1K or Below</v>
          </cell>
          <cell r="AB4605">
            <v>2012</v>
          </cell>
        </row>
        <row r="4606">
          <cell r="E4606">
            <v>425.3</v>
          </cell>
          <cell r="Z4606" t="str">
            <v>Legacy</v>
          </cell>
          <cell r="AA4606" t="str">
            <v>$1K or Below</v>
          </cell>
          <cell r="AB4606" t="str">
            <v>2010 or before</v>
          </cell>
        </row>
        <row r="4607">
          <cell r="E4607">
            <v>424.73</v>
          </cell>
          <cell r="Z4607" t="str">
            <v>Ungating</v>
          </cell>
          <cell r="AA4607" t="str">
            <v>$1K or Below</v>
          </cell>
          <cell r="AB4607">
            <v>2012</v>
          </cell>
        </row>
        <row r="4608">
          <cell r="E4608">
            <v>423.95</v>
          </cell>
          <cell r="Z4608" t="str">
            <v>Legacy</v>
          </cell>
          <cell r="AA4608" t="str">
            <v>$1K or Below</v>
          </cell>
          <cell r="AB4608" t="str">
            <v>2010 or before</v>
          </cell>
        </row>
        <row r="4609">
          <cell r="E4609">
            <v>422.62</v>
          </cell>
          <cell r="Z4609" t="str">
            <v>Legacy</v>
          </cell>
          <cell r="AA4609" t="str">
            <v>$1K or Below</v>
          </cell>
          <cell r="AB4609" t="str">
            <v>2010 or before</v>
          </cell>
        </row>
        <row r="4610">
          <cell r="E4610">
            <v>421.81</v>
          </cell>
          <cell r="Z4610" t="str">
            <v>Legacy</v>
          </cell>
          <cell r="AA4610" t="str">
            <v>$1K or Below</v>
          </cell>
          <cell r="AB4610">
            <v>2011</v>
          </cell>
        </row>
        <row r="4611">
          <cell r="E4611">
            <v>421.38</v>
          </cell>
          <cell r="Z4611" t="str">
            <v>Legacy</v>
          </cell>
          <cell r="AA4611" t="str">
            <v>$1K or Below</v>
          </cell>
          <cell r="AB4611">
            <v>2011</v>
          </cell>
        </row>
        <row r="4612">
          <cell r="E4612">
            <v>420.99</v>
          </cell>
          <cell r="Z4612" t="str">
            <v>Legacy</v>
          </cell>
          <cell r="AA4612" t="str">
            <v>$1K or Below</v>
          </cell>
          <cell r="AB4612" t="str">
            <v>2010 or before</v>
          </cell>
        </row>
        <row r="4613">
          <cell r="E4613">
            <v>419.76</v>
          </cell>
          <cell r="Z4613" t="str">
            <v>Legacy</v>
          </cell>
          <cell r="AA4613" t="str">
            <v>$1K or Below</v>
          </cell>
          <cell r="AB4613">
            <v>2011</v>
          </cell>
        </row>
        <row r="4614">
          <cell r="E4614">
            <v>418.99</v>
          </cell>
          <cell r="Z4614" t="str">
            <v>Ungating</v>
          </cell>
          <cell r="AA4614" t="str">
            <v>$1K or Below</v>
          </cell>
          <cell r="AB4614">
            <v>2013</v>
          </cell>
        </row>
        <row r="4615">
          <cell r="E4615">
            <v>418.15</v>
          </cell>
          <cell r="Z4615" t="str">
            <v>Legacy</v>
          </cell>
          <cell r="AA4615" t="str">
            <v>$1K or Below</v>
          </cell>
          <cell r="AB4615">
            <v>2011</v>
          </cell>
        </row>
        <row r="4616">
          <cell r="E4616">
            <v>417.52</v>
          </cell>
          <cell r="Z4616" t="str">
            <v>Legacy</v>
          </cell>
          <cell r="AA4616" t="str">
            <v>$1K or Below</v>
          </cell>
          <cell r="AB4616" t="str">
            <v>2010 or before</v>
          </cell>
        </row>
        <row r="4617">
          <cell r="E4617">
            <v>417.34</v>
          </cell>
          <cell r="Z4617" t="str">
            <v>Legacy</v>
          </cell>
          <cell r="AA4617" t="str">
            <v>$1K or Below</v>
          </cell>
          <cell r="AB4617">
            <v>2011</v>
          </cell>
        </row>
        <row r="4618">
          <cell r="E4618">
            <v>415.8</v>
          </cell>
          <cell r="Z4618" t="str">
            <v>Legacy</v>
          </cell>
          <cell r="AA4618" t="str">
            <v>$1K or Below</v>
          </cell>
          <cell r="AB4618" t="str">
            <v>2010 or before</v>
          </cell>
        </row>
        <row r="4619">
          <cell r="E4619">
            <v>415.66</v>
          </cell>
          <cell r="Z4619" t="str">
            <v>Legacy</v>
          </cell>
          <cell r="AA4619" t="str">
            <v>$1K or Below</v>
          </cell>
          <cell r="AB4619">
            <v>2012</v>
          </cell>
        </row>
        <row r="4620">
          <cell r="E4620">
            <v>415.08</v>
          </cell>
          <cell r="Z4620" t="str">
            <v>Legacy</v>
          </cell>
          <cell r="AA4620" t="str">
            <v>$1K or Below</v>
          </cell>
          <cell r="AB4620">
            <v>2012</v>
          </cell>
        </row>
        <row r="4621">
          <cell r="E4621">
            <v>414.64</v>
          </cell>
          <cell r="Z4621" t="str">
            <v>Legacy</v>
          </cell>
          <cell r="AA4621" t="str">
            <v>$1K or Below</v>
          </cell>
          <cell r="AB4621" t="str">
            <v>2010 or before</v>
          </cell>
        </row>
        <row r="4622">
          <cell r="E4622">
            <v>414</v>
          </cell>
          <cell r="Z4622" t="str">
            <v>Legacy</v>
          </cell>
          <cell r="AA4622" t="str">
            <v>$1K or Below</v>
          </cell>
          <cell r="AB4622" t="str">
            <v>2010 or before</v>
          </cell>
        </row>
        <row r="4623">
          <cell r="E4623">
            <v>413.94</v>
          </cell>
          <cell r="Z4623" t="str">
            <v>Legacy</v>
          </cell>
          <cell r="AA4623" t="str">
            <v>$1K or Below</v>
          </cell>
          <cell r="AB4623" t="str">
            <v>2010 or before</v>
          </cell>
        </row>
        <row r="4624">
          <cell r="E4624">
            <v>413.61</v>
          </cell>
          <cell r="Z4624" t="str">
            <v>Legacy</v>
          </cell>
          <cell r="AA4624" t="str">
            <v>$1K or Below</v>
          </cell>
          <cell r="AB4624" t="str">
            <v>2010 or before</v>
          </cell>
        </row>
        <row r="4625">
          <cell r="E4625">
            <v>412.98</v>
          </cell>
          <cell r="Z4625" t="str">
            <v>Legacy</v>
          </cell>
          <cell r="AA4625" t="str">
            <v>$1K or Below</v>
          </cell>
          <cell r="AB4625" t="str">
            <v>2010 or before</v>
          </cell>
        </row>
        <row r="4626">
          <cell r="E4626">
            <v>412.5</v>
          </cell>
          <cell r="Z4626" t="str">
            <v>Legacy</v>
          </cell>
          <cell r="AA4626" t="str">
            <v>$1K or Below</v>
          </cell>
          <cell r="AB4626" t="str">
            <v>2010 or before</v>
          </cell>
        </row>
        <row r="4627">
          <cell r="E4627">
            <v>410.46</v>
          </cell>
          <cell r="Z4627" t="str">
            <v>Legacy</v>
          </cell>
          <cell r="AA4627" t="str">
            <v>$1K or Below</v>
          </cell>
          <cell r="AB4627" t="str">
            <v>2010 or before</v>
          </cell>
        </row>
        <row r="4628">
          <cell r="E4628">
            <v>410.06</v>
          </cell>
          <cell r="Z4628" t="str">
            <v>Legacy</v>
          </cell>
          <cell r="AA4628" t="str">
            <v>$1K or Below</v>
          </cell>
          <cell r="AB4628" t="str">
            <v>2010 or before</v>
          </cell>
        </row>
        <row r="4629">
          <cell r="E4629">
            <v>409.74</v>
          </cell>
          <cell r="Z4629" t="str">
            <v>Legacy</v>
          </cell>
          <cell r="AA4629" t="str">
            <v>$1K or Below</v>
          </cell>
          <cell r="AB4629">
            <v>2012</v>
          </cell>
        </row>
        <row r="4630">
          <cell r="E4630">
            <v>409.58</v>
          </cell>
          <cell r="Z4630" t="str">
            <v>Legacy</v>
          </cell>
          <cell r="AA4630" t="str">
            <v>$1K or Below</v>
          </cell>
          <cell r="AB4630" t="str">
            <v>2010 or before</v>
          </cell>
        </row>
        <row r="4631">
          <cell r="E4631">
            <v>409.56</v>
          </cell>
          <cell r="Z4631" t="str">
            <v>Legacy</v>
          </cell>
          <cell r="AA4631" t="str">
            <v>$1K or Below</v>
          </cell>
          <cell r="AB4631" t="str">
            <v>2010 or before</v>
          </cell>
        </row>
        <row r="4632">
          <cell r="E4632">
            <v>408.81</v>
          </cell>
          <cell r="Z4632" t="str">
            <v>Legacy</v>
          </cell>
          <cell r="AA4632" t="str">
            <v>$1K or Below</v>
          </cell>
          <cell r="AB4632">
            <v>2012</v>
          </cell>
        </row>
        <row r="4633">
          <cell r="E4633">
            <v>408.42</v>
          </cell>
          <cell r="Z4633" t="str">
            <v>Legacy</v>
          </cell>
          <cell r="AA4633" t="str">
            <v>$1K or Below</v>
          </cell>
          <cell r="AB4633" t="str">
            <v>2010 or before</v>
          </cell>
        </row>
        <row r="4634">
          <cell r="E4634">
            <v>408.32</v>
          </cell>
          <cell r="Z4634" t="str">
            <v>Legacy</v>
          </cell>
          <cell r="AA4634" t="str">
            <v>$1K or Below</v>
          </cell>
          <cell r="AB4634" t="str">
            <v>2010 or before</v>
          </cell>
        </row>
        <row r="4635">
          <cell r="E4635">
            <v>408.23</v>
          </cell>
          <cell r="Z4635" t="str">
            <v>Legacy</v>
          </cell>
          <cell r="AA4635" t="str">
            <v>$1K or Below</v>
          </cell>
          <cell r="AB4635">
            <v>2011</v>
          </cell>
        </row>
        <row r="4636">
          <cell r="E4636">
            <v>407.7</v>
          </cell>
          <cell r="Z4636" t="str">
            <v>Legacy</v>
          </cell>
          <cell r="AA4636" t="str">
            <v>$1K or Below</v>
          </cell>
          <cell r="AB4636">
            <v>2011</v>
          </cell>
        </row>
        <row r="4637">
          <cell r="E4637">
            <v>407.01</v>
          </cell>
          <cell r="Z4637" t="str">
            <v>Legacy</v>
          </cell>
          <cell r="AA4637" t="str">
            <v>$1K or Below</v>
          </cell>
          <cell r="AB4637" t="str">
            <v>2010 or before</v>
          </cell>
        </row>
        <row r="4638">
          <cell r="E4638">
            <v>406.86</v>
          </cell>
          <cell r="Z4638" t="str">
            <v>Legacy</v>
          </cell>
          <cell r="AA4638" t="str">
            <v>$1K or Below</v>
          </cell>
          <cell r="AB4638" t="str">
            <v>2010 or before</v>
          </cell>
        </row>
        <row r="4639">
          <cell r="E4639">
            <v>406.78</v>
          </cell>
          <cell r="Z4639" t="str">
            <v>Legacy</v>
          </cell>
          <cell r="AA4639" t="str">
            <v>$1K or Below</v>
          </cell>
          <cell r="AB4639" t="str">
            <v>2010 or before</v>
          </cell>
        </row>
        <row r="4640">
          <cell r="E4640">
            <v>406.51</v>
          </cell>
          <cell r="Z4640" t="str">
            <v>Legacy</v>
          </cell>
          <cell r="AA4640" t="str">
            <v>$1K or Below</v>
          </cell>
          <cell r="AB4640">
            <v>2011</v>
          </cell>
        </row>
        <row r="4641">
          <cell r="E4641">
            <v>406.48</v>
          </cell>
          <cell r="Z4641" t="str">
            <v>Legacy</v>
          </cell>
          <cell r="AA4641" t="str">
            <v>$1K or Below</v>
          </cell>
          <cell r="AB4641" t="str">
            <v>2010 or before</v>
          </cell>
        </row>
        <row r="4642">
          <cell r="E4642">
            <v>405.3</v>
          </cell>
          <cell r="Z4642" t="str">
            <v>Legacy</v>
          </cell>
          <cell r="AA4642" t="str">
            <v>$1K or Below</v>
          </cell>
          <cell r="AB4642" t="str">
            <v>2010 or before</v>
          </cell>
        </row>
        <row r="4643">
          <cell r="E4643">
            <v>404.97</v>
          </cell>
          <cell r="Z4643" t="str">
            <v>Legacy</v>
          </cell>
          <cell r="AA4643" t="str">
            <v>$1K or Below</v>
          </cell>
          <cell r="AB4643" t="str">
            <v>2010 or before</v>
          </cell>
        </row>
        <row r="4644">
          <cell r="E4644">
            <v>404.29</v>
          </cell>
          <cell r="Z4644" t="str">
            <v>Legacy</v>
          </cell>
          <cell r="AA4644" t="str">
            <v>$1K or Below</v>
          </cell>
          <cell r="AB4644" t="str">
            <v>2010 or before</v>
          </cell>
        </row>
        <row r="4645">
          <cell r="E4645">
            <v>404.03</v>
          </cell>
          <cell r="Z4645" t="str">
            <v>Inbound</v>
          </cell>
          <cell r="AA4645" t="str">
            <v>$1K or Below</v>
          </cell>
          <cell r="AB4645">
            <v>2013</v>
          </cell>
        </row>
        <row r="4646">
          <cell r="E4646">
            <v>402.09</v>
          </cell>
          <cell r="Z4646" t="str">
            <v>Legacy</v>
          </cell>
          <cell r="AA4646" t="str">
            <v>$1K or Below</v>
          </cell>
          <cell r="AB4646" t="str">
            <v>2010 or before</v>
          </cell>
        </row>
        <row r="4647">
          <cell r="E4647">
            <v>401.99</v>
          </cell>
          <cell r="Z4647" t="str">
            <v>Legacy</v>
          </cell>
          <cell r="AA4647" t="str">
            <v>$1K or Below</v>
          </cell>
          <cell r="AB4647" t="str">
            <v>2010 or before</v>
          </cell>
        </row>
        <row r="4648">
          <cell r="E4648">
            <v>401.36</v>
          </cell>
          <cell r="Z4648" t="str">
            <v>Legacy</v>
          </cell>
          <cell r="AA4648" t="str">
            <v>$1K or Below</v>
          </cell>
          <cell r="AB4648" t="str">
            <v>2010 or before</v>
          </cell>
        </row>
        <row r="4649">
          <cell r="E4649">
            <v>401</v>
          </cell>
          <cell r="Z4649" t="str">
            <v>Inbound</v>
          </cell>
          <cell r="AA4649" t="str">
            <v>$1K or Below</v>
          </cell>
          <cell r="AB4649">
            <v>2012</v>
          </cell>
        </row>
        <row r="4650">
          <cell r="E4650">
            <v>400.9</v>
          </cell>
          <cell r="Z4650" t="str">
            <v>Legacy</v>
          </cell>
          <cell r="AA4650" t="str">
            <v>$1K or Below</v>
          </cell>
          <cell r="AB4650" t="str">
            <v>2010 or before</v>
          </cell>
        </row>
        <row r="4651">
          <cell r="E4651">
            <v>400.78</v>
          </cell>
          <cell r="Z4651" t="str">
            <v>Legacy</v>
          </cell>
          <cell r="AA4651" t="str">
            <v>$1K or Below</v>
          </cell>
          <cell r="AB4651" t="str">
            <v>2010 or before</v>
          </cell>
        </row>
        <row r="4652">
          <cell r="E4652">
            <v>399.31</v>
          </cell>
          <cell r="Z4652" t="str">
            <v>Legacy</v>
          </cell>
          <cell r="AA4652" t="str">
            <v>$1K or Below</v>
          </cell>
          <cell r="AB4652" t="str">
            <v>2010 or before</v>
          </cell>
        </row>
        <row r="4653">
          <cell r="E4653">
            <v>398.2</v>
          </cell>
          <cell r="Z4653" t="str">
            <v>Legacy</v>
          </cell>
          <cell r="AA4653" t="str">
            <v>$1K or Below</v>
          </cell>
          <cell r="AB4653" t="str">
            <v>2010 or before</v>
          </cell>
        </row>
        <row r="4654">
          <cell r="E4654">
            <v>397.75</v>
          </cell>
          <cell r="Z4654" t="str">
            <v>Legacy</v>
          </cell>
          <cell r="AA4654" t="str">
            <v>$1K or Below</v>
          </cell>
          <cell r="AB4654" t="str">
            <v>2010 or before</v>
          </cell>
        </row>
        <row r="4655">
          <cell r="E4655">
            <v>397.4</v>
          </cell>
          <cell r="Z4655" t="str">
            <v>Legacy</v>
          </cell>
          <cell r="AA4655" t="str">
            <v>$1K or Below</v>
          </cell>
          <cell r="AB4655" t="str">
            <v>2010 or before</v>
          </cell>
        </row>
        <row r="4656">
          <cell r="E4656">
            <v>396.62</v>
          </cell>
          <cell r="Z4656" t="str">
            <v>Legacy</v>
          </cell>
          <cell r="AA4656" t="str">
            <v>$1K or Below</v>
          </cell>
          <cell r="AB4656" t="str">
            <v>2010 or before</v>
          </cell>
        </row>
        <row r="4657">
          <cell r="E4657">
            <v>396.49</v>
          </cell>
          <cell r="Z4657" t="str">
            <v>Legacy</v>
          </cell>
          <cell r="AA4657" t="str">
            <v>$1K or Below</v>
          </cell>
          <cell r="AB4657" t="str">
            <v>2010 or before</v>
          </cell>
        </row>
        <row r="4658">
          <cell r="E4658">
            <v>396.4</v>
          </cell>
          <cell r="Z4658" t="str">
            <v>Legacy</v>
          </cell>
          <cell r="AA4658" t="str">
            <v>$1K or Below</v>
          </cell>
          <cell r="AB4658" t="str">
            <v>2010 or before</v>
          </cell>
        </row>
        <row r="4659">
          <cell r="E4659">
            <v>395.94</v>
          </cell>
          <cell r="Z4659" t="str">
            <v>Legacy</v>
          </cell>
          <cell r="AA4659" t="str">
            <v>$1K or Below</v>
          </cell>
          <cell r="AB4659" t="str">
            <v>2010 or before</v>
          </cell>
        </row>
        <row r="4660">
          <cell r="E4660">
            <v>393.94</v>
          </cell>
          <cell r="Z4660" t="str">
            <v>Legacy</v>
          </cell>
          <cell r="AA4660" t="str">
            <v>$1K or Below</v>
          </cell>
          <cell r="AB4660" t="str">
            <v>2010 or before</v>
          </cell>
        </row>
        <row r="4661">
          <cell r="E4661">
            <v>393.94</v>
          </cell>
          <cell r="Z4661" t="str">
            <v>Legacy</v>
          </cell>
          <cell r="AA4661" t="str">
            <v>$1K or Below</v>
          </cell>
          <cell r="AB4661" t="str">
            <v>2010 or before</v>
          </cell>
        </row>
        <row r="4662">
          <cell r="E4662">
            <v>393.85</v>
          </cell>
          <cell r="Z4662" t="str">
            <v>Legacy</v>
          </cell>
          <cell r="AA4662" t="str">
            <v>$1K or Below</v>
          </cell>
          <cell r="AB4662" t="str">
            <v>2010 or before</v>
          </cell>
        </row>
        <row r="4663">
          <cell r="E4663">
            <v>393.77</v>
          </cell>
          <cell r="Z4663" t="str">
            <v>Legacy</v>
          </cell>
          <cell r="AA4663" t="str">
            <v>$1K or Below</v>
          </cell>
          <cell r="AB4663" t="str">
            <v>2010 or before</v>
          </cell>
        </row>
        <row r="4664">
          <cell r="E4664">
            <v>393.02</v>
          </cell>
          <cell r="Z4664" t="str">
            <v>Legacy</v>
          </cell>
          <cell r="AA4664" t="str">
            <v>$1K or Below</v>
          </cell>
          <cell r="AB4664" t="str">
            <v>2010 or before</v>
          </cell>
        </row>
        <row r="4665">
          <cell r="E4665">
            <v>392.9</v>
          </cell>
          <cell r="Z4665" t="str">
            <v>Legacy</v>
          </cell>
          <cell r="AA4665" t="str">
            <v>$1K or Below</v>
          </cell>
          <cell r="AB4665" t="str">
            <v>2010 or before</v>
          </cell>
        </row>
        <row r="4666">
          <cell r="E4666">
            <v>392.43</v>
          </cell>
          <cell r="Z4666" t="str">
            <v>Legacy</v>
          </cell>
          <cell r="AA4666" t="str">
            <v>$1K or Below</v>
          </cell>
          <cell r="AB4666" t="str">
            <v>2010 or before</v>
          </cell>
        </row>
        <row r="4667">
          <cell r="E4667">
            <v>392.29</v>
          </cell>
          <cell r="Z4667" t="str">
            <v>Legacy</v>
          </cell>
          <cell r="AA4667" t="str">
            <v>$1K or Below</v>
          </cell>
          <cell r="AB4667">
            <v>2011</v>
          </cell>
        </row>
        <row r="4668">
          <cell r="E4668">
            <v>391.98</v>
          </cell>
          <cell r="Z4668" t="str">
            <v>Legacy</v>
          </cell>
          <cell r="AA4668" t="str">
            <v>$1K or Below</v>
          </cell>
          <cell r="AB4668" t="str">
            <v>2010 or before</v>
          </cell>
        </row>
        <row r="4669">
          <cell r="E4669">
            <v>390.12</v>
          </cell>
          <cell r="Z4669" t="str">
            <v>Legacy</v>
          </cell>
          <cell r="AA4669" t="str">
            <v>$1K or Below</v>
          </cell>
          <cell r="AB4669" t="str">
            <v>2010 or before</v>
          </cell>
        </row>
        <row r="4670">
          <cell r="E4670">
            <v>389.78</v>
          </cell>
          <cell r="Z4670" t="str">
            <v>Legacy</v>
          </cell>
          <cell r="AA4670" t="str">
            <v>$1K or Below</v>
          </cell>
          <cell r="AB4670" t="str">
            <v>2010 or before</v>
          </cell>
        </row>
        <row r="4671">
          <cell r="E4671">
            <v>389.5</v>
          </cell>
          <cell r="Z4671" t="str">
            <v>Legacy</v>
          </cell>
          <cell r="AA4671" t="str">
            <v>$1K or Below</v>
          </cell>
          <cell r="AB4671" t="str">
            <v>2010 or before</v>
          </cell>
        </row>
        <row r="4672">
          <cell r="E4672">
            <v>388.81</v>
          </cell>
          <cell r="Z4672" t="str">
            <v>Legacy</v>
          </cell>
          <cell r="AA4672" t="str">
            <v>$1K or Below</v>
          </cell>
          <cell r="AB4672" t="str">
            <v>2010 or before</v>
          </cell>
        </row>
        <row r="4673">
          <cell r="E4673">
            <v>388.18</v>
          </cell>
          <cell r="Z4673" t="str">
            <v>Legacy</v>
          </cell>
          <cell r="AA4673" t="str">
            <v>$1K or Below</v>
          </cell>
          <cell r="AB4673" t="str">
            <v>2010 or before</v>
          </cell>
        </row>
        <row r="4674">
          <cell r="E4674">
            <v>387.83</v>
          </cell>
          <cell r="Z4674" t="str">
            <v>Inbound</v>
          </cell>
          <cell r="AA4674" t="str">
            <v>$1K or Below</v>
          </cell>
          <cell r="AB4674">
            <v>2012</v>
          </cell>
        </row>
        <row r="4675">
          <cell r="E4675">
            <v>387.32</v>
          </cell>
          <cell r="Z4675" t="str">
            <v>Inbound</v>
          </cell>
          <cell r="AA4675" t="str">
            <v>$1K or Below</v>
          </cell>
          <cell r="AB4675">
            <v>2013</v>
          </cell>
        </row>
        <row r="4676">
          <cell r="E4676">
            <v>387.12</v>
          </cell>
          <cell r="Z4676" t="str">
            <v>Legacy</v>
          </cell>
          <cell r="AA4676" t="str">
            <v>$1K or Below</v>
          </cell>
          <cell r="AB4676" t="str">
            <v>2010 or before</v>
          </cell>
        </row>
        <row r="4677">
          <cell r="E4677">
            <v>387</v>
          </cell>
          <cell r="Z4677" t="str">
            <v>Inbound</v>
          </cell>
          <cell r="AA4677" t="str">
            <v>$1K or Below</v>
          </cell>
          <cell r="AB4677">
            <v>2012</v>
          </cell>
        </row>
        <row r="4678">
          <cell r="E4678">
            <v>386.99</v>
          </cell>
          <cell r="Z4678" t="str">
            <v>Legacy</v>
          </cell>
          <cell r="AA4678" t="str">
            <v>$1K or Below</v>
          </cell>
          <cell r="AB4678" t="str">
            <v>2010 or before</v>
          </cell>
        </row>
        <row r="4679">
          <cell r="E4679">
            <v>386.97</v>
          </cell>
          <cell r="Z4679" t="str">
            <v>Legacy</v>
          </cell>
          <cell r="AA4679" t="str">
            <v>$1K or Below</v>
          </cell>
          <cell r="AB4679" t="str">
            <v>2010 or before</v>
          </cell>
        </row>
        <row r="4680">
          <cell r="E4680">
            <v>386.97</v>
          </cell>
          <cell r="Z4680" t="str">
            <v>Legacy</v>
          </cell>
          <cell r="AA4680" t="str">
            <v>$1K or Below</v>
          </cell>
          <cell r="AB4680" t="str">
            <v>2010 or before</v>
          </cell>
        </row>
        <row r="4681">
          <cell r="E4681">
            <v>385.7</v>
          </cell>
          <cell r="Z4681" t="str">
            <v>Legacy</v>
          </cell>
          <cell r="AA4681" t="str">
            <v>$1K or Below</v>
          </cell>
          <cell r="AB4681" t="str">
            <v>2010 or before</v>
          </cell>
        </row>
        <row r="4682">
          <cell r="E4682">
            <v>384.43</v>
          </cell>
          <cell r="Z4682" t="str">
            <v>Legacy</v>
          </cell>
          <cell r="AA4682" t="str">
            <v>$1K or Below</v>
          </cell>
          <cell r="AB4682" t="str">
            <v>2010 or before</v>
          </cell>
        </row>
        <row r="4683">
          <cell r="E4683">
            <v>383.96</v>
          </cell>
          <cell r="Z4683" t="str">
            <v>Legacy</v>
          </cell>
          <cell r="AA4683" t="str">
            <v>$1K or Below</v>
          </cell>
          <cell r="AB4683" t="str">
            <v>2010 or before</v>
          </cell>
        </row>
        <row r="4684">
          <cell r="E4684">
            <v>382.39</v>
          </cell>
          <cell r="Z4684" t="str">
            <v>Legacy</v>
          </cell>
          <cell r="AA4684" t="str">
            <v>$1K or Below</v>
          </cell>
          <cell r="AB4684" t="str">
            <v>2010 or before</v>
          </cell>
        </row>
        <row r="4685">
          <cell r="E4685">
            <v>382.18</v>
          </cell>
          <cell r="Z4685" t="str">
            <v>Legacy</v>
          </cell>
          <cell r="AA4685" t="str">
            <v>$1K or Below</v>
          </cell>
          <cell r="AB4685" t="str">
            <v>2010 or before</v>
          </cell>
        </row>
        <row r="4686">
          <cell r="E4686">
            <v>382</v>
          </cell>
          <cell r="Z4686" t="str">
            <v>Legacy</v>
          </cell>
          <cell r="AA4686" t="str">
            <v>$1K or Below</v>
          </cell>
          <cell r="AB4686" t="str">
            <v>2010 or before</v>
          </cell>
        </row>
        <row r="4687">
          <cell r="E4687">
            <v>380.98</v>
          </cell>
          <cell r="Z4687" t="str">
            <v>Legacy</v>
          </cell>
          <cell r="AA4687" t="str">
            <v>$1K or Below</v>
          </cell>
          <cell r="AB4687" t="str">
            <v>2010 or before</v>
          </cell>
        </row>
        <row r="4688">
          <cell r="E4688">
            <v>380.71</v>
          </cell>
          <cell r="Z4688" t="str">
            <v>Inbound</v>
          </cell>
          <cell r="AA4688" t="str">
            <v>$1K or Below</v>
          </cell>
          <cell r="AB4688">
            <v>2012</v>
          </cell>
        </row>
        <row r="4689">
          <cell r="E4689">
            <v>380</v>
          </cell>
          <cell r="Z4689" t="str">
            <v>Legacy</v>
          </cell>
          <cell r="AA4689" t="str">
            <v>$1K or Below</v>
          </cell>
          <cell r="AB4689" t="str">
            <v>2010 or before</v>
          </cell>
        </row>
        <row r="4690">
          <cell r="E4690">
            <v>379.92</v>
          </cell>
          <cell r="Z4690" t="str">
            <v>Legacy</v>
          </cell>
          <cell r="AA4690" t="str">
            <v>$1K or Below</v>
          </cell>
          <cell r="AB4690" t="str">
            <v>2010 or before</v>
          </cell>
        </row>
        <row r="4691">
          <cell r="E4691">
            <v>378.8</v>
          </cell>
          <cell r="Z4691" t="str">
            <v>Legacy</v>
          </cell>
          <cell r="AA4691" t="str">
            <v>$1K or Below</v>
          </cell>
          <cell r="AB4691" t="str">
            <v>2010 or before</v>
          </cell>
        </row>
        <row r="4692">
          <cell r="E4692">
            <v>378.73</v>
          </cell>
          <cell r="Z4692" t="str">
            <v>Ungating</v>
          </cell>
          <cell r="AA4692" t="str">
            <v>$1K or Below</v>
          </cell>
          <cell r="AB4692">
            <v>2012</v>
          </cell>
        </row>
        <row r="4693">
          <cell r="E4693">
            <v>378.72</v>
          </cell>
          <cell r="Z4693" t="str">
            <v>Legacy</v>
          </cell>
          <cell r="AA4693" t="str">
            <v>$1K or Below</v>
          </cell>
          <cell r="AB4693" t="str">
            <v>2010 or before</v>
          </cell>
        </row>
        <row r="4694">
          <cell r="E4694">
            <v>378.16</v>
          </cell>
          <cell r="Z4694" t="str">
            <v>Legacy</v>
          </cell>
          <cell r="AA4694" t="str">
            <v>$1K or Below</v>
          </cell>
          <cell r="AB4694" t="str">
            <v>2010 or before</v>
          </cell>
        </row>
        <row r="4695">
          <cell r="E4695">
            <v>378.01</v>
          </cell>
          <cell r="Z4695" t="str">
            <v>Inbound</v>
          </cell>
          <cell r="AA4695" t="str">
            <v>$1K or Below</v>
          </cell>
          <cell r="AB4695">
            <v>2012</v>
          </cell>
        </row>
        <row r="4696">
          <cell r="E4696">
            <v>377.6</v>
          </cell>
          <cell r="Z4696" t="str">
            <v>Legacy</v>
          </cell>
          <cell r="AA4696" t="str">
            <v>$1K or Below</v>
          </cell>
          <cell r="AB4696" t="str">
            <v>2010 or before</v>
          </cell>
        </row>
        <row r="4697">
          <cell r="E4697">
            <v>377.42</v>
          </cell>
          <cell r="Z4697" t="str">
            <v>Legacy</v>
          </cell>
          <cell r="AA4697" t="str">
            <v>$1K or Below</v>
          </cell>
          <cell r="AB4697">
            <v>2011</v>
          </cell>
        </row>
        <row r="4698">
          <cell r="E4698">
            <v>377.04</v>
          </cell>
          <cell r="Z4698" t="str">
            <v>Legacy</v>
          </cell>
          <cell r="AA4698" t="str">
            <v>$1K or Below</v>
          </cell>
          <cell r="AB4698" t="str">
            <v>2010 or before</v>
          </cell>
        </row>
        <row r="4699">
          <cell r="E4699">
            <v>376.97</v>
          </cell>
          <cell r="Z4699" t="str">
            <v>Legacy</v>
          </cell>
          <cell r="AA4699" t="str">
            <v>$1K or Below</v>
          </cell>
          <cell r="AB4699" t="str">
            <v>2010 or before</v>
          </cell>
        </row>
        <row r="4700">
          <cell r="E4700">
            <v>376.1</v>
          </cell>
          <cell r="Z4700" t="str">
            <v>Legacy</v>
          </cell>
          <cell r="AA4700" t="str">
            <v>$1K or Below</v>
          </cell>
          <cell r="AB4700">
            <v>2011</v>
          </cell>
        </row>
        <row r="4701">
          <cell r="E4701">
            <v>375.99</v>
          </cell>
          <cell r="Z4701" t="str">
            <v>Legacy</v>
          </cell>
          <cell r="AA4701" t="str">
            <v>$1K or Below</v>
          </cell>
          <cell r="AB4701" t="str">
            <v>2010 or before</v>
          </cell>
        </row>
        <row r="4702">
          <cell r="E4702">
            <v>375.89</v>
          </cell>
          <cell r="Z4702" t="str">
            <v>Legacy</v>
          </cell>
          <cell r="AA4702" t="str">
            <v>$1K or Below</v>
          </cell>
          <cell r="AB4702" t="str">
            <v>2010 or before</v>
          </cell>
        </row>
        <row r="4703">
          <cell r="E4703">
            <v>375.86</v>
          </cell>
          <cell r="Z4703" t="str">
            <v>Legacy</v>
          </cell>
          <cell r="AA4703" t="str">
            <v>$1K or Below</v>
          </cell>
          <cell r="AB4703" t="str">
            <v>2010 or before</v>
          </cell>
        </row>
        <row r="4704">
          <cell r="E4704">
            <v>375.75</v>
          </cell>
          <cell r="Z4704" t="str">
            <v>Legacy</v>
          </cell>
          <cell r="AA4704" t="str">
            <v>$1K or Below</v>
          </cell>
          <cell r="AB4704" t="str">
            <v>2010 or before</v>
          </cell>
        </row>
        <row r="4705">
          <cell r="E4705">
            <v>375.49</v>
          </cell>
          <cell r="Z4705" t="str">
            <v>Legacy</v>
          </cell>
          <cell r="AA4705" t="str">
            <v>$1K or Below</v>
          </cell>
          <cell r="AB4705" t="str">
            <v>2010 or before</v>
          </cell>
        </row>
        <row r="4706">
          <cell r="E4706">
            <v>375.41</v>
          </cell>
          <cell r="Z4706" t="str">
            <v>Legacy</v>
          </cell>
          <cell r="AA4706" t="str">
            <v>$1K or Below</v>
          </cell>
          <cell r="AB4706" t="str">
            <v>2010 or before</v>
          </cell>
        </row>
        <row r="4707">
          <cell r="E4707">
            <v>375</v>
          </cell>
          <cell r="Z4707" t="str">
            <v>Legacy</v>
          </cell>
          <cell r="AA4707" t="str">
            <v>$1K or Below</v>
          </cell>
          <cell r="AB4707" t="str">
            <v>2010 or before</v>
          </cell>
        </row>
        <row r="4708">
          <cell r="E4708">
            <v>374.85</v>
          </cell>
          <cell r="Z4708" t="str">
            <v>Legacy</v>
          </cell>
          <cell r="AA4708" t="str">
            <v>$1K or Below</v>
          </cell>
          <cell r="AB4708" t="str">
            <v>2010 or before</v>
          </cell>
        </row>
        <row r="4709">
          <cell r="E4709">
            <v>374.42</v>
          </cell>
          <cell r="Z4709" t="str">
            <v>Legacy</v>
          </cell>
          <cell r="AA4709" t="str">
            <v>$1K or Below</v>
          </cell>
          <cell r="AB4709" t="str">
            <v>2010 or before</v>
          </cell>
        </row>
        <row r="4710">
          <cell r="E4710">
            <v>374.4</v>
          </cell>
          <cell r="Z4710" t="str">
            <v>Ungating</v>
          </cell>
          <cell r="AA4710" t="str">
            <v>$1K or Below</v>
          </cell>
          <cell r="AB4710">
            <v>2012</v>
          </cell>
        </row>
        <row r="4711">
          <cell r="E4711">
            <v>373.04</v>
          </cell>
          <cell r="Z4711" t="str">
            <v>Legacy</v>
          </cell>
          <cell r="AA4711" t="str">
            <v>$1K or Below</v>
          </cell>
          <cell r="AB4711" t="str">
            <v>2010 or before</v>
          </cell>
        </row>
        <row r="4712">
          <cell r="E4712">
            <v>373</v>
          </cell>
          <cell r="Z4712" t="str">
            <v>Inbound</v>
          </cell>
          <cell r="AA4712" t="str">
            <v>$1K or Below</v>
          </cell>
          <cell r="AB4712">
            <v>2012</v>
          </cell>
        </row>
        <row r="4713">
          <cell r="E4713">
            <v>372.7</v>
          </cell>
          <cell r="Z4713" t="str">
            <v>Legacy</v>
          </cell>
          <cell r="AA4713" t="str">
            <v>$1K or Below</v>
          </cell>
          <cell r="AB4713" t="str">
            <v>2010 or before</v>
          </cell>
        </row>
        <row r="4714">
          <cell r="E4714">
            <v>372.25</v>
          </cell>
          <cell r="Z4714" t="str">
            <v>Legacy</v>
          </cell>
          <cell r="AA4714" t="str">
            <v>$1K or Below</v>
          </cell>
          <cell r="AB4714" t="str">
            <v>2010 or before</v>
          </cell>
        </row>
        <row r="4715">
          <cell r="E4715">
            <v>372.05</v>
          </cell>
          <cell r="Z4715" t="str">
            <v>Legacy</v>
          </cell>
          <cell r="AA4715" t="str">
            <v>$1K or Below</v>
          </cell>
          <cell r="AB4715" t="str">
            <v>2010 or before</v>
          </cell>
        </row>
        <row r="4716">
          <cell r="E4716">
            <v>371.81</v>
          </cell>
          <cell r="Z4716" t="str">
            <v>Legacy</v>
          </cell>
          <cell r="AA4716" t="str">
            <v>$1K or Below</v>
          </cell>
          <cell r="AB4716" t="str">
            <v>2010 or before</v>
          </cell>
        </row>
        <row r="4717">
          <cell r="E4717">
            <v>370.92</v>
          </cell>
          <cell r="Z4717" t="str">
            <v>Ungating</v>
          </cell>
          <cell r="AA4717" t="str">
            <v>$1K or Below</v>
          </cell>
          <cell r="AB4717">
            <v>2011</v>
          </cell>
        </row>
        <row r="4718">
          <cell r="E4718">
            <v>369.9</v>
          </cell>
          <cell r="Z4718" t="str">
            <v>Legacy</v>
          </cell>
          <cell r="AA4718" t="str">
            <v>$1K or Below</v>
          </cell>
          <cell r="AB4718">
            <v>2012</v>
          </cell>
        </row>
        <row r="4719">
          <cell r="E4719">
            <v>368.26</v>
          </cell>
          <cell r="Z4719" t="str">
            <v>Legacy</v>
          </cell>
          <cell r="AA4719" t="str">
            <v>$1K or Below</v>
          </cell>
          <cell r="AB4719">
            <v>2011</v>
          </cell>
        </row>
        <row r="4720">
          <cell r="E4720">
            <v>367.72</v>
          </cell>
          <cell r="Z4720" t="str">
            <v>Legacy</v>
          </cell>
          <cell r="AA4720" t="str">
            <v>$1K or Below</v>
          </cell>
          <cell r="AB4720" t="str">
            <v>2010 or before</v>
          </cell>
        </row>
        <row r="4721">
          <cell r="E4721">
            <v>366.72</v>
          </cell>
          <cell r="Z4721" t="str">
            <v>Legacy</v>
          </cell>
          <cell r="AA4721" t="str">
            <v>$1K or Below</v>
          </cell>
          <cell r="AB4721" t="str">
            <v>2010 or before</v>
          </cell>
        </row>
        <row r="4722">
          <cell r="E4722">
            <v>366.48</v>
          </cell>
          <cell r="Z4722" t="str">
            <v>Legacy</v>
          </cell>
          <cell r="AA4722" t="str">
            <v>$1K or Below</v>
          </cell>
          <cell r="AB4722" t="str">
            <v>2010 or before</v>
          </cell>
        </row>
        <row r="4723">
          <cell r="E4723">
            <v>365</v>
          </cell>
          <cell r="Z4723" t="str">
            <v>Legacy</v>
          </cell>
          <cell r="AA4723" t="str">
            <v>$1K or Below</v>
          </cell>
          <cell r="AB4723" t="str">
            <v>2010 or before</v>
          </cell>
        </row>
        <row r="4724">
          <cell r="E4724">
            <v>364.9</v>
          </cell>
          <cell r="Z4724" t="str">
            <v>Legacy</v>
          </cell>
          <cell r="AA4724" t="str">
            <v>$1K or Below</v>
          </cell>
          <cell r="AB4724" t="str">
            <v>2010 or before</v>
          </cell>
        </row>
        <row r="4725">
          <cell r="E4725">
            <v>364.69</v>
          </cell>
          <cell r="Z4725" t="str">
            <v>Legacy</v>
          </cell>
          <cell r="AA4725" t="str">
            <v>$1K or Below</v>
          </cell>
          <cell r="AB4725" t="str">
            <v>2010 or before</v>
          </cell>
        </row>
        <row r="4726">
          <cell r="E4726">
            <v>364.55</v>
          </cell>
          <cell r="Z4726" t="str">
            <v>Legacy</v>
          </cell>
          <cell r="AA4726" t="str">
            <v>$1K or Below</v>
          </cell>
          <cell r="AB4726" t="str">
            <v>2010 or before</v>
          </cell>
        </row>
        <row r="4727">
          <cell r="E4727">
            <v>364</v>
          </cell>
          <cell r="Z4727" t="str">
            <v>Legacy</v>
          </cell>
          <cell r="AA4727" t="str">
            <v>$1K or Below</v>
          </cell>
          <cell r="AB4727" t="str">
            <v>2010 or before</v>
          </cell>
        </row>
        <row r="4728">
          <cell r="E4728">
            <v>363.57</v>
          </cell>
          <cell r="Z4728" t="str">
            <v>Legacy</v>
          </cell>
          <cell r="AA4728" t="str">
            <v>$1K or Below</v>
          </cell>
          <cell r="AB4728" t="str">
            <v>2010 or before</v>
          </cell>
        </row>
        <row r="4729">
          <cell r="E4729">
            <v>363.55</v>
          </cell>
          <cell r="Z4729" t="str">
            <v>Legacy</v>
          </cell>
          <cell r="AA4729" t="str">
            <v>$1K or Below</v>
          </cell>
          <cell r="AB4729" t="str">
            <v>2010 or before</v>
          </cell>
        </row>
        <row r="4730">
          <cell r="E4730">
            <v>363.53</v>
          </cell>
          <cell r="Z4730" t="str">
            <v>Legacy</v>
          </cell>
          <cell r="AA4730" t="str">
            <v>$1K or Below</v>
          </cell>
          <cell r="AB4730" t="str">
            <v>2010 or before</v>
          </cell>
        </row>
        <row r="4731">
          <cell r="E4731">
            <v>363.39</v>
          </cell>
          <cell r="Z4731" t="str">
            <v>Legacy</v>
          </cell>
          <cell r="AA4731" t="str">
            <v>$1K or Below</v>
          </cell>
          <cell r="AB4731" t="str">
            <v>2010 or before</v>
          </cell>
        </row>
        <row r="4732">
          <cell r="E4732">
            <v>362.98</v>
          </cell>
          <cell r="Z4732" t="str">
            <v>Legacy</v>
          </cell>
          <cell r="AA4732" t="str">
            <v>$1K or Below</v>
          </cell>
          <cell r="AB4732">
            <v>2011</v>
          </cell>
        </row>
        <row r="4733">
          <cell r="E4733">
            <v>362.92</v>
          </cell>
          <cell r="Z4733" t="str">
            <v>Legacy</v>
          </cell>
          <cell r="AA4733" t="str">
            <v>$1K or Below</v>
          </cell>
          <cell r="AB4733" t="str">
            <v>2010 or before</v>
          </cell>
        </row>
        <row r="4734">
          <cell r="E4734">
            <v>362.84</v>
          </cell>
          <cell r="Z4734" t="str">
            <v>Legacy</v>
          </cell>
          <cell r="AA4734" t="str">
            <v>$1K or Below</v>
          </cell>
          <cell r="AB4734" t="str">
            <v>2010 or before</v>
          </cell>
        </row>
        <row r="4735">
          <cell r="E4735">
            <v>362.29</v>
          </cell>
          <cell r="Z4735" t="str">
            <v>Ungating</v>
          </cell>
          <cell r="AA4735" t="str">
            <v>$1K or Below</v>
          </cell>
          <cell r="AB4735">
            <v>2012</v>
          </cell>
        </row>
        <row r="4736">
          <cell r="E4736">
            <v>362.2</v>
          </cell>
          <cell r="Z4736" t="str">
            <v>Legacy</v>
          </cell>
          <cell r="AA4736" t="str">
            <v>$1K or Below</v>
          </cell>
          <cell r="AB4736">
            <v>2011</v>
          </cell>
        </row>
        <row r="4737">
          <cell r="E4737">
            <v>362</v>
          </cell>
          <cell r="Z4737" t="str">
            <v>Inbound</v>
          </cell>
          <cell r="AA4737" t="str">
            <v>$1K or Below</v>
          </cell>
          <cell r="AB4737">
            <v>2012</v>
          </cell>
        </row>
        <row r="4738">
          <cell r="E4738">
            <v>362</v>
          </cell>
          <cell r="Z4738" t="str">
            <v>Global</v>
          </cell>
          <cell r="AA4738" t="str">
            <v>$1K or Below</v>
          </cell>
          <cell r="AB4738">
            <v>2012</v>
          </cell>
        </row>
        <row r="4739">
          <cell r="E4739">
            <v>361.64</v>
          </cell>
          <cell r="Z4739" t="str">
            <v>Legacy</v>
          </cell>
          <cell r="AA4739" t="str">
            <v>$1K or Below</v>
          </cell>
          <cell r="AB4739" t="str">
            <v>2010 or before</v>
          </cell>
        </row>
        <row r="4740">
          <cell r="E4740">
            <v>361.17</v>
          </cell>
          <cell r="Z4740" t="str">
            <v>Ungating</v>
          </cell>
          <cell r="AA4740" t="str">
            <v>$1K or Below</v>
          </cell>
          <cell r="AB4740">
            <v>2012</v>
          </cell>
        </row>
        <row r="4741">
          <cell r="E4741">
            <v>359.95</v>
          </cell>
          <cell r="Z4741" t="str">
            <v>Inbound</v>
          </cell>
          <cell r="AA4741" t="str">
            <v>$1K or Below</v>
          </cell>
          <cell r="AB4741">
            <v>2011</v>
          </cell>
        </row>
        <row r="4742">
          <cell r="E4742">
            <v>359.85</v>
          </cell>
          <cell r="Z4742" t="str">
            <v>Legacy</v>
          </cell>
          <cell r="AA4742" t="str">
            <v>$1K or Below</v>
          </cell>
          <cell r="AB4742">
            <v>2011</v>
          </cell>
        </row>
        <row r="4743">
          <cell r="E4743">
            <v>359.46</v>
          </cell>
          <cell r="Z4743" t="str">
            <v>Legacy</v>
          </cell>
          <cell r="AA4743" t="str">
            <v>$1K or Below</v>
          </cell>
          <cell r="AB4743" t="str">
            <v>2010 or before</v>
          </cell>
        </row>
        <row r="4744">
          <cell r="E4744">
            <v>358.45</v>
          </cell>
          <cell r="Z4744" t="str">
            <v>Legacy</v>
          </cell>
          <cell r="AA4744" t="str">
            <v>$1K or Below</v>
          </cell>
          <cell r="AB4744" t="str">
            <v>2010 or before</v>
          </cell>
        </row>
        <row r="4745">
          <cell r="E4745">
            <v>357.7</v>
          </cell>
          <cell r="Z4745" t="str">
            <v>Legacy</v>
          </cell>
          <cell r="AA4745" t="str">
            <v>$1K or Below</v>
          </cell>
          <cell r="AB4745" t="str">
            <v>2010 or before</v>
          </cell>
        </row>
        <row r="4746">
          <cell r="E4746">
            <v>357</v>
          </cell>
          <cell r="Z4746" t="str">
            <v>Legacy</v>
          </cell>
          <cell r="AA4746" t="str">
            <v>$1K or Below</v>
          </cell>
          <cell r="AB4746" t="str">
            <v>2010 or before</v>
          </cell>
        </row>
        <row r="4747">
          <cell r="E4747">
            <v>356.94</v>
          </cell>
          <cell r="Z4747" t="str">
            <v>Ungating</v>
          </cell>
          <cell r="AA4747" t="str">
            <v>$1K or Below</v>
          </cell>
          <cell r="AB4747">
            <v>2012</v>
          </cell>
        </row>
        <row r="4748">
          <cell r="E4748">
            <v>356.12</v>
          </cell>
          <cell r="Z4748" t="str">
            <v>Legacy</v>
          </cell>
          <cell r="AA4748" t="str">
            <v>$1K or Below</v>
          </cell>
          <cell r="AB4748">
            <v>2012</v>
          </cell>
        </row>
        <row r="4749">
          <cell r="E4749">
            <v>356.1</v>
          </cell>
          <cell r="Z4749" t="str">
            <v>Legacy</v>
          </cell>
          <cell r="AA4749" t="str">
            <v>$1K or Below</v>
          </cell>
          <cell r="AB4749">
            <v>2012</v>
          </cell>
        </row>
        <row r="4750">
          <cell r="E4750">
            <v>356</v>
          </cell>
          <cell r="Z4750" t="str">
            <v>Legacy</v>
          </cell>
          <cell r="AA4750" t="str">
            <v>$1K or Below</v>
          </cell>
          <cell r="AB4750">
            <v>2012</v>
          </cell>
        </row>
        <row r="4751">
          <cell r="E4751">
            <v>355.71</v>
          </cell>
          <cell r="Z4751" t="str">
            <v>Legacy</v>
          </cell>
          <cell r="AA4751" t="str">
            <v>$1K or Below</v>
          </cell>
          <cell r="AB4751" t="str">
            <v>2010 or before</v>
          </cell>
        </row>
        <row r="4752">
          <cell r="E4752">
            <v>354.72</v>
          </cell>
          <cell r="Z4752" t="str">
            <v>Legacy</v>
          </cell>
          <cell r="AA4752" t="str">
            <v>$1K or Below</v>
          </cell>
          <cell r="AB4752" t="str">
            <v>2010 or before</v>
          </cell>
        </row>
        <row r="4753">
          <cell r="E4753">
            <v>354.5</v>
          </cell>
          <cell r="Z4753" t="str">
            <v>Legacy</v>
          </cell>
          <cell r="AA4753" t="str">
            <v>$1K or Below</v>
          </cell>
          <cell r="AB4753">
            <v>2011</v>
          </cell>
        </row>
        <row r="4754">
          <cell r="E4754">
            <v>354.13</v>
          </cell>
          <cell r="Z4754" t="str">
            <v>Inbound</v>
          </cell>
          <cell r="AA4754" t="str">
            <v>$1K or Below</v>
          </cell>
          <cell r="AB4754">
            <v>2011</v>
          </cell>
        </row>
        <row r="4755">
          <cell r="E4755">
            <v>352.94</v>
          </cell>
          <cell r="Z4755" t="str">
            <v>Legacy</v>
          </cell>
          <cell r="AA4755" t="str">
            <v>$1K or Below</v>
          </cell>
          <cell r="AB4755" t="str">
            <v>2010 or before</v>
          </cell>
        </row>
        <row r="4756">
          <cell r="E4756">
            <v>351.75</v>
          </cell>
          <cell r="Z4756" t="str">
            <v>Legacy</v>
          </cell>
          <cell r="AA4756" t="str">
            <v>$1K or Below</v>
          </cell>
          <cell r="AB4756">
            <v>2011</v>
          </cell>
        </row>
        <row r="4757">
          <cell r="E4757">
            <v>351.24</v>
          </cell>
          <cell r="Z4757" t="str">
            <v>Legacy</v>
          </cell>
          <cell r="AA4757" t="str">
            <v>$1K or Below</v>
          </cell>
          <cell r="AB4757" t="str">
            <v>2010 or before</v>
          </cell>
        </row>
        <row r="4758">
          <cell r="E4758">
            <v>350.79</v>
          </cell>
          <cell r="Z4758" t="str">
            <v>Legacy</v>
          </cell>
          <cell r="AA4758" t="str">
            <v>$1K or Below</v>
          </cell>
          <cell r="AB4758" t="str">
            <v>2010 or before</v>
          </cell>
        </row>
        <row r="4759">
          <cell r="E4759">
            <v>349.75</v>
          </cell>
          <cell r="Z4759" t="str">
            <v>Legacy</v>
          </cell>
          <cell r="AA4759" t="str">
            <v>$1K or Below</v>
          </cell>
          <cell r="AB4759">
            <v>2011</v>
          </cell>
        </row>
        <row r="4760">
          <cell r="E4760">
            <v>348.96</v>
          </cell>
          <cell r="Z4760" t="str">
            <v>Legacy</v>
          </cell>
          <cell r="AA4760" t="str">
            <v>$1K or Below</v>
          </cell>
          <cell r="AB4760" t="str">
            <v>2010 or before</v>
          </cell>
        </row>
        <row r="4761">
          <cell r="E4761">
            <v>348.69</v>
          </cell>
          <cell r="Z4761" t="str">
            <v>Global</v>
          </cell>
          <cell r="AA4761" t="str">
            <v>$1K or Below</v>
          </cell>
          <cell r="AB4761">
            <v>2013</v>
          </cell>
        </row>
        <row r="4762">
          <cell r="E4762">
            <v>347.91</v>
          </cell>
          <cell r="Z4762" t="str">
            <v>Legacy</v>
          </cell>
          <cell r="AA4762" t="str">
            <v>$1K or Below</v>
          </cell>
          <cell r="AB4762" t="str">
            <v>2010 or before</v>
          </cell>
        </row>
        <row r="4763">
          <cell r="E4763">
            <v>347.75</v>
          </cell>
          <cell r="Z4763" t="str">
            <v>Legacy</v>
          </cell>
          <cell r="AA4763" t="str">
            <v>$1K or Below</v>
          </cell>
          <cell r="AB4763" t="str">
            <v>2010 or before</v>
          </cell>
        </row>
        <row r="4764">
          <cell r="E4764">
            <v>347.44</v>
          </cell>
          <cell r="Z4764" t="str">
            <v>Legacy</v>
          </cell>
          <cell r="AA4764" t="str">
            <v>$1K or Below</v>
          </cell>
          <cell r="AB4764" t="str">
            <v>2010 or before</v>
          </cell>
        </row>
        <row r="4765">
          <cell r="E4765">
            <v>346.86</v>
          </cell>
          <cell r="Z4765" t="str">
            <v>Legacy</v>
          </cell>
          <cell r="AA4765" t="str">
            <v>$1K or Below</v>
          </cell>
          <cell r="AB4765" t="str">
            <v>2010 or before</v>
          </cell>
        </row>
        <row r="4766">
          <cell r="E4766">
            <v>346.75</v>
          </cell>
          <cell r="Z4766" t="str">
            <v>Legacy</v>
          </cell>
          <cell r="AA4766" t="str">
            <v>$1K or Below</v>
          </cell>
          <cell r="AB4766">
            <v>2012</v>
          </cell>
        </row>
        <row r="4767">
          <cell r="E4767">
            <v>345.92</v>
          </cell>
          <cell r="Z4767" t="str">
            <v>Legacy</v>
          </cell>
          <cell r="AA4767" t="str">
            <v>$1K or Below</v>
          </cell>
          <cell r="AB4767" t="str">
            <v>2010 or before</v>
          </cell>
        </row>
        <row r="4768">
          <cell r="E4768">
            <v>344.75</v>
          </cell>
          <cell r="Z4768" t="str">
            <v>Legacy</v>
          </cell>
          <cell r="AA4768" t="str">
            <v>$1K or Below</v>
          </cell>
          <cell r="AB4768" t="str">
            <v>2010 or before</v>
          </cell>
        </row>
        <row r="4769">
          <cell r="E4769">
            <v>344.75</v>
          </cell>
          <cell r="Z4769" t="str">
            <v>Legacy</v>
          </cell>
          <cell r="AA4769" t="str">
            <v>$1K or Below</v>
          </cell>
          <cell r="AB4769" t="str">
            <v>2010 or before</v>
          </cell>
        </row>
        <row r="4770">
          <cell r="E4770">
            <v>344.2</v>
          </cell>
          <cell r="Z4770" t="str">
            <v>Legacy</v>
          </cell>
          <cell r="AA4770" t="str">
            <v>$1K or Below</v>
          </cell>
          <cell r="AB4770">
            <v>2011</v>
          </cell>
        </row>
        <row r="4771">
          <cell r="E4771">
            <v>343.8</v>
          </cell>
          <cell r="Z4771" t="str">
            <v>Legacy</v>
          </cell>
          <cell r="AA4771" t="str">
            <v>$1K or Below</v>
          </cell>
          <cell r="AB4771">
            <v>2012</v>
          </cell>
        </row>
        <row r="4772">
          <cell r="E4772">
            <v>343.77</v>
          </cell>
          <cell r="Z4772" t="str">
            <v>Legacy</v>
          </cell>
          <cell r="AA4772" t="str">
            <v>$1K or Below</v>
          </cell>
          <cell r="AB4772" t="str">
            <v>2010 or before</v>
          </cell>
        </row>
        <row r="4773">
          <cell r="E4773">
            <v>343.75</v>
          </cell>
          <cell r="Z4773" t="str">
            <v>Legacy</v>
          </cell>
          <cell r="AA4773" t="str">
            <v>$1K or Below</v>
          </cell>
          <cell r="AB4773" t="str">
            <v>2010 or before</v>
          </cell>
        </row>
        <row r="4774">
          <cell r="E4774">
            <v>343.7</v>
          </cell>
          <cell r="Z4774" t="str">
            <v>Inbound</v>
          </cell>
          <cell r="AA4774" t="str">
            <v>$1K or Below</v>
          </cell>
          <cell r="AB4774">
            <v>2011</v>
          </cell>
        </row>
        <row r="4775">
          <cell r="E4775">
            <v>342.64</v>
          </cell>
          <cell r="Z4775" t="str">
            <v>Legacy</v>
          </cell>
          <cell r="AA4775" t="str">
            <v>$1K or Below</v>
          </cell>
          <cell r="AB4775" t="str">
            <v>2010 or before</v>
          </cell>
        </row>
        <row r="4776">
          <cell r="E4776">
            <v>341.84</v>
          </cell>
          <cell r="Z4776" t="str">
            <v>Legacy</v>
          </cell>
          <cell r="AA4776" t="str">
            <v>$1K or Below</v>
          </cell>
          <cell r="AB4776" t="str">
            <v>2010 or before</v>
          </cell>
        </row>
        <row r="4777">
          <cell r="E4777">
            <v>341.18</v>
          </cell>
          <cell r="Z4777" t="str">
            <v>Legacy</v>
          </cell>
          <cell r="AA4777" t="str">
            <v>$1K or Below</v>
          </cell>
          <cell r="AB4777" t="str">
            <v>2010 or before</v>
          </cell>
        </row>
        <row r="4778">
          <cell r="E4778">
            <v>339.97</v>
          </cell>
          <cell r="Z4778" t="str">
            <v>Legacy</v>
          </cell>
          <cell r="AA4778" t="str">
            <v>$1K or Below</v>
          </cell>
          <cell r="AB4778">
            <v>2011</v>
          </cell>
        </row>
        <row r="4779">
          <cell r="E4779">
            <v>339.9</v>
          </cell>
          <cell r="Z4779" t="str">
            <v>Inbound</v>
          </cell>
          <cell r="AA4779" t="str">
            <v>$1K or Below</v>
          </cell>
          <cell r="AB4779">
            <v>2011</v>
          </cell>
        </row>
        <row r="4780">
          <cell r="E4780">
            <v>338.46</v>
          </cell>
          <cell r="Z4780" t="str">
            <v>Legacy</v>
          </cell>
          <cell r="AA4780" t="str">
            <v>$1K or Below</v>
          </cell>
          <cell r="AB4780" t="str">
            <v>2010 or before</v>
          </cell>
        </row>
        <row r="4781">
          <cell r="E4781">
            <v>338.27</v>
          </cell>
          <cell r="Z4781" t="str">
            <v>Legacy</v>
          </cell>
          <cell r="AA4781" t="str">
            <v>$1K or Below</v>
          </cell>
          <cell r="AB4781" t="str">
            <v>2010 or before</v>
          </cell>
        </row>
        <row r="4782">
          <cell r="E4782">
            <v>338</v>
          </cell>
          <cell r="Z4782" t="str">
            <v>Legacy</v>
          </cell>
          <cell r="AA4782" t="str">
            <v>$1K or Below</v>
          </cell>
          <cell r="AB4782">
            <v>2012</v>
          </cell>
        </row>
        <row r="4783">
          <cell r="E4783">
            <v>338</v>
          </cell>
          <cell r="Z4783" t="str">
            <v>Legacy</v>
          </cell>
          <cell r="AA4783" t="str">
            <v>$1K or Below</v>
          </cell>
          <cell r="AB4783" t="str">
            <v>2010 or before</v>
          </cell>
        </row>
        <row r="4784">
          <cell r="E4784">
            <v>337.6</v>
          </cell>
          <cell r="Z4784" t="str">
            <v>Ungating</v>
          </cell>
          <cell r="AA4784" t="str">
            <v>$1K or Below</v>
          </cell>
          <cell r="AB4784">
            <v>2012</v>
          </cell>
        </row>
        <row r="4785">
          <cell r="E4785">
            <v>337.15</v>
          </cell>
          <cell r="Z4785" t="str">
            <v>Legacy</v>
          </cell>
          <cell r="AA4785" t="str">
            <v>$1K or Below</v>
          </cell>
          <cell r="AB4785">
            <v>2011</v>
          </cell>
        </row>
        <row r="4786">
          <cell r="E4786">
            <v>335.82</v>
          </cell>
          <cell r="Z4786" t="str">
            <v>Inbound</v>
          </cell>
          <cell r="AA4786" t="str">
            <v>$1K or Below</v>
          </cell>
          <cell r="AB4786">
            <v>2012</v>
          </cell>
        </row>
        <row r="4787">
          <cell r="E4787">
            <v>335.3</v>
          </cell>
          <cell r="Z4787" t="str">
            <v>Legacy</v>
          </cell>
          <cell r="AA4787" t="str">
            <v>$1K or Below</v>
          </cell>
          <cell r="AB4787" t="str">
            <v>2010 or before</v>
          </cell>
        </row>
        <row r="4788">
          <cell r="E4788">
            <v>334.09</v>
          </cell>
          <cell r="Z4788" t="str">
            <v>Legacy</v>
          </cell>
          <cell r="AA4788" t="str">
            <v>$1K or Below</v>
          </cell>
          <cell r="AB4788" t="str">
            <v>2010 or before</v>
          </cell>
        </row>
        <row r="4789">
          <cell r="E4789">
            <v>333.72</v>
          </cell>
          <cell r="Z4789" t="str">
            <v>Legacy</v>
          </cell>
          <cell r="AA4789" t="str">
            <v>$1K or Below</v>
          </cell>
          <cell r="AB4789" t="str">
            <v>2010 or before</v>
          </cell>
        </row>
        <row r="4790">
          <cell r="E4790">
            <v>333.03</v>
          </cell>
          <cell r="Z4790" t="str">
            <v>Legacy</v>
          </cell>
          <cell r="AA4790" t="str">
            <v>$1K or Below</v>
          </cell>
          <cell r="AB4790" t="str">
            <v>2010 or before</v>
          </cell>
        </row>
        <row r="4791">
          <cell r="E4791">
            <v>332.62</v>
          </cell>
          <cell r="Z4791" t="str">
            <v>Legacy</v>
          </cell>
          <cell r="AA4791" t="str">
            <v>$1K or Below</v>
          </cell>
          <cell r="AB4791" t="str">
            <v>2010 or before</v>
          </cell>
        </row>
        <row r="4792">
          <cell r="E4792">
            <v>332.46</v>
          </cell>
          <cell r="Z4792" t="str">
            <v>Legacy</v>
          </cell>
          <cell r="AA4792" t="str">
            <v>$1K or Below</v>
          </cell>
          <cell r="AB4792" t="str">
            <v>2010 or before</v>
          </cell>
        </row>
        <row r="4793">
          <cell r="E4793">
            <v>332.4</v>
          </cell>
          <cell r="Z4793" t="str">
            <v>Legacy</v>
          </cell>
          <cell r="AA4793" t="str">
            <v>$1K or Below</v>
          </cell>
          <cell r="AB4793">
            <v>2011</v>
          </cell>
        </row>
        <row r="4794">
          <cell r="E4794">
            <v>332.28</v>
          </cell>
          <cell r="Z4794" t="str">
            <v>Legacy</v>
          </cell>
          <cell r="AA4794" t="str">
            <v>$1K or Below</v>
          </cell>
          <cell r="AB4794" t="str">
            <v>2010 or before</v>
          </cell>
        </row>
        <row r="4795">
          <cell r="E4795">
            <v>332.27</v>
          </cell>
          <cell r="Z4795" t="str">
            <v>Legacy</v>
          </cell>
          <cell r="AA4795" t="str">
            <v>$1K or Below</v>
          </cell>
          <cell r="AB4795" t="str">
            <v>2010 or before</v>
          </cell>
        </row>
        <row r="4796">
          <cell r="E4796">
            <v>332.16</v>
          </cell>
          <cell r="Z4796" t="str">
            <v>Legacy</v>
          </cell>
          <cell r="AA4796" t="str">
            <v>$1K or Below</v>
          </cell>
          <cell r="AB4796" t="str">
            <v>2010 or before</v>
          </cell>
        </row>
        <row r="4797">
          <cell r="E4797">
            <v>331.98</v>
          </cell>
          <cell r="Z4797" t="str">
            <v>Ungating</v>
          </cell>
          <cell r="AA4797" t="str">
            <v>$1K or Below</v>
          </cell>
          <cell r="AB4797">
            <v>2012</v>
          </cell>
        </row>
        <row r="4798">
          <cell r="E4798">
            <v>331.78</v>
          </cell>
          <cell r="Z4798" t="str">
            <v>Legacy</v>
          </cell>
          <cell r="AA4798" t="str">
            <v>$1K or Below</v>
          </cell>
          <cell r="AB4798" t="str">
            <v>2010 or before</v>
          </cell>
        </row>
        <row r="4799">
          <cell r="E4799">
            <v>331.16</v>
          </cell>
          <cell r="Z4799" t="str">
            <v>Legacy</v>
          </cell>
          <cell r="AA4799" t="str">
            <v>$1K or Below</v>
          </cell>
          <cell r="AB4799" t="str">
            <v>2010 or before</v>
          </cell>
        </row>
        <row r="4800">
          <cell r="E4800">
            <v>329.57</v>
          </cell>
          <cell r="Z4800" t="str">
            <v>Legacy</v>
          </cell>
          <cell r="AA4800" t="str">
            <v>$1K or Below</v>
          </cell>
          <cell r="AB4800" t="str">
            <v>2010 or before</v>
          </cell>
        </row>
        <row r="4801">
          <cell r="E4801">
            <v>329.4</v>
          </cell>
          <cell r="Z4801" t="str">
            <v>Legacy</v>
          </cell>
          <cell r="AA4801" t="str">
            <v>$1K or Below</v>
          </cell>
          <cell r="AB4801" t="str">
            <v>2010 or before</v>
          </cell>
        </row>
        <row r="4802">
          <cell r="E4802">
            <v>329.39</v>
          </cell>
          <cell r="Z4802" t="str">
            <v>Legacy</v>
          </cell>
          <cell r="AA4802" t="str">
            <v>$1K or Below</v>
          </cell>
          <cell r="AB4802" t="str">
            <v>2010 or before</v>
          </cell>
        </row>
        <row r="4803">
          <cell r="E4803">
            <v>329.2</v>
          </cell>
          <cell r="Z4803" t="str">
            <v>Legacy</v>
          </cell>
          <cell r="AA4803" t="str">
            <v>$1K or Below</v>
          </cell>
          <cell r="AB4803" t="str">
            <v>2010 or before</v>
          </cell>
        </row>
        <row r="4804">
          <cell r="E4804">
            <v>329.05</v>
          </cell>
          <cell r="Z4804" t="str">
            <v>Inbound</v>
          </cell>
          <cell r="AA4804" t="str">
            <v>$1K or Below</v>
          </cell>
          <cell r="AB4804">
            <v>2011</v>
          </cell>
        </row>
        <row r="4805">
          <cell r="E4805">
            <v>328.03</v>
          </cell>
          <cell r="Z4805" t="str">
            <v>Legacy</v>
          </cell>
          <cell r="AA4805" t="str">
            <v>$1K or Below</v>
          </cell>
          <cell r="AB4805" t="str">
            <v>2010 or before</v>
          </cell>
        </row>
        <row r="4806">
          <cell r="E4806">
            <v>327.83</v>
          </cell>
          <cell r="Z4806" t="str">
            <v>Legacy</v>
          </cell>
          <cell r="AA4806" t="str">
            <v>$1K or Below</v>
          </cell>
          <cell r="AB4806" t="str">
            <v>2010 or before</v>
          </cell>
        </row>
        <row r="4807">
          <cell r="E4807">
            <v>326.99</v>
          </cell>
          <cell r="Z4807" t="str">
            <v>Legacy</v>
          </cell>
          <cell r="AA4807" t="str">
            <v>$1K or Below</v>
          </cell>
          <cell r="AB4807" t="str">
            <v>2010 or before</v>
          </cell>
        </row>
        <row r="4808">
          <cell r="E4808">
            <v>326.88</v>
          </cell>
          <cell r="Z4808" t="str">
            <v>Inbound</v>
          </cell>
          <cell r="AA4808" t="str">
            <v>$1K or Below</v>
          </cell>
          <cell r="AB4808">
            <v>2012</v>
          </cell>
        </row>
        <row r="4809">
          <cell r="E4809">
            <v>326.64999999999998</v>
          </cell>
          <cell r="Z4809" t="str">
            <v>Legacy</v>
          </cell>
          <cell r="AA4809" t="str">
            <v>$1K or Below</v>
          </cell>
          <cell r="AB4809" t="str">
            <v>2010 or before</v>
          </cell>
        </row>
        <row r="4810">
          <cell r="E4810">
            <v>324.68</v>
          </cell>
          <cell r="Z4810" t="str">
            <v>Legacy</v>
          </cell>
          <cell r="AA4810" t="str">
            <v>$1K or Below</v>
          </cell>
          <cell r="AB4810" t="str">
            <v>2010 or before</v>
          </cell>
        </row>
        <row r="4811">
          <cell r="E4811">
            <v>324.36</v>
          </cell>
          <cell r="Z4811" t="str">
            <v>Legacy</v>
          </cell>
          <cell r="AA4811" t="str">
            <v>$1K or Below</v>
          </cell>
          <cell r="AB4811" t="str">
            <v>2010 or before</v>
          </cell>
        </row>
        <row r="4812">
          <cell r="E4812">
            <v>324.2</v>
          </cell>
          <cell r="Z4812" t="str">
            <v>Legacy</v>
          </cell>
          <cell r="AA4812" t="str">
            <v>$1K or Below</v>
          </cell>
          <cell r="AB4812" t="str">
            <v>2010 or before</v>
          </cell>
        </row>
        <row r="4813">
          <cell r="E4813">
            <v>323.82</v>
          </cell>
          <cell r="Z4813" t="str">
            <v>Legacy</v>
          </cell>
          <cell r="AA4813" t="str">
            <v>$1K or Below</v>
          </cell>
          <cell r="AB4813" t="str">
            <v>2010 or before</v>
          </cell>
        </row>
        <row r="4814">
          <cell r="E4814">
            <v>323.17</v>
          </cell>
          <cell r="Z4814" t="str">
            <v>Legacy</v>
          </cell>
          <cell r="AA4814" t="str">
            <v>$1K or Below</v>
          </cell>
          <cell r="AB4814" t="str">
            <v>2010 or before</v>
          </cell>
        </row>
        <row r="4815">
          <cell r="E4815">
            <v>322.22000000000003</v>
          </cell>
          <cell r="Z4815" t="str">
            <v>Legacy</v>
          </cell>
          <cell r="AA4815" t="str">
            <v>$1K or Below</v>
          </cell>
          <cell r="AB4815" t="str">
            <v>2010 or before</v>
          </cell>
        </row>
        <row r="4816">
          <cell r="E4816">
            <v>321.85000000000002</v>
          </cell>
          <cell r="Z4816" t="str">
            <v>Legacy</v>
          </cell>
          <cell r="AA4816" t="str">
            <v>$1K or Below</v>
          </cell>
          <cell r="AB4816" t="str">
            <v>2010 or before</v>
          </cell>
        </row>
        <row r="4817">
          <cell r="E4817">
            <v>321.8</v>
          </cell>
          <cell r="Z4817" t="str">
            <v>Legacy</v>
          </cell>
          <cell r="AA4817" t="str">
            <v>$1K or Below</v>
          </cell>
          <cell r="AB4817" t="str">
            <v>2010 or before</v>
          </cell>
        </row>
        <row r="4818">
          <cell r="E4818">
            <v>321.63</v>
          </cell>
          <cell r="Z4818" t="str">
            <v>Legacy</v>
          </cell>
          <cell r="AA4818" t="str">
            <v>$1K or Below</v>
          </cell>
          <cell r="AB4818">
            <v>2012</v>
          </cell>
        </row>
        <row r="4819">
          <cell r="E4819">
            <v>320.77</v>
          </cell>
          <cell r="Z4819" t="str">
            <v>Legacy</v>
          </cell>
          <cell r="AA4819" t="str">
            <v>$1K or Below</v>
          </cell>
          <cell r="AB4819" t="str">
            <v>2010 or before</v>
          </cell>
        </row>
        <row r="4820">
          <cell r="E4820">
            <v>320.7</v>
          </cell>
          <cell r="Z4820" t="str">
            <v>Legacy</v>
          </cell>
          <cell r="AA4820" t="str">
            <v>$1K or Below</v>
          </cell>
          <cell r="AB4820" t="str">
            <v>2010 or before</v>
          </cell>
        </row>
        <row r="4821">
          <cell r="E4821">
            <v>320</v>
          </cell>
          <cell r="Z4821" t="str">
            <v>Legacy</v>
          </cell>
          <cell r="AA4821" t="str">
            <v>$1K or Below</v>
          </cell>
          <cell r="AB4821" t="str">
            <v>2010 or before</v>
          </cell>
        </row>
        <row r="4822">
          <cell r="E4822">
            <v>319.89999999999998</v>
          </cell>
          <cell r="Z4822" t="str">
            <v>Legacy</v>
          </cell>
          <cell r="AA4822" t="str">
            <v>$1K or Below</v>
          </cell>
          <cell r="AB4822">
            <v>2011</v>
          </cell>
        </row>
        <row r="4823">
          <cell r="E4823">
            <v>319.8</v>
          </cell>
          <cell r="Z4823" t="str">
            <v>Inbound</v>
          </cell>
          <cell r="AA4823" t="str">
            <v>$1K or Below</v>
          </cell>
          <cell r="AB4823">
            <v>2012</v>
          </cell>
        </row>
        <row r="4824">
          <cell r="E4824">
            <v>319.77999999999997</v>
          </cell>
          <cell r="Z4824" t="str">
            <v>Legacy</v>
          </cell>
          <cell r="AA4824" t="str">
            <v>$1K or Below</v>
          </cell>
          <cell r="AB4824" t="str">
            <v>2010 or before</v>
          </cell>
        </row>
        <row r="4825">
          <cell r="E4825">
            <v>319.55</v>
          </cell>
          <cell r="Z4825" t="str">
            <v>Legacy</v>
          </cell>
          <cell r="AA4825" t="str">
            <v>$1K or Below</v>
          </cell>
          <cell r="AB4825">
            <v>2012</v>
          </cell>
        </row>
        <row r="4826">
          <cell r="E4826">
            <v>319.52</v>
          </cell>
          <cell r="Z4826" t="str">
            <v>Ungating</v>
          </cell>
          <cell r="AA4826" t="str">
            <v>$1K or Below</v>
          </cell>
          <cell r="AB4826">
            <v>2012</v>
          </cell>
        </row>
        <row r="4827">
          <cell r="E4827">
            <v>319.33999999999997</v>
          </cell>
          <cell r="Z4827" t="str">
            <v>Legacy</v>
          </cell>
          <cell r="AA4827" t="str">
            <v>$1K or Below</v>
          </cell>
          <cell r="AB4827" t="str">
            <v>2010 or before</v>
          </cell>
        </row>
        <row r="4828">
          <cell r="E4828">
            <v>319.18</v>
          </cell>
          <cell r="Z4828" t="str">
            <v>Legacy</v>
          </cell>
          <cell r="AA4828" t="str">
            <v>$1K or Below</v>
          </cell>
          <cell r="AB4828" t="str">
            <v>2010 or before</v>
          </cell>
        </row>
        <row r="4829">
          <cell r="E4829">
            <v>319.10000000000002</v>
          </cell>
          <cell r="Z4829" t="str">
            <v>Legacy</v>
          </cell>
          <cell r="AA4829" t="str">
            <v>$1K or Below</v>
          </cell>
          <cell r="AB4829" t="str">
            <v>2010 or before</v>
          </cell>
        </row>
        <row r="4830">
          <cell r="E4830">
            <v>318.52</v>
          </cell>
          <cell r="Z4830" t="str">
            <v>Legacy</v>
          </cell>
          <cell r="AA4830" t="str">
            <v>$1K or Below</v>
          </cell>
          <cell r="AB4830" t="str">
            <v>2010 or before</v>
          </cell>
        </row>
        <row r="4831">
          <cell r="E4831">
            <v>318</v>
          </cell>
          <cell r="Z4831" t="str">
            <v>Legacy</v>
          </cell>
          <cell r="AA4831" t="str">
            <v>$1K or Below</v>
          </cell>
          <cell r="AB4831" t="str">
            <v>2010 or before</v>
          </cell>
        </row>
        <row r="4832">
          <cell r="E4832">
            <v>318</v>
          </cell>
          <cell r="Z4832" t="str">
            <v>Legacy</v>
          </cell>
          <cell r="AA4832" t="str">
            <v>$1K or Below</v>
          </cell>
          <cell r="AB4832" t="str">
            <v>2010 or before</v>
          </cell>
        </row>
        <row r="4833">
          <cell r="E4833">
            <v>317.14</v>
          </cell>
          <cell r="Z4833" t="str">
            <v>Legacy</v>
          </cell>
          <cell r="AA4833" t="str">
            <v>$1K or Below</v>
          </cell>
          <cell r="AB4833" t="str">
            <v>2010 or before</v>
          </cell>
        </row>
        <row r="4834">
          <cell r="E4834">
            <v>316.99</v>
          </cell>
          <cell r="Z4834" t="str">
            <v>Inbound</v>
          </cell>
          <cell r="AA4834" t="str">
            <v>$1K or Below</v>
          </cell>
          <cell r="AB4834">
            <v>2012</v>
          </cell>
        </row>
        <row r="4835">
          <cell r="E4835">
            <v>316.77</v>
          </cell>
          <cell r="Z4835" t="str">
            <v>Legacy</v>
          </cell>
          <cell r="AA4835" t="str">
            <v>$1K or Below</v>
          </cell>
          <cell r="AB4835" t="str">
            <v>2010 or before</v>
          </cell>
        </row>
        <row r="4836">
          <cell r="E4836">
            <v>316.33999999999997</v>
          </cell>
          <cell r="Z4836" t="str">
            <v>Ungating</v>
          </cell>
          <cell r="AA4836" t="str">
            <v>$1K or Below</v>
          </cell>
          <cell r="AB4836">
            <v>2012</v>
          </cell>
        </row>
        <row r="4837">
          <cell r="E4837">
            <v>316.18</v>
          </cell>
          <cell r="Z4837" t="str">
            <v>Legacy</v>
          </cell>
          <cell r="AA4837" t="str">
            <v>$1K or Below</v>
          </cell>
          <cell r="AB4837">
            <v>2011</v>
          </cell>
        </row>
        <row r="4838">
          <cell r="E4838">
            <v>315.89</v>
          </cell>
          <cell r="Z4838" t="str">
            <v>Global</v>
          </cell>
          <cell r="AA4838" t="str">
            <v>$1K or Below</v>
          </cell>
          <cell r="AB4838">
            <v>2012</v>
          </cell>
        </row>
        <row r="4839">
          <cell r="E4839">
            <v>315.73</v>
          </cell>
          <cell r="Z4839" t="str">
            <v>Inbound</v>
          </cell>
          <cell r="AA4839" t="str">
            <v>$1K or Below</v>
          </cell>
          <cell r="AB4839">
            <v>2012</v>
          </cell>
        </row>
        <row r="4840">
          <cell r="E4840">
            <v>315.57</v>
          </cell>
          <cell r="Z4840" t="str">
            <v>Legacy</v>
          </cell>
          <cell r="AA4840" t="str">
            <v>$1K or Below</v>
          </cell>
          <cell r="AB4840" t="str">
            <v>2010 or before</v>
          </cell>
        </row>
        <row r="4841">
          <cell r="E4841">
            <v>315.38</v>
          </cell>
          <cell r="Z4841" t="str">
            <v>Legacy</v>
          </cell>
          <cell r="AA4841" t="str">
            <v>$1K or Below</v>
          </cell>
          <cell r="AB4841" t="str">
            <v>2010 or before</v>
          </cell>
        </row>
        <row r="4842">
          <cell r="E4842">
            <v>315.13</v>
          </cell>
          <cell r="Z4842" t="str">
            <v>Legacy</v>
          </cell>
          <cell r="AA4842" t="str">
            <v>$1K or Below</v>
          </cell>
          <cell r="AB4842" t="str">
            <v>2010 or before</v>
          </cell>
        </row>
        <row r="4843">
          <cell r="E4843">
            <v>314.98</v>
          </cell>
          <cell r="Z4843" t="str">
            <v>Inbound</v>
          </cell>
          <cell r="AA4843" t="str">
            <v>$1K or Below</v>
          </cell>
          <cell r="AB4843">
            <v>2012</v>
          </cell>
        </row>
        <row r="4844">
          <cell r="E4844">
            <v>314.8</v>
          </cell>
          <cell r="Z4844" t="str">
            <v>Legacy</v>
          </cell>
          <cell r="AA4844" t="str">
            <v>$1K or Below</v>
          </cell>
          <cell r="AB4844" t="str">
            <v>2010 or before</v>
          </cell>
        </row>
        <row r="4845">
          <cell r="E4845">
            <v>314.48</v>
          </cell>
          <cell r="Z4845" t="str">
            <v>Legacy</v>
          </cell>
          <cell r="AA4845" t="str">
            <v>$1K or Below</v>
          </cell>
          <cell r="AB4845" t="str">
            <v>2010 or before</v>
          </cell>
        </row>
        <row r="4846">
          <cell r="E4846">
            <v>314.33</v>
          </cell>
          <cell r="Z4846" t="str">
            <v>Legacy</v>
          </cell>
          <cell r="AA4846" t="str">
            <v>$1K or Below</v>
          </cell>
          <cell r="AB4846" t="str">
            <v>2010 or before</v>
          </cell>
        </row>
        <row r="4847">
          <cell r="E4847">
            <v>314.08</v>
          </cell>
          <cell r="Z4847" t="str">
            <v>Legacy</v>
          </cell>
          <cell r="AA4847" t="str">
            <v>$1K or Below</v>
          </cell>
          <cell r="AB4847" t="str">
            <v>2010 or before</v>
          </cell>
        </row>
        <row r="4848">
          <cell r="E4848">
            <v>313.23</v>
          </cell>
          <cell r="Z4848" t="str">
            <v>Legacy</v>
          </cell>
          <cell r="AA4848" t="str">
            <v>$1K or Below</v>
          </cell>
          <cell r="AB4848" t="str">
            <v>2010 or before</v>
          </cell>
        </row>
        <row r="4849">
          <cell r="E4849">
            <v>313.17</v>
          </cell>
          <cell r="Z4849" t="str">
            <v>Legacy</v>
          </cell>
          <cell r="AA4849" t="str">
            <v>$1K or Below</v>
          </cell>
          <cell r="AB4849" t="str">
            <v>2010 or before</v>
          </cell>
        </row>
        <row r="4850">
          <cell r="E4850">
            <v>313</v>
          </cell>
          <cell r="Z4850" t="str">
            <v>Legacy</v>
          </cell>
          <cell r="AA4850" t="str">
            <v>$1K or Below</v>
          </cell>
          <cell r="AB4850" t="str">
            <v>2010 or before</v>
          </cell>
        </row>
        <row r="4851">
          <cell r="E4851">
            <v>312.87</v>
          </cell>
          <cell r="Z4851" t="str">
            <v>Legacy</v>
          </cell>
          <cell r="AA4851" t="str">
            <v>$1K or Below</v>
          </cell>
          <cell r="AB4851" t="str">
            <v>2010 or before</v>
          </cell>
        </row>
        <row r="4852">
          <cell r="E4852">
            <v>312.38</v>
          </cell>
          <cell r="Z4852" t="str">
            <v>Legacy</v>
          </cell>
          <cell r="AA4852" t="str">
            <v>$1K or Below</v>
          </cell>
          <cell r="AB4852" t="str">
            <v>2010 or before</v>
          </cell>
        </row>
        <row r="4853">
          <cell r="E4853">
            <v>312.27999999999997</v>
          </cell>
          <cell r="Z4853" t="str">
            <v>Legacy</v>
          </cell>
          <cell r="AA4853" t="str">
            <v>$1K or Below</v>
          </cell>
          <cell r="AB4853" t="str">
            <v>2010 or before</v>
          </cell>
        </row>
        <row r="4854">
          <cell r="E4854">
            <v>311.99</v>
          </cell>
          <cell r="Z4854" t="str">
            <v>Legacy</v>
          </cell>
          <cell r="AA4854" t="str">
            <v>$1K or Below</v>
          </cell>
          <cell r="AB4854" t="str">
            <v>2010 or before</v>
          </cell>
        </row>
        <row r="4855">
          <cell r="E4855">
            <v>311.94</v>
          </cell>
          <cell r="Z4855" t="str">
            <v>Legacy</v>
          </cell>
          <cell r="AA4855" t="str">
            <v>$1K or Below</v>
          </cell>
          <cell r="AB4855">
            <v>2011</v>
          </cell>
        </row>
        <row r="4856">
          <cell r="E4856">
            <v>311.17</v>
          </cell>
          <cell r="Z4856" t="str">
            <v>Legacy</v>
          </cell>
          <cell r="AA4856" t="str">
            <v>$1K or Below</v>
          </cell>
          <cell r="AB4856" t="str">
            <v>2010 or before</v>
          </cell>
        </row>
        <row r="4857">
          <cell r="E4857">
            <v>311.12</v>
          </cell>
          <cell r="Z4857" t="str">
            <v>Legacy</v>
          </cell>
          <cell r="AA4857" t="str">
            <v>$1K or Below</v>
          </cell>
          <cell r="AB4857">
            <v>2012</v>
          </cell>
        </row>
        <row r="4858">
          <cell r="E4858">
            <v>311.01</v>
          </cell>
          <cell r="Z4858" t="str">
            <v>Legacy</v>
          </cell>
          <cell r="AA4858" t="str">
            <v>$1K or Below</v>
          </cell>
          <cell r="AB4858">
            <v>2012</v>
          </cell>
        </row>
        <row r="4859">
          <cell r="E4859">
            <v>310.43</v>
          </cell>
          <cell r="Z4859" t="str">
            <v>Legacy</v>
          </cell>
          <cell r="AA4859" t="str">
            <v>$1K or Below</v>
          </cell>
          <cell r="AB4859" t="str">
            <v>2010 or before</v>
          </cell>
        </row>
        <row r="4860">
          <cell r="E4860">
            <v>309.08999999999997</v>
          </cell>
          <cell r="Z4860" t="str">
            <v>Legacy</v>
          </cell>
          <cell r="AA4860" t="str">
            <v>$1K or Below</v>
          </cell>
          <cell r="AB4860">
            <v>2011</v>
          </cell>
        </row>
        <row r="4861">
          <cell r="E4861">
            <v>307.97000000000003</v>
          </cell>
          <cell r="Z4861" t="str">
            <v>Legacy</v>
          </cell>
          <cell r="AA4861" t="str">
            <v>$1K or Below</v>
          </cell>
          <cell r="AB4861" t="str">
            <v>2010 or before</v>
          </cell>
        </row>
        <row r="4862">
          <cell r="E4862">
            <v>307.92</v>
          </cell>
          <cell r="Z4862" t="str">
            <v>Legacy</v>
          </cell>
          <cell r="AA4862" t="str">
            <v>$1K or Below</v>
          </cell>
          <cell r="AB4862" t="str">
            <v>2010 or before</v>
          </cell>
        </row>
        <row r="4863">
          <cell r="E4863">
            <v>307.02999999999997</v>
          </cell>
          <cell r="Z4863" t="str">
            <v>Legacy</v>
          </cell>
          <cell r="AA4863" t="str">
            <v>$1K or Below</v>
          </cell>
          <cell r="AB4863" t="str">
            <v>2010 or before</v>
          </cell>
        </row>
        <row r="4864">
          <cell r="E4864">
            <v>305.87</v>
          </cell>
          <cell r="Z4864" t="str">
            <v>Legacy</v>
          </cell>
          <cell r="AA4864" t="str">
            <v>$1K or Below</v>
          </cell>
          <cell r="AB4864" t="str">
            <v>2010 or before</v>
          </cell>
        </row>
        <row r="4865">
          <cell r="E4865">
            <v>305.32</v>
          </cell>
          <cell r="Z4865" t="str">
            <v>Legacy</v>
          </cell>
          <cell r="AA4865" t="str">
            <v>$1K or Below</v>
          </cell>
          <cell r="AB4865" t="str">
            <v>2010 or before</v>
          </cell>
        </row>
        <row r="4866">
          <cell r="E4866">
            <v>305</v>
          </cell>
          <cell r="Z4866" t="str">
            <v>Ungating</v>
          </cell>
          <cell r="AA4866" t="str">
            <v>$1K or Below</v>
          </cell>
          <cell r="AB4866">
            <v>2011</v>
          </cell>
        </row>
        <row r="4867">
          <cell r="E4867">
            <v>304.89999999999998</v>
          </cell>
          <cell r="Z4867" t="str">
            <v>Legacy</v>
          </cell>
          <cell r="AA4867" t="str">
            <v>$1K or Below</v>
          </cell>
          <cell r="AB4867">
            <v>2011</v>
          </cell>
        </row>
        <row r="4868">
          <cell r="E4868">
            <v>304.74</v>
          </cell>
          <cell r="Z4868" t="str">
            <v>Legacy</v>
          </cell>
          <cell r="AA4868" t="str">
            <v>$1K or Below</v>
          </cell>
          <cell r="AB4868" t="str">
            <v>2010 or before</v>
          </cell>
        </row>
        <row r="4869">
          <cell r="E4869">
            <v>304.72000000000003</v>
          </cell>
          <cell r="Z4869" t="str">
            <v>Legacy</v>
          </cell>
          <cell r="AA4869" t="str">
            <v>$1K or Below</v>
          </cell>
          <cell r="AB4869" t="str">
            <v>2010 or before</v>
          </cell>
        </row>
        <row r="4870">
          <cell r="E4870">
            <v>302.85000000000002</v>
          </cell>
          <cell r="Z4870" t="str">
            <v>Legacy</v>
          </cell>
          <cell r="AA4870" t="str">
            <v>$1K or Below</v>
          </cell>
          <cell r="AB4870" t="str">
            <v>2010 or before</v>
          </cell>
        </row>
        <row r="4871">
          <cell r="E4871">
            <v>301.97000000000003</v>
          </cell>
          <cell r="Z4871" t="str">
            <v>Legacy</v>
          </cell>
          <cell r="AA4871" t="str">
            <v>$1K or Below</v>
          </cell>
          <cell r="AB4871" t="str">
            <v>2010 or before</v>
          </cell>
        </row>
        <row r="4872">
          <cell r="E4872">
            <v>301.68</v>
          </cell>
          <cell r="Z4872" t="str">
            <v>Legacy</v>
          </cell>
          <cell r="AA4872" t="str">
            <v>$1K or Below</v>
          </cell>
          <cell r="AB4872">
            <v>2011</v>
          </cell>
        </row>
        <row r="4873">
          <cell r="E4873">
            <v>301.04000000000002</v>
          </cell>
          <cell r="Z4873" t="str">
            <v>Legacy</v>
          </cell>
          <cell r="AA4873" t="str">
            <v>$1K or Below</v>
          </cell>
          <cell r="AB4873" t="str">
            <v>2010 or before</v>
          </cell>
        </row>
        <row r="4874">
          <cell r="E4874">
            <v>300.67</v>
          </cell>
          <cell r="Z4874" t="str">
            <v>Legacy</v>
          </cell>
          <cell r="AA4874" t="str">
            <v>$1K or Below</v>
          </cell>
          <cell r="AB4874">
            <v>2011</v>
          </cell>
        </row>
        <row r="4875">
          <cell r="E4875">
            <v>300.60000000000002</v>
          </cell>
          <cell r="Z4875" t="str">
            <v>Ungating</v>
          </cell>
          <cell r="AA4875" t="str">
            <v>$1K or Below</v>
          </cell>
          <cell r="AB4875">
            <v>2012</v>
          </cell>
        </row>
        <row r="4876">
          <cell r="E4876">
            <v>300</v>
          </cell>
          <cell r="Z4876" t="str">
            <v>Legacy</v>
          </cell>
          <cell r="AA4876" t="str">
            <v>$1K or Below</v>
          </cell>
          <cell r="AB4876" t="str">
            <v>2010 or before</v>
          </cell>
        </row>
        <row r="4877">
          <cell r="E4877">
            <v>300</v>
          </cell>
          <cell r="Z4877" t="str">
            <v>Legacy</v>
          </cell>
          <cell r="AA4877" t="str">
            <v>$1K or Below</v>
          </cell>
          <cell r="AB4877" t="str">
            <v>2010 or before</v>
          </cell>
        </row>
        <row r="4878">
          <cell r="E4878">
            <v>299.99</v>
          </cell>
          <cell r="Z4878" t="str">
            <v>Legacy</v>
          </cell>
          <cell r="AA4878" t="str">
            <v>$1K or Below</v>
          </cell>
          <cell r="AB4878" t="str">
            <v>2010 or before</v>
          </cell>
        </row>
        <row r="4879">
          <cell r="E4879">
            <v>299.98</v>
          </cell>
          <cell r="Z4879" t="str">
            <v>Legacy</v>
          </cell>
          <cell r="AA4879" t="str">
            <v>$1K or Below</v>
          </cell>
          <cell r="AB4879">
            <v>2011</v>
          </cell>
        </row>
        <row r="4880">
          <cell r="E4880">
            <v>299.97000000000003</v>
          </cell>
          <cell r="Z4880" t="str">
            <v>Legacy</v>
          </cell>
          <cell r="AA4880" t="str">
            <v>$1K or Below</v>
          </cell>
          <cell r="AB4880" t="str">
            <v>2010 or before</v>
          </cell>
        </row>
        <row r="4881">
          <cell r="E4881">
            <v>299.5</v>
          </cell>
          <cell r="Z4881" t="str">
            <v>Legacy</v>
          </cell>
          <cell r="AA4881" t="str">
            <v>$1K or Below</v>
          </cell>
          <cell r="AB4881" t="str">
            <v>2010 or before</v>
          </cell>
        </row>
        <row r="4882">
          <cell r="E4882">
            <v>299.36</v>
          </cell>
          <cell r="Z4882" t="str">
            <v>Legacy</v>
          </cell>
          <cell r="AA4882" t="str">
            <v>$1K or Below</v>
          </cell>
          <cell r="AB4882" t="str">
            <v>2010 or before</v>
          </cell>
        </row>
        <row r="4883">
          <cell r="E4883">
            <v>299.02999999999997</v>
          </cell>
          <cell r="Z4883" t="str">
            <v>Legacy</v>
          </cell>
          <cell r="AA4883" t="str">
            <v>$1K or Below</v>
          </cell>
          <cell r="AB4883" t="str">
            <v>2010 or before</v>
          </cell>
        </row>
        <row r="4884">
          <cell r="E4884">
            <v>298.66000000000003</v>
          </cell>
          <cell r="Z4884" t="str">
            <v>Legacy</v>
          </cell>
          <cell r="AA4884" t="str">
            <v>$1K or Below</v>
          </cell>
          <cell r="AB4884" t="str">
            <v>2010 or before</v>
          </cell>
        </row>
        <row r="4885">
          <cell r="E4885">
            <v>298.64999999999998</v>
          </cell>
          <cell r="Z4885" t="str">
            <v>Legacy</v>
          </cell>
          <cell r="AA4885" t="str">
            <v>$1K or Below</v>
          </cell>
          <cell r="AB4885" t="str">
            <v>2010 or before</v>
          </cell>
        </row>
        <row r="4886">
          <cell r="E4886">
            <v>297.85000000000002</v>
          </cell>
          <cell r="Z4886" t="str">
            <v>Legacy</v>
          </cell>
          <cell r="AA4886" t="str">
            <v>$1K or Below</v>
          </cell>
          <cell r="AB4886" t="str">
            <v>2010 or before</v>
          </cell>
        </row>
        <row r="4887">
          <cell r="E4887">
            <v>297.5</v>
          </cell>
          <cell r="Z4887" t="str">
            <v>Legacy</v>
          </cell>
          <cell r="AA4887" t="str">
            <v>$1K or Below</v>
          </cell>
          <cell r="AB4887" t="str">
            <v>2010 or before</v>
          </cell>
        </row>
        <row r="4888">
          <cell r="E4888">
            <v>297.39999999999998</v>
          </cell>
          <cell r="Z4888" t="str">
            <v>Legacy</v>
          </cell>
          <cell r="AA4888" t="str">
            <v>$1K or Below</v>
          </cell>
          <cell r="AB4888" t="str">
            <v>2010 or before</v>
          </cell>
        </row>
        <row r="4889">
          <cell r="E4889">
            <v>297.39</v>
          </cell>
          <cell r="Z4889" t="str">
            <v>Legacy</v>
          </cell>
          <cell r="AA4889" t="str">
            <v>$1K or Below</v>
          </cell>
          <cell r="AB4889" t="str">
            <v>2010 or before</v>
          </cell>
        </row>
        <row r="4890">
          <cell r="E4890">
            <v>296.86</v>
          </cell>
          <cell r="Z4890" t="str">
            <v>Inbound</v>
          </cell>
          <cell r="AA4890" t="str">
            <v>$1K or Below</v>
          </cell>
          <cell r="AB4890">
            <v>2012</v>
          </cell>
        </row>
        <row r="4891">
          <cell r="E4891">
            <v>296.11</v>
          </cell>
          <cell r="Z4891" t="str">
            <v>Legacy</v>
          </cell>
          <cell r="AA4891" t="str">
            <v>$1K or Below</v>
          </cell>
          <cell r="AB4891" t="str">
            <v>2010 or before</v>
          </cell>
        </row>
        <row r="4892">
          <cell r="E4892">
            <v>295.76</v>
          </cell>
          <cell r="Z4892" t="str">
            <v>Legacy</v>
          </cell>
          <cell r="AA4892" t="str">
            <v>$1K or Below</v>
          </cell>
          <cell r="AB4892" t="str">
            <v>2010 or before</v>
          </cell>
        </row>
        <row r="4893">
          <cell r="E4893">
            <v>295.70999999999998</v>
          </cell>
          <cell r="Z4893" t="str">
            <v>Legacy</v>
          </cell>
          <cell r="AA4893" t="str">
            <v>$1K or Below</v>
          </cell>
          <cell r="AB4893" t="str">
            <v>2010 or before</v>
          </cell>
        </row>
        <row r="4894">
          <cell r="E4894">
            <v>295</v>
          </cell>
          <cell r="Z4894" t="str">
            <v>Legacy</v>
          </cell>
          <cell r="AA4894" t="str">
            <v>$1K or Below</v>
          </cell>
          <cell r="AB4894" t="str">
            <v>2010 or before</v>
          </cell>
        </row>
        <row r="4895">
          <cell r="E4895">
            <v>295</v>
          </cell>
          <cell r="Z4895" t="str">
            <v>Legacy</v>
          </cell>
          <cell r="AA4895" t="str">
            <v>$1K or Below</v>
          </cell>
          <cell r="AB4895" t="str">
            <v>2010 or before</v>
          </cell>
        </row>
        <row r="4896">
          <cell r="E4896">
            <v>294.95999999999998</v>
          </cell>
          <cell r="Z4896" t="str">
            <v>Legacy</v>
          </cell>
          <cell r="AA4896" t="str">
            <v>$1K or Below</v>
          </cell>
          <cell r="AB4896" t="str">
            <v>2010 or before</v>
          </cell>
        </row>
        <row r="4897">
          <cell r="E4897">
            <v>294.86</v>
          </cell>
          <cell r="Z4897" t="str">
            <v>Ungating</v>
          </cell>
          <cell r="AA4897" t="str">
            <v>$1K or Below</v>
          </cell>
          <cell r="AB4897">
            <v>2012</v>
          </cell>
        </row>
        <row r="4898">
          <cell r="E4898">
            <v>294.81</v>
          </cell>
          <cell r="Z4898" t="str">
            <v>Legacy</v>
          </cell>
          <cell r="AA4898" t="str">
            <v>$1K or Below</v>
          </cell>
          <cell r="AB4898" t="str">
            <v>2010 or before</v>
          </cell>
        </row>
        <row r="4899">
          <cell r="E4899">
            <v>294.62</v>
          </cell>
          <cell r="Z4899" t="str">
            <v>Legacy</v>
          </cell>
          <cell r="AA4899" t="str">
            <v>$1K or Below</v>
          </cell>
          <cell r="AB4899" t="str">
            <v>2010 or before</v>
          </cell>
        </row>
        <row r="4900">
          <cell r="E4900">
            <v>294.47000000000003</v>
          </cell>
          <cell r="Z4900" t="str">
            <v>Legacy</v>
          </cell>
          <cell r="AA4900" t="str">
            <v>$1K or Below</v>
          </cell>
          <cell r="AB4900" t="str">
            <v>2010 or before</v>
          </cell>
        </row>
        <row r="4901">
          <cell r="E4901">
            <v>294</v>
          </cell>
          <cell r="Z4901" t="str">
            <v>Legacy</v>
          </cell>
          <cell r="AA4901" t="str">
            <v>$1K or Below</v>
          </cell>
          <cell r="AB4901" t="str">
            <v>2010 or before</v>
          </cell>
        </row>
        <row r="4902">
          <cell r="E4902">
            <v>292.49</v>
          </cell>
          <cell r="Z4902" t="str">
            <v>Legacy</v>
          </cell>
          <cell r="AA4902" t="str">
            <v>$1K or Below</v>
          </cell>
          <cell r="AB4902" t="str">
            <v>2010 or before</v>
          </cell>
        </row>
        <row r="4903">
          <cell r="E4903">
            <v>292.45</v>
          </cell>
          <cell r="Z4903" t="str">
            <v>Legacy</v>
          </cell>
          <cell r="AA4903" t="str">
            <v>$1K or Below</v>
          </cell>
          <cell r="AB4903" t="str">
            <v>2010 or before</v>
          </cell>
        </row>
        <row r="4904">
          <cell r="E4904">
            <v>292.26</v>
          </cell>
          <cell r="Z4904" t="str">
            <v>Legacy</v>
          </cell>
          <cell r="AA4904" t="str">
            <v>$1K or Below</v>
          </cell>
          <cell r="AB4904" t="str">
            <v>2010 or before</v>
          </cell>
        </row>
        <row r="4905">
          <cell r="E4905">
            <v>291.83999999999997</v>
          </cell>
          <cell r="Z4905" t="str">
            <v>Legacy</v>
          </cell>
          <cell r="AA4905" t="str">
            <v>$1K or Below</v>
          </cell>
          <cell r="AB4905">
            <v>2012</v>
          </cell>
        </row>
        <row r="4906">
          <cell r="E4906">
            <v>291.75</v>
          </cell>
          <cell r="Z4906" t="str">
            <v>Legacy</v>
          </cell>
          <cell r="AA4906" t="str">
            <v>$1K or Below</v>
          </cell>
          <cell r="AB4906" t="str">
            <v>2010 or before</v>
          </cell>
        </row>
        <row r="4907">
          <cell r="E4907">
            <v>291.68</v>
          </cell>
          <cell r="Z4907" t="str">
            <v>Legacy</v>
          </cell>
          <cell r="AA4907" t="str">
            <v>$1K or Below</v>
          </cell>
          <cell r="AB4907" t="str">
            <v>2010 or before</v>
          </cell>
        </row>
        <row r="4908">
          <cell r="E4908">
            <v>291.63</v>
          </cell>
          <cell r="Z4908" t="str">
            <v>Legacy</v>
          </cell>
          <cell r="AA4908" t="str">
            <v>$1K or Below</v>
          </cell>
          <cell r="AB4908" t="str">
            <v>2010 or before</v>
          </cell>
        </row>
        <row r="4909">
          <cell r="E4909">
            <v>291.52999999999997</v>
          </cell>
          <cell r="Z4909" t="str">
            <v>Legacy</v>
          </cell>
          <cell r="AA4909" t="str">
            <v>$1K or Below</v>
          </cell>
          <cell r="AB4909">
            <v>2011</v>
          </cell>
        </row>
        <row r="4910">
          <cell r="E4910">
            <v>290.95</v>
          </cell>
          <cell r="Z4910" t="str">
            <v>Legacy</v>
          </cell>
          <cell r="AA4910" t="str">
            <v>$1K or Below</v>
          </cell>
          <cell r="AB4910">
            <v>2011</v>
          </cell>
        </row>
        <row r="4911">
          <cell r="E4911">
            <v>290.64</v>
          </cell>
          <cell r="Z4911" t="str">
            <v>Legacy</v>
          </cell>
          <cell r="AA4911" t="str">
            <v>$1K or Below</v>
          </cell>
          <cell r="AB4911" t="str">
            <v>2010 or before</v>
          </cell>
        </row>
        <row r="4912">
          <cell r="E4912">
            <v>290.26</v>
          </cell>
          <cell r="Z4912" t="str">
            <v>Legacy</v>
          </cell>
          <cell r="AA4912" t="str">
            <v>$1K or Below</v>
          </cell>
          <cell r="AB4912" t="str">
            <v>2010 or before</v>
          </cell>
        </row>
        <row r="4913">
          <cell r="E4913">
            <v>289.95</v>
          </cell>
          <cell r="Z4913" t="str">
            <v>Legacy</v>
          </cell>
          <cell r="AA4913" t="str">
            <v>$1K or Below</v>
          </cell>
          <cell r="AB4913">
            <v>2012</v>
          </cell>
        </row>
        <row r="4914">
          <cell r="E4914">
            <v>289.95</v>
          </cell>
          <cell r="Z4914" t="str">
            <v>Legacy</v>
          </cell>
          <cell r="AA4914" t="str">
            <v>$1K or Below</v>
          </cell>
          <cell r="AB4914" t="str">
            <v>2010 or before</v>
          </cell>
        </row>
        <row r="4915">
          <cell r="E4915">
            <v>289.89999999999998</v>
          </cell>
          <cell r="Z4915" t="str">
            <v>Ungating</v>
          </cell>
          <cell r="AA4915" t="str">
            <v>$1K or Below</v>
          </cell>
          <cell r="AB4915">
            <v>2012</v>
          </cell>
        </row>
        <row r="4916">
          <cell r="E4916">
            <v>289.49</v>
          </cell>
          <cell r="Z4916" t="str">
            <v>Legacy</v>
          </cell>
          <cell r="AA4916" t="str">
            <v>$1K or Below</v>
          </cell>
          <cell r="AB4916" t="str">
            <v>2010 or before</v>
          </cell>
        </row>
        <row r="4917">
          <cell r="E4917">
            <v>289.02</v>
          </cell>
          <cell r="Z4917" t="str">
            <v>Legacy</v>
          </cell>
          <cell r="AA4917" t="str">
            <v>$1K or Below</v>
          </cell>
          <cell r="AB4917" t="str">
            <v>2010 or before</v>
          </cell>
        </row>
        <row r="4918">
          <cell r="E4918">
            <v>288.95999999999998</v>
          </cell>
          <cell r="Z4918" t="str">
            <v>Legacy</v>
          </cell>
          <cell r="AA4918" t="str">
            <v>$1K or Below</v>
          </cell>
          <cell r="AB4918" t="str">
            <v>2010 or before</v>
          </cell>
        </row>
        <row r="4919">
          <cell r="E4919">
            <v>288.45</v>
          </cell>
          <cell r="Z4919" t="str">
            <v>Legacy</v>
          </cell>
          <cell r="AA4919" t="str">
            <v>$1K or Below</v>
          </cell>
          <cell r="AB4919" t="str">
            <v>2010 or before</v>
          </cell>
        </row>
        <row r="4920">
          <cell r="E4920">
            <v>288.27</v>
          </cell>
          <cell r="Z4920" t="str">
            <v>Legacy</v>
          </cell>
          <cell r="AA4920" t="str">
            <v>$1K or Below</v>
          </cell>
          <cell r="AB4920" t="str">
            <v>2010 or before</v>
          </cell>
        </row>
        <row r="4921">
          <cell r="E4921">
            <v>287.72000000000003</v>
          </cell>
          <cell r="Z4921" t="str">
            <v>Legacy</v>
          </cell>
          <cell r="AA4921" t="str">
            <v>$1K or Below</v>
          </cell>
          <cell r="AB4921" t="str">
            <v>2010 or before</v>
          </cell>
        </row>
        <row r="4922">
          <cell r="E4922">
            <v>287.5</v>
          </cell>
          <cell r="Z4922" t="str">
            <v>Legacy</v>
          </cell>
          <cell r="AA4922" t="str">
            <v>$1K or Below</v>
          </cell>
          <cell r="AB4922" t="str">
            <v>2010 or before</v>
          </cell>
        </row>
        <row r="4923">
          <cell r="E4923">
            <v>287.32</v>
          </cell>
          <cell r="Z4923" t="str">
            <v>Legacy</v>
          </cell>
          <cell r="AA4923" t="str">
            <v>$1K or Below</v>
          </cell>
          <cell r="AB4923">
            <v>2011</v>
          </cell>
        </row>
        <row r="4924">
          <cell r="E4924">
            <v>286.95999999999998</v>
          </cell>
          <cell r="Z4924" t="str">
            <v>Legacy</v>
          </cell>
          <cell r="AA4924" t="str">
            <v>$1K or Below</v>
          </cell>
          <cell r="AB4924" t="str">
            <v>2010 or before</v>
          </cell>
        </row>
        <row r="4925">
          <cell r="E4925">
            <v>286.61</v>
          </cell>
          <cell r="Z4925" t="str">
            <v>Legacy</v>
          </cell>
          <cell r="AA4925" t="str">
            <v>$1K or Below</v>
          </cell>
          <cell r="AB4925" t="str">
            <v>2010 or before</v>
          </cell>
        </row>
        <row r="4926">
          <cell r="E4926">
            <v>286.3</v>
          </cell>
          <cell r="Z4926" t="str">
            <v>Legacy</v>
          </cell>
          <cell r="AA4926" t="str">
            <v>$1K or Below</v>
          </cell>
          <cell r="AB4926" t="str">
            <v>2010 or before</v>
          </cell>
        </row>
        <row r="4927">
          <cell r="E4927">
            <v>286.08999999999997</v>
          </cell>
          <cell r="Z4927" t="str">
            <v>Legacy</v>
          </cell>
          <cell r="AA4927" t="str">
            <v>$1K or Below</v>
          </cell>
          <cell r="AB4927" t="str">
            <v>2010 or before</v>
          </cell>
        </row>
        <row r="4928">
          <cell r="E4928">
            <v>285.97000000000003</v>
          </cell>
          <cell r="Z4928" t="str">
            <v>Legacy</v>
          </cell>
          <cell r="AA4928" t="str">
            <v>$1K or Below</v>
          </cell>
          <cell r="AB4928" t="str">
            <v>2010 or before</v>
          </cell>
        </row>
        <row r="4929">
          <cell r="E4929">
            <v>285.93</v>
          </cell>
          <cell r="Z4929" t="str">
            <v>Legacy</v>
          </cell>
          <cell r="AA4929" t="str">
            <v>$1K or Below</v>
          </cell>
          <cell r="AB4929" t="str">
            <v>2010 or before</v>
          </cell>
        </row>
        <row r="4930">
          <cell r="E4930">
            <v>285.76</v>
          </cell>
          <cell r="Z4930" t="str">
            <v>Legacy</v>
          </cell>
          <cell r="AA4930" t="str">
            <v>$1K or Below</v>
          </cell>
          <cell r="AB4930">
            <v>2011</v>
          </cell>
        </row>
        <row r="4931">
          <cell r="E4931">
            <v>285.41000000000003</v>
          </cell>
          <cell r="Z4931" t="str">
            <v>Legacy</v>
          </cell>
          <cell r="AA4931" t="str">
            <v>$1K or Below</v>
          </cell>
          <cell r="AB4931" t="str">
            <v>2010 or before</v>
          </cell>
        </row>
        <row r="4932">
          <cell r="E4932">
            <v>284.98</v>
          </cell>
          <cell r="Z4932" t="str">
            <v>Inbound</v>
          </cell>
          <cell r="AA4932" t="str">
            <v>$1K or Below</v>
          </cell>
          <cell r="AB4932">
            <v>2012</v>
          </cell>
        </row>
        <row r="4933">
          <cell r="E4933">
            <v>284.74</v>
          </cell>
          <cell r="Z4933" t="str">
            <v>Legacy</v>
          </cell>
          <cell r="AA4933" t="str">
            <v>$1K or Below</v>
          </cell>
          <cell r="AB4933" t="str">
            <v>2010 or before</v>
          </cell>
        </row>
        <row r="4934">
          <cell r="E4934">
            <v>284.55</v>
          </cell>
          <cell r="Z4934" t="str">
            <v>Inbound</v>
          </cell>
          <cell r="AA4934" t="str">
            <v>$1K or Below</v>
          </cell>
          <cell r="AB4934">
            <v>2012</v>
          </cell>
        </row>
        <row r="4935">
          <cell r="E4935">
            <v>284.45</v>
          </cell>
          <cell r="Z4935" t="str">
            <v>Inbound</v>
          </cell>
          <cell r="AA4935" t="str">
            <v>$1K or Below</v>
          </cell>
          <cell r="AB4935">
            <v>2012</v>
          </cell>
        </row>
        <row r="4936">
          <cell r="E4936">
            <v>284</v>
          </cell>
          <cell r="Z4936" t="str">
            <v>Legacy</v>
          </cell>
          <cell r="AA4936" t="str">
            <v>$1K or Below</v>
          </cell>
          <cell r="AB4936" t="str">
            <v>2010 or before</v>
          </cell>
        </row>
        <row r="4937">
          <cell r="E4937">
            <v>283.97000000000003</v>
          </cell>
          <cell r="Z4937" t="str">
            <v>Legacy</v>
          </cell>
          <cell r="AA4937" t="str">
            <v>$1K or Below</v>
          </cell>
          <cell r="AB4937" t="str">
            <v>2010 or before</v>
          </cell>
        </row>
        <row r="4938">
          <cell r="E4938">
            <v>283.27999999999997</v>
          </cell>
          <cell r="Z4938" t="str">
            <v>Legacy</v>
          </cell>
          <cell r="AA4938" t="str">
            <v>$1K or Below</v>
          </cell>
          <cell r="AB4938" t="str">
            <v>2010 or before</v>
          </cell>
        </row>
        <row r="4939">
          <cell r="E4939">
            <v>282.05</v>
          </cell>
          <cell r="Z4939" t="str">
            <v>Legacy</v>
          </cell>
          <cell r="AA4939" t="str">
            <v>$1K or Below</v>
          </cell>
          <cell r="AB4939" t="str">
            <v>2010 or before</v>
          </cell>
        </row>
        <row r="4940">
          <cell r="E4940">
            <v>282.01</v>
          </cell>
          <cell r="Z4940" t="str">
            <v>Legacy</v>
          </cell>
          <cell r="AA4940" t="str">
            <v>$1K or Below</v>
          </cell>
          <cell r="AB4940" t="str">
            <v>2010 or before</v>
          </cell>
        </row>
        <row r="4941">
          <cell r="E4941">
            <v>281.95999999999998</v>
          </cell>
          <cell r="Z4941" t="str">
            <v>Legacy</v>
          </cell>
          <cell r="AA4941" t="str">
            <v>$1K or Below</v>
          </cell>
          <cell r="AB4941">
            <v>2012</v>
          </cell>
        </row>
        <row r="4942">
          <cell r="E4942">
            <v>281.91000000000003</v>
          </cell>
          <cell r="Z4942" t="str">
            <v>Legacy</v>
          </cell>
          <cell r="AA4942" t="str">
            <v>$1K or Below</v>
          </cell>
          <cell r="AB4942" t="str">
            <v>2010 or before</v>
          </cell>
        </row>
        <row r="4943">
          <cell r="E4943">
            <v>281.87</v>
          </cell>
          <cell r="Z4943" t="str">
            <v>Inbound</v>
          </cell>
          <cell r="AA4943" t="str">
            <v>$1K or Below</v>
          </cell>
          <cell r="AB4943">
            <v>2012</v>
          </cell>
        </row>
        <row r="4944">
          <cell r="E4944">
            <v>281.56</v>
          </cell>
          <cell r="Z4944" t="str">
            <v>Legacy</v>
          </cell>
          <cell r="AA4944" t="str">
            <v>$1K or Below</v>
          </cell>
          <cell r="AB4944" t="str">
            <v>2010 or before</v>
          </cell>
        </row>
        <row r="4945">
          <cell r="E4945">
            <v>281.24</v>
          </cell>
          <cell r="Z4945" t="str">
            <v>Legacy</v>
          </cell>
          <cell r="AA4945" t="str">
            <v>$1K or Below</v>
          </cell>
          <cell r="AB4945" t="str">
            <v>2010 or before</v>
          </cell>
        </row>
        <row r="4946">
          <cell r="E4946">
            <v>281.22000000000003</v>
          </cell>
          <cell r="Z4946" t="str">
            <v>Legacy</v>
          </cell>
          <cell r="AA4946" t="str">
            <v>$1K or Below</v>
          </cell>
          <cell r="AB4946" t="str">
            <v>2010 or before</v>
          </cell>
        </row>
        <row r="4947">
          <cell r="E4947">
            <v>281.12</v>
          </cell>
          <cell r="Z4947" t="str">
            <v>Legacy</v>
          </cell>
          <cell r="AA4947" t="str">
            <v>$1K or Below</v>
          </cell>
          <cell r="AB4947" t="str">
            <v>2010 or before</v>
          </cell>
        </row>
        <row r="4948">
          <cell r="E4948">
            <v>281.04000000000002</v>
          </cell>
          <cell r="Z4948" t="str">
            <v>Legacy</v>
          </cell>
          <cell r="AA4948" t="str">
            <v>$1K or Below</v>
          </cell>
          <cell r="AB4948" t="str">
            <v>2010 or before</v>
          </cell>
        </row>
        <row r="4949">
          <cell r="E4949">
            <v>280.74</v>
          </cell>
          <cell r="Z4949" t="str">
            <v>Legacy</v>
          </cell>
          <cell r="AA4949" t="str">
            <v>$1K or Below</v>
          </cell>
          <cell r="AB4949">
            <v>2011</v>
          </cell>
        </row>
        <row r="4950">
          <cell r="E4950">
            <v>279.99</v>
          </cell>
          <cell r="Z4950" t="str">
            <v>Legacy</v>
          </cell>
          <cell r="AA4950" t="str">
            <v>$1K or Below</v>
          </cell>
          <cell r="AB4950">
            <v>2012</v>
          </cell>
        </row>
        <row r="4951">
          <cell r="E4951">
            <v>279.95</v>
          </cell>
          <cell r="Z4951" t="str">
            <v>Legacy</v>
          </cell>
          <cell r="AA4951" t="str">
            <v>$1K or Below</v>
          </cell>
          <cell r="AB4951" t="str">
            <v>2010 or before</v>
          </cell>
        </row>
        <row r="4952">
          <cell r="E4952">
            <v>279.89999999999998</v>
          </cell>
          <cell r="Z4952" t="str">
            <v>Legacy</v>
          </cell>
          <cell r="AA4952" t="str">
            <v>$1K or Below</v>
          </cell>
          <cell r="AB4952" t="str">
            <v>2010 or before</v>
          </cell>
        </row>
        <row r="4953">
          <cell r="E4953">
            <v>279.81</v>
          </cell>
          <cell r="Z4953" t="str">
            <v>Legacy</v>
          </cell>
          <cell r="AA4953" t="str">
            <v>$1K or Below</v>
          </cell>
          <cell r="AB4953" t="str">
            <v>2010 or before</v>
          </cell>
        </row>
        <row r="4954">
          <cell r="E4954">
            <v>279.41000000000003</v>
          </cell>
          <cell r="Z4954" t="str">
            <v>Legacy</v>
          </cell>
          <cell r="AA4954" t="str">
            <v>$1K or Below</v>
          </cell>
          <cell r="AB4954">
            <v>2012</v>
          </cell>
        </row>
        <row r="4955">
          <cell r="E4955">
            <v>279.04000000000002</v>
          </cell>
          <cell r="Z4955" t="str">
            <v>Legacy</v>
          </cell>
          <cell r="AA4955" t="str">
            <v>$1K or Below</v>
          </cell>
          <cell r="AB4955" t="str">
            <v>2010 or before</v>
          </cell>
        </row>
        <row r="4956">
          <cell r="E4956">
            <v>278.95999999999998</v>
          </cell>
          <cell r="Z4956" t="str">
            <v>Legacy</v>
          </cell>
          <cell r="AA4956" t="str">
            <v>$1K or Below</v>
          </cell>
          <cell r="AB4956" t="str">
            <v>2010 or before</v>
          </cell>
        </row>
        <row r="4957">
          <cell r="E4957">
            <v>278.17</v>
          </cell>
          <cell r="Z4957" t="str">
            <v>Legacy</v>
          </cell>
          <cell r="AA4957" t="str">
            <v>$1K or Below</v>
          </cell>
          <cell r="AB4957" t="str">
            <v>2010 or before</v>
          </cell>
        </row>
        <row r="4958">
          <cell r="E4958">
            <v>278.16000000000003</v>
          </cell>
          <cell r="Z4958" t="str">
            <v>Legacy</v>
          </cell>
          <cell r="AA4958" t="str">
            <v>$1K or Below</v>
          </cell>
          <cell r="AB4958" t="str">
            <v>2010 or before</v>
          </cell>
        </row>
        <row r="4959">
          <cell r="E4959">
            <v>277.98</v>
          </cell>
          <cell r="Z4959" t="str">
            <v>Legacy</v>
          </cell>
          <cell r="AA4959" t="str">
            <v>$1K or Below</v>
          </cell>
          <cell r="AB4959">
            <v>2012</v>
          </cell>
        </row>
        <row r="4960">
          <cell r="E4960">
            <v>277.98</v>
          </cell>
          <cell r="Z4960" t="str">
            <v>Ungating</v>
          </cell>
          <cell r="AA4960" t="str">
            <v>$1K or Below</v>
          </cell>
          <cell r="AB4960">
            <v>2013</v>
          </cell>
        </row>
        <row r="4961">
          <cell r="E4961">
            <v>277.47000000000003</v>
          </cell>
          <cell r="Z4961" t="str">
            <v>Legacy</v>
          </cell>
          <cell r="AA4961" t="str">
            <v>$1K or Below</v>
          </cell>
          <cell r="AB4961" t="str">
            <v>2010 or before</v>
          </cell>
        </row>
        <row r="4962">
          <cell r="E4962">
            <v>277.23</v>
          </cell>
          <cell r="Z4962" t="str">
            <v>Legacy</v>
          </cell>
          <cell r="AA4962" t="str">
            <v>$1K or Below</v>
          </cell>
          <cell r="AB4962" t="str">
            <v>2010 or before</v>
          </cell>
        </row>
        <row r="4963">
          <cell r="E4963">
            <v>277.14</v>
          </cell>
          <cell r="Z4963" t="str">
            <v>Legacy</v>
          </cell>
          <cell r="AA4963" t="str">
            <v>$1K or Below</v>
          </cell>
          <cell r="AB4963" t="str">
            <v>2010 or before</v>
          </cell>
        </row>
        <row r="4964">
          <cell r="E4964">
            <v>276.73</v>
          </cell>
          <cell r="Z4964" t="str">
            <v>Legacy</v>
          </cell>
          <cell r="AA4964" t="str">
            <v>$1K or Below</v>
          </cell>
          <cell r="AB4964" t="str">
            <v>2010 or before</v>
          </cell>
        </row>
        <row r="4965">
          <cell r="E4965">
            <v>276.69</v>
          </cell>
          <cell r="Z4965" t="str">
            <v>Legacy</v>
          </cell>
          <cell r="AA4965" t="str">
            <v>$1K or Below</v>
          </cell>
          <cell r="AB4965" t="str">
            <v>2010 or before</v>
          </cell>
        </row>
        <row r="4966">
          <cell r="E4966">
            <v>276.67</v>
          </cell>
          <cell r="Z4966" t="str">
            <v>Legacy</v>
          </cell>
          <cell r="AA4966" t="str">
            <v>$1K or Below</v>
          </cell>
          <cell r="AB4966" t="str">
            <v>2010 or before</v>
          </cell>
        </row>
        <row r="4967">
          <cell r="E4967">
            <v>276.39</v>
          </cell>
          <cell r="Z4967" t="str">
            <v>Legacy</v>
          </cell>
          <cell r="AA4967" t="str">
            <v>$1K or Below</v>
          </cell>
          <cell r="AB4967" t="str">
            <v>2010 or before</v>
          </cell>
        </row>
        <row r="4968">
          <cell r="E4968">
            <v>276</v>
          </cell>
          <cell r="Z4968" t="str">
            <v>Legacy</v>
          </cell>
          <cell r="AA4968" t="str">
            <v>$1K or Below</v>
          </cell>
          <cell r="AB4968" t="str">
            <v>2010 or before</v>
          </cell>
        </row>
        <row r="4969">
          <cell r="E4969">
            <v>274.95999999999998</v>
          </cell>
          <cell r="Z4969" t="str">
            <v>Inbound</v>
          </cell>
          <cell r="AA4969" t="str">
            <v>$1K or Below</v>
          </cell>
          <cell r="AB4969">
            <v>2012</v>
          </cell>
        </row>
        <row r="4970">
          <cell r="E4970">
            <v>274.48</v>
          </cell>
          <cell r="Z4970" t="str">
            <v>Legacy</v>
          </cell>
          <cell r="AA4970" t="str">
            <v>$1K or Below</v>
          </cell>
          <cell r="AB4970" t="str">
            <v>2010 or before</v>
          </cell>
        </row>
        <row r="4971">
          <cell r="E4971">
            <v>274.12</v>
          </cell>
          <cell r="Z4971" t="str">
            <v>Ungating</v>
          </cell>
          <cell r="AA4971" t="str">
            <v>$1K or Below</v>
          </cell>
          <cell r="AB4971">
            <v>2012</v>
          </cell>
        </row>
        <row r="4972">
          <cell r="E4972">
            <v>273.95</v>
          </cell>
          <cell r="Z4972" t="str">
            <v>Legacy</v>
          </cell>
          <cell r="AA4972" t="str">
            <v>$1K or Below</v>
          </cell>
          <cell r="AB4972" t="str">
            <v>2010 or before</v>
          </cell>
        </row>
        <row r="4973">
          <cell r="E4973">
            <v>273.39</v>
          </cell>
          <cell r="Z4973" t="str">
            <v>Inbound</v>
          </cell>
          <cell r="AA4973" t="str">
            <v>$1K or Below</v>
          </cell>
          <cell r="AB4973">
            <v>2012</v>
          </cell>
        </row>
        <row r="4974">
          <cell r="E4974">
            <v>273.12</v>
          </cell>
          <cell r="Z4974" t="str">
            <v>Legacy</v>
          </cell>
          <cell r="AA4974" t="str">
            <v>$1K or Below</v>
          </cell>
          <cell r="AB4974">
            <v>2011</v>
          </cell>
        </row>
        <row r="4975">
          <cell r="E4975">
            <v>272.27999999999997</v>
          </cell>
          <cell r="Z4975" t="str">
            <v>Legacy</v>
          </cell>
          <cell r="AA4975" t="str">
            <v>$1K or Below</v>
          </cell>
          <cell r="AB4975" t="str">
            <v>2010 or before</v>
          </cell>
        </row>
        <row r="4976">
          <cell r="E4976">
            <v>272.19</v>
          </cell>
          <cell r="Z4976" t="str">
            <v>Legacy</v>
          </cell>
          <cell r="AA4976" t="str">
            <v>$1K or Below</v>
          </cell>
          <cell r="AB4976" t="str">
            <v>2010 or before</v>
          </cell>
        </row>
        <row r="4977">
          <cell r="E4977">
            <v>272</v>
          </cell>
          <cell r="Z4977" t="str">
            <v>Legacy</v>
          </cell>
          <cell r="AA4977" t="str">
            <v>$1K or Below</v>
          </cell>
          <cell r="AB4977" t="str">
            <v>2010 or before</v>
          </cell>
        </row>
        <row r="4978">
          <cell r="E4978">
            <v>270</v>
          </cell>
          <cell r="Z4978" t="str">
            <v>Legacy</v>
          </cell>
          <cell r="AA4978" t="str">
            <v>$1K or Below</v>
          </cell>
          <cell r="AB4978" t="str">
            <v>2010 or before</v>
          </cell>
        </row>
        <row r="4979">
          <cell r="E4979">
            <v>270</v>
          </cell>
          <cell r="Z4979" t="str">
            <v>Strategic</v>
          </cell>
          <cell r="AA4979" t="str">
            <v>$1K or Below</v>
          </cell>
          <cell r="AB4979">
            <v>2012</v>
          </cell>
        </row>
        <row r="4980">
          <cell r="E4980">
            <v>269.99</v>
          </cell>
          <cell r="Z4980" t="str">
            <v>Legacy</v>
          </cell>
          <cell r="AA4980" t="str">
            <v>$1K or Below</v>
          </cell>
          <cell r="AB4980" t="str">
            <v>2010 or before</v>
          </cell>
        </row>
        <row r="4981">
          <cell r="E4981">
            <v>269.92</v>
          </cell>
          <cell r="Z4981" t="str">
            <v>Legacy</v>
          </cell>
          <cell r="AA4981" t="str">
            <v>$1K or Below</v>
          </cell>
          <cell r="AB4981" t="str">
            <v>2010 or before</v>
          </cell>
        </row>
        <row r="4982">
          <cell r="E4982">
            <v>269.86</v>
          </cell>
          <cell r="Z4982" t="str">
            <v>Legacy</v>
          </cell>
          <cell r="AA4982" t="str">
            <v>$1K or Below</v>
          </cell>
          <cell r="AB4982" t="str">
            <v>2010 or before</v>
          </cell>
        </row>
        <row r="4983">
          <cell r="E4983">
            <v>269.63</v>
          </cell>
          <cell r="Z4983" t="str">
            <v>Legacy</v>
          </cell>
          <cell r="AA4983" t="str">
            <v>$1K or Below</v>
          </cell>
          <cell r="AB4983" t="str">
            <v>2010 or before</v>
          </cell>
        </row>
        <row r="4984">
          <cell r="E4984">
            <v>269.54000000000002</v>
          </cell>
          <cell r="Z4984" t="str">
            <v>Inbound</v>
          </cell>
          <cell r="AA4984" t="str">
            <v>$1K or Below</v>
          </cell>
          <cell r="AB4984">
            <v>2012</v>
          </cell>
        </row>
        <row r="4985">
          <cell r="E4985">
            <v>269.45</v>
          </cell>
          <cell r="Z4985" t="str">
            <v>Legacy</v>
          </cell>
          <cell r="AA4985" t="str">
            <v>$1K or Below</v>
          </cell>
          <cell r="AB4985" t="str">
            <v>2010 or before</v>
          </cell>
        </row>
        <row r="4986">
          <cell r="E4986">
            <v>269.39999999999998</v>
          </cell>
          <cell r="Z4986" t="str">
            <v>Legacy</v>
          </cell>
          <cell r="AA4986" t="str">
            <v>$1K or Below</v>
          </cell>
          <cell r="AB4986" t="str">
            <v>2010 or before</v>
          </cell>
        </row>
        <row r="4987">
          <cell r="E4987">
            <v>268.49</v>
          </cell>
          <cell r="Z4987" t="str">
            <v>Legacy</v>
          </cell>
          <cell r="AA4987" t="str">
            <v>$1K or Below</v>
          </cell>
          <cell r="AB4987">
            <v>2012</v>
          </cell>
        </row>
        <row r="4988">
          <cell r="E4988">
            <v>267.39</v>
          </cell>
          <cell r="Z4988" t="str">
            <v>Inbound</v>
          </cell>
          <cell r="AA4988" t="str">
            <v>$1K or Below</v>
          </cell>
          <cell r="AB4988">
            <v>2012</v>
          </cell>
        </row>
        <row r="4989">
          <cell r="E4989">
            <v>266.64</v>
          </cell>
          <cell r="Z4989" t="str">
            <v>Legacy</v>
          </cell>
          <cell r="AA4989" t="str">
            <v>$1K or Below</v>
          </cell>
          <cell r="AB4989" t="str">
            <v>2010 or before</v>
          </cell>
        </row>
        <row r="4990">
          <cell r="E4990">
            <v>266.43</v>
          </cell>
          <cell r="Z4990" t="str">
            <v>Legacy</v>
          </cell>
          <cell r="AA4990" t="str">
            <v>$1K or Below</v>
          </cell>
          <cell r="AB4990" t="str">
            <v>2010 or before</v>
          </cell>
        </row>
        <row r="4991">
          <cell r="E4991">
            <v>266.33</v>
          </cell>
          <cell r="Z4991" t="str">
            <v>Legacy</v>
          </cell>
          <cell r="AA4991" t="str">
            <v>$1K or Below</v>
          </cell>
          <cell r="AB4991">
            <v>2011</v>
          </cell>
        </row>
        <row r="4992">
          <cell r="E4992">
            <v>266.33</v>
          </cell>
          <cell r="Z4992" t="str">
            <v>Legacy</v>
          </cell>
          <cell r="AA4992" t="str">
            <v>$1K or Below</v>
          </cell>
          <cell r="AB4992" t="str">
            <v>2010 or before</v>
          </cell>
        </row>
        <row r="4993">
          <cell r="E4993">
            <v>266.25</v>
          </cell>
          <cell r="Z4993" t="str">
            <v>Legacy</v>
          </cell>
          <cell r="AA4993" t="str">
            <v>$1K or Below</v>
          </cell>
          <cell r="AB4993" t="str">
            <v>2010 or before</v>
          </cell>
        </row>
        <row r="4994">
          <cell r="E4994">
            <v>265.94</v>
          </cell>
          <cell r="Z4994" t="str">
            <v>Legacy</v>
          </cell>
          <cell r="AA4994" t="str">
            <v>$1K or Below</v>
          </cell>
          <cell r="AB4994" t="str">
            <v>2010 or before</v>
          </cell>
        </row>
        <row r="4995">
          <cell r="E4995">
            <v>265.69</v>
          </cell>
          <cell r="Z4995" t="str">
            <v>Legacy</v>
          </cell>
          <cell r="AA4995" t="str">
            <v>$1K or Below</v>
          </cell>
          <cell r="AB4995" t="str">
            <v>2010 or before</v>
          </cell>
        </row>
        <row r="4996">
          <cell r="E4996">
            <v>264.89</v>
          </cell>
          <cell r="Z4996" t="str">
            <v>Legacy</v>
          </cell>
          <cell r="AA4996" t="str">
            <v>$1K or Below</v>
          </cell>
          <cell r="AB4996" t="str">
            <v>2010 or before</v>
          </cell>
        </row>
        <row r="4997">
          <cell r="E4997">
            <v>264.85000000000002</v>
          </cell>
          <cell r="Z4997" t="str">
            <v>Legacy</v>
          </cell>
          <cell r="AA4997" t="str">
            <v>$1K or Below</v>
          </cell>
          <cell r="AB4997" t="str">
            <v>2010 or before</v>
          </cell>
        </row>
        <row r="4998">
          <cell r="E4998">
            <v>264.48</v>
          </cell>
          <cell r="Z4998" t="str">
            <v>Legacy</v>
          </cell>
          <cell r="AA4998" t="str">
            <v>$1K or Below</v>
          </cell>
          <cell r="AB4998" t="str">
            <v>2010 or before</v>
          </cell>
        </row>
        <row r="4999">
          <cell r="E4999">
            <v>264.2</v>
          </cell>
          <cell r="Z4999" t="str">
            <v>Legacy</v>
          </cell>
          <cell r="AA4999" t="str">
            <v>$1K or Below</v>
          </cell>
          <cell r="AB4999" t="str">
            <v>2010 or before</v>
          </cell>
        </row>
        <row r="5000">
          <cell r="E5000">
            <v>263.92</v>
          </cell>
          <cell r="Z5000" t="str">
            <v>Legacy</v>
          </cell>
          <cell r="AA5000" t="str">
            <v>$1K or Below</v>
          </cell>
          <cell r="AB5000" t="str">
            <v>2010 or before</v>
          </cell>
        </row>
        <row r="5001">
          <cell r="E5001">
            <v>263.89999999999998</v>
          </cell>
          <cell r="Z5001" t="str">
            <v>Legacy</v>
          </cell>
          <cell r="AA5001" t="str">
            <v>$1K or Below</v>
          </cell>
          <cell r="AB5001" t="str">
            <v>2010 or before</v>
          </cell>
        </row>
        <row r="5002">
          <cell r="E5002">
            <v>263.73</v>
          </cell>
          <cell r="Z5002" t="str">
            <v>Legacy</v>
          </cell>
          <cell r="AA5002" t="str">
            <v>$1K or Below</v>
          </cell>
          <cell r="AB5002" t="str">
            <v>2010 or before</v>
          </cell>
        </row>
        <row r="5003">
          <cell r="E5003">
            <v>263.58</v>
          </cell>
          <cell r="Z5003" t="str">
            <v>Legacy</v>
          </cell>
          <cell r="AA5003" t="str">
            <v>$1K or Below</v>
          </cell>
          <cell r="AB5003" t="str">
            <v>2010 or before</v>
          </cell>
        </row>
        <row r="5004">
          <cell r="E5004">
            <v>263.52</v>
          </cell>
          <cell r="Z5004" t="str">
            <v>Legacy</v>
          </cell>
          <cell r="AA5004" t="str">
            <v>$1K or Below</v>
          </cell>
          <cell r="AB5004" t="str">
            <v>2010 or before</v>
          </cell>
        </row>
        <row r="5005">
          <cell r="E5005">
            <v>263.25</v>
          </cell>
          <cell r="Z5005" t="str">
            <v>Legacy</v>
          </cell>
          <cell r="AA5005" t="str">
            <v>$1K or Below</v>
          </cell>
          <cell r="AB5005" t="str">
            <v>2010 or before</v>
          </cell>
        </row>
        <row r="5006">
          <cell r="E5006">
            <v>261.97000000000003</v>
          </cell>
          <cell r="Z5006" t="str">
            <v>Legacy</v>
          </cell>
          <cell r="AA5006" t="str">
            <v>$1K or Below</v>
          </cell>
          <cell r="AB5006" t="str">
            <v>2010 or before</v>
          </cell>
        </row>
        <row r="5007">
          <cell r="E5007">
            <v>261.32</v>
          </cell>
          <cell r="Z5007" t="str">
            <v>Legacy</v>
          </cell>
          <cell r="AA5007" t="str">
            <v>$1K or Below</v>
          </cell>
          <cell r="AB5007" t="str">
            <v>2010 or before</v>
          </cell>
        </row>
        <row r="5008">
          <cell r="E5008">
            <v>260.87</v>
          </cell>
          <cell r="Z5008" t="str">
            <v>Legacy</v>
          </cell>
          <cell r="AA5008" t="str">
            <v>$1K or Below</v>
          </cell>
          <cell r="AB5008" t="str">
            <v>2010 or before</v>
          </cell>
        </row>
        <row r="5009">
          <cell r="E5009">
            <v>260.56</v>
          </cell>
          <cell r="Z5009" t="str">
            <v>Legacy</v>
          </cell>
          <cell r="AA5009" t="str">
            <v>$1K or Below</v>
          </cell>
          <cell r="AB5009" t="str">
            <v>2010 or before</v>
          </cell>
        </row>
        <row r="5010">
          <cell r="E5010">
            <v>259.99</v>
          </cell>
          <cell r="Z5010" t="str">
            <v>Legacy</v>
          </cell>
          <cell r="AA5010" t="str">
            <v>$1K or Below</v>
          </cell>
          <cell r="AB5010" t="str">
            <v>2010 or before</v>
          </cell>
        </row>
        <row r="5011">
          <cell r="E5011">
            <v>259.98</v>
          </cell>
          <cell r="Z5011" t="str">
            <v>Legacy</v>
          </cell>
          <cell r="AA5011" t="str">
            <v>$1K or Below</v>
          </cell>
          <cell r="AB5011" t="str">
            <v>2010 or before</v>
          </cell>
        </row>
        <row r="5012">
          <cell r="E5012">
            <v>259.82</v>
          </cell>
          <cell r="Z5012" t="str">
            <v>Legacy</v>
          </cell>
          <cell r="AA5012" t="str">
            <v>$1K or Below</v>
          </cell>
          <cell r="AB5012" t="str">
            <v>2010 or before</v>
          </cell>
        </row>
        <row r="5013">
          <cell r="E5013">
            <v>259.76</v>
          </cell>
          <cell r="Z5013" t="str">
            <v>Legacy</v>
          </cell>
          <cell r="AA5013" t="str">
            <v>$1K or Below</v>
          </cell>
          <cell r="AB5013" t="str">
            <v>2010 or before</v>
          </cell>
        </row>
        <row r="5014">
          <cell r="E5014">
            <v>259.45</v>
          </cell>
          <cell r="Z5014" t="str">
            <v>Legacy</v>
          </cell>
          <cell r="AA5014" t="str">
            <v>$1K or Below</v>
          </cell>
          <cell r="AB5014">
            <v>2011</v>
          </cell>
        </row>
        <row r="5015">
          <cell r="E5015">
            <v>259.23</v>
          </cell>
          <cell r="Z5015" t="str">
            <v>Legacy</v>
          </cell>
          <cell r="AA5015" t="str">
            <v>$1K or Below</v>
          </cell>
          <cell r="AB5015" t="str">
            <v>2010 or before</v>
          </cell>
        </row>
        <row r="5016">
          <cell r="E5016">
            <v>259.08999999999997</v>
          </cell>
          <cell r="Z5016" t="str">
            <v>Legacy</v>
          </cell>
          <cell r="AA5016" t="str">
            <v>$1K or Below</v>
          </cell>
          <cell r="AB5016" t="str">
            <v>2010 or before</v>
          </cell>
        </row>
        <row r="5017">
          <cell r="E5017">
            <v>259</v>
          </cell>
          <cell r="Z5017" t="str">
            <v>Legacy</v>
          </cell>
          <cell r="AA5017" t="str">
            <v>$1K or Below</v>
          </cell>
          <cell r="AB5017" t="str">
            <v>2010 or before</v>
          </cell>
        </row>
        <row r="5018">
          <cell r="E5018">
            <v>258.69</v>
          </cell>
          <cell r="Z5018" t="str">
            <v>Legacy</v>
          </cell>
          <cell r="AA5018" t="str">
            <v>$1K or Below</v>
          </cell>
          <cell r="AB5018" t="str">
            <v>2010 or before</v>
          </cell>
        </row>
        <row r="5019">
          <cell r="E5019">
            <v>258.49</v>
          </cell>
          <cell r="Z5019" t="str">
            <v>Legacy</v>
          </cell>
          <cell r="AA5019" t="str">
            <v>$1K or Below</v>
          </cell>
          <cell r="AB5019" t="str">
            <v>2010 or before</v>
          </cell>
        </row>
        <row r="5020">
          <cell r="E5020">
            <v>258.45999999999998</v>
          </cell>
          <cell r="Z5020" t="str">
            <v>Legacy</v>
          </cell>
          <cell r="AA5020" t="str">
            <v>$1K or Below</v>
          </cell>
          <cell r="AB5020" t="str">
            <v>2010 or before</v>
          </cell>
        </row>
        <row r="5021">
          <cell r="E5021">
            <v>257.48</v>
          </cell>
          <cell r="Z5021" t="str">
            <v>Inbound</v>
          </cell>
          <cell r="AA5021" t="str">
            <v>$1K or Below</v>
          </cell>
          <cell r="AB5021">
            <v>2011</v>
          </cell>
        </row>
        <row r="5022">
          <cell r="E5022">
            <v>256.14999999999998</v>
          </cell>
          <cell r="Z5022" t="str">
            <v>Inbound</v>
          </cell>
          <cell r="AA5022" t="str">
            <v>$1K or Below</v>
          </cell>
          <cell r="AB5022">
            <v>2012</v>
          </cell>
        </row>
        <row r="5023">
          <cell r="E5023">
            <v>255.89</v>
          </cell>
          <cell r="Z5023" t="str">
            <v>Legacy</v>
          </cell>
          <cell r="AA5023" t="str">
            <v>$1K or Below</v>
          </cell>
          <cell r="AB5023" t="str">
            <v>2010 or before</v>
          </cell>
        </row>
        <row r="5024">
          <cell r="E5024">
            <v>255.7</v>
          </cell>
          <cell r="Z5024" t="str">
            <v>Legacy</v>
          </cell>
          <cell r="AA5024" t="str">
            <v>$1K or Below</v>
          </cell>
          <cell r="AB5024" t="str">
            <v>2010 or before</v>
          </cell>
        </row>
        <row r="5025">
          <cell r="E5025">
            <v>255.48</v>
          </cell>
          <cell r="Z5025" t="str">
            <v>Legacy</v>
          </cell>
          <cell r="AA5025" t="str">
            <v>$1K or Below</v>
          </cell>
          <cell r="AB5025">
            <v>2012</v>
          </cell>
        </row>
        <row r="5026">
          <cell r="E5026">
            <v>255.41</v>
          </cell>
          <cell r="Z5026" t="str">
            <v>Legacy</v>
          </cell>
          <cell r="AA5026" t="str">
            <v>$1K or Below</v>
          </cell>
          <cell r="AB5026" t="str">
            <v>2010 or before</v>
          </cell>
        </row>
        <row r="5027">
          <cell r="E5027">
            <v>255.15</v>
          </cell>
          <cell r="Z5027" t="str">
            <v>Legacy</v>
          </cell>
          <cell r="AA5027" t="str">
            <v>$1K or Below</v>
          </cell>
          <cell r="AB5027" t="str">
            <v>2010 or before</v>
          </cell>
        </row>
        <row r="5028">
          <cell r="E5028">
            <v>254.98</v>
          </cell>
          <cell r="Z5028" t="str">
            <v>Legacy</v>
          </cell>
          <cell r="AA5028" t="str">
            <v>$1K or Below</v>
          </cell>
          <cell r="AB5028" t="str">
            <v>2010 or before</v>
          </cell>
        </row>
        <row r="5029">
          <cell r="E5029">
            <v>254.94</v>
          </cell>
          <cell r="Z5029" t="str">
            <v>Legacy</v>
          </cell>
          <cell r="AA5029" t="str">
            <v>$1K or Below</v>
          </cell>
          <cell r="AB5029">
            <v>2011</v>
          </cell>
        </row>
        <row r="5030">
          <cell r="E5030">
            <v>254.94</v>
          </cell>
          <cell r="Z5030" t="str">
            <v>Legacy</v>
          </cell>
          <cell r="AA5030" t="str">
            <v>$1K or Below</v>
          </cell>
          <cell r="AB5030" t="str">
            <v>2010 or before</v>
          </cell>
        </row>
        <row r="5031">
          <cell r="E5031">
            <v>254.5</v>
          </cell>
          <cell r="Z5031" t="str">
            <v>Legacy</v>
          </cell>
          <cell r="AA5031" t="str">
            <v>$1K or Below</v>
          </cell>
          <cell r="AB5031" t="str">
            <v>2010 or before</v>
          </cell>
        </row>
        <row r="5032">
          <cell r="E5032">
            <v>254.38</v>
          </cell>
          <cell r="Z5032" t="str">
            <v>Legacy</v>
          </cell>
          <cell r="AA5032" t="str">
            <v>$1K or Below</v>
          </cell>
          <cell r="AB5032" t="str">
            <v>2010 or before</v>
          </cell>
        </row>
        <row r="5033">
          <cell r="E5033">
            <v>254.23</v>
          </cell>
          <cell r="Z5033" t="str">
            <v>Legacy</v>
          </cell>
          <cell r="AA5033" t="str">
            <v>$1K or Below</v>
          </cell>
          <cell r="AB5033">
            <v>2011</v>
          </cell>
        </row>
        <row r="5034">
          <cell r="E5034">
            <v>254.09</v>
          </cell>
          <cell r="Z5034" t="str">
            <v>Legacy</v>
          </cell>
          <cell r="AA5034" t="str">
            <v>$1K or Below</v>
          </cell>
          <cell r="AB5034" t="str">
            <v>2010 or before</v>
          </cell>
        </row>
        <row r="5035">
          <cell r="E5035">
            <v>254.05</v>
          </cell>
          <cell r="Z5035" t="str">
            <v>Legacy</v>
          </cell>
          <cell r="AA5035" t="str">
            <v>$1K or Below</v>
          </cell>
          <cell r="AB5035" t="str">
            <v>2010 or before</v>
          </cell>
        </row>
        <row r="5036">
          <cell r="E5036">
            <v>253.62</v>
          </cell>
          <cell r="Z5036" t="str">
            <v>Legacy</v>
          </cell>
          <cell r="AA5036" t="str">
            <v>$1K or Below</v>
          </cell>
          <cell r="AB5036" t="str">
            <v>2010 or before</v>
          </cell>
        </row>
        <row r="5037">
          <cell r="E5037">
            <v>253.61</v>
          </cell>
          <cell r="Z5037" t="str">
            <v>Legacy</v>
          </cell>
          <cell r="AA5037" t="str">
            <v>$1K or Below</v>
          </cell>
          <cell r="AB5037" t="str">
            <v>2010 or before</v>
          </cell>
        </row>
        <row r="5038">
          <cell r="E5038">
            <v>253.5</v>
          </cell>
          <cell r="Z5038" t="str">
            <v>Legacy</v>
          </cell>
          <cell r="AA5038" t="str">
            <v>$1K or Below</v>
          </cell>
          <cell r="AB5038">
            <v>2012</v>
          </cell>
        </row>
        <row r="5039">
          <cell r="E5039">
            <v>253.35</v>
          </cell>
          <cell r="Z5039" t="str">
            <v>Legacy</v>
          </cell>
          <cell r="AA5039" t="str">
            <v>$1K or Below</v>
          </cell>
          <cell r="AB5039" t="str">
            <v>2010 or before</v>
          </cell>
        </row>
        <row r="5040">
          <cell r="E5040">
            <v>253.04</v>
          </cell>
          <cell r="Z5040" t="str">
            <v>Legacy</v>
          </cell>
          <cell r="AA5040" t="str">
            <v>$1K or Below</v>
          </cell>
          <cell r="AB5040">
            <v>2011</v>
          </cell>
        </row>
        <row r="5041">
          <cell r="E5041">
            <v>252.75</v>
          </cell>
          <cell r="Z5041" t="str">
            <v>Legacy</v>
          </cell>
          <cell r="AA5041" t="str">
            <v>$1K or Below</v>
          </cell>
          <cell r="AB5041" t="str">
            <v>2010 or before</v>
          </cell>
        </row>
        <row r="5042">
          <cell r="E5042">
            <v>252.45</v>
          </cell>
          <cell r="Z5042" t="str">
            <v>Legacy</v>
          </cell>
          <cell r="AA5042" t="str">
            <v>$1K or Below</v>
          </cell>
          <cell r="AB5042" t="str">
            <v>2010 or before</v>
          </cell>
        </row>
        <row r="5043">
          <cell r="E5043">
            <v>252.29</v>
          </cell>
          <cell r="Z5043" t="str">
            <v>Legacy</v>
          </cell>
          <cell r="AA5043" t="str">
            <v>$1K or Below</v>
          </cell>
          <cell r="AB5043" t="str">
            <v>2010 or before</v>
          </cell>
        </row>
        <row r="5044">
          <cell r="E5044">
            <v>251.59</v>
          </cell>
          <cell r="Z5044" t="str">
            <v>Ungating</v>
          </cell>
          <cell r="AA5044" t="str">
            <v>$1K or Below</v>
          </cell>
          <cell r="AB5044">
            <v>2012</v>
          </cell>
        </row>
        <row r="5045">
          <cell r="E5045">
            <v>251.47</v>
          </cell>
          <cell r="Z5045" t="str">
            <v>Legacy</v>
          </cell>
          <cell r="AA5045" t="str">
            <v>$1K or Below</v>
          </cell>
          <cell r="AB5045" t="str">
            <v>2010 or before</v>
          </cell>
        </row>
        <row r="5046">
          <cell r="E5046">
            <v>251.29</v>
          </cell>
          <cell r="Z5046" t="str">
            <v>Legacy</v>
          </cell>
          <cell r="AA5046" t="str">
            <v>$1K or Below</v>
          </cell>
          <cell r="AB5046" t="str">
            <v>2010 or before</v>
          </cell>
        </row>
        <row r="5047">
          <cell r="E5047">
            <v>250.69</v>
          </cell>
          <cell r="Z5047" t="str">
            <v>Legacy</v>
          </cell>
          <cell r="AA5047" t="str">
            <v>$1K or Below</v>
          </cell>
          <cell r="AB5047">
            <v>2012</v>
          </cell>
        </row>
        <row r="5048">
          <cell r="E5048">
            <v>250.44</v>
          </cell>
          <cell r="Z5048" t="str">
            <v>Legacy</v>
          </cell>
          <cell r="AA5048" t="str">
            <v>$1K or Below</v>
          </cell>
          <cell r="AB5048">
            <v>2012</v>
          </cell>
        </row>
        <row r="5049">
          <cell r="E5049">
            <v>250.18</v>
          </cell>
          <cell r="Z5049" t="str">
            <v>Legacy</v>
          </cell>
          <cell r="AA5049" t="str">
            <v>$1K or Below</v>
          </cell>
          <cell r="AB5049" t="str">
            <v>2010 or before</v>
          </cell>
        </row>
        <row r="5050">
          <cell r="E5050">
            <v>250</v>
          </cell>
          <cell r="Z5050" t="str">
            <v>Outbound</v>
          </cell>
          <cell r="AA5050" t="str">
            <v>$1K or Below</v>
          </cell>
          <cell r="AB5050">
            <v>2012</v>
          </cell>
        </row>
        <row r="5051">
          <cell r="E5051">
            <v>249.99</v>
          </cell>
          <cell r="Z5051" t="str">
            <v>Legacy</v>
          </cell>
          <cell r="AA5051" t="str">
            <v>$1K or Below</v>
          </cell>
          <cell r="AB5051" t="str">
            <v>2010 or before</v>
          </cell>
        </row>
        <row r="5052">
          <cell r="E5052">
            <v>249.96</v>
          </cell>
          <cell r="Z5052" t="str">
            <v>Legacy</v>
          </cell>
          <cell r="AA5052" t="str">
            <v>$1K or Below</v>
          </cell>
          <cell r="AB5052" t="str">
            <v>2010 or before</v>
          </cell>
        </row>
        <row r="5053">
          <cell r="E5053">
            <v>249.66</v>
          </cell>
          <cell r="Z5053" t="str">
            <v>Legacy</v>
          </cell>
          <cell r="AA5053" t="str">
            <v>$1K or Below</v>
          </cell>
          <cell r="AB5053" t="str">
            <v>2010 or before</v>
          </cell>
        </row>
        <row r="5054">
          <cell r="E5054">
            <v>249.55</v>
          </cell>
          <cell r="Z5054" t="str">
            <v>Inbound</v>
          </cell>
          <cell r="AA5054" t="str">
            <v>$1K or Below</v>
          </cell>
          <cell r="AB5054">
            <v>2013</v>
          </cell>
        </row>
        <row r="5055">
          <cell r="E5055">
            <v>249.45</v>
          </cell>
          <cell r="Z5055" t="str">
            <v>Legacy</v>
          </cell>
          <cell r="AA5055" t="str">
            <v>$1K or Below</v>
          </cell>
          <cell r="AB5055" t="str">
            <v>2010 or before</v>
          </cell>
        </row>
        <row r="5056">
          <cell r="E5056">
            <v>249.43</v>
          </cell>
          <cell r="Z5056" t="str">
            <v>Legacy</v>
          </cell>
          <cell r="AA5056" t="str">
            <v>$1K or Below</v>
          </cell>
          <cell r="AB5056" t="str">
            <v>2010 or before</v>
          </cell>
        </row>
        <row r="5057">
          <cell r="E5057">
            <v>249.42</v>
          </cell>
          <cell r="Z5057" t="str">
            <v>Legacy</v>
          </cell>
          <cell r="AA5057" t="str">
            <v>$1K or Below</v>
          </cell>
          <cell r="AB5057">
            <v>2011</v>
          </cell>
        </row>
        <row r="5058">
          <cell r="E5058">
            <v>248.9</v>
          </cell>
          <cell r="Z5058" t="str">
            <v>Legacy</v>
          </cell>
          <cell r="AA5058" t="str">
            <v>$1K or Below</v>
          </cell>
          <cell r="AB5058">
            <v>2011</v>
          </cell>
        </row>
        <row r="5059">
          <cell r="E5059">
            <v>248.2</v>
          </cell>
          <cell r="Z5059" t="str">
            <v>Legacy</v>
          </cell>
          <cell r="AA5059" t="str">
            <v>$1K or Below</v>
          </cell>
          <cell r="AB5059" t="str">
            <v>2010 or before</v>
          </cell>
        </row>
        <row r="5060">
          <cell r="E5060">
            <v>247.85</v>
          </cell>
          <cell r="Z5060" t="str">
            <v>Legacy</v>
          </cell>
          <cell r="AA5060" t="str">
            <v>$1K or Below</v>
          </cell>
          <cell r="AB5060" t="str">
            <v>2010 or before</v>
          </cell>
        </row>
        <row r="5061">
          <cell r="E5061">
            <v>247.39</v>
          </cell>
          <cell r="Z5061" t="str">
            <v>Legacy</v>
          </cell>
          <cell r="AA5061" t="str">
            <v>$1K or Below</v>
          </cell>
          <cell r="AB5061" t="str">
            <v>2010 or before</v>
          </cell>
        </row>
        <row r="5062">
          <cell r="E5062">
            <v>247.22</v>
          </cell>
          <cell r="Z5062" t="str">
            <v>Legacy</v>
          </cell>
          <cell r="AA5062" t="str">
            <v>$1K or Below</v>
          </cell>
          <cell r="AB5062" t="str">
            <v>2010 or before</v>
          </cell>
        </row>
        <row r="5063">
          <cell r="E5063">
            <v>247.05</v>
          </cell>
          <cell r="Z5063" t="str">
            <v>Legacy</v>
          </cell>
          <cell r="AA5063" t="str">
            <v>$1K or Below</v>
          </cell>
          <cell r="AB5063">
            <v>2011</v>
          </cell>
        </row>
        <row r="5064">
          <cell r="E5064">
            <v>247</v>
          </cell>
          <cell r="Z5064" t="str">
            <v>Legacy</v>
          </cell>
          <cell r="AA5064" t="str">
            <v>$1K or Below</v>
          </cell>
          <cell r="AB5064" t="str">
            <v>2010 or before</v>
          </cell>
        </row>
        <row r="5065">
          <cell r="E5065">
            <v>247</v>
          </cell>
          <cell r="Z5065" t="str">
            <v>Legacy</v>
          </cell>
          <cell r="AA5065" t="str">
            <v>$1K or Below</v>
          </cell>
          <cell r="AB5065" t="str">
            <v>2010 or before</v>
          </cell>
        </row>
        <row r="5066">
          <cell r="E5066">
            <v>246.94</v>
          </cell>
          <cell r="Z5066" t="str">
            <v>Legacy</v>
          </cell>
          <cell r="AA5066" t="str">
            <v>$1K or Below</v>
          </cell>
          <cell r="AB5066" t="str">
            <v>2010 or before</v>
          </cell>
        </row>
        <row r="5067">
          <cell r="E5067">
            <v>246.79</v>
          </cell>
          <cell r="Z5067" t="str">
            <v>Ungating</v>
          </cell>
          <cell r="AA5067" t="str">
            <v>$1K or Below</v>
          </cell>
          <cell r="AB5067">
            <v>2011</v>
          </cell>
        </row>
        <row r="5068">
          <cell r="E5068">
            <v>246.79</v>
          </cell>
          <cell r="Z5068" t="str">
            <v>Legacy</v>
          </cell>
          <cell r="AA5068" t="str">
            <v>$1K or Below</v>
          </cell>
          <cell r="AB5068" t="str">
            <v>2010 or before</v>
          </cell>
        </row>
        <row r="5069">
          <cell r="E5069">
            <v>246.7</v>
          </cell>
          <cell r="Z5069" t="str">
            <v>Legacy</v>
          </cell>
          <cell r="AA5069" t="str">
            <v>$1K or Below</v>
          </cell>
          <cell r="AB5069" t="str">
            <v>2010 or before</v>
          </cell>
        </row>
        <row r="5070">
          <cell r="E5070">
            <v>246.32</v>
          </cell>
          <cell r="Z5070" t="str">
            <v>Legacy</v>
          </cell>
          <cell r="AA5070" t="str">
            <v>$1K or Below</v>
          </cell>
          <cell r="AB5070">
            <v>2011</v>
          </cell>
        </row>
        <row r="5071">
          <cell r="E5071">
            <v>245.96</v>
          </cell>
          <cell r="Z5071" t="str">
            <v>Legacy</v>
          </cell>
          <cell r="AA5071" t="str">
            <v>$1K or Below</v>
          </cell>
          <cell r="AB5071">
            <v>2011</v>
          </cell>
        </row>
        <row r="5072">
          <cell r="E5072">
            <v>245.82</v>
          </cell>
          <cell r="Z5072" t="str">
            <v>Legacy</v>
          </cell>
          <cell r="AA5072" t="str">
            <v>$1K or Below</v>
          </cell>
          <cell r="AB5072" t="str">
            <v>2010 or before</v>
          </cell>
        </row>
        <row r="5073">
          <cell r="E5073">
            <v>245.81</v>
          </cell>
          <cell r="Z5073" t="str">
            <v>Legacy</v>
          </cell>
          <cell r="AA5073" t="str">
            <v>$1K or Below</v>
          </cell>
          <cell r="AB5073" t="str">
            <v>2010 or before</v>
          </cell>
        </row>
        <row r="5074">
          <cell r="E5074">
            <v>245.81</v>
          </cell>
          <cell r="Z5074" t="str">
            <v>Legacy</v>
          </cell>
          <cell r="AA5074" t="str">
            <v>$1K or Below</v>
          </cell>
          <cell r="AB5074" t="str">
            <v>2010 or before</v>
          </cell>
        </row>
        <row r="5075">
          <cell r="E5075">
            <v>245.17</v>
          </cell>
          <cell r="Z5075" t="str">
            <v>Legacy</v>
          </cell>
          <cell r="AA5075" t="str">
            <v>$1K or Below</v>
          </cell>
          <cell r="AB5075" t="str">
            <v>2010 or before</v>
          </cell>
        </row>
        <row r="5076">
          <cell r="E5076">
            <v>245.16</v>
          </cell>
          <cell r="Z5076" t="str">
            <v>Legacy</v>
          </cell>
          <cell r="AA5076" t="str">
            <v>$1K or Below</v>
          </cell>
          <cell r="AB5076" t="str">
            <v>2010 or before</v>
          </cell>
        </row>
        <row r="5077">
          <cell r="E5077">
            <v>245.13</v>
          </cell>
          <cell r="Z5077" t="str">
            <v>Legacy</v>
          </cell>
          <cell r="AA5077" t="str">
            <v>$1K or Below</v>
          </cell>
          <cell r="AB5077" t="str">
            <v>2010 or before</v>
          </cell>
        </row>
        <row r="5078">
          <cell r="E5078">
            <v>244.84</v>
          </cell>
          <cell r="Z5078" t="str">
            <v>Ungating</v>
          </cell>
          <cell r="AA5078" t="str">
            <v>$1K or Below</v>
          </cell>
          <cell r="AB5078">
            <v>2013</v>
          </cell>
        </row>
        <row r="5079">
          <cell r="E5079">
            <v>244.12</v>
          </cell>
          <cell r="Z5079" t="str">
            <v>Legacy</v>
          </cell>
          <cell r="AA5079" t="str">
            <v>$1K or Below</v>
          </cell>
          <cell r="AB5079" t="str">
            <v>2010 or before</v>
          </cell>
        </row>
        <row r="5080">
          <cell r="E5080">
            <v>244</v>
          </cell>
          <cell r="Z5080" t="str">
            <v>Legacy</v>
          </cell>
          <cell r="AA5080" t="str">
            <v>$1K or Below</v>
          </cell>
          <cell r="AB5080" t="str">
            <v>2010 or before</v>
          </cell>
        </row>
        <row r="5081">
          <cell r="E5081">
            <v>243.65</v>
          </cell>
          <cell r="Z5081" t="str">
            <v>Legacy</v>
          </cell>
          <cell r="AA5081" t="str">
            <v>$1K or Below</v>
          </cell>
          <cell r="AB5081" t="str">
            <v>2010 or before</v>
          </cell>
        </row>
        <row r="5082">
          <cell r="E5082">
            <v>243.55</v>
          </cell>
          <cell r="Z5082" t="str">
            <v>Legacy</v>
          </cell>
          <cell r="AA5082" t="str">
            <v>$1K or Below</v>
          </cell>
          <cell r="AB5082" t="str">
            <v>2010 or before</v>
          </cell>
        </row>
        <row r="5083">
          <cell r="E5083">
            <v>242.94</v>
          </cell>
          <cell r="Z5083" t="str">
            <v>Legacy</v>
          </cell>
          <cell r="AA5083" t="str">
            <v>$1K or Below</v>
          </cell>
          <cell r="AB5083" t="str">
            <v>2010 or before</v>
          </cell>
        </row>
        <row r="5084">
          <cell r="E5084">
            <v>242.91</v>
          </cell>
          <cell r="Z5084" t="str">
            <v>Legacy</v>
          </cell>
          <cell r="AA5084" t="str">
            <v>$1K or Below</v>
          </cell>
          <cell r="AB5084" t="str">
            <v>2010 or before</v>
          </cell>
        </row>
        <row r="5085">
          <cell r="E5085">
            <v>242.76</v>
          </cell>
          <cell r="Z5085" t="str">
            <v>Legacy</v>
          </cell>
          <cell r="AA5085" t="str">
            <v>$1K or Below</v>
          </cell>
          <cell r="AB5085" t="str">
            <v>2010 or before</v>
          </cell>
        </row>
        <row r="5086">
          <cell r="E5086">
            <v>242.7</v>
          </cell>
          <cell r="Z5086" t="str">
            <v>Legacy</v>
          </cell>
          <cell r="AA5086" t="str">
            <v>$1K or Below</v>
          </cell>
          <cell r="AB5086" t="str">
            <v>2010 or before</v>
          </cell>
        </row>
        <row r="5087">
          <cell r="E5087">
            <v>242.55</v>
          </cell>
          <cell r="Z5087" t="str">
            <v>Legacy</v>
          </cell>
          <cell r="AA5087" t="str">
            <v>$1K or Below</v>
          </cell>
          <cell r="AB5087">
            <v>2011</v>
          </cell>
        </row>
        <row r="5088">
          <cell r="E5088">
            <v>242.01</v>
          </cell>
          <cell r="Z5088" t="str">
            <v>Legacy</v>
          </cell>
          <cell r="AA5088" t="str">
            <v>$1K or Below</v>
          </cell>
          <cell r="AB5088">
            <v>2011</v>
          </cell>
        </row>
        <row r="5089">
          <cell r="E5089">
            <v>242</v>
          </cell>
          <cell r="Z5089" t="str">
            <v>Inbound</v>
          </cell>
          <cell r="AA5089" t="str">
            <v>$1K or Below</v>
          </cell>
          <cell r="AB5089">
            <v>2012</v>
          </cell>
        </row>
        <row r="5090">
          <cell r="E5090">
            <v>241.93</v>
          </cell>
          <cell r="Z5090" t="str">
            <v>Legacy</v>
          </cell>
          <cell r="AA5090" t="str">
            <v>$1K or Below</v>
          </cell>
          <cell r="AB5090" t="str">
            <v>2010 or before</v>
          </cell>
        </row>
        <row r="5091">
          <cell r="E5091">
            <v>241.43</v>
          </cell>
          <cell r="Z5091" t="str">
            <v>Legacy</v>
          </cell>
          <cell r="AA5091" t="str">
            <v>$1K or Below</v>
          </cell>
          <cell r="AB5091">
            <v>2011</v>
          </cell>
        </row>
        <row r="5092">
          <cell r="E5092">
            <v>240.9</v>
          </cell>
          <cell r="Z5092" t="str">
            <v>Legacy</v>
          </cell>
          <cell r="AA5092" t="str">
            <v>$1K or Below</v>
          </cell>
          <cell r="AB5092" t="str">
            <v>2010 or before</v>
          </cell>
        </row>
        <row r="5093">
          <cell r="E5093">
            <v>240.89</v>
          </cell>
          <cell r="Z5093" t="str">
            <v>Legacy</v>
          </cell>
          <cell r="AA5093" t="str">
            <v>$1K or Below</v>
          </cell>
          <cell r="AB5093" t="str">
            <v>2010 or before</v>
          </cell>
        </row>
        <row r="5094">
          <cell r="E5094">
            <v>240.77</v>
          </cell>
          <cell r="Z5094" t="str">
            <v>Legacy</v>
          </cell>
          <cell r="AA5094" t="str">
            <v>$1K or Below</v>
          </cell>
          <cell r="AB5094">
            <v>2011</v>
          </cell>
        </row>
        <row r="5095">
          <cell r="E5095">
            <v>240.3</v>
          </cell>
          <cell r="Z5095" t="str">
            <v>Legacy</v>
          </cell>
          <cell r="AA5095" t="str">
            <v>$1K or Below</v>
          </cell>
          <cell r="AB5095" t="str">
            <v>2010 or before</v>
          </cell>
        </row>
        <row r="5096">
          <cell r="E5096">
            <v>240.23</v>
          </cell>
          <cell r="Z5096" t="str">
            <v>Legacy</v>
          </cell>
          <cell r="AA5096" t="str">
            <v>$1K or Below</v>
          </cell>
          <cell r="AB5096" t="str">
            <v>2010 or before</v>
          </cell>
        </row>
        <row r="5097">
          <cell r="E5097">
            <v>240</v>
          </cell>
          <cell r="Z5097" t="str">
            <v>Legacy</v>
          </cell>
          <cell r="AA5097" t="str">
            <v>$1K or Below</v>
          </cell>
          <cell r="AB5097">
            <v>2012</v>
          </cell>
        </row>
        <row r="5098">
          <cell r="E5098">
            <v>240</v>
          </cell>
          <cell r="Z5098" t="str">
            <v>Ungating</v>
          </cell>
          <cell r="AA5098" t="str">
            <v>$1K or Below</v>
          </cell>
          <cell r="AB5098">
            <v>2012</v>
          </cell>
        </row>
        <row r="5099">
          <cell r="E5099">
            <v>239.87</v>
          </cell>
          <cell r="Z5099" t="str">
            <v>Legacy</v>
          </cell>
          <cell r="AA5099" t="str">
            <v>$1K or Below</v>
          </cell>
          <cell r="AB5099" t="str">
            <v>2010 or before</v>
          </cell>
        </row>
        <row r="5100">
          <cell r="E5100">
            <v>239.16</v>
          </cell>
          <cell r="Z5100" t="str">
            <v>Legacy</v>
          </cell>
          <cell r="AA5100" t="str">
            <v>$1K or Below</v>
          </cell>
          <cell r="AB5100" t="str">
            <v>2010 or before</v>
          </cell>
        </row>
        <row r="5101">
          <cell r="E5101">
            <v>238.7</v>
          </cell>
          <cell r="Z5101" t="str">
            <v>Legacy</v>
          </cell>
          <cell r="AA5101" t="str">
            <v>$1K or Below</v>
          </cell>
          <cell r="AB5101" t="str">
            <v>2010 or before</v>
          </cell>
        </row>
        <row r="5102">
          <cell r="E5102">
            <v>238.45</v>
          </cell>
          <cell r="Z5102" t="str">
            <v>Legacy</v>
          </cell>
          <cell r="AA5102" t="str">
            <v>$1K or Below</v>
          </cell>
          <cell r="AB5102" t="str">
            <v>2010 or before</v>
          </cell>
        </row>
        <row r="5103">
          <cell r="E5103">
            <v>238.1</v>
          </cell>
          <cell r="Z5103" t="str">
            <v>Legacy</v>
          </cell>
          <cell r="AA5103" t="str">
            <v>$1K or Below</v>
          </cell>
          <cell r="AB5103">
            <v>2012</v>
          </cell>
        </row>
        <row r="5104">
          <cell r="E5104">
            <v>238</v>
          </cell>
          <cell r="Z5104" t="str">
            <v>Legacy</v>
          </cell>
          <cell r="AA5104" t="str">
            <v>$1K or Below</v>
          </cell>
          <cell r="AB5104" t="str">
            <v>2010 or before</v>
          </cell>
        </row>
        <row r="5105">
          <cell r="E5105">
            <v>237.92</v>
          </cell>
          <cell r="Z5105" t="str">
            <v>Legacy</v>
          </cell>
          <cell r="AA5105" t="str">
            <v>$1K or Below</v>
          </cell>
          <cell r="AB5105" t="str">
            <v>2010 or before</v>
          </cell>
        </row>
        <row r="5106">
          <cell r="E5106">
            <v>237.65</v>
          </cell>
          <cell r="Z5106" t="str">
            <v>Legacy</v>
          </cell>
          <cell r="AA5106" t="str">
            <v>$1K or Below</v>
          </cell>
          <cell r="AB5106" t="str">
            <v>2010 or before</v>
          </cell>
        </row>
        <row r="5107">
          <cell r="E5107">
            <v>237.64</v>
          </cell>
          <cell r="Z5107" t="str">
            <v>Legacy</v>
          </cell>
          <cell r="AA5107" t="str">
            <v>$1K or Below</v>
          </cell>
          <cell r="AB5107">
            <v>2011</v>
          </cell>
        </row>
        <row r="5108">
          <cell r="E5108">
            <v>237.05</v>
          </cell>
          <cell r="Z5108" t="str">
            <v>Legacy</v>
          </cell>
          <cell r="AA5108" t="str">
            <v>$1K or Below</v>
          </cell>
          <cell r="AB5108" t="str">
            <v>2010 or before</v>
          </cell>
        </row>
        <row r="5109">
          <cell r="E5109">
            <v>236.97</v>
          </cell>
          <cell r="Z5109" t="str">
            <v>Legacy</v>
          </cell>
          <cell r="AA5109" t="str">
            <v>$1K or Below</v>
          </cell>
          <cell r="AB5109" t="str">
            <v>2010 or before</v>
          </cell>
        </row>
        <row r="5110">
          <cell r="E5110">
            <v>236.97</v>
          </cell>
          <cell r="Z5110" t="str">
            <v>Legacy</v>
          </cell>
          <cell r="AA5110" t="str">
            <v>$1K or Below</v>
          </cell>
          <cell r="AB5110" t="str">
            <v>2010 or before</v>
          </cell>
        </row>
        <row r="5111">
          <cell r="E5111">
            <v>236.79</v>
          </cell>
          <cell r="Z5111" t="str">
            <v>Legacy</v>
          </cell>
          <cell r="AA5111" t="str">
            <v>$1K or Below</v>
          </cell>
          <cell r="AB5111" t="str">
            <v>2010 or before</v>
          </cell>
        </row>
        <row r="5112">
          <cell r="E5112">
            <v>236.71</v>
          </cell>
          <cell r="Z5112" t="str">
            <v>Legacy</v>
          </cell>
          <cell r="AA5112" t="str">
            <v>$1K or Below</v>
          </cell>
          <cell r="AB5112" t="str">
            <v>2010 or before</v>
          </cell>
        </row>
        <row r="5113">
          <cell r="E5113">
            <v>236.62</v>
          </cell>
          <cell r="Z5113" t="str">
            <v>Legacy</v>
          </cell>
          <cell r="AA5113" t="str">
            <v>$1K or Below</v>
          </cell>
          <cell r="AB5113" t="str">
            <v>2010 or before</v>
          </cell>
        </row>
        <row r="5114">
          <cell r="E5114">
            <v>235.95</v>
          </cell>
          <cell r="Z5114" t="str">
            <v>Legacy</v>
          </cell>
          <cell r="AA5114" t="str">
            <v>$1K or Below</v>
          </cell>
          <cell r="AB5114" t="str">
            <v>2010 or before</v>
          </cell>
        </row>
        <row r="5115">
          <cell r="E5115">
            <v>235.86</v>
          </cell>
          <cell r="Z5115" t="str">
            <v>Legacy</v>
          </cell>
          <cell r="AA5115" t="str">
            <v>$1K or Below</v>
          </cell>
          <cell r="AB5115">
            <v>2011</v>
          </cell>
        </row>
        <row r="5116">
          <cell r="E5116">
            <v>235.44</v>
          </cell>
          <cell r="Z5116" t="str">
            <v>Legacy</v>
          </cell>
          <cell r="AA5116" t="str">
            <v>$1K or Below</v>
          </cell>
          <cell r="AB5116" t="str">
            <v>2010 or before</v>
          </cell>
        </row>
        <row r="5117">
          <cell r="E5117">
            <v>235.25</v>
          </cell>
          <cell r="Z5117" t="str">
            <v>Legacy</v>
          </cell>
          <cell r="AA5117" t="str">
            <v>$1K or Below</v>
          </cell>
          <cell r="AB5117" t="str">
            <v>2010 or before</v>
          </cell>
        </row>
        <row r="5118">
          <cell r="E5118">
            <v>235.16</v>
          </cell>
          <cell r="Z5118" t="str">
            <v>Inbound</v>
          </cell>
          <cell r="AA5118" t="str">
            <v>$1K or Below</v>
          </cell>
          <cell r="AB5118">
            <v>2011</v>
          </cell>
        </row>
        <row r="5119">
          <cell r="E5119">
            <v>234.93</v>
          </cell>
          <cell r="Z5119" t="str">
            <v>Ungating</v>
          </cell>
          <cell r="AA5119" t="str">
            <v>$1K or Below</v>
          </cell>
          <cell r="AB5119">
            <v>2012</v>
          </cell>
        </row>
        <row r="5120">
          <cell r="E5120">
            <v>234.82</v>
          </cell>
          <cell r="Z5120" t="str">
            <v>Legacy</v>
          </cell>
          <cell r="AA5120" t="str">
            <v>$1K or Below</v>
          </cell>
          <cell r="AB5120" t="str">
            <v>2010 or before</v>
          </cell>
        </row>
        <row r="5121">
          <cell r="E5121">
            <v>234.62</v>
          </cell>
          <cell r="Z5121" t="str">
            <v>Legacy</v>
          </cell>
          <cell r="AA5121" t="str">
            <v>$1K or Below</v>
          </cell>
          <cell r="AB5121" t="str">
            <v>2010 or before</v>
          </cell>
        </row>
        <row r="5122">
          <cell r="E5122">
            <v>234.44</v>
          </cell>
          <cell r="Z5122" t="str">
            <v>Legacy</v>
          </cell>
          <cell r="AA5122" t="str">
            <v>$1K or Below</v>
          </cell>
          <cell r="AB5122" t="str">
            <v>2010 or before</v>
          </cell>
        </row>
        <row r="5123">
          <cell r="E5123">
            <v>233.95</v>
          </cell>
          <cell r="Z5123" t="str">
            <v>Legacy</v>
          </cell>
          <cell r="AA5123" t="str">
            <v>$1K or Below</v>
          </cell>
          <cell r="AB5123" t="str">
            <v>2010 or before</v>
          </cell>
        </row>
        <row r="5124">
          <cell r="E5124">
            <v>233.53</v>
          </cell>
          <cell r="Z5124" t="str">
            <v>Legacy</v>
          </cell>
          <cell r="AA5124" t="str">
            <v>$1K or Below</v>
          </cell>
          <cell r="AB5124" t="str">
            <v>2010 or before</v>
          </cell>
        </row>
        <row r="5125">
          <cell r="E5125">
            <v>233.48</v>
          </cell>
          <cell r="Z5125" t="str">
            <v>Legacy</v>
          </cell>
          <cell r="AA5125" t="str">
            <v>$1K or Below</v>
          </cell>
          <cell r="AB5125" t="str">
            <v>2010 or before</v>
          </cell>
        </row>
        <row r="5126">
          <cell r="E5126">
            <v>232.95</v>
          </cell>
          <cell r="Z5126" t="str">
            <v>Legacy</v>
          </cell>
          <cell r="AA5126" t="str">
            <v>$1K or Below</v>
          </cell>
          <cell r="AB5126" t="str">
            <v>2010 or before</v>
          </cell>
        </row>
        <row r="5127">
          <cell r="E5127">
            <v>232.68</v>
          </cell>
          <cell r="Z5127" t="str">
            <v>Legacy</v>
          </cell>
          <cell r="AA5127" t="str">
            <v>$1K or Below</v>
          </cell>
          <cell r="AB5127" t="str">
            <v>2010 or before</v>
          </cell>
        </row>
        <row r="5128">
          <cell r="E5128">
            <v>231.62</v>
          </cell>
          <cell r="Z5128" t="str">
            <v>Ungating</v>
          </cell>
          <cell r="AA5128" t="str">
            <v>$1K or Below</v>
          </cell>
          <cell r="AB5128">
            <v>2011</v>
          </cell>
        </row>
        <row r="5129">
          <cell r="E5129">
            <v>231.62</v>
          </cell>
          <cell r="Z5129" t="str">
            <v>Legacy</v>
          </cell>
          <cell r="AA5129" t="str">
            <v>$1K or Below</v>
          </cell>
          <cell r="AB5129" t="str">
            <v>2010 or before</v>
          </cell>
        </row>
        <row r="5130">
          <cell r="E5130">
            <v>231</v>
          </cell>
          <cell r="Z5130" t="str">
            <v>Legacy</v>
          </cell>
          <cell r="AA5130" t="str">
            <v>$1K or Below</v>
          </cell>
          <cell r="AB5130" t="str">
            <v>2010 or before</v>
          </cell>
        </row>
        <row r="5131">
          <cell r="E5131">
            <v>230.98</v>
          </cell>
          <cell r="Z5131" t="str">
            <v>Legacy</v>
          </cell>
          <cell r="AA5131" t="str">
            <v>$1K or Below</v>
          </cell>
          <cell r="AB5131" t="str">
            <v>2010 or before</v>
          </cell>
        </row>
        <row r="5132">
          <cell r="E5132">
            <v>230.95</v>
          </cell>
          <cell r="Z5132" t="str">
            <v>Legacy</v>
          </cell>
          <cell r="AA5132" t="str">
            <v>$1K or Below</v>
          </cell>
          <cell r="AB5132" t="str">
            <v>2010 or before</v>
          </cell>
        </row>
        <row r="5133">
          <cell r="E5133">
            <v>230.55</v>
          </cell>
          <cell r="Z5133" t="str">
            <v>Legacy</v>
          </cell>
          <cell r="AA5133" t="str">
            <v>$1K or Below</v>
          </cell>
          <cell r="AB5133" t="str">
            <v>2010 or before</v>
          </cell>
        </row>
        <row r="5134">
          <cell r="E5134">
            <v>230.13</v>
          </cell>
          <cell r="Z5134" t="str">
            <v>Legacy</v>
          </cell>
          <cell r="AA5134" t="str">
            <v>$1K or Below</v>
          </cell>
          <cell r="AB5134" t="str">
            <v>2010 or before</v>
          </cell>
        </row>
        <row r="5135">
          <cell r="E5135">
            <v>230</v>
          </cell>
          <cell r="Z5135" t="str">
            <v>Outbound</v>
          </cell>
          <cell r="AA5135" t="str">
            <v>$1K or Below</v>
          </cell>
          <cell r="AB5135">
            <v>2012</v>
          </cell>
        </row>
        <row r="5136">
          <cell r="E5136">
            <v>230</v>
          </cell>
          <cell r="Z5136" t="str">
            <v>Legacy</v>
          </cell>
          <cell r="AA5136" t="str">
            <v>$1K or Below</v>
          </cell>
          <cell r="AB5136" t="str">
            <v>2010 or before</v>
          </cell>
        </row>
        <row r="5137">
          <cell r="E5137">
            <v>229.98</v>
          </cell>
          <cell r="Z5137" t="str">
            <v>Legacy</v>
          </cell>
          <cell r="AA5137" t="str">
            <v>$1K or Below</v>
          </cell>
          <cell r="AB5137" t="str">
            <v>2010 or before</v>
          </cell>
        </row>
        <row r="5138">
          <cell r="E5138">
            <v>229.72</v>
          </cell>
          <cell r="Z5138" t="str">
            <v>Legacy</v>
          </cell>
          <cell r="AA5138" t="str">
            <v>$1K or Below</v>
          </cell>
          <cell r="AB5138" t="str">
            <v>2010 or before</v>
          </cell>
        </row>
        <row r="5139">
          <cell r="E5139">
            <v>229.05</v>
          </cell>
          <cell r="Z5139" t="str">
            <v>Legacy</v>
          </cell>
          <cell r="AA5139" t="str">
            <v>$1K or Below</v>
          </cell>
          <cell r="AB5139" t="str">
            <v>2010 or before</v>
          </cell>
        </row>
        <row r="5140">
          <cell r="E5140">
            <v>228.95</v>
          </cell>
          <cell r="Z5140" t="str">
            <v>Legacy</v>
          </cell>
          <cell r="AA5140" t="str">
            <v>$1K or Below</v>
          </cell>
          <cell r="AB5140" t="str">
            <v>2010 or before</v>
          </cell>
        </row>
        <row r="5141">
          <cell r="E5141">
            <v>228.71</v>
          </cell>
          <cell r="Z5141" t="str">
            <v>Legacy</v>
          </cell>
          <cell r="AA5141" t="str">
            <v>$1K or Below</v>
          </cell>
          <cell r="AB5141" t="str">
            <v>2010 or before</v>
          </cell>
        </row>
        <row r="5142">
          <cell r="E5142">
            <v>228.61</v>
          </cell>
          <cell r="Z5142" t="str">
            <v>Legacy</v>
          </cell>
          <cell r="AA5142" t="str">
            <v>$1K or Below</v>
          </cell>
          <cell r="AB5142" t="str">
            <v>2010 or before</v>
          </cell>
        </row>
        <row r="5143">
          <cell r="E5143">
            <v>228.61</v>
          </cell>
          <cell r="Z5143" t="str">
            <v>Legacy</v>
          </cell>
          <cell r="AA5143" t="str">
            <v>$1K or Below</v>
          </cell>
          <cell r="AB5143" t="str">
            <v>2010 or before</v>
          </cell>
        </row>
        <row r="5144">
          <cell r="E5144">
            <v>227.63</v>
          </cell>
          <cell r="Z5144" t="str">
            <v>Legacy</v>
          </cell>
          <cell r="AA5144" t="str">
            <v>$1K or Below</v>
          </cell>
          <cell r="AB5144">
            <v>2011</v>
          </cell>
        </row>
        <row r="5145">
          <cell r="E5145">
            <v>227.58</v>
          </cell>
          <cell r="Z5145" t="str">
            <v>Legacy</v>
          </cell>
          <cell r="AA5145" t="str">
            <v>$1K or Below</v>
          </cell>
          <cell r="AB5145" t="str">
            <v>2010 or before</v>
          </cell>
        </row>
        <row r="5146">
          <cell r="E5146">
            <v>226.3</v>
          </cell>
          <cell r="Z5146" t="str">
            <v>Outbound</v>
          </cell>
          <cell r="AA5146" t="str">
            <v>$1K or Below</v>
          </cell>
          <cell r="AB5146">
            <v>2012</v>
          </cell>
        </row>
        <row r="5147">
          <cell r="E5147">
            <v>226.13</v>
          </cell>
          <cell r="Z5147" t="str">
            <v>Legacy</v>
          </cell>
          <cell r="AA5147" t="str">
            <v>$1K or Below</v>
          </cell>
          <cell r="AB5147" t="str">
            <v>2010 or before</v>
          </cell>
        </row>
        <row r="5148">
          <cell r="E5148">
            <v>226.07</v>
          </cell>
          <cell r="Z5148" t="str">
            <v>Legacy</v>
          </cell>
          <cell r="AA5148" t="str">
            <v>$1K or Below</v>
          </cell>
          <cell r="AB5148" t="str">
            <v>2010 or before</v>
          </cell>
        </row>
        <row r="5149">
          <cell r="E5149">
            <v>225.7</v>
          </cell>
          <cell r="Z5149" t="str">
            <v>Legacy</v>
          </cell>
          <cell r="AA5149" t="str">
            <v>$1K or Below</v>
          </cell>
          <cell r="AB5149" t="str">
            <v>2010 or before</v>
          </cell>
        </row>
        <row r="5150">
          <cell r="E5150">
            <v>225.69</v>
          </cell>
          <cell r="Z5150" t="str">
            <v>Legacy</v>
          </cell>
          <cell r="AA5150" t="str">
            <v>$1K or Below</v>
          </cell>
          <cell r="AB5150" t="str">
            <v>2010 or before</v>
          </cell>
        </row>
        <row r="5151">
          <cell r="E5151">
            <v>225.63</v>
          </cell>
          <cell r="Z5151" t="str">
            <v>Legacy</v>
          </cell>
          <cell r="AA5151" t="str">
            <v>$1K or Below</v>
          </cell>
          <cell r="AB5151" t="str">
            <v>2010 or before</v>
          </cell>
        </row>
        <row r="5152">
          <cell r="E5152">
            <v>225.43</v>
          </cell>
          <cell r="Z5152" t="str">
            <v>Legacy</v>
          </cell>
          <cell r="AA5152" t="str">
            <v>$1K or Below</v>
          </cell>
          <cell r="AB5152" t="str">
            <v>2010 or before</v>
          </cell>
        </row>
        <row r="5153">
          <cell r="E5153">
            <v>225.43</v>
          </cell>
          <cell r="Z5153" t="str">
            <v>Legacy</v>
          </cell>
          <cell r="AA5153" t="str">
            <v>$1K or Below</v>
          </cell>
          <cell r="AB5153" t="str">
            <v>2010 or before</v>
          </cell>
        </row>
        <row r="5154">
          <cell r="E5154">
            <v>225.16</v>
          </cell>
          <cell r="Z5154" t="str">
            <v>Legacy</v>
          </cell>
          <cell r="AA5154" t="str">
            <v>$1K or Below</v>
          </cell>
          <cell r="AB5154" t="str">
            <v>2010 or before</v>
          </cell>
        </row>
        <row r="5155">
          <cell r="E5155">
            <v>224.8</v>
          </cell>
          <cell r="Z5155" t="str">
            <v>Legacy</v>
          </cell>
          <cell r="AA5155" t="str">
            <v>$1K or Below</v>
          </cell>
          <cell r="AB5155" t="str">
            <v>2010 or before</v>
          </cell>
        </row>
        <row r="5156">
          <cell r="E5156">
            <v>224.75</v>
          </cell>
          <cell r="Z5156" t="str">
            <v>Legacy</v>
          </cell>
          <cell r="AA5156" t="str">
            <v>$1K or Below</v>
          </cell>
          <cell r="AB5156" t="str">
            <v>2010 or before</v>
          </cell>
        </row>
        <row r="5157">
          <cell r="E5157">
            <v>224.73</v>
          </cell>
          <cell r="Z5157" t="str">
            <v>Inbound</v>
          </cell>
          <cell r="AA5157" t="str">
            <v>$1K or Below</v>
          </cell>
          <cell r="AB5157">
            <v>2012</v>
          </cell>
        </row>
        <row r="5158">
          <cell r="E5158">
            <v>224.48</v>
          </cell>
          <cell r="Z5158" t="str">
            <v>Legacy</v>
          </cell>
          <cell r="AA5158" t="str">
            <v>$1K or Below</v>
          </cell>
          <cell r="AB5158" t="str">
            <v>2010 or before</v>
          </cell>
        </row>
        <row r="5159">
          <cell r="E5159">
            <v>223.96</v>
          </cell>
          <cell r="Z5159" t="str">
            <v>Legacy</v>
          </cell>
          <cell r="AA5159" t="str">
            <v>$1K or Below</v>
          </cell>
          <cell r="AB5159" t="str">
            <v>2010 or before</v>
          </cell>
        </row>
        <row r="5160">
          <cell r="E5160">
            <v>223.9</v>
          </cell>
          <cell r="Z5160" t="str">
            <v>Ungating</v>
          </cell>
          <cell r="AA5160" t="str">
            <v>$1K or Below</v>
          </cell>
          <cell r="AB5160">
            <v>2012</v>
          </cell>
        </row>
        <row r="5161">
          <cell r="E5161">
            <v>221.95</v>
          </cell>
          <cell r="Z5161" t="str">
            <v>Legacy</v>
          </cell>
          <cell r="AA5161" t="str">
            <v>$1K or Below</v>
          </cell>
          <cell r="AB5161" t="str">
            <v>2010 or before</v>
          </cell>
        </row>
        <row r="5162">
          <cell r="E5162">
            <v>221.71</v>
          </cell>
          <cell r="Z5162" t="str">
            <v>Legacy</v>
          </cell>
          <cell r="AA5162" t="str">
            <v>$1K or Below</v>
          </cell>
          <cell r="AB5162" t="str">
            <v>2010 or before</v>
          </cell>
        </row>
        <row r="5163">
          <cell r="E5163">
            <v>221.43</v>
          </cell>
          <cell r="Z5163" t="str">
            <v>Inbound</v>
          </cell>
          <cell r="AA5163" t="str">
            <v>$1K or Below</v>
          </cell>
          <cell r="AB5163">
            <v>2012</v>
          </cell>
        </row>
        <row r="5164">
          <cell r="E5164">
            <v>220.23</v>
          </cell>
          <cell r="Z5164" t="str">
            <v>Legacy</v>
          </cell>
          <cell r="AA5164" t="str">
            <v>$1K or Below</v>
          </cell>
          <cell r="AB5164" t="str">
            <v>2010 or before</v>
          </cell>
        </row>
        <row r="5165">
          <cell r="E5165">
            <v>219.9</v>
          </cell>
          <cell r="Z5165" t="str">
            <v>Legacy</v>
          </cell>
          <cell r="AA5165" t="str">
            <v>$1K or Below</v>
          </cell>
          <cell r="AB5165" t="str">
            <v>2010 or before</v>
          </cell>
        </row>
        <row r="5166">
          <cell r="E5166">
            <v>219.88</v>
          </cell>
          <cell r="Z5166" t="str">
            <v>Legacy</v>
          </cell>
          <cell r="AA5166" t="str">
            <v>$1K or Below</v>
          </cell>
          <cell r="AB5166" t="str">
            <v>2010 or before</v>
          </cell>
        </row>
        <row r="5167">
          <cell r="E5167">
            <v>219.85</v>
          </cell>
          <cell r="Z5167" t="str">
            <v>Legacy</v>
          </cell>
          <cell r="AA5167" t="str">
            <v>$1K or Below</v>
          </cell>
          <cell r="AB5167" t="str">
            <v>2010 or before</v>
          </cell>
        </row>
        <row r="5168">
          <cell r="E5168">
            <v>219.84</v>
          </cell>
          <cell r="Z5168" t="str">
            <v>Legacy</v>
          </cell>
          <cell r="AA5168" t="str">
            <v>$1K or Below</v>
          </cell>
          <cell r="AB5168" t="str">
            <v>2010 or before</v>
          </cell>
        </row>
        <row r="5169">
          <cell r="E5169">
            <v>219.74</v>
          </cell>
          <cell r="Z5169" t="str">
            <v>Legacy</v>
          </cell>
          <cell r="AA5169" t="str">
            <v>$1K or Below</v>
          </cell>
          <cell r="AB5169">
            <v>2011</v>
          </cell>
        </row>
        <row r="5170">
          <cell r="E5170">
            <v>218.88</v>
          </cell>
          <cell r="Z5170" t="str">
            <v>Legacy</v>
          </cell>
          <cell r="AA5170" t="str">
            <v>$1K or Below</v>
          </cell>
          <cell r="AB5170" t="str">
            <v>2010 or before</v>
          </cell>
        </row>
        <row r="5171">
          <cell r="E5171">
            <v>218.39</v>
          </cell>
          <cell r="Z5171" t="str">
            <v>Legacy</v>
          </cell>
          <cell r="AA5171" t="str">
            <v>$1K or Below</v>
          </cell>
          <cell r="AB5171" t="str">
            <v>2010 or before</v>
          </cell>
        </row>
        <row r="5172">
          <cell r="E5172">
            <v>218.38</v>
          </cell>
          <cell r="Z5172" t="str">
            <v>Legacy</v>
          </cell>
          <cell r="AA5172" t="str">
            <v>$1K or Below</v>
          </cell>
          <cell r="AB5172" t="str">
            <v>2010 or before</v>
          </cell>
        </row>
        <row r="5173">
          <cell r="E5173">
            <v>218.17</v>
          </cell>
          <cell r="Z5173" t="str">
            <v>Legacy</v>
          </cell>
          <cell r="AA5173" t="str">
            <v>$1K or Below</v>
          </cell>
          <cell r="AB5173" t="str">
            <v>2010 or before</v>
          </cell>
        </row>
        <row r="5174">
          <cell r="E5174">
            <v>218</v>
          </cell>
          <cell r="Z5174" t="str">
            <v>Legacy</v>
          </cell>
          <cell r="AA5174" t="str">
            <v>$1K or Below</v>
          </cell>
          <cell r="AB5174" t="str">
            <v>2010 or before</v>
          </cell>
        </row>
        <row r="5175">
          <cell r="E5175">
            <v>217.94</v>
          </cell>
          <cell r="Z5175" t="str">
            <v>Legacy</v>
          </cell>
          <cell r="AA5175" t="str">
            <v>$1K or Below</v>
          </cell>
          <cell r="AB5175" t="str">
            <v>2010 or before</v>
          </cell>
        </row>
        <row r="5176">
          <cell r="E5176">
            <v>217.14</v>
          </cell>
          <cell r="Z5176" t="str">
            <v>Legacy</v>
          </cell>
          <cell r="AA5176" t="str">
            <v>$1K or Below</v>
          </cell>
          <cell r="AB5176" t="str">
            <v>2010 or before</v>
          </cell>
        </row>
        <row r="5177">
          <cell r="E5177">
            <v>216.93</v>
          </cell>
          <cell r="Z5177" t="str">
            <v>Legacy</v>
          </cell>
          <cell r="AA5177" t="str">
            <v>$1K or Below</v>
          </cell>
          <cell r="AB5177">
            <v>2012</v>
          </cell>
        </row>
        <row r="5178">
          <cell r="E5178">
            <v>216.38</v>
          </cell>
          <cell r="Z5178" t="str">
            <v>Legacy</v>
          </cell>
          <cell r="AA5178" t="str">
            <v>$1K or Below</v>
          </cell>
          <cell r="AB5178" t="str">
            <v>2010 or before</v>
          </cell>
        </row>
        <row r="5179">
          <cell r="E5179">
            <v>216.16</v>
          </cell>
          <cell r="Z5179" t="str">
            <v>Legacy</v>
          </cell>
          <cell r="AA5179" t="str">
            <v>$1K or Below</v>
          </cell>
          <cell r="AB5179" t="str">
            <v>2010 or before</v>
          </cell>
        </row>
        <row r="5180">
          <cell r="E5180">
            <v>215.93</v>
          </cell>
          <cell r="Z5180" t="str">
            <v>Legacy</v>
          </cell>
          <cell r="AA5180" t="str">
            <v>$1K or Below</v>
          </cell>
          <cell r="AB5180" t="str">
            <v>2010 or before</v>
          </cell>
        </row>
        <row r="5181">
          <cell r="E5181">
            <v>215.13</v>
          </cell>
          <cell r="Z5181" t="str">
            <v>Legacy</v>
          </cell>
          <cell r="AA5181" t="str">
            <v>$1K or Below</v>
          </cell>
          <cell r="AB5181" t="str">
            <v>2010 or before</v>
          </cell>
        </row>
        <row r="5182">
          <cell r="E5182">
            <v>215</v>
          </cell>
          <cell r="Z5182" t="str">
            <v>Legacy</v>
          </cell>
          <cell r="AA5182" t="str">
            <v>$1K or Below</v>
          </cell>
          <cell r="AB5182" t="str">
            <v>2010 or before</v>
          </cell>
        </row>
        <row r="5183">
          <cell r="E5183">
            <v>214.86</v>
          </cell>
          <cell r="Z5183" t="str">
            <v>Legacy</v>
          </cell>
          <cell r="AA5183" t="str">
            <v>$1K or Below</v>
          </cell>
          <cell r="AB5183" t="str">
            <v>2010 or before</v>
          </cell>
        </row>
        <row r="5184">
          <cell r="E5184">
            <v>214.47</v>
          </cell>
          <cell r="Z5184" t="str">
            <v>Legacy</v>
          </cell>
          <cell r="AA5184" t="str">
            <v>$1K or Below</v>
          </cell>
          <cell r="AB5184">
            <v>2011</v>
          </cell>
        </row>
        <row r="5185">
          <cell r="E5185">
            <v>214.37</v>
          </cell>
          <cell r="Z5185" t="str">
            <v>Legacy</v>
          </cell>
          <cell r="AA5185" t="str">
            <v>$1K or Below</v>
          </cell>
          <cell r="AB5185" t="str">
            <v>2010 or before</v>
          </cell>
        </row>
        <row r="5186">
          <cell r="E5186">
            <v>214.14</v>
          </cell>
          <cell r="Z5186" t="str">
            <v>Legacy</v>
          </cell>
          <cell r="AA5186" t="str">
            <v>$1K or Below</v>
          </cell>
          <cell r="AB5186" t="str">
            <v>2010 or before</v>
          </cell>
        </row>
        <row r="5187">
          <cell r="E5187">
            <v>214.09</v>
          </cell>
          <cell r="Z5187" t="str">
            <v>Legacy</v>
          </cell>
          <cell r="AA5187" t="str">
            <v>$1K or Below</v>
          </cell>
          <cell r="AB5187">
            <v>2011</v>
          </cell>
        </row>
        <row r="5188">
          <cell r="E5188">
            <v>213.91</v>
          </cell>
          <cell r="Z5188" t="str">
            <v>Legacy</v>
          </cell>
          <cell r="AA5188" t="str">
            <v>$1K or Below</v>
          </cell>
          <cell r="AB5188">
            <v>2011</v>
          </cell>
        </row>
        <row r="5189">
          <cell r="E5189">
            <v>213.43</v>
          </cell>
          <cell r="Z5189" t="str">
            <v>Legacy</v>
          </cell>
          <cell r="AA5189" t="str">
            <v>$1K or Below</v>
          </cell>
          <cell r="AB5189" t="str">
            <v>2010 or before</v>
          </cell>
        </row>
        <row r="5190">
          <cell r="E5190">
            <v>213</v>
          </cell>
          <cell r="Z5190" t="str">
            <v>Inbound</v>
          </cell>
          <cell r="AA5190" t="str">
            <v>$1K or Below</v>
          </cell>
          <cell r="AB5190">
            <v>2012</v>
          </cell>
        </row>
        <row r="5191">
          <cell r="E5191">
            <v>212.91</v>
          </cell>
          <cell r="Z5191" t="str">
            <v>Inbound</v>
          </cell>
          <cell r="AA5191" t="str">
            <v>$1K or Below</v>
          </cell>
          <cell r="AB5191">
            <v>2012</v>
          </cell>
        </row>
        <row r="5192">
          <cell r="E5192">
            <v>212.55</v>
          </cell>
          <cell r="Z5192" t="str">
            <v>Legacy</v>
          </cell>
          <cell r="AA5192" t="str">
            <v>$1K or Below</v>
          </cell>
          <cell r="AB5192" t="str">
            <v>2010 or before</v>
          </cell>
        </row>
        <row r="5193">
          <cell r="E5193">
            <v>211.96</v>
          </cell>
          <cell r="Z5193" t="str">
            <v>Legacy</v>
          </cell>
          <cell r="AA5193" t="str">
            <v>$1K or Below</v>
          </cell>
          <cell r="AB5193" t="str">
            <v>2010 or before</v>
          </cell>
        </row>
        <row r="5194">
          <cell r="E5194">
            <v>211.14</v>
          </cell>
          <cell r="Z5194" t="str">
            <v>Legacy</v>
          </cell>
          <cell r="AA5194" t="str">
            <v>$1K or Below</v>
          </cell>
          <cell r="AB5194" t="str">
            <v>2010 or before</v>
          </cell>
        </row>
        <row r="5195">
          <cell r="E5195">
            <v>211.08</v>
          </cell>
          <cell r="Z5195" t="str">
            <v>Legacy</v>
          </cell>
          <cell r="AA5195" t="str">
            <v>$1K or Below</v>
          </cell>
          <cell r="AB5195" t="str">
            <v>2010 or before</v>
          </cell>
        </row>
        <row r="5196">
          <cell r="E5196">
            <v>210.88</v>
          </cell>
          <cell r="Z5196" t="str">
            <v>Legacy</v>
          </cell>
          <cell r="AA5196" t="str">
            <v>$1K or Below</v>
          </cell>
          <cell r="AB5196" t="str">
            <v>2010 or before</v>
          </cell>
        </row>
        <row r="5197">
          <cell r="E5197">
            <v>210.88</v>
          </cell>
          <cell r="Z5197" t="str">
            <v>Outbound</v>
          </cell>
          <cell r="AA5197" t="str">
            <v>$1K or Below</v>
          </cell>
          <cell r="AB5197">
            <v>2012</v>
          </cell>
        </row>
        <row r="5198">
          <cell r="E5198">
            <v>210.72</v>
          </cell>
          <cell r="Z5198" t="str">
            <v>Legacy</v>
          </cell>
          <cell r="AA5198" t="str">
            <v>$1K or Below</v>
          </cell>
          <cell r="AB5198" t="str">
            <v>2010 or before</v>
          </cell>
        </row>
        <row r="5199">
          <cell r="E5199">
            <v>210.65</v>
          </cell>
          <cell r="Z5199" t="str">
            <v>Legacy</v>
          </cell>
          <cell r="AA5199" t="str">
            <v>$1K or Below</v>
          </cell>
          <cell r="AB5199" t="str">
            <v>2010 or before</v>
          </cell>
        </row>
        <row r="5200">
          <cell r="E5200">
            <v>210.49</v>
          </cell>
          <cell r="Z5200" t="str">
            <v>Legacy</v>
          </cell>
          <cell r="AA5200" t="str">
            <v>$1K or Below</v>
          </cell>
          <cell r="AB5200" t="str">
            <v>2010 or before</v>
          </cell>
        </row>
        <row r="5201">
          <cell r="E5201">
            <v>210.28</v>
          </cell>
          <cell r="Z5201" t="str">
            <v>Ungating</v>
          </cell>
          <cell r="AA5201" t="str">
            <v>$1K or Below</v>
          </cell>
          <cell r="AB5201">
            <v>2012</v>
          </cell>
        </row>
        <row r="5202">
          <cell r="E5202">
            <v>210.08</v>
          </cell>
          <cell r="Z5202" t="str">
            <v>Legacy</v>
          </cell>
          <cell r="AA5202" t="str">
            <v>$1K or Below</v>
          </cell>
          <cell r="AB5202" t="str">
            <v>2010 or before</v>
          </cell>
        </row>
        <row r="5203">
          <cell r="E5203">
            <v>210</v>
          </cell>
          <cell r="Z5203" t="str">
            <v>Legacy</v>
          </cell>
          <cell r="AA5203" t="str">
            <v>$1K or Below</v>
          </cell>
          <cell r="AB5203" t="str">
            <v>2010 or before</v>
          </cell>
        </row>
        <row r="5204">
          <cell r="E5204">
            <v>210</v>
          </cell>
          <cell r="Z5204" t="str">
            <v>Legacy</v>
          </cell>
          <cell r="AA5204" t="str">
            <v>$1K or Below</v>
          </cell>
          <cell r="AB5204">
            <v>2012</v>
          </cell>
        </row>
        <row r="5205">
          <cell r="E5205">
            <v>209.99</v>
          </cell>
          <cell r="Z5205" t="str">
            <v>Legacy</v>
          </cell>
          <cell r="AA5205" t="str">
            <v>$1K or Below</v>
          </cell>
          <cell r="AB5205" t="str">
            <v>2010 or before</v>
          </cell>
        </row>
        <row r="5206">
          <cell r="E5206">
            <v>209.86</v>
          </cell>
          <cell r="Z5206" t="str">
            <v>Legacy</v>
          </cell>
          <cell r="AA5206" t="str">
            <v>$1K or Below</v>
          </cell>
          <cell r="AB5206" t="str">
            <v>2010 or before</v>
          </cell>
        </row>
        <row r="5207">
          <cell r="E5207">
            <v>209.7</v>
          </cell>
          <cell r="Z5207" t="str">
            <v>Legacy</v>
          </cell>
          <cell r="AA5207" t="str">
            <v>$1K or Below</v>
          </cell>
          <cell r="AB5207" t="str">
            <v>2010 or before</v>
          </cell>
        </row>
        <row r="5208">
          <cell r="E5208">
            <v>208.98</v>
          </cell>
          <cell r="Z5208" t="str">
            <v>Legacy</v>
          </cell>
          <cell r="AA5208" t="str">
            <v>$1K or Below</v>
          </cell>
          <cell r="AB5208" t="str">
            <v>2010 or before</v>
          </cell>
        </row>
        <row r="5209">
          <cell r="E5209">
            <v>208.88</v>
          </cell>
          <cell r="Z5209" t="str">
            <v>Legacy</v>
          </cell>
          <cell r="AA5209" t="str">
            <v>$1K or Below</v>
          </cell>
          <cell r="AB5209" t="str">
            <v>2010 or before</v>
          </cell>
        </row>
        <row r="5210">
          <cell r="E5210">
            <v>208.42</v>
          </cell>
          <cell r="Z5210" t="str">
            <v>Legacy</v>
          </cell>
          <cell r="AA5210" t="str">
            <v>$1K or Below</v>
          </cell>
          <cell r="AB5210" t="str">
            <v>2010 or before</v>
          </cell>
        </row>
        <row r="5211">
          <cell r="E5211">
            <v>208.14</v>
          </cell>
          <cell r="Z5211" t="str">
            <v>Legacy</v>
          </cell>
          <cell r="AA5211" t="str">
            <v>$1K or Below</v>
          </cell>
          <cell r="AB5211" t="str">
            <v>2010 or before</v>
          </cell>
        </row>
        <row r="5212">
          <cell r="E5212">
            <v>207.42</v>
          </cell>
          <cell r="Z5212" t="str">
            <v>Legacy</v>
          </cell>
          <cell r="AA5212" t="str">
            <v>$1K or Below</v>
          </cell>
          <cell r="AB5212" t="str">
            <v>2010 or before</v>
          </cell>
        </row>
        <row r="5213">
          <cell r="E5213">
            <v>206.95</v>
          </cell>
          <cell r="Z5213" t="str">
            <v>Legacy</v>
          </cell>
          <cell r="AA5213" t="str">
            <v>$1K or Below</v>
          </cell>
          <cell r="AB5213" t="str">
            <v>2010 or before</v>
          </cell>
        </row>
        <row r="5214">
          <cell r="E5214">
            <v>206.31</v>
          </cell>
          <cell r="Z5214" t="str">
            <v>Legacy</v>
          </cell>
          <cell r="AA5214" t="str">
            <v>$1K or Below</v>
          </cell>
          <cell r="AB5214" t="str">
            <v>2010 or before</v>
          </cell>
        </row>
        <row r="5215">
          <cell r="E5215">
            <v>205.72</v>
          </cell>
          <cell r="Z5215" t="str">
            <v>Legacy</v>
          </cell>
          <cell r="AA5215" t="str">
            <v>$1K or Below</v>
          </cell>
          <cell r="AB5215" t="str">
            <v>2010 or before</v>
          </cell>
        </row>
        <row r="5216">
          <cell r="E5216">
            <v>205.4</v>
          </cell>
          <cell r="Z5216" t="str">
            <v>Legacy</v>
          </cell>
          <cell r="AA5216" t="str">
            <v>$1K or Below</v>
          </cell>
          <cell r="AB5216">
            <v>2011</v>
          </cell>
        </row>
        <row r="5217">
          <cell r="E5217">
            <v>205</v>
          </cell>
          <cell r="Z5217" t="str">
            <v>Legacy</v>
          </cell>
          <cell r="AA5217" t="str">
            <v>$1K or Below</v>
          </cell>
          <cell r="AB5217">
            <v>2012</v>
          </cell>
        </row>
        <row r="5218">
          <cell r="E5218">
            <v>204</v>
          </cell>
          <cell r="Z5218" t="str">
            <v>Legacy</v>
          </cell>
          <cell r="AA5218" t="str">
            <v>$1K or Below</v>
          </cell>
          <cell r="AB5218">
            <v>2012</v>
          </cell>
        </row>
        <row r="5219">
          <cell r="E5219">
            <v>203.98</v>
          </cell>
          <cell r="Z5219" t="str">
            <v>Legacy</v>
          </cell>
          <cell r="AA5219" t="str">
            <v>$1K or Below</v>
          </cell>
          <cell r="AB5219" t="str">
            <v>2010 or before</v>
          </cell>
        </row>
        <row r="5220">
          <cell r="E5220">
            <v>202.73</v>
          </cell>
          <cell r="Z5220" t="str">
            <v>Legacy</v>
          </cell>
          <cell r="AA5220" t="str">
            <v>$1K or Below</v>
          </cell>
          <cell r="AB5220" t="str">
            <v>2010 or before</v>
          </cell>
        </row>
        <row r="5221">
          <cell r="E5221">
            <v>202.7</v>
          </cell>
          <cell r="Z5221" t="str">
            <v>Legacy</v>
          </cell>
          <cell r="AA5221" t="str">
            <v>$1K or Below</v>
          </cell>
          <cell r="AB5221" t="str">
            <v>2010 or before</v>
          </cell>
        </row>
        <row r="5222">
          <cell r="E5222">
            <v>202.48</v>
          </cell>
          <cell r="Z5222" t="str">
            <v>Legacy</v>
          </cell>
          <cell r="AA5222" t="str">
            <v>$1K or Below</v>
          </cell>
          <cell r="AB5222" t="str">
            <v>2010 or before</v>
          </cell>
        </row>
        <row r="5223">
          <cell r="E5223">
            <v>202.39</v>
          </cell>
          <cell r="Z5223" t="str">
            <v>Legacy</v>
          </cell>
          <cell r="AA5223" t="str">
            <v>$1K or Below</v>
          </cell>
          <cell r="AB5223">
            <v>2011</v>
          </cell>
        </row>
        <row r="5224">
          <cell r="E5224">
            <v>201.98</v>
          </cell>
          <cell r="Z5224" t="str">
            <v>Legacy</v>
          </cell>
          <cell r="AA5224" t="str">
            <v>$1K or Below</v>
          </cell>
          <cell r="AB5224" t="str">
            <v>2010 or before</v>
          </cell>
        </row>
        <row r="5225">
          <cell r="E5225">
            <v>201.94</v>
          </cell>
          <cell r="Z5225" t="str">
            <v>Inbound</v>
          </cell>
          <cell r="AA5225" t="str">
            <v>$1K or Below</v>
          </cell>
          <cell r="AB5225">
            <v>2012</v>
          </cell>
        </row>
        <row r="5226">
          <cell r="E5226">
            <v>201.92</v>
          </cell>
          <cell r="Z5226" t="str">
            <v>Legacy</v>
          </cell>
          <cell r="AA5226" t="str">
            <v>$1K or Below</v>
          </cell>
          <cell r="AB5226" t="str">
            <v>2010 or before</v>
          </cell>
        </row>
        <row r="5227">
          <cell r="E5227">
            <v>201.88</v>
          </cell>
          <cell r="Z5227" t="str">
            <v>Legacy</v>
          </cell>
          <cell r="AA5227" t="str">
            <v>$1K or Below</v>
          </cell>
          <cell r="AB5227">
            <v>2011</v>
          </cell>
        </row>
        <row r="5228">
          <cell r="E5228">
            <v>201.8</v>
          </cell>
          <cell r="Z5228" t="str">
            <v>Legacy</v>
          </cell>
          <cell r="AA5228" t="str">
            <v>$1K or Below</v>
          </cell>
          <cell r="AB5228" t="str">
            <v>2010 or before</v>
          </cell>
        </row>
        <row r="5229">
          <cell r="E5229">
            <v>201.48</v>
          </cell>
          <cell r="Z5229" t="str">
            <v>Legacy</v>
          </cell>
          <cell r="AA5229" t="str">
            <v>$1K or Below</v>
          </cell>
          <cell r="AB5229" t="str">
            <v>2010 or before</v>
          </cell>
        </row>
        <row r="5230">
          <cell r="E5230">
            <v>201.42</v>
          </cell>
          <cell r="Z5230" t="str">
            <v>Legacy</v>
          </cell>
          <cell r="AA5230" t="str">
            <v>$1K or Below</v>
          </cell>
          <cell r="AB5230" t="str">
            <v>2010 or before</v>
          </cell>
        </row>
        <row r="5231">
          <cell r="E5231">
            <v>201.4</v>
          </cell>
          <cell r="Z5231" t="str">
            <v>Legacy</v>
          </cell>
          <cell r="AA5231" t="str">
            <v>$1K or Below</v>
          </cell>
          <cell r="AB5231" t="str">
            <v>2010 or before</v>
          </cell>
        </row>
        <row r="5232">
          <cell r="E5232">
            <v>201.39</v>
          </cell>
          <cell r="Z5232" t="str">
            <v>Inbound</v>
          </cell>
          <cell r="AA5232" t="str">
            <v>$1K or Below</v>
          </cell>
          <cell r="AB5232">
            <v>2012</v>
          </cell>
        </row>
        <row r="5233">
          <cell r="E5233">
            <v>201.33</v>
          </cell>
          <cell r="Z5233" t="str">
            <v>Legacy</v>
          </cell>
          <cell r="AA5233" t="str">
            <v>$1K or Below</v>
          </cell>
          <cell r="AB5233" t="str">
            <v>2010 or before</v>
          </cell>
        </row>
        <row r="5234">
          <cell r="E5234">
            <v>201.33</v>
          </cell>
          <cell r="Z5234" t="str">
            <v>Legacy</v>
          </cell>
          <cell r="AA5234" t="str">
            <v>$1K or Below</v>
          </cell>
          <cell r="AB5234" t="str">
            <v>2010 or before</v>
          </cell>
        </row>
        <row r="5235">
          <cell r="E5235">
            <v>201.09</v>
          </cell>
          <cell r="Z5235" t="str">
            <v>Legacy</v>
          </cell>
          <cell r="AA5235" t="str">
            <v>$1K or Below</v>
          </cell>
          <cell r="AB5235" t="str">
            <v>2010 or before</v>
          </cell>
        </row>
        <row r="5236">
          <cell r="E5236">
            <v>200.48</v>
          </cell>
          <cell r="Z5236" t="str">
            <v>Legacy</v>
          </cell>
          <cell r="AA5236" t="str">
            <v>$1K or Below</v>
          </cell>
          <cell r="AB5236" t="str">
            <v>2010 or before</v>
          </cell>
        </row>
        <row r="5237">
          <cell r="E5237">
            <v>200.36</v>
          </cell>
          <cell r="Z5237" t="str">
            <v>Legacy</v>
          </cell>
          <cell r="AA5237" t="str">
            <v>$1K or Below</v>
          </cell>
          <cell r="AB5237" t="str">
            <v>2010 or before</v>
          </cell>
        </row>
        <row r="5238">
          <cell r="E5238">
            <v>200</v>
          </cell>
          <cell r="Z5238" t="str">
            <v>Legacy</v>
          </cell>
          <cell r="AA5238" t="str">
            <v>$1K or Below</v>
          </cell>
          <cell r="AB5238" t="str">
            <v>2010 or before</v>
          </cell>
        </row>
        <row r="5239">
          <cell r="E5239">
            <v>199.9</v>
          </cell>
          <cell r="Z5239" t="str">
            <v>Legacy</v>
          </cell>
          <cell r="AA5239" t="str">
            <v>$1K or Below</v>
          </cell>
          <cell r="AB5239" t="str">
            <v>2010 or before</v>
          </cell>
        </row>
        <row r="5240">
          <cell r="E5240">
            <v>199.6</v>
          </cell>
          <cell r="Z5240" t="str">
            <v>Legacy</v>
          </cell>
          <cell r="AA5240" t="str">
            <v>$1K or Below</v>
          </cell>
          <cell r="AB5240">
            <v>2012</v>
          </cell>
        </row>
        <row r="5241">
          <cell r="E5241">
            <v>198.86</v>
          </cell>
          <cell r="Z5241" t="str">
            <v>Legacy</v>
          </cell>
          <cell r="AA5241" t="str">
            <v>$1K or Below</v>
          </cell>
          <cell r="AB5241" t="str">
            <v>2010 or before</v>
          </cell>
        </row>
        <row r="5242">
          <cell r="E5242">
            <v>198.82</v>
          </cell>
          <cell r="Z5242" t="str">
            <v>Legacy</v>
          </cell>
          <cell r="AA5242" t="str">
            <v>$1K or Below</v>
          </cell>
          <cell r="AB5242" t="str">
            <v>2010 or before</v>
          </cell>
        </row>
        <row r="5243">
          <cell r="E5243">
            <v>198.52</v>
          </cell>
          <cell r="Z5243" t="str">
            <v>Legacy</v>
          </cell>
          <cell r="AA5243" t="str">
            <v>$1K or Below</v>
          </cell>
          <cell r="AB5243" t="str">
            <v>2010 or before</v>
          </cell>
        </row>
        <row r="5244">
          <cell r="E5244">
            <v>198.4</v>
          </cell>
          <cell r="Z5244" t="str">
            <v>Legacy</v>
          </cell>
          <cell r="AA5244" t="str">
            <v>$1K or Below</v>
          </cell>
          <cell r="AB5244" t="str">
            <v>2010 or before</v>
          </cell>
        </row>
        <row r="5245">
          <cell r="E5245">
            <v>198.23</v>
          </cell>
          <cell r="Z5245" t="str">
            <v>Legacy</v>
          </cell>
          <cell r="AA5245" t="str">
            <v>$1K or Below</v>
          </cell>
          <cell r="AB5245">
            <v>2011</v>
          </cell>
        </row>
        <row r="5246">
          <cell r="E5246">
            <v>197.52</v>
          </cell>
          <cell r="Z5246" t="str">
            <v>Inbound</v>
          </cell>
          <cell r="AA5246" t="str">
            <v>$1K or Below</v>
          </cell>
          <cell r="AB5246">
            <v>2011</v>
          </cell>
        </row>
        <row r="5247">
          <cell r="E5247">
            <v>197.45</v>
          </cell>
          <cell r="Z5247" t="str">
            <v>Legacy</v>
          </cell>
          <cell r="AA5247" t="str">
            <v>$1K or Below</v>
          </cell>
          <cell r="AB5247">
            <v>2011</v>
          </cell>
        </row>
        <row r="5248">
          <cell r="E5248">
            <v>197.34</v>
          </cell>
          <cell r="Z5248" t="str">
            <v>Legacy</v>
          </cell>
          <cell r="AA5248" t="str">
            <v>$1K or Below</v>
          </cell>
          <cell r="AB5248" t="str">
            <v>2010 or before</v>
          </cell>
        </row>
        <row r="5249">
          <cell r="E5249">
            <v>196.87</v>
          </cell>
          <cell r="Z5249" t="str">
            <v>Legacy</v>
          </cell>
          <cell r="AA5249" t="str">
            <v>$1K or Below</v>
          </cell>
          <cell r="AB5249">
            <v>2012</v>
          </cell>
        </row>
        <row r="5250">
          <cell r="E5250">
            <v>196.75</v>
          </cell>
          <cell r="Z5250" t="str">
            <v>Legacy</v>
          </cell>
          <cell r="AA5250" t="str">
            <v>$1K or Below</v>
          </cell>
          <cell r="AB5250" t="str">
            <v>2010 or before</v>
          </cell>
        </row>
        <row r="5251">
          <cell r="E5251">
            <v>196.69</v>
          </cell>
          <cell r="Z5251" t="str">
            <v>Legacy</v>
          </cell>
          <cell r="AA5251" t="str">
            <v>$1K or Below</v>
          </cell>
          <cell r="AB5251" t="str">
            <v>2010 or before</v>
          </cell>
        </row>
        <row r="5252">
          <cell r="E5252">
            <v>196.61</v>
          </cell>
          <cell r="Z5252" t="str">
            <v>Legacy</v>
          </cell>
          <cell r="AA5252" t="str">
            <v>$1K or Below</v>
          </cell>
          <cell r="AB5252" t="str">
            <v>2010 or before</v>
          </cell>
        </row>
        <row r="5253">
          <cell r="E5253">
            <v>196.37</v>
          </cell>
          <cell r="Z5253" t="str">
            <v>Legacy</v>
          </cell>
          <cell r="AA5253" t="str">
            <v>$1K or Below</v>
          </cell>
          <cell r="AB5253" t="str">
            <v>2010 or before</v>
          </cell>
        </row>
        <row r="5254">
          <cell r="E5254">
            <v>195.95</v>
          </cell>
          <cell r="Z5254" t="str">
            <v>Legacy</v>
          </cell>
          <cell r="AA5254" t="str">
            <v>$1K or Below</v>
          </cell>
          <cell r="AB5254">
            <v>2012</v>
          </cell>
        </row>
        <row r="5255">
          <cell r="E5255">
            <v>195.49</v>
          </cell>
          <cell r="Z5255" t="str">
            <v>Legacy</v>
          </cell>
          <cell r="AA5255" t="str">
            <v>$1K or Below</v>
          </cell>
          <cell r="AB5255" t="str">
            <v>2010 or before</v>
          </cell>
        </row>
        <row r="5256">
          <cell r="E5256">
            <v>195.32</v>
          </cell>
          <cell r="Z5256" t="str">
            <v>Ungating</v>
          </cell>
          <cell r="AA5256" t="str">
            <v>$1K or Below</v>
          </cell>
          <cell r="AB5256">
            <v>2012</v>
          </cell>
        </row>
        <row r="5257">
          <cell r="E5257">
            <v>195.27</v>
          </cell>
          <cell r="Z5257" t="str">
            <v>Legacy</v>
          </cell>
          <cell r="AA5257" t="str">
            <v>$1K or Below</v>
          </cell>
          <cell r="AB5257" t="str">
            <v>2010 or before</v>
          </cell>
        </row>
        <row r="5258">
          <cell r="E5258">
            <v>194.99</v>
          </cell>
          <cell r="Z5258" t="str">
            <v>Legacy</v>
          </cell>
          <cell r="AA5258" t="str">
            <v>$1K or Below</v>
          </cell>
          <cell r="AB5258" t="str">
            <v>2010 or before</v>
          </cell>
        </row>
        <row r="5259">
          <cell r="E5259">
            <v>194.64</v>
          </cell>
          <cell r="Z5259" t="str">
            <v>Inbound</v>
          </cell>
          <cell r="AA5259" t="str">
            <v>$1K or Below</v>
          </cell>
          <cell r="AB5259">
            <v>2012</v>
          </cell>
        </row>
        <row r="5260">
          <cell r="E5260">
            <v>194.5</v>
          </cell>
          <cell r="Z5260" t="str">
            <v>Inbound</v>
          </cell>
          <cell r="AA5260" t="str">
            <v>$1K or Below</v>
          </cell>
          <cell r="AB5260">
            <v>2012</v>
          </cell>
        </row>
        <row r="5261">
          <cell r="E5261">
            <v>194.31</v>
          </cell>
          <cell r="Z5261" t="str">
            <v>Legacy</v>
          </cell>
          <cell r="AA5261" t="str">
            <v>$1K or Below</v>
          </cell>
          <cell r="AB5261" t="str">
            <v>2010 or before</v>
          </cell>
        </row>
        <row r="5262">
          <cell r="E5262">
            <v>193.95</v>
          </cell>
          <cell r="Z5262" t="str">
            <v>Legacy</v>
          </cell>
          <cell r="AA5262" t="str">
            <v>$1K or Below</v>
          </cell>
          <cell r="AB5262" t="str">
            <v>2010 or before</v>
          </cell>
        </row>
        <row r="5263">
          <cell r="E5263">
            <v>193.82</v>
          </cell>
          <cell r="Z5263" t="str">
            <v>Legacy</v>
          </cell>
          <cell r="AA5263" t="str">
            <v>$1K or Below</v>
          </cell>
          <cell r="AB5263" t="str">
            <v>2010 or before</v>
          </cell>
        </row>
        <row r="5264">
          <cell r="E5264">
            <v>193.5</v>
          </cell>
          <cell r="Z5264" t="str">
            <v>Legacy</v>
          </cell>
          <cell r="AA5264" t="str">
            <v>$1K or Below</v>
          </cell>
          <cell r="AB5264" t="str">
            <v>2010 or before</v>
          </cell>
        </row>
        <row r="5265">
          <cell r="E5265">
            <v>193.42</v>
          </cell>
          <cell r="Z5265" t="str">
            <v>Legacy</v>
          </cell>
          <cell r="AA5265" t="str">
            <v>$1K or Below</v>
          </cell>
          <cell r="AB5265" t="str">
            <v>2010 or before</v>
          </cell>
        </row>
        <row r="5266">
          <cell r="E5266">
            <v>193</v>
          </cell>
          <cell r="Z5266" t="str">
            <v>Legacy</v>
          </cell>
          <cell r="AA5266" t="str">
            <v>$1K or Below</v>
          </cell>
          <cell r="AB5266" t="str">
            <v>2010 or before</v>
          </cell>
        </row>
        <row r="5267">
          <cell r="E5267">
            <v>192.77</v>
          </cell>
          <cell r="Z5267" t="str">
            <v>Legacy</v>
          </cell>
          <cell r="AA5267" t="str">
            <v>$1K or Below</v>
          </cell>
          <cell r="AB5267" t="str">
            <v>2010 or before</v>
          </cell>
        </row>
        <row r="5268">
          <cell r="E5268">
            <v>192.7</v>
          </cell>
          <cell r="Z5268" t="str">
            <v>Legacy</v>
          </cell>
          <cell r="AA5268" t="str">
            <v>$1K or Below</v>
          </cell>
          <cell r="AB5268">
            <v>2011</v>
          </cell>
        </row>
        <row r="5269">
          <cell r="E5269">
            <v>192.63</v>
          </cell>
          <cell r="Z5269" t="str">
            <v>Legacy</v>
          </cell>
          <cell r="AA5269" t="str">
            <v>$1K or Below</v>
          </cell>
          <cell r="AB5269" t="str">
            <v>2010 or before</v>
          </cell>
        </row>
        <row r="5270">
          <cell r="E5270">
            <v>192.59</v>
          </cell>
          <cell r="Z5270" t="str">
            <v>Legacy</v>
          </cell>
          <cell r="AA5270" t="str">
            <v>$1K or Below</v>
          </cell>
          <cell r="AB5270" t="str">
            <v>2010 or before</v>
          </cell>
        </row>
        <row r="5271">
          <cell r="E5271">
            <v>192.59</v>
          </cell>
          <cell r="Z5271" t="str">
            <v>Legacy</v>
          </cell>
          <cell r="AA5271" t="str">
            <v>$1K or Below</v>
          </cell>
          <cell r="AB5271">
            <v>2011</v>
          </cell>
        </row>
        <row r="5272">
          <cell r="E5272">
            <v>192.54</v>
          </cell>
          <cell r="Z5272" t="str">
            <v>Legacy</v>
          </cell>
          <cell r="AA5272" t="str">
            <v>$1K or Below</v>
          </cell>
          <cell r="AB5272">
            <v>2012</v>
          </cell>
        </row>
        <row r="5273">
          <cell r="E5273">
            <v>192.47</v>
          </cell>
          <cell r="Z5273" t="str">
            <v>Legacy</v>
          </cell>
          <cell r="AA5273" t="str">
            <v>$1K or Below</v>
          </cell>
          <cell r="AB5273" t="str">
            <v>2010 or before</v>
          </cell>
        </row>
        <row r="5274">
          <cell r="E5274">
            <v>192.45</v>
          </cell>
          <cell r="Z5274" t="str">
            <v>Legacy</v>
          </cell>
          <cell r="AA5274" t="str">
            <v>$1K or Below</v>
          </cell>
          <cell r="AB5274" t="str">
            <v>2010 or before</v>
          </cell>
        </row>
        <row r="5275">
          <cell r="E5275">
            <v>192.41</v>
          </cell>
          <cell r="Z5275" t="str">
            <v>Legacy</v>
          </cell>
          <cell r="AA5275" t="str">
            <v>$1K or Below</v>
          </cell>
          <cell r="AB5275" t="str">
            <v>2010 or before</v>
          </cell>
        </row>
        <row r="5276">
          <cell r="E5276">
            <v>192.24</v>
          </cell>
          <cell r="Z5276" t="str">
            <v>Legacy</v>
          </cell>
          <cell r="AA5276" t="str">
            <v>$1K or Below</v>
          </cell>
          <cell r="AB5276" t="str">
            <v>2010 or before</v>
          </cell>
        </row>
        <row r="5277">
          <cell r="E5277">
            <v>192</v>
          </cell>
          <cell r="Z5277" t="str">
            <v>Legacy</v>
          </cell>
          <cell r="AA5277" t="str">
            <v>$1K or Below</v>
          </cell>
          <cell r="AB5277" t="str">
            <v>2010 or before</v>
          </cell>
        </row>
        <row r="5278">
          <cell r="E5278">
            <v>191.9</v>
          </cell>
          <cell r="Z5278" t="str">
            <v>Legacy</v>
          </cell>
          <cell r="AA5278" t="str">
            <v>$1K or Below</v>
          </cell>
          <cell r="AB5278">
            <v>2012</v>
          </cell>
        </row>
        <row r="5279">
          <cell r="E5279">
            <v>191.13</v>
          </cell>
          <cell r="Z5279" t="str">
            <v>Legacy</v>
          </cell>
          <cell r="AA5279" t="str">
            <v>$1K or Below</v>
          </cell>
          <cell r="AB5279" t="str">
            <v>2010 or before</v>
          </cell>
        </row>
        <row r="5280">
          <cell r="E5280">
            <v>190.05</v>
          </cell>
          <cell r="Z5280" t="str">
            <v>Legacy</v>
          </cell>
          <cell r="AA5280" t="str">
            <v>$1K or Below</v>
          </cell>
          <cell r="AB5280" t="str">
            <v>2010 or before</v>
          </cell>
        </row>
        <row r="5281">
          <cell r="E5281">
            <v>190</v>
          </cell>
          <cell r="Z5281" t="str">
            <v>Legacy</v>
          </cell>
          <cell r="AA5281" t="str">
            <v>$1K or Below</v>
          </cell>
          <cell r="AB5281">
            <v>2012</v>
          </cell>
        </row>
        <row r="5282">
          <cell r="E5282">
            <v>190</v>
          </cell>
          <cell r="Z5282" t="str">
            <v>Legacy</v>
          </cell>
          <cell r="AA5282" t="str">
            <v>$1K or Below</v>
          </cell>
          <cell r="AB5282" t="str">
            <v>2010 or before</v>
          </cell>
        </row>
        <row r="5283">
          <cell r="E5283">
            <v>189.99</v>
          </cell>
          <cell r="Z5283" t="str">
            <v>Legacy</v>
          </cell>
          <cell r="AA5283" t="str">
            <v>$1K or Below</v>
          </cell>
          <cell r="AB5283">
            <v>2012</v>
          </cell>
        </row>
        <row r="5284">
          <cell r="E5284">
            <v>189.98</v>
          </cell>
          <cell r="Z5284" t="str">
            <v>Legacy</v>
          </cell>
          <cell r="AA5284" t="str">
            <v>$1K or Below</v>
          </cell>
          <cell r="AB5284" t="str">
            <v>2010 or before</v>
          </cell>
        </row>
        <row r="5285">
          <cell r="E5285">
            <v>189.92</v>
          </cell>
          <cell r="Z5285" t="str">
            <v>Legacy</v>
          </cell>
          <cell r="AA5285" t="str">
            <v>$1K or Below</v>
          </cell>
          <cell r="AB5285">
            <v>2011</v>
          </cell>
        </row>
        <row r="5286">
          <cell r="E5286">
            <v>189.81</v>
          </cell>
          <cell r="Z5286" t="str">
            <v>Legacy</v>
          </cell>
          <cell r="AA5286" t="str">
            <v>$1K or Below</v>
          </cell>
          <cell r="AB5286" t="str">
            <v>2010 or before</v>
          </cell>
        </row>
        <row r="5287">
          <cell r="E5287">
            <v>189.27</v>
          </cell>
          <cell r="Z5287" t="str">
            <v>Inbound</v>
          </cell>
          <cell r="AA5287" t="str">
            <v>$1K or Below</v>
          </cell>
          <cell r="AB5287">
            <v>2012</v>
          </cell>
        </row>
        <row r="5288">
          <cell r="E5288">
            <v>189.25</v>
          </cell>
          <cell r="Z5288" t="str">
            <v>Legacy</v>
          </cell>
          <cell r="AA5288" t="str">
            <v>$1K or Below</v>
          </cell>
          <cell r="AB5288" t="str">
            <v>2010 or before</v>
          </cell>
        </row>
        <row r="5289">
          <cell r="E5289">
            <v>189.17</v>
          </cell>
          <cell r="Z5289" t="str">
            <v>Legacy</v>
          </cell>
          <cell r="AA5289" t="str">
            <v>$1K or Below</v>
          </cell>
          <cell r="AB5289" t="str">
            <v>2010 or before</v>
          </cell>
        </row>
        <row r="5290">
          <cell r="E5290">
            <v>189.1</v>
          </cell>
          <cell r="Z5290" t="str">
            <v>Legacy</v>
          </cell>
          <cell r="AA5290" t="str">
            <v>$1K or Below</v>
          </cell>
          <cell r="AB5290" t="str">
            <v>2010 or before</v>
          </cell>
        </row>
        <row r="5291">
          <cell r="E5291">
            <v>188.9</v>
          </cell>
          <cell r="Z5291" t="str">
            <v>Legacy</v>
          </cell>
          <cell r="AA5291" t="str">
            <v>$1K or Below</v>
          </cell>
          <cell r="AB5291" t="str">
            <v>2010 or before</v>
          </cell>
        </row>
        <row r="5292">
          <cell r="E5292">
            <v>188.88</v>
          </cell>
          <cell r="Z5292" t="str">
            <v>Legacy</v>
          </cell>
          <cell r="AA5292" t="str">
            <v>$1K or Below</v>
          </cell>
          <cell r="AB5292" t="str">
            <v>2010 or before</v>
          </cell>
        </row>
        <row r="5293">
          <cell r="E5293">
            <v>188.63</v>
          </cell>
          <cell r="Z5293" t="str">
            <v>Inbound</v>
          </cell>
          <cell r="AA5293" t="str">
            <v>$1K or Below</v>
          </cell>
          <cell r="AB5293">
            <v>2013</v>
          </cell>
        </row>
        <row r="5294">
          <cell r="E5294">
            <v>188.45</v>
          </cell>
          <cell r="Z5294" t="str">
            <v>Legacy</v>
          </cell>
          <cell r="AA5294" t="str">
            <v>$1K or Below</v>
          </cell>
          <cell r="AB5294" t="str">
            <v>2010 or before</v>
          </cell>
        </row>
        <row r="5295">
          <cell r="E5295">
            <v>188</v>
          </cell>
          <cell r="Z5295" t="str">
            <v>Outbound</v>
          </cell>
          <cell r="AA5295" t="str">
            <v>$1K or Below</v>
          </cell>
          <cell r="AB5295">
            <v>2012</v>
          </cell>
        </row>
        <row r="5296">
          <cell r="E5296">
            <v>187.66</v>
          </cell>
          <cell r="Z5296" t="str">
            <v>Legacy</v>
          </cell>
          <cell r="AA5296" t="str">
            <v>$1K or Below</v>
          </cell>
          <cell r="AB5296" t="str">
            <v>2010 or before</v>
          </cell>
        </row>
        <row r="5297">
          <cell r="E5297">
            <v>187.53</v>
          </cell>
          <cell r="Z5297" t="str">
            <v>Legacy</v>
          </cell>
          <cell r="AA5297" t="str">
            <v>$1K or Below</v>
          </cell>
          <cell r="AB5297" t="str">
            <v>2010 or before</v>
          </cell>
        </row>
        <row r="5298">
          <cell r="E5298">
            <v>187.1</v>
          </cell>
          <cell r="Z5298" t="str">
            <v>Legacy</v>
          </cell>
          <cell r="AA5298" t="str">
            <v>$1K or Below</v>
          </cell>
          <cell r="AB5298" t="str">
            <v>2010 or before</v>
          </cell>
        </row>
        <row r="5299">
          <cell r="E5299">
            <v>187.07</v>
          </cell>
          <cell r="Z5299" t="str">
            <v>Legacy</v>
          </cell>
          <cell r="AA5299" t="str">
            <v>$1K or Below</v>
          </cell>
          <cell r="AB5299" t="str">
            <v>2010 or before</v>
          </cell>
        </row>
        <row r="5300">
          <cell r="E5300">
            <v>186.93</v>
          </cell>
          <cell r="Z5300" t="str">
            <v>Legacy</v>
          </cell>
          <cell r="AA5300" t="str">
            <v>$1K or Below</v>
          </cell>
          <cell r="AB5300">
            <v>2011</v>
          </cell>
        </row>
        <row r="5301">
          <cell r="E5301">
            <v>186.85</v>
          </cell>
          <cell r="Z5301" t="str">
            <v>Legacy</v>
          </cell>
          <cell r="AA5301" t="str">
            <v>$1K or Below</v>
          </cell>
          <cell r="AB5301">
            <v>2012</v>
          </cell>
        </row>
        <row r="5302">
          <cell r="E5302">
            <v>186.84</v>
          </cell>
          <cell r="Z5302" t="str">
            <v>Legacy</v>
          </cell>
          <cell r="AA5302" t="str">
            <v>$1K or Below</v>
          </cell>
          <cell r="AB5302" t="str">
            <v>2010 or before</v>
          </cell>
        </row>
        <row r="5303">
          <cell r="E5303">
            <v>186.66</v>
          </cell>
          <cell r="Z5303" t="str">
            <v>Legacy</v>
          </cell>
          <cell r="AA5303" t="str">
            <v>$1K or Below</v>
          </cell>
          <cell r="AB5303" t="str">
            <v>2010 or before</v>
          </cell>
        </row>
        <row r="5304">
          <cell r="E5304">
            <v>186.61</v>
          </cell>
          <cell r="Z5304" t="str">
            <v>Legacy</v>
          </cell>
          <cell r="AA5304" t="str">
            <v>$1K or Below</v>
          </cell>
          <cell r="AB5304" t="str">
            <v>2010 or before</v>
          </cell>
        </row>
        <row r="5305">
          <cell r="E5305">
            <v>185.91</v>
          </cell>
          <cell r="Z5305" t="str">
            <v>Legacy</v>
          </cell>
          <cell r="AA5305" t="str">
            <v>$1K or Below</v>
          </cell>
          <cell r="AB5305" t="str">
            <v>2010 or before</v>
          </cell>
        </row>
        <row r="5306">
          <cell r="E5306">
            <v>185.9</v>
          </cell>
          <cell r="Z5306" t="str">
            <v>Legacy</v>
          </cell>
          <cell r="AA5306" t="str">
            <v>$1K or Below</v>
          </cell>
          <cell r="AB5306" t="str">
            <v>2010 or before</v>
          </cell>
        </row>
        <row r="5307">
          <cell r="E5307">
            <v>185.59</v>
          </cell>
          <cell r="Z5307" t="str">
            <v>Legacy</v>
          </cell>
          <cell r="AA5307" t="str">
            <v>$1K or Below</v>
          </cell>
          <cell r="AB5307" t="str">
            <v>2010 or before</v>
          </cell>
        </row>
        <row r="5308">
          <cell r="E5308">
            <v>185.46</v>
          </cell>
          <cell r="Z5308" t="str">
            <v>Inbound</v>
          </cell>
          <cell r="AA5308" t="str">
            <v>$1K or Below</v>
          </cell>
          <cell r="AB5308">
            <v>2012</v>
          </cell>
        </row>
        <row r="5309">
          <cell r="E5309">
            <v>185.38</v>
          </cell>
          <cell r="Z5309" t="str">
            <v>Legacy</v>
          </cell>
          <cell r="AA5309" t="str">
            <v>$1K or Below</v>
          </cell>
          <cell r="AB5309" t="str">
            <v>2010 or before</v>
          </cell>
        </row>
        <row r="5310">
          <cell r="E5310">
            <v>185.14</v>
          </cell>
          <cell r="Z5310" t="str">
            <v>Legacy</v>
          </cell>
          <cell r="AA5310" t="str">
            <v>$1K or Below</v>
          </cell>
          <cell r="AB5310" t="str">
            <v>2010 or before</v>
          </cell>
        </row>
        <row r="5311">
          <cell r="E5311">
            <v>185.07</v>
          </cell>
          <cell r="Z5311" t="str">
            <v>Legacy</v>
          </cell>
          <cell r="AA5311" t="str">
            <v>$1K or Below</v>
          </cell>
          <cell r="AB5311" t="str">
            <v>2010 or before</v>
          </cell>
        </row>
        <row r="5312">
          <cell r="E5312">
            <v>184.82</v>
          </cell>
          <cell r="Z5312" t="str">
            <v>Legacy</v>
          </cell>
          <cell r="AA5312" t="str">
            <v>$1K or Below</v>
          </cell>
          <cell r="AB5312" t="str">
            <v>2010 or before</v>
          </cell>
        </row>
        <row r="5313">
          <cell r="E5313">
            <v>184.74</v>
          </cell>
          <cell r="Z5313" t="str">
            <v>Legacy</v>
          </cell>
          <cell r="AA5313" t="str">
            <v>$1K or Below</v>
          </cell>
          <cell r="AB5313">
            <v>2012</v>
          </cell>
        </row>
        <row r="5314">
          <cell r="E5314">
            <v>184.68</v>
          </cell>
          <cell r="Z5314" t="str">
            <v>Legacy</v>
          </cell>
          <cell r="AA5314" t="str">
            <v>$1K or Below</v>
          </cell>
          <cell r="AB5314" t="str">
            <v>2010 or before</v>
          </cell>
        </row>
        <row r="5315">
          <cell r="E5315">
            <v>184.41</v>
          </cell>
          <cell r="Z5315" t="str">
            <v>Legacy</v>
          </cell>
          <cell r="AA5315" t="str">
            <v>$1K or Below</v>
          </cell>
          <cell r="AB5315" t="str">
            <v>2010 or before</v>
          </cell>
        </row>
        <row r="5316">
          <cell r="E5316">
            <v>184.22</v>
          </cell>
          <cell r="Z5316" t="str">
            <v>Legacy</v>
          </cell>
          <cell r="AA5316" t="str">
            <v>$1K or Below</v>
          </cell>
          <cell r="AB5316" t="str">
            <v>2010 or before</v>
          </cell>
        </row>
        <row r="5317">
          <cell r="E5317">
            <v>184.14</v>
          </cell>
          <cell r="Z5317" t="str">
            <v>Legacy</v>
          </cell>
          <cell r="AA5317" t="str">
            <v>$1K or Below</v>
          </cell>
          <cell r="AB5317" t="str">
            <v>2010 or before</v>
          </cell>
        </row>
        <row r="5318">
          <cell r="E5318">
            <v>183.96</v>
          </cell>
          <cell r="Z5318" t="str">
            <v>Legacy</v>
          </cell>
          <cell r="AA5318" t="str">
            <v>$1K or Below</v>
          </cell>
          <cell r="AB5318" t="str">
            <v>2010 or before</v>
          </cell>
        </row>
        <row r="5319">
          <cell r="E5319">
            <v>183.88</v>
          </cell>
          <cell r="Z5319" t="str">
            <v>Legacy</v>
          </cell>
          <cell r="AA5319" t="str">
            <v>$1K or Below</v>
          </cell>
          <cell r="AB5319" t="str">
            <v>2010 or before</v>
          </cell>
        </row>
        <row r="5320">
          <cell r="E5320">
            <v>183.8</v>
          </cell>
          <cell r="Z5320" t="str">
            <v>Legacy</v>
          </cell>
          <cell r="AA5320" t="str">
            <v>$1K or Below</v>
          </cell>
          <cell r="AB5320" t="str">
            <v>2010 or before</v>
          </cell>
        </row>
        <row r="5321">
          <cell r="E5321">
            <v>183.34</v>
          </cell>
          <cell r="Z5321" t="str">
            <v>Legacy</v>
          </cell>
          <cell r="AA5321" t="str">
            <v>$1K or Below</v>
          </cell>
          <cell r="AB5321" t="str">
            <v>2010 or before</v>
          </cell>
        </row>
        <row r="5322">
          <cell r="E5322">
            <v>183.33</v>
          </cell>
          <cell r="Z5322" t="str">
            <v>Legacy</v>
          </cell>
          <cell r="AA5322" t="str">
            <v>$1K or Below</v>
          </cell>
          <cell r="AB5322" t="str">
            <v>2010 or before</v>
          </cell>
        </row>
        <row r="5323">
          <cell r="E5323">
            <v>183</v>
          </cell>
          <cell r="Z5323" t="str">
            <v>Outbound</v>
          </cell>
          <cell r="AA5323" t="str">
            <v>$1K or Below</v>
          </cell>
          <cell r="AB5323">
            <v>2012</v>
          </cell>
        </row>
        <row r="5324">
          <cell r="E5324">
            <v>182.79</v>
          </cell>
          <cell r="Z5324" t="str">
            <v>Legacy</v>
          </cell>
          <cell r="AA5324" t="str">
            <v>$1K or Below</v>
          </cell>
          <cell r="AB5324" t="str">
            <v>2010 or before</v>
          </cell>
        </row>
        <row r="5325">
          <cell r="E5325">
            <v>182.55</v>
          </cell>
          <cell r="Z5325" t="str">
            <v>Legacy</v>
          </cell>
          <cell r="AA5325" t="str">
            <v>$1K or Below</v>
          </cell>
          <cell r="AB5325" t="str">
            <v>2010 or before</v>
          </cell>
        </row>
        <row r="5326">
          <cell r="E5326">
            <v>181.96</v>
          </cell>
          <cell r="Z5326" t="str">
            <v>Legacy</v>
          </cell>
          <cell r="AA5326" t="str">
            <v>$1K or Below</v>
          </cell>
          <cell r="AB5326" t="str">
            <v>2010 or before</v>
          </cell>
        </row>
        <row r="5327">
          <cell r="E5327">
            <v>181.88</v>
          </cell>
          <cell r="Z5327" t="str">
            <v>Legacy</v>
          </cell>
          <cell r="AA5327" t="str">
            <v>$1K or Below</v>
          </cell>
          <cell r="AB5327" t="str">
            <v>2010 or before</v>
          </cell>
        </row>
        <row r="5328">
          <cell r="E5328">
            <v>181.49</v>
          </cell>
          <cell r="Z5328" t="str">
            <v>Legacy</v>
          </cell>
          <cell r="AA5328" t="str">
            <v>$1K or Below</v>
          </cell>
          <cell r="AB5328">
            <v>2011</v>
          </cell>
        </row>
        <row r="5329">
          <cell r="E5329">
            <v>180.6</v>
          </cell>
          <cell r="Z5329" t="str">
            <v>Legacy</v>
          </cell>
          <cell r="AA5329" t="str">
            <v>$1K or Below</v>
          </cell>
          <cell r="AB5329">
            <v>2012</v>
          </cell>
        </row>
        <row r="5330">
          <cell r="E5330">
            <v>180.49</v>
          </cell>
          <cell r="Z5330" t="str">
            <v>Legacy</v>
          </cell>
          <cell r="AA5330" t="str">
            <v>$1K or Below</v>
          </cell>
          <cell r="AB5330" t="str">
            <v>2010 or before</v>
          </cell>
        </row>
        <row r="5331">
          <cell r="E5331">
            <v>180.17</v>
          </cell>
          <cell r="Z5331" t="str">
            <v>Legacy</v>
          </cell>
          <cell r="AA5331" t="str">
            <v>$1K or Below</v>
          </cell>
          <cell r="AB5331" t="str">
            <v>2010 or before</v>
          </cell>
        </row>
        <row r="5332">
          <cell r="E5332">
            <v>180</v>
          </cell>
          <cell r="Z5332" t="str">
            <v>Legacy</v>
          </cell>
          <cell r="AA5332" t="str">
            <v>$1K or Below</v>
          </cell>
          <cell r="AB5332" t="str">
            <v>2010 or before</v>
          </cell>
        </row>
        <row r="5333">
          <cell r="E5333">
            <v>179.99</v>
          </cell>
          <cell r="Z5333" t="str">
            <v>Legacy</v>
          </cell>
          <cell r="AA5333" t="str">
            <v>$1K or Below</v>
          </cell>
          <cell r="AB5333" t="str">
            <v>2010 or before</v>
          </cell>
        </row>
        <row r="5334">
          <cell r="E5334">
            <v>179.99</v>
          </cell>
          <cell r="Z5334" t="str">
            <v>Legacy</v>
          </cell>
          <cell r="AA5334" t="str">
            <v>$1K or Below</v>
          </cell>
          <cell r="AB5334" t="str">
            <v>2010 or before</v>
          </cell>
        </row>
        <row r="5335">
          <cell r="E5335">
            <v>179.98</v>
          </cell>
          <cell r="Z5335" t="str">
            <v>Legacy</v>
          </cell>
          <cell r="AA5335" t="str">
            <v>$1K or Below</v>
          </cell>
          <cell r="AB5335" t="str">
            <v>2010 or before</v>
          </cell>
        </row>
        <row r="5336">
          <cell r="E5336">
            <v>179.98</v>
          </cell>
          <cell r="Z5336" t="str">
            <v>Legacy</v>
          </cell>
          <cell r="AA5336" t="str">
            <v>$1K or Below</v>
          </cell>
          <cell r="AB5336" t="str">
            <v>2010 or before</v>
          </cell>
        </row>
        <row r="5337">
          <cell r="E5337">
            <v>179.97</v>
          </cell>
          <cell r="Z5337" t="str">
            <v>Legacy</v>
          </cell>
          <cell r="AA5337" t="str">
            <v>$1K or Below</v>
          </cell>
          <cell r="AB5337">
            <v>2011</v>
          </cell>
        </row>
        <row r="5338">
          <cell r="E5338">
            <v>179.96</v>
          </cell>
          <cell r="Z5338" t="str">
            <v>Legacy</v>
          </cell>
          <cell r="AA5338" t="str">
            <v>$1K or Below</v>
          </cell>
          <cell r="AB5338">
            <v>2011</v>
          </cell>
        </row>
        <row r="5339">
          <cell r="E5339">
            <v>179.88</v>
          </cell>
          <cell r="Z5339" t="str">
            <v>Legacy</v>
          </cell>
          <cell r="AA5339" t="str">
            <v>$1K or Below</v>
          </cell>
          <cell r="AB5339" t="str">
            <v>2010 or before</v>
          </cell>
        </row>
        <row r="5340">
          <cell r="E5340">
            <v>179.84</v>
          </cell>
          <cell r="Z5340" t="str">
            <v>Legacy</v>
          </cell>
          <cell r="AA5340" t="str">
            <v>$1K or Below</v>
          </cell>
          <cell r="AB5340" t="str">
            <v>2010 or before</v>
          </cell>
        </row>
        <row r="5341">
          <cell r="E5341">
            <v>179.72</v>
          </cell>
          <cell r="Z5341" t="str">
            <v>Outbound</v>
          </cell>
          <cell r="AA5341" t="str">
            <v>$1K or Below</v>
          </cell>
          <cell r="AB5341">
            <v>2012</v>
          </cell>
        </row>
        <row r="5342">
          <cell r="E5342">
            <v>178.97</v>
          </cell>
          <cell r="Z5342" t="str">
            <v>Legacy</v>
          </cell>
          <cell r="AA5342" t="str">
            <v>$1K or Below</v>
          </cell>
          <cell r="AB5342" t="str">
            <v>2010 or before</v>
          </cell>
        </row>
        <row r="5343">
          <cell r="E5343">
            <v>178.62</v>
          </cell>
          <cell r="Z5343" t="str">
            <v>Legacy</v>
          </cell>
          <cell r="AA5343" t="str">
            <v>$1K or Below</v>
          </cell>
          <cell r="AB5343" t="str">
            <v>2010 or before</v>
          </cell>
        </row>
        <row r="5344">
          <cell r="E5344">
            <v>178.32</v>
          </cell>
          <cell r="Z5344" t="str">
            <v>Legacy</v>
          </cell>
          <cell r="AA5344" t="str">
            <v>$1K or Below</v>
          </cell>
          <cell r="AB5344" t="str">
            <v>2010 or before</v>
          </cell>
        </row>
        <row r="5345">
          <cell r="E5345">
            <v>177.94</v>
          </cell>
          <cell r="Z5345" t="str">
            <v>Legacy</v>
          </cell>
          <cell r="AA5345" t="str">
            <v>$1K or Below</v>
          </cell>
          <cell r="AB5345" t="str">
            <v>2010 or before</v>
          </cell>
        </row>
        <row r="5346">
          <cell r="E5346">
            <v>177.9</v>
          </cell>
          <cell r="Z5346" t="str">
            <v>Legacy</v>
          </cell>
          <cell r="AA5346" t="str">
            <v>$1K or Below</v>
          </cell>
          <cell r="AB5346" t="str">
            <v>2010 or before</v>
          </cell>
        </row>
        <row r="5347">
          <cell r="E5347">
            <v>177.5</v>
          </cell>
          <cell r="Z5347" t="str">
            <v>Ungating</v>
          </cell>
          <cell r="AA5347" t="str">
            <v>$1K or Below</v>
          </cell>
          <cell r="AB5347">
            <v>2012</v>
          </cell>
        </row>
        <row r="5348">
          <cell r="E5348">
            <v>177.22</v>
          </cell>
          <cell r="Z5348" t="str">
            <v>Ungating</v>
          </cell>
          <cell r="AA5348" t="str">
            <v>$1K or Below</v>
          </cell>
          <cell r="AB5348">
            <v>2013</v>
          </cell>
        </row>
        <row r="5349">
          <cell r="E5349">
            <v>176.43</v>
          </cell>
          <cell r="Z5349" t="str">
            <v>Legacy</v>
          </cell>
          <cell r="AA5349" t="str">
            <v>$1K or Below</v>
          </cell>
          <cell r="AB5349" t="str">
            <v>2010 or before</v>
          </cell>
        </row>
        <row r="5350">
          <cell r="E5350">
            <v>176.22</v>
          </cell>
          <cell r="Z5350" t="str">
            <v>Legacy</v>
          </cell>
          <cell r="AA5350" t="str">
            <v>$1K or Below</v>
          </cell>
          <cell r="AB5350" t="str">
            <v>2010 or before</v>
          </cell>
        </row>
        <row r="5351">
          <cell r="E5351">
            <v>176.06</v>
          </cell>
          <cell r="Z5351" t="str">
            <v>Legacy</v>
          </cell>
          <cell r="AA5351" t="str">
            <v>$1K or Below</v>
          </cell>
          <cell r="AB5351" t="str">
            <v>2010 or before</v>
          </cell>
        </row>
        <row r="5352">
          <cell r="E5352">
            <v>176</v>
          </cell>
          <cell r="Z5352" t="str">
            <v>Legacy</v>
          </cell>
          <cell r="AA5352" t="str">
            <v>$1K or Below</v>
          </cell>
          <cell r="AB5352" t="str">
            <v>2010 or before</v>
          </cell>
        </row>
        <row r="5353">
          <cell r="E5353">
            <v>175.72</v>
          </cell>
          <cell r="Z5353" t="str">
            <v>Legacy</v>
          </cell>
          <cell r="AA5353" t="str">
            <v>$1K or Below</v>
          </cell>
          <cell r="AB5353" t="str">
            <v>2010 or before</v>
          </cell>
        </row>
        <row r="5354">
          <cell r="E5354">
            <v>175.48</v>
          </cell>
          <cell r="Z5354" t="str">
            <v>Legacy</v>
          </cell>
          <cell r="AA5354" t="str">
            <v>$1K or Below</v>
          </cell>
          <cell r="AB5354" t="str">
            <v>2010 or before</v>
          </cell>
        </row>
        <row r="5355">
          <cell r="E5355">
            <v>175.22</v>
          </cell>
          <cell r="Z5355" t="str">
            <v>Ungating</v>
          </cell>
          <cell r="AA5355" t="str">
            <v>$1K or Below</v>
          </cell>
          <cell r="AB5355">
            <v>2012</v>
          </cell>
        </row>
        <row r="5356">
          <cell r="E5356">
            <v>175.22</v>
          </cell>
          <cell r="Z5356" t="str">
            <v>Legacy</v>
          </cell>
          <cell r="AA5356" t="str">
            <v>$1K or Below</v>
          </cell>
          <cell r="AB5356" t="str">
            <v>2010 or before</v>
          </cell>
        </row>
        <row r="5357">
          <cell r="E5357">
            <v>175</v>
          </cell>
          <cell r="Z5357" t="str">
            <v>Ungating</v>
          </cell>
          <cell r="AA5357" t="str">
            <v>$1K or Below</v>
          </cell>
          <cell r="AB5357">
            <v>2011</v>
          </cell>
        </row>
        <row r="5358">
          <cell r="E5358">
            <v>174.85</v>
          </cell>
          <cell r="Z5358" t="str">
            <v>Legacy</v>
          </cell>
          <cell r="AA5358" t="str">
            <v>$1K or Below</v>
          </cell>
          <cell r="AB5358" t="str">
            <v>2010 or before</v>
          </cell>
        </row>
        <row r="5359">
          <cell r="E5359">
            <v>174.65</v>
          </cell>
          <cell r="Z5359" t="str">
            <v>Legacy</v>
          </cell>
          <cell r="AA5359" t="str">
            <v>$1K or Below</v>
          </cell>
          <cell r="AB5359" t="str">
            <v>2010 or before</v>
          </cell>
        </row>
        <row r="5360">
          <cell r="E5360">
            <v>174.51</v>
          </cell>
          <cell r="Z5360" t="str">
            <v>Legacy</v>
          </cell>
          <cell r="AA5360" t="str">
            <v>$1K or Below</v>
          </cell>
          <cell r="AB5360">
            <v>2012</v>
          </cell>
        </row>
        <row r="5361">
          <cell r="E5361">
            <v>174.49</v>
          </cell>
          <cell r="Z5361" t="str">
            <v>Legacy</v>
          </cell>
          <cell r="AA5361" t="str">
            <v>$1K or Below</v>
          </cell>
          <cell r="AB5361" t="str">
            <v>2010 or before</v>
          </cell>
        </row>
        <row r="5362">
          <cell r="E5362">
            <v>173.99</v>
          </cell>
          <cell r="Z5362" t="str">
            <v>Legacy</v>
          </cell>
          <cell r="AA5362" t="str">
            <v>$1K or Below</v>
          </cell>
          <cell r="AB5362" t="str">
            <v>2010 or before</v>
          </cell>
        </row>
        <row r="5363">
          <cell r="E5363">
            <v>173.8</v>
          </cell>
          <cell r="Z5363" t="str">
            <v>Legacy</v>
          </cell>
          <cell r="AA5363" t="str">
            <v>$1K or Below</v>
          </cell>
          <cell r="AB5363" t="str">
            <v>2010 or before</v>
          </cell>
        </row>
        <row r="5364">
          <cell r="E5364">
            <v>173.76</v>
          </cell>
          <cell r="Z5364" t="str">
            <v>Legacy</v>
          </cell>
          <cell r="AA5364" t="str">
            <v>$1K or Below</v>
          </cell>
          <cell r="AB5364" t="str">
            <v>2010 or before</v>
          </cell>
        </row>
        <row r="5365">
          <cell r="E5365">
            <v>173.41</v>
          </cell>
          <cell r="Z5365" t="str">
            <v>Legacy</v>
          </cell>
          <cell r="AA5365" t="str">
            <v>$1K or Below</v>
          </cell>
          <cell r="AB5365" t="str">
            <v>2010 or before</v>
          </cell>
        </row>
        <row r="5366">
          <cell r="E5366">
            <v>172.88</v>
          </cell>
          <cell r="Z5366" t="str">
            <v>Legacy</v>
          </cell>
          <cell r="AA5366" t="str">
            <v>$1K or Below</v>
          </cell>
          <cell r="AB5366" t="str">
            <v>2010 or before</v>
          </cell>
        </row>
        <row r="5367">
          <cell r="E5367">
            <v>172.84</v>
          </cell>
          <cell r="Z5367" t="str">
            <v>Legacy</v>
          </cell>
          <cell r="AA5367" t="str">
            <v>$1K or Below</v>
          </cell>
          <cell r="AB5367" t="str">
            <v>2010 or before</v>
          </cell>
        </row>
        <row r="5368">
          <cell r="E5368">
            <v>172.77</v>
          </cell>
          <cell r="Z5368" t="str">
            <v>Legacy</v>
          </cell>
          <cell r="AA5368" t="str">
            <v>$1K or Below</v>
          </cell>
          <cell r="AB5368" t="str">
            <v>2010 or before</v>
          </cell>
        </row>
        <row r="5369">
          <cell r="E5369">
            <v>172.31</v>
          </cell>
          <cell r="Z5369" t="str">
            <v>Inbound</v>
          </cell>
          <cell r="AA5369" t="str">
            <v>$1K or Below</v>
          </cell>
          <cell r="AB5369">
            <v>2012</v>
          </cell>
        </row>
        <row r="5370">
          <cell r="E5370">
            <v>171.92</v>
          </cell>
          <cell r="Z5370" t="str">
            <v>Ungating</v>
          </cell>
          <cell r="AA5370" t="str">
            <v>$1K or Below</v>
          </cell>
          <cell r="AB5370">
            <v>2012</v>
          </cell>
        </row>
        <row r="5371">
          <cell r="E5371">
            <v>171.5</v>
          </cell>
          <cell r="Z5371" t="str">
            <v>Legacy</v>
          </cell>
          <cell r="AA5371" t="str">
            <v>$1K or Below</v>
          </cell>
          <cell r="AB5371" t="str">
            <v>2010 or before</v>
          </cell>
        </row>
        <row r="5372">
          <cell r="E5372">
            <v>171.41</v>
          </cell>
          <cell r="Z5372" t="str">
            <v>Legacy</v>
          </cell>
          <cell r="AA5372" t="str">
            <v>$1K or Below</v>
          </cell>
          <cell r="AB5372" t="str">
            <v>2010 or before</v>
          </cell>
        </row>
        <row r="5373">
          <cell r="E5373">
            <v>171.36</v>
          </cell>
          <cell r="Z5373" t="str">
            <v>Legacy</v>
          </cell>
          <cell r="AA5373" t="str">
            <v>$1K or Below</v>
          </cell>
          <cell r="AB5373" t="str">
            <v>2010 or before</v>
          </cell>
        </row>
        <row r="5374">
          <cell r="E5374">
            <v>170.91</v>
          </cell>
          <cell r="Z5374" t="str">
            <v>Legacy</v>
          </cell>
          <cell r="AA5374" t="str">
            <v>$1K or Below</v>
          </cell>
          <cell r="AB5374">
            <v>2012</v>
          </cell>
        </row>
        <row r="5375">
          <cell r="E5375">
            <v>170.04</v>
          </cell>
          <cell r="Z5375" t="str">
            <v>Legacy</v>
          </cell>
          <cell r="AA5375" t="str">
            <v>$1K or Below</v>
          </cell>
          <cell r="AB5375">
            <v>2012</v>
          </cell>
        </row>
        <row r="5376">
          <cell r="E5376">
            <v>169.7</v>
          </cell>
          <cell r="Z5376" t="str">
            <v>Legacy</v>
          </cell>
          <cell r="AA5376" t="str">
            <v>$1K or Below</v>
          </cell>
          <cell r="AB5376" t="str">
            <v>2010 or before</v>
          </cell>
        </row>
        <row r="5377">
          <cell r="E5377">
            <v>168.93</v>
          </cell>
          <cell r="Z5377" t="str">
            <v>Legacy</v>
          </cell>
          <cell r="AA5377" t="str">
            <v>$1K or Below</v>
          </cell>
          <cell r="AB5377" t="str">
            <v>2010 or before</v>
          </cell>
        </row>
        <row r="5378">
          <cell r="E5378">
            <v>168.9</v>
          </cell>
          <cell r="Z5378" t="str">
            <v>Legacy</v>
          </cell>
          <cell r="AA5378" t="str">
            <v>$1K or Below</v>
          </cell>
          <cell r="AB5378" t="str">
            <v>2010 or before</v>
          </cell>
        </row>
        <row r="5379">
          <cell r="E5379">
            <v>168.8</v>
          </cell>
          <cell r="Z5379" t="str">
            <v>Legacy</v>
          </cell>
          <cell r="AA5379" t="str">
            <v>$1K or Below</v>
          </cell>
          <cell r="AB5379" t="str">
            <v>2010 or before</v>
          </cell>
        </row>
        <row r="5380">
          <cell r="E5380">
            <v>167.91</v>
          </cell>
          <cell r="Z5380" t="str">
            <v>Legacy</v>
          </cell>
          <cell r="AA5380" t="str">
            <v>$1K or Below</v>
          </cell>
          <cell r="AB5380" t="str">
            <v>2010 or before</v>
          </cell>
        </row>
        <row r="5381">
          <cell r="E5381">
            <v>167.76</v>
          </cell>
          <cell r="Z5381" t="str">
            <v>Legacy</v>
          </cell>
          <cell r="AA5381" t="str">
            <v>$1K or Below</v>
          </cell>
          <cell r="AB5381" t="str">
            <v>2010 or before</v>
          </cell>
        </row>
        <row r="5382">
          <cell r="E5382">
            <v>167.68</v>
          </cell>
          <cell r="Z5382" t="str">
            <v>Legacy</v>
          </cell>
          <cell r="AA5382" t="str">
            <v>$1K or Below</v>
          </cell>
          <cell r="AB5382" t="str">
            <v>2010 or before</v>
          </cell>
        </row>
        <row r="5383">
          <cell r="E5383">
            <v>167.64</v>
          </cell>
          <cell r="Z5383" t="str">
            <v>Legacy</v>
          </cell>
          <cell r="AA5383" t="str">
            <v>$1K or Below</v>
          </cell>
          <cell r="AB5383" t="str">
            <v>2010 or before</v>
          </cell>
        </row>
        <row r="5384">
          <cell r="E5384">
            <v>167.58</v>
          </cell>
          <cell r="Z5384" t="str">
            <v>Global</v>
          </cell>
          <cell r="AA5384" t="str">
            <v>$1K or Below</v>
          </cell>
          <cell r="AB5384">
            <v>2012</v>
          </cell>
        </row>
        <row r="5385">
          <cell r="E5385">
            <v>167.58</v>
          </cell>
          <cell r="Z5385" t="str">
            <v>Legacy</v>
          </cell>
          <cell r="AA5385" t="str">
            <v>$1K or Below</v>
          </cell>
          <cell r="AB5385" t="str">
            <v>2010 or before</v>
          </cell>
        </row>
        <row r="5386">
          <cell r="E5386">
            <v>167.36</v>
          </cell>
          <cell r="Z5386" t="str">
            <v>Legacy</v>
          </cell>
          <cell r="AA5386" t="str">
            <v>$1K or Below</v>
          </cell>
          <cell r="AB5386" t="str">
            <v>2010 or before</v>
          </cell>
        </row>
        <row r="5387">
          <cell r="E5387">
            <v>166.94</v>
          </cell>
          <cell r="Z5387" t="str">
            <v>Legacy</v>
          </cell>
          <cell r="AA5387" t="str">
            <v>$1K or Below</v>
          </cell>
          <cell r="AB5387" t="str">
            <v>2010 or before</v>
          </cell>
        </row>
        <row r="5388">
          <cell r="E5388">
            <v>166.94</v>
          </cell>
          <cell r="Z5388" t="str">
            <v>Legacy</v>
          </cell>
          <cell r="AA5388" t="str">
            <v>$1K or Below</v>
          </cell>
          <cell r="AB5388" t="str">
            <v>2010 or before</v>
          </cell>
        </row>
        <row r="5389">
          <cell r="E5389">
            <v>166.91</v>
          </cell>
          <cell r="Z5389" t="str">
            <v>Legacy</v>
          </cell>
          <cell r="AA5389" t="str">
            <v>$1K or Below</v>
          </cell>
          <cell r="AB5389">
            <v>2011</v>
          </cell>
        </row>
        <row r="5390">
          <cell r="E5390">
            <v>166.51</v>
          </cell>
          <cell r="Z5390" t="str">
            <v>Legacy</v>
          </cell>
          <cell r="AA5390" t="str">
            <v>$1K or Below</v>
          </cell>
          <cell r="AB5390" t="str">
            <v>2010 or before</v>
          </cell>
        </row>
        <row r="5391">
          <cell r="E5391">
            <v>166.49</v>
          </cell>
          <cell r="Z5391" t="str">
            <v>Legacy</v>
          </cell>
          <cell r="AA5391" t="str">
            <v>$1K or Below</v>
          </cell>
          <cell r="AB5391" t="str">
            <v>2010 or before</v>
          </cell>
        </row>
        <row r="5392">
          <cell r="E5392">
            <v>166.48</v>
          </cell>
          <cell r="Z5392" t="str">
            <v>Legacy</v>
          </cell>
          <cell r="AA5392" t="str">
            <v>$1K or Below</v>
          </cell>
          <cell r="AB5392" t="str">
            <v>2010 or before</v>
          </cell>
        </row>
        <row r="5393">
          <cell r="E5393">
            <v>166.11</v>
          </cell>
          <cell r="Z5393" t="str">
            <v>Legacy</v>
          </cell>
          <cell r="AA5393" t="str">
            <v>$1K or Below</v>
          </cell>
          <cell r="AB5393" t="str">
            <v>2010 or before</v>
          </cell>
        </row>
        <row r="5394">
          <cell r="E5394">
            <v>165.96</v>
          </cell>
          <cell r="Z5394" t="str">
            <v>Legacy</v>
          </cell>
          <cell r="AA5394" t="str">
            <v>$1K or Below</v>
          </cell>
          <cell r="AB5394" t="str">
            <v>2010 or before</v>
          </cell>
        </row>
        <row r="5395">
          <cell r="E5395">
            <v>165.94</v>
          </cell>
          <cell r="Z5395" t="str">
            <v>Legacy</v>
          </cell>
          <cell r="AA5395" t="str">
            <v>$1K or Below</v>
          </cell>
          <cell r="AB5395" t="str">
            <v>2010 or before</v>
          </cell>
        </row>
        <row r="5396">
          <cell r="E5396">
            <v>165.1</v>
          </cell>
          <cell r="Z5396" t="str">
            <v>Legacy</v>
          </cell>
          <cell r="AA5396" t="str">
            <v>$1K or Below</v>
          </cell>
          <cell r="AB5396" t="str">
            <v>2010 or before</v>
          </cell>
        </row>
        <row r="5397">
          <cell r="E5397">
            <v>165</v>
          </cell>
          <cell r="Z5397" t="str">
            <v>Inbound</v>
          </cell>
          <cell r="AA5397" t="str">
            <v>$1K or Below</v>
          </cell>
          <cell r="AB5397">
            <v>2012</v>
          </cell>
        </row>
        <row r="5398">
          <cell r="E5398">
            <v>164.97</v>
          </cell>
          <cell r="Z5398" t="str">
            <v>Legacy</v>
          </cell>
          <cell r="AA5398" t="str">
            <v>$1K or Below</v>
          </cell>
          <cell r="AB5398">
            <v>2012</v>
          </cell>
        </row>
        <row r="5399">
          <cell r="E5399">
            <v>164.94</v>
          </cell>
          <cell r="Z5399" t="str">
            <v>Legacy</v>
          </cell>
          <cell r="AA5399" t="str">
            <v>$1K or Below</v>
          </cell>
          <cell r="AB5399" t="str">
            <v>2010 or before</v>
          </cell>
        </row>
        <row r="5400">
          <cell r="E5400">
            <v>164.75</v>
          </cell>
          <cell r="Z5400" t="str">
            <v>Legacy</v>
          </cell>
          <cell r="AA5400" t="str">
            <v>$1K or Below</v>
          </cell>
          <cell r="AB5400" t="str">
            <v>2010 or before</v>
          </cell>
        </row>
        <row r="5401">
          <cell r="E5401">
            <v>164.62</v>
          </cell>
          <cell r="Z5401" t="str">
            <v>Legacy</v>
          </cell>
          <cell r="AA5401" t="str">
            <v>$1K or Below</v>
          </cell>
          <cell r="AB5401" t="str">
            <v>2010 or before</v>
          </cell>
        </row>
        <row r="5402">
          <cell r="E5402">
            <v>164.49</v>
          </cell>
          <cell r="Z5402" t="str">
            <v>Legacy</v>
          </cell>
          <cell r="AA5402" t="str">
            <v>$1K or Below</v>
          </cell>
          <cell r="AB5402" t="str">
            <v>2010 or before</v>
          </cell>
        </row>
        <row r="5403">
          <cell r="E5403">
            <v>164.49</v>
          </cell>
          <cell r="Z5403" t="str">
            <v>Legacy</v>
          </cell>
          <cell r="AA5403" t="str">
            <v>$1K or Below</v>
          </cell>
          <cell r="AB5403" t="str">
            <v>2010 or before</v>
          </cell>
        </row>
        <row r="5404">
          <cell r="E5404">
            <v>164.48</v>
          </cell>
          <cell r="Z5404" t="str">
            <v>Inbound</v>
          </cell>
          <cell r="AA5404" t="str">
            <v>$1K or Below</v>
          </cell>
          <cell r="AB5404">
            <v>2012</v>
          </cell>
        </row>
        <row r="5405">
          <cell r="E5405">
            <v>164.2</v>
          </cell>
          <cell r="Z5405" t="str">
            <v>Legacy</v>
          </cell>
          <cell r="AA5405" t="str">
            <v>$1K or Below</v>
          </cell>
          <cell r="AB5405" t="str">
            <v>2010 or before</v>
          </cell>
        </row>
        <row r="5406">
          <cell r="E5406">
            <v>164.16</v>
          </cell>
          <cell r="Z5406" t="str">
            <v>Legacy</v>
          </cell>
          <cell r="AA5406" t="str">
            <v>$1K or Below</v>
          </cell>
          <cell r="AB5406" t="str">
            <v>2010 or before</v>
          </cell>
        </row>
        <row r="5407">
          <cell r="E5407">
            <v>164</v>
          </cell>
          <cell r="Z5407" t="str">
            <v>Legacy</v>
          </cell>
          <cell r="AA5407" t="str">
            <v>$1K or Below</v>
          </cell>
          <cell r="AB5407" t="str">
            <v>2010 or before</v>
          </cell>
        </row>
        <row r="5408">
          <cell r="E5408">
            <v>163.96</v>
          </cell>
          <cell r="Z5408" t="str">
            <v>Legacy</v>
          </cell>
          <cell r="AA5408" t="str">
            <v>$1K or Below</v>
          </cell>
          <cell r="AB5408" t="str">
            <v>2010 or before</v>
          </cell>
        </row>
        <row r="5409">
          <cell r="E5409">
            <v>163.9</v>
          </cell>
          <cell r="Z5409" t="str">
            <v>Legacy</v>
          </cell>
          <cell r="AA5409" t="str">
            <v>$1K or Below</v>
          </cell>
          <cell r="AB5409" t="str">
            <v>2010 or before</v>
          </cell>
        </row>
        <row r="5410">
          <cell r="E5410">
            <v>163.63999999999999</v>
          </cell>
          <cell r="Z5410" t="str">
            <v>Legacy</v>
          </cell>
          <cell r="AA5410" t="str">
            <v>$1K or Below</v>
          </cell>
          <cell r="AB5410" t="str">
            <v>2010 or before</v>
          </cell>
        </row>
        <row r="5411">
          <cell r="E5411">
            <v>162.66999999999999</v>
          </cell>
          <cell r="Z5411" t="str">
            <v>Legacy</v>
          </cell>
          <cell r="AA5411" t="str">
            <v>$1K or Below</v>
          </cell>
          <cell r="AB5411" t="str">
            <v>2010 or before</v>
          </cell>
        </row>
        <row r="5412">
          <cell r="E5412">
            <v>162.54</v>
          </cell>
          <cell r="Z5412" t="str">
            <v>Legacy</v>
          </cell>
          <cell r="AA5412" t="str">
            <v>$1K or Below</v>
          </cell>
          <cell r="AB5412" t="str">
            <v>2010 or before</v>
          </cell>
        </row>
        <row r="5413">
          <cell r="E5413">
            <v>162.4</v>
          </cell>
          <cell r="Z5413" t="str">
            <v>Legacy</v>
          </cell>
          <cell r="AA5413" t="str">
            <v>$1K or Below</v>
          </cell>
          <cell r="AB5413" t="str">
            <v>2010 or before</v>
          </cell>
        </row>
        <row r="5414">
          <cell r="E5414">
            <v>161.9</v>
          </cell>
          <cell r="Z5414" t="str">
            <v>Legacy</v>
          </cell>
          <cell r="AA5414" t="str">
            <v>$1K or Below</v>
          </cell>
          <cell r="AB5414" t="str">
            <v>2010 or before</v>
          </cell>
        </row>
        <row r="5415">
          <cell r="E5415">
            <v>161.69999999999999</v>
          </cell>
          <cell r="Z5415" t="str">
            <v>Legacy</v>
          </cell>
          <cell r="AA5415" t="str">
            <v>$1K or Below</v>
          </cell>
          <cell r="AB5415" t="str">
            <v>2010 or before</v>
          </cell>
        </row>
        <row r="5416">
          <cell r="E5416">
            <v>161.47999999999999</v>
          </cell>
          <cell r="Z5416" t="str">
            <v>Legacy</v>
          </cell>
          <cell r="AA5416" t="str">
            <v>$1K or Below</v>
          </cell>
          <cell r="AB5416">
            <v>2011</v>
          </cell>
        </row>
        <row r="5417">
          <cell r="E5417">
            <v>161.24</v>
          </cell>
          <cell r="Z5417" t="str">
            <v>Legacy</v>
          </cell>
          <cell r="AA5417" t="str">
            <v>$1K or Below</v>
          </cell>
          <cell r="AB5417" t="str">
            <v>2010 or before</v>
          </cell>
        </row>
        <row r="5418">
          <cell r="E5418">
            <v>161.18</v>
          </cell>
          <cell r="Z5418" t="str">
            <v>Legacy</v>
          </cell>
          <cell r="AA5418" t="str">
            <v>$1K or Below</v>
          </cell>
          <cell r="AB5418" t="str">
            <v>2010 or before</v>
          </cell>
        </row>
        <row r="5419">
          <cell r="E5419">
            <v>160.99</v>
          </cell>
          <cell r="Z5419" t="str">
            <v>Legacy</v>
          </cell>
          <cell r="AA5419" t="str">
            <v>$1K or Below</v>
          </cell>
          <cell r="AB5419" t="str">
            <v>2010 or before</v>
          </cell>
        </row>
        <row r="5420">
          <cell r="E5420">
            <v>160.62</v>
          </cell>
          <cell r="Z5420" t="str">
            <v>Legacy</v>
          </cell>
          <cell r="AA5420" t="str">
            <v>$1K or Below</v>
          </cell>
          <cell r="AB5420" t="str">
            <v>2010 or before</v>
          </cell>
        </row>
        <row r="5421">
          <cell r="E5421">
            <v>160.46</v>
          </cell>
          <cell r="Z5421" t="str">
            <v>Legacy</v>
          </cell>
          <cell r="AA5421" t="str">
            <v>$1K or Below</v>
          </cell>
          <cell r="AB5421" t="str">
            <v>2010 or before</v>
          </cell>
        </row>
        <row r="5422">
          <cell r="E5422">
            <v>160.34</v>
          </cell>
          <cell r="Z5422" t="str">
            <v>Legacy</v>
          </cell>
          <cell r="AA5422" t="str">
            <v>$1K or Below</v>
          </cell>
          <cell r="AB5422" t="str">
            <v>2010 or before</v>
          </cell>
        </row>
        <row r="5423">
          <cell r="E5423">
            <v>160.31</v>
          </cell>
          <cell r="Z5423" t="str">
            <v>Legacy</v>
          </cell>
          <cell r="AA5423" t="str">
            <v>$1K or Below</v>
          </cell>
          <cell r="AB5423" t="str">
            <v>2010 or before</v>
          </cell>
        </row>
        <row r="5424">
          <cell r="E5424">
            <v>160.29</v>
          </cell>
          <cell r="Z5424" t="str">
            <v>Legacy</v>
          </cell>
          <cell r="AA5424" t="str">
            <v>$1K or Below</v>
          </cell>
          <cell r="AB5424" t="str">
            <v>2010 or before</v>
          </cell>
        </row>
        <row r="5425">
          <cell r="E5425">
            <v>160.16999999999999</v>
          </cell>
          <cell r="Z5425" t="str">
            <v>Legacy</v>
          </cell>
          <cell r="AA5425" t="str">
            <v>$1K or Below</v>
          </cell>
          <cell r="AB5425" t="str">
            <v>2010 or before</v>
          </cell>
        </row>
        <row r="5426">
          <cell r="E5426">
            <v>160</v>
          </cell>
          <cell r="Z5426" t="str">
            <v>Legacy</v>
          </cell>
          <cell r="AA5426" t="str">
            <v>$1K or Below</v>
          </cell>
          <cell r="AB5426" t="str">
            <v>2010 or before</v>
          </cell>
        </row>
        <row r="5427">
          <cell r="E5427">
            <v>159.96</v>
          </cell>
          <cell r="Z5427" t="str">
            <v>Inbound</v>
          </cell>
          <cell r="AA5427" t="str">
            <v>$1K or Below</v>
          </cell>
          <cell r="AB5427">
            <v>2011</v>
          </cell>
        </row>
        <row r="5428">
          <cell r="E5428">
            <v>159.82</v>
          </cell>
          <cell r="Z5428" t="str">
            <v>Legacy</v>
          </cell>
          <cell r="AA5428" t="str">
            <v>$1K or Below</v>
          </cell>
          <cell r="AB5428">
            <v>2012</v>
          </cell>
        </row>
        <row r="5429">
          <cell r="E5429">
            <v>159.66</v>
          </cell>
          <cell r="Z5429" t="str">
            <v>Legacy</v>
          </cell>
          <cell r="AA5429" t="str">
            <v>$1K or Below</v>
          </cell>
          <cell r="AB5429" t="str">
            <v>2010 or before</v>
          </cell>
        </row>
        <row r="5430">
          <cell r="E5430">
            <v>159.6</v>
          </cell>
          <cell r="Z5430" t="str">
            <v>Legacy</v>
          </cell>
          <cell r="AA5430" t="str">
            <v>$1K or Below</v>
          </cell>
          <cell r="AB5430" t="str">
            <v>2010 or before</v>
          </cell>
        </row>
        <row r="5431">
          <cell r="E5431">
            <v>159.32</v>
          </cell>
          <cell r="Z5431" t="str">
            <v>Legacy</v>
          </cell>
          <cell r="AA5431" t="str">
            <v>$1K or Below</v>
          </cell>
          <cell r="AB5431">
            <v>2011</v>
          </cell>
        </row>
        <row r="5432">
          <cell r="E5432">
            <v>159.22999999999999</v>
          </cell>
          <cell r="Z5432" t="str">
            <v>Legacy</v>
          </cell>
          <cell r="AA5432" t="str">
            <v>$1K or Below</v>
          </cell>
          <cell r="AB5432" t="str">
            <v>2010 or before</v>
          </cell>
        </row>
        <row r="5433">
          <cell r="E5433">
            <v>159.22</v>
          </cell>
          <cell r="Z5433" t="str">
            <v>Legacy</v>
          </cell>
          <cell r="AA5433" t="str">
            <v>$1K or Below</v>
          </cell>
          <cell r="AB5433" t="str">
            <v>2010 or before</v>
          </cell>
        </row>
        <row r="5434">
          <cell r="E5434">
            <v>158.6</v>
          </cell>
          <cell r="Z5434" t="str">
            <v>Legacy</v>
          </cell>
          <cell r="AA5434" t="str">
            <v>$1K or Below</v>
          </cell>
          <cell r="AB5434" t="str">
            <v>2010 or before</v>
          </cell>
        </row>
        <row r="5435">
          <cell r="E5435">
            <v>158.49</v>
          </cell>
          <cell r="Z5435" t="str">
            <v>Legacy</v>
          </cell>
          <cell r="AA5435" t="str">
            <v>$1K or Below</v>
          </cell>
          <cell r="AB5435" t="str">
            <v>2010 or before</v>
          </cell>
        </row>
        <row r="5436">
          <cell r="E5436">
            <v>158.47</v>
          </cell>
          <cell r="Z5436" t="str">
            <v>Legacy</v>
          </cell>
          <cell r="AA5436" t="str">
            <v>$1K or Below</v>
          </cell>
          <cell r="AB5436" t="str">
            <v>2010 or before</v>
          </cell>
        </row>
        <row r="5437">
          <cell r="E5437">
            <v>158.16</v>
          </cell>
          <cell r="Z5437" t="str">
            <v>Legacy</v>
          </cell>
          <cell r="AA5437" t="str">
            <v>$1K or Below</v>
          </cell>
          <cell r="AB5437" t="str">
            <v>2010 or before</v>
          </cell>
        </row>
        <row r="5438">
          <cell r="E5438">
            <v>158</v>
          </cell>
          <cell r="Z5438" t="str">
            <v>Legacy</v>
          </cell>
          <cell r="AA5438" t="str">
            <v>$1K or Below</v>
          </cell>
          <cell r="AB5438" t="str">
            <v>2010 or before</v>
          </cell>
        </row>
        <row r="5439">
          <cell r="E5439">
            <v>157.91999999999999</v>
          </cell>
          <cell r="Z5439" t="str">
            <v>Legacy</v>
          </cell>
          <cell r="AA5439" t="str">
            <v>$1K or Below</v>
          </cell>
          <cell r="AB5439" t="str">
            <v>2010 or before</v>
          </cell>
        </row>
        <row r="5440">
          <cell r="E5440">
            <v>157.87</v>
          </cell>
          <cell r="Z5440" t="str">
            <v>Legacy</v>
          </cell>
          <cell r="AA5440" t="str">
            <v>$1K or Below</v>
          </cell>
          <cell r="AB5440" t="str">
            <v>2010 or before</v>
          </cell>
        </row>
        <row r="5441">
          <cell r="E5441">
            <v>157.5</v>
          </cell>
          <cell r="Z5441" t="str">
            <v>Legacy</v>
          </cell>
          <cell r="AA5441" t="str">
            <v>$1K or Below</v>
          </cell>
          <cell r="AB5441" t="str">
            <v>2010 or before</v>
          </cell>
        </row>
        <row r="5442">
          <cell r="E5442">
            <v>157.49</v>
          </cell>
          <cell r="Z5442" t="str">
            <v>Legacy</v>
          </cell>
          <cell r="AA5442" t="str">
            <v>$1K or Below</v>
          </cell>
          <cell r="AB5442" t="str">
            <v>2010 or before</v>
          </cell>
        </row>
        <row r="5443">
          <cell r="E5443">
            <v>157.44</v>
          </cell>
          <cell r="Z5443" t="str">
            <v>Legacy</v>
          </cell>
          <cell r="AA5443" t="str">
            <v>$1K or Below</v>
          </cell>
          <cell r="AB5443" t="str">
            <v>2010 or before</v>
          </cell>
        </row>
        <row r="5444">
          <cell r="E5444">
            <v>157.1</v>
          </cell>
          <cell r="Z5444" t="str">
            <v>Legacy</v>
          </cell>
          <cell r="AA5444" t="str">
            <v>$1K or Below</v>
          </cell>
          <cell r="AB5444" t="str">
            <v>2010 or before</v>
          </cell>
        </row>
        <row r="5445">
          <cell r="E5445">
            <v>156.99</v>
          </cell>
          <cell r="Z5445" t="str">
            <v>Legacy</v>
          </cell>
          <cell r="AA5445" t="str">
            <v>$1K or Below</v>
          </cell>
          <cell r="AB5445" t="str">
            <v>2010 or before</v>
          </cell>
        </row>
        <row r="5446">
          <cell r="E5446">
            <v>156.91</v>
          </cell>
          <cell r="Z5446" t="str">
            <v>Legacy</v>
          </cell>
          <cell r="AA5446" t="str">
            <v>$1K or Below</v>
          </cell>
          <cell r="AB5446" t="str">
            <v>2010 or before</v>
          </cell>
        </row>
        <row r="5447">
          <cell r="E5447">
            <v>156.9</v>
          </cell>
          <cell r="Z5447" t="str">
            <v>Legacy</v>
          </cell>
          <cell r="AA5447" t="str">
            <v>$1K or Below</v>
          </cell>
          <cell r="AB5447" t="str">
            <v>2010 or before</v>
          </cell>
        </row>
        <row r="5448">
          <cell r="E5448">
            <v>156.75</v>
          </cell>
          <cell r="Z5448" t="str">
            <v>Legacy</v>
          </cell>
          <cell r="AA5448" t="str">
            <v>$1K or Below</v>
          </cell>
          <cell r="AB5448" t="str">
            <v>2010 or before</v>
          </cell>
        </row>
        <row r="5449">
          <cell r="E5449">
            <v>156.65</v>
          </cell>
          <cell r="Z5449" t="str">
            <v>Legacy</v>
          </cell>
          <cell r="AA5449" t="str">
            <v>$1K or Below</v>
          </cell>
          <cell r="AB5449" t="str">
            <v>2010 or before</v>
          </cell>
        </row>
        <row r="5450">
          <cell r="E5450">
            <v>156.35</v>
          </cell>
          <cell r="Z5450" t="str">
            <v>Legacy</v>
          </cell>
          <cell r="AA5450" t="str">
            <v>$1K or Below</v>
          </cell>
          <cell r="AB5450" t="str">
            <v>2010 or before</v>
          </cell>
        </row>
        <row r="5451">
          <cell r="E5451">
            <v>155.94</v>
          </cell>
          <cell r="Z5451" t="str">
            <v>Legacy</v>
          </cell>
          <cell r="AA5451" t="str">
            <v>$1K or Below</v>
          </cell>
          <cell r="AB5451" t="str">
            <v>2010 or before</v>
          </cell>
        </row>
        <row r="5452">
          <cell r="E5452">
            <v>155.74</v>
          </cell>
          <cell r="Z5452" t="str">
            <v>Legacy</v>
          </cell>
          <cell r="AA5452" t="str">
            <v>$1K or Below</v>
          </cell>
          <cell r="AB5452">
            <v>2012</v>
          </cell>
        </row>
        <row r="5453">
          <cell r="E5453">
            <v>155.53</v>
          </cell>
          <cell r="Z5453" t="str">
            <v>Legacy</v>
          </cell>
          <cell r="AA5453" t="str">
            <v>$1K or Below</v>
          </cell>
          <cell r="AB5453">
            <v>2011</v>
          </cell>
        </row>
        <row r="5454">
          <cell r="E5454">
            <v>155.37</v>
          </cell>
          <cell r="Z5454" t="str">
            <v>Legacy</v>
          </cell>
          <cell r="AA5454" t="str">
            <v>$1K or Below</v>
          </cell>
          <cell r="AB5454" t="str">
            <v>2010 or before</v>
          </cell>
        </row>
        <row r="5455">
          <cell r="E5455">
            <v>155.36000000000001</v>
          </cell>
          <cell r="Z5455" t="str">
            <v>Legacy</v>
          </cell>
          <cell r="AA5455" t="str">
            <v>$1K or Below</v>
          </cell>
          <cell r="AB5455" t="str">
            <v>2010 or before</v>
          </cell>
        </row>
        <row r="5456">
          <cell r="E5456">
            <v>155.11000000000001</v>
          </cell>
          <cell r="Z5456" t="str">
            <v>Legacy</v>
          </cell>
          <cell r="AA5456" t="str">
            <v>$1K or Below</v>
          </cell>
          <cell r="AB5456" t="str">
            <v>2010 or before</v>
          </cell>
        </row>
        <row r="5457">
          <cell r="E5457">
            <v>154.99</v>
          </cell>
          <cell r="Z5457" t="str">
            <v>Legacy</v>
          </cell>
          <cell r="AA5457" t="str">
            <v>$1K or Below</v>
          </cell>
          <cell r="AB5457" t="str">
            <v>2010 or before</v>
          </cell>
        </row>
        <row r="5458">
          <cell r="E5458">
            <v>154.99</v>
          </cell>
          <cell r="Z5458" t="str">
            <v>Legacy</v>
          </cell>
          <cell r="AA5458" t="str">
            <v>$1K or Below</v>
          </cell>
          <cell r="AB5458" t="str">
            <v>2010 or before</v>
          </cell>
        </row>
        <row r="5459">
          <cell r="E5459">
            <v>154.97999999999999</v>
          </cell>
          <cell r="Z5459" t="str">
            <v>Legacy</v>
          </cell>
          <cell r="AA5459" t="str">
            <v>$1K or Below</v>
          </cell>
          <cell r="AB5459" t="str">
            <v>2010 or before</v>
          </cell>
        </row>
        <row r="5460">
          <cell r="E5460">
            <v>154.97999999999999</v>
          </cell>
          <cell r="Z5460" t="str">
            <v>Legacy</v>
          </cell>
          <cell r="AA5460" t="str">
            <v>$1K or Below</v>
          </cell>
          <cell r="AB5460" t="str">
            <v>2010 or before</v>
          </cell>
        </row>
        <row r="5461">
          <cell r="E5461">
            <v>154.88</v>
          </cell>
          <cell r="Z5461" t="str">
            <v>Legacy</v>
          </cell>
          <cell r="AA5461" t="str">
            <v>$1K or Below</v>
          </cell>
          <cell r="AB5461" t="str">
            <v>2010 or before</v>
          </cell>
        </row>
        <row r="5462">
          <cell r="E5462">
            <v>154.86000000000001</v>
          </cell>
          <cell r="Z5462" t="str">
            <v>Legacy</v>
          </cell>
          <cell r="AA5462" t="str">
            <v>$1K or Below</v>
          </cell>
          <cell r="AB5462" t="str">
            <v>2010 or before</v>
          </cell>
        </row>
        <row r="5463">
          <cell r="E5463">
            <v>154.79</v>
          </cell>
          <cell r="Z5463" t="str">
            <v>Legacy</v>
          </cell>
          <cell r="AA5463" t="str">
            <v>$1K or Below</v>
          </cell>
          <cell r="AB5463" t="str">
            <v>2010 or before</v>
          </cell>
        </row>
        <row r="5464">
          <cell r="E5464">
            <v>154.78</v>
          </cell>
          <cell r="Z5464" t="str">
            <v>Legacy</v>
          </cell>
          <cell r="AA5464" t="str">
            <v>$1K or Below</v>
          </cell>
          <cell r="AB5464" t="str">
            <v>2010 or before</v>
          </cell>
        </row>
        <row r="5465">
          <cell r="E5465">
            <v>154.49</v>
          </cell>
          <cell r="Z5465" t="str">
            <v>Legacy</v>
          </cell>
          <cell r="AA5465" t="str">
            <v>$1K or Below</v>
          </cell>
          <cell r="AB5465" t="str">
            <v>2010 or before</v>
          </cell>
        </row>
        <row r="5466">
          <cell r="E5466">
            <v>154.47999999999999</v>
          </cell>
          <cell r="Z5466" t="str">
            <v>Legacy</v>
          </cell>
          <cell r="AA5466" t="str">
            <v>$1K or Below</v>
          </cell>
          <cell r="AB5466" t="str">
            <v>2010 or before</v>
          </cell>
        </row>
        <row r="5467">
          <cell r="E5467">
            <v>153.86000000000001</v>
          </cell>
          <cell r="Z5467" t="str">
            <v>Legacy</v>
          </cell>
          <cell r="AA5467" t="str">
            <v>$1K or Below</v>
          </cell>
          <cell r="AB5467" t="str">
            <v>2010 or before</v>
          </cell>
        </row>
        <row r="5468">
          <cell r="E5468">
            <v>153.84</v>
          </cell>
          <cell r="Z5468" t="str">
            <v>Legacy</v>
          </cell>
          <cell r="AA5468" t="str">
            <v>$1K or Below</v>
          </cell>
          <cell r="AB5468" t="str">
            <v>2010 or before</v>
          </cell>
        </row>
        <row r="5469">
          <cell r="E5469">
            <v>153.56</v>
          </cell>
          <cell r="Z5469" t="str">
            <v>Legacy</v>
          </cell>
          <cell r="AA5469" t="str">
            <v>$1K or Below</v>
          </cell>
          <cell r="AB5469" t="str">
            <v>2010 or before</v>
          </cell>
        </row>
        <row r="5470">
          <cell r="E5470">
            <v>153.44999999999999</v>
          </cell>
          <cell r="Z5470" t="str">
            <v>Legacy</v>
          </cell>
          <cell r="AA5470" t="str">
            <v>$1K or Below</v>
          </cell>
          <cell r="AB5470" t="str">
            <v>2010 or before</v>
          </cell>
        </row>
        <row r="5471">
          <cell r="E5471">
            <v>153.41999999999999</v>
          </cell>
          <cell r="Z5471" t="str">
            <v>Legacy</v>
          </cell>
          <cell r="AA5471" t="str">
            <v>$1K or Below</v>
          </cell>
          <cell r="AB5471" t="str">
            <v>2010 or before</v>
          </cell>
        </row>
        <row r="5472">
          <cell r="E5472">
            <v>153.35</v>
          </cell>
          <cell r="Z5472" t="str">
            <v>Legacy</v>
          </cell>
          <cell r="AA5472" t="str">
            <v>$1K or Below</v>
          </cell>
          <cell r="AB5472" t="str">
            <v>2010 or before</v>
          </cell>
        </row>
        <row r="5473">
          <cell r="E5473">
            <v>153.33000000000001</v>
          </cell>
          <cell r="Z5473" t="str">
            <v>Legacy</v>
          </cell>
          <cell r="AA5473" t="str">
            <v>$1K or Below</v>
          </cell>
          <cell r="AB5473" t="str">
            <v>2010 or before</v>
          </cell>
        </row>
        <row r="5474">
          <cell r="E5474">
            <v>153.08000000000001</v>
          </cell>
          <cell r="Z5474" t="str">
            <v>Legacy</v>
          </cell>
          <cell r="AA5474" t="str">
            <v>$1K or Below</v>
          </cell>
          <cell r="AB5474" t="str">
            <v>2010 or before</v>
          </cell>
        </row>
        <row r="5475">
          <cell r="E5475">
            <v>152.91999999999999</v>
          </cell>
          <cell r="Z5475" t="str">
            <v>Legacy</v>
          </cell>
          <cell r="AA5475" t="str">
            <v>$1K or Below</v>
          </cell>
          <cell r="AB5475" t="str">
            <v>2010 or before</v>
          </cell>
        </row>
        <row r="5476">
          <cell r="E5476">
            <v>152.91</v>
          </cell>
          <cell r="Z5476" t="str">
            <v>Legacy</v>
          </cell>
          <cell r="AA5476" t="str">
            <v>$1K or Below</v>
          </cell>
          <cell r="AB5476" t="str">
            <v>2010 or before</v>
          </cell>
        </row>
        <row r="5477">
          <cell r="E5477">
            <v>152.74</v>
          </cell>
          <cell r="Z5477" t="str">
            <v>Ungating</v>
          </cell>
          <cell r="AA5477" t="str">
            <v>$1K or Below</v>
          </cell>
          <cell r="AB5477">
            <v>2012</v>
          </cell>
        </row>
        <row r="5478">
          <cell r="E5478">
            <v>152.52000000000001</v>
          </cell>
          <cell r="Z5478" t="str">
            <v>Legacy</v>
          </cell>
          <cell r="AA5478" t="str">
            <v>$1K or Below</v>
          </cell>
          <cell r="AB5478" t="str">
            <v>2010 or before</v>
          </cell>
        </row>
        <row r="5479">
          <cell r="E5479">
            <v>152.4</v>
          </cell>
          <cell r="Z5479" t="str">
            <v>Legacy</v>
          </cell>
          <cell r="AA5479" t="str">
            <v>$1K or Below</v>
          </cell>
          <cell r="AB5479" t="str">
            <v>2010 or before</v>
          </cell>
        </row>
        <row r="5480">
          <cell r="E5480">
            <v>152.1</v>
          </cell>
          <cell r="Z5480" t="str">
            <v>Legacy</v>
          </cell>
          <cell r="AA5480" t="str">
            <v>$1K or Below</v>
          </cell>
          <cell r="AB5480" t="str">
            <v>2010 or before</v>
          </cell>
        </row>
        <row r="5481">
          <cell r="E5481">
            <v>151.91</v>
          </cell>
          <cell r="Z5481" t="str">
            <v>Legacy</v>
          </cell>
          <cell r="AA5481" t="str">
            <v>$1K or Below</v>
          </cell>
          <cell r="AB5481">
            <v>2011</v>
          </cell>
        </row>
        <row r="5482">
          <cell r="E5482">
            <v>151.76</v>
          </cell>
          <cell r="Z5482" t="str">
            <v>Legacy</v>
          </cell>
          <cell r="AA5482" t="str">
            <v>$1K or Below</v>
          </cell>
          <cell r="AB5482" t="str">
            <v>2010 or before</v>
          </cell>
        </row>
        <row r="5483">
          <cell r="E5483">
            <v>151.57</v>
          </cell>
          <cell r="Z5483" t="str">
            <v>Legacy</v>
          </cell>
          <cell r="AA5483" t="str">
            <v>$1K or Below</v>
          </cell>
          <cell r="AB5483" t="str">
            <v>2010 or before</v>
          </cell>
        </row>
        <row r="5484">
          <cell r="E5484">
            <v>151.4</v>
          </cell>
          <cell r="Z5484" t="str">
            <v>Legacy</v>
          </cell>
          <cell r="AA5484" t="str">
            <v>$1K or Below</v>
          </cell>
          <cell r="AB5484" t="str">
            <v>2010 or before</v>
          </cell>
        </row>
        <row r="5485">
          <cell r="E5485">
            <v>151.16</v>
          </cell>
          <cell r="Z5485" t="str">
            <v>Legacy</v>
          </cell>
          <cell r="AA5485" t="str">
            <v>$1K or Below</v>
          </cell>
          <cell r="AB5485" t="str">
            <v>2010 or before</v>
          </cell>
        </row>
        <row r="5486">
          <cell r="E5486">
            <v>151</v>
          </cell>
          <cell r="Z5486" t="str">
            <v>Legacy</v>
          </cell>
          <cell r="AA5486" t="str">
            <v>$1K or Below</v>
          </cell>
          <cell r="AB5486" t="str">
            <v>2010 or before</v>
          </cell>
        </row>
        <row r="5487">
          <cell r="E5487">
            <v>150.88</v>
          </cell>
          <cell r="Z5487" t="str">
            <v>Legacy</v>
          </cell>
          <cell r="AA5487" t="str">
            <v>$1K or Below</v>
          </cell>
          <cell r="AB5487" t="str">
            <v>2010 or before</v>
          </cell>
        </row>
        <row r="5488">
          <cell r="E5488">
            <v>150.65</v>
          </cell>
          <cell r="Z5488" t="str">
            <v>Legacy</v>
          </cell>
          <cell r="AA5488" t="str">
            <v>$1K or Below</v>
          </cell>
          <cell r="AB5488">
            <v>2012</v>
          </cell>
        </row>
        <row r="5489">
          <cell r="E5489">
            <v>150.47999999999999</v>
          </cell>
          <cell r="Z5489" t="str">
            <v>Legacy</v>
          </cell>
          <cell r="AA5489" t="str">
            <v>$1K or Below</v>
          </cell>
          <cell r="AB5489" t="str">
            <v>2010 or before</v>
          </cell>
        </row>
        <row r="5490">
          <cell r="E5490">
            <v>150.32</v>
          </cell>
          <cell r="Z5490" t="str">
            <v>Legacy</v>
          </cell>
          <cell r="AA5490" t="str">
            <v>$1K or Below</v>
          </cell>
          <cell r="AB5490">
            <v>2011</v>
          </cell>
        </row>
        <row r="5491">
          <cell r="E5491">
            <v>150.24</v>
          </cell>
          <cell r="Z5491" t="str">
            <v>Legacy</v>
          </cell>
          <cell r="AA5491" t="str">
            <v>$1K or Below</v>
          </cell>
          <cell r="AB5491" t="str">
            <v>2010 or before</v>
          </cell>
        </row>
        <row r="5492">
          <cell r="E5492">
            <v>150.08000000000001</v>
          </cell>
          <cell r="Z5492" t="str">
            <v>Legacy</v>
          </cell>
          <cell r="AA5492" t="str">
            <v>$1K or Below</v>
          </cell>
          <cell r="AB5492" t="str">
            <v>2010 or before</v>
          </cell>
        </row>
        <row r="5493">
          <cell r="E5493">
            <v>149.69999999999999</v>
          </cell>
          <cell r="Z5493" t="str">
            <v>Ungating</v>
          </cell>
          <cell r="AA5493" t="str">
            <v>$1K or Below</v>
          </cell>
          <cell r="AB5493">
            <v>2012</v>
          </cell>
        </row>
        <row r="5494">
          <cell r="E5494">
            <v>149.49</v>
          </cell>
          <cell r="Z5494" t="str">
            <v>Legacy</v>
          </cell>
          <cell r="AA5494" t="str">
            <v>$1K or Below</v>
          </cell>
          <cell r="AB5494" t="str">
            <v>2010 or before</v>
          </cell>
        </row>
        <row r="5495">
          <cell r="E5495">
            <v>149.44</v>
          </cell>
          <cell r="Z5495" t="str">
            <v>Legacy</v>
          </cell>
          <cell r="AA5495" t="str">
            <v>$1K or Below</v>
          </cell>
          <cell r="AB5495" t="str">
            <v>2010 or before</v>
          </cell>
        </row>
        <row r="5496">
          <cell r="E5496">
            <v>149.37</v>
          </cell>
          <cell r="Z5496" t="str">
            <v>Legacy</v>
          </cell>
          <cell r="AA5496" t="str">
            <v>$1K or Below</v>
          </cell>
          <cell r="AB5496" t="str">
            <v>2010 or before</v>
          </cell>
        </row>
        <row r="5497">
          <cell r="E5497">
            <v>148.96</v>
          </cell>
          <cell r="Z5497" t="str">
            <v>Legacy</v>
          </cell>
          <cell r="AA5497" t="str">
            <v>$1K or Below</v>
          </cell>
          <cell r="AB5497" t="str">
            <v>2010 or before</v>
          </cell>
        </row>
        <row r="5498">
          <cell r="E5498">
            <v>148.94</v>
          </cell>
          <cell r="Z5498" t="str">
            <v>Ungating</v>
          </cell>
          <cell r="AA5498" t="str">
            <v>$1K or Below</v>
          </cell>
          <cell r="AB5498">
            <v>2012</v>
          </cell>
        </row>
        <row r="5499">
          <cell r="E5499">
            <v>147.97999999999999</v>
          </cell>
          <cell r="Z5499" t="str">
            <v>Legacy</v>
          </cell>
          <cell r="AA5499" t="str">
            <v>$1K or Below</v>
          </cell>
          <cell r="AB5499" t="str">
            <v>2010 or before</v>
          </cell>
        </row>
        <row r="5500">
          <cell r="E5500">
            <v>147.96</v>
          </cell>
          <cell r="Z5500" t="str">
            <v>Legacy</v>
          </cell>
          <cell r="AA5500" t="str">
            <v>$1K or Below</v>
          </cell>
          <cell r="AB5500" t="str">
            <v>2010 or before</v>
          </cell>
        </row>
        <row r="5501">
          <cell r="E5501">
            <v>147.91999999999999</v>
          </cell>
          <cell r="Z5501" t="str">
            <v>Legacy</v>
          </cell>
          <cell r="AA5501" t="str">
            <v>$1K or Below</v>
          </cell>
          <cell r="AB5501" t="str">
            <v>2010 or before</v>
          </cell>
        </row>
        <row r="5502">
          <cell r="E5502">
            <v>147.47999999999999</v>
          </cell>
          <cell r="Z5502" t="str">
            <v>Legacy</v>
          </cell>
          <cell r="AA5502" t="str">
            <v>$1K or Below</v>
          </cell>
          <cell r="AB5502" t="str">
            <v>2010 or before</v>
          </cell>
        </row>
        <row r="5503">
          <cell r="E5503">
            <v>147.31</v>
          </cell>
          <cell r="Z5503" t="str">
            <v>Legacy</v>
          </cell>
          <cell r="AA5503" t="str">
            <v>$1K or Below</v>
          </cell>
          <cell r="AB5503" t="str">
            <v>2010 or before</v>
          </cell>
        </row>
        <row r="5504">
          <cell r="E5504">
            <v>147.27000000000001</v>
          </cell>
          <cell r="Z5504" t="str">
            <v>Legacy</v>
          </cell>
          <cell r="AA5504" t="str">
            <v>$1K or Below</v>
          </cell>
          <cell r="AB5504">
            <v>2011</v>
          </cell>
        </row>
        <row r="5505">
          <cell r="E5505">
            <v>146.97999999999999</v>
          </cell>
          <cell r="Z5505" t="str">
            <v>Legacy</v>
          </cell>
          <cell r="AA5505" t="str">
            <v>$1K or Below</v>
          </cell>
          <cell r="AB5505" t="str">
            <v>2010 or before</v>
          </cell>
        </row>
        <row r="5506">
          <cell r="E5506">
            <v>146.69999999999999</v>
          </cell>
          <cell r="Z5506" t="str">
            <v>Legacy</v>
          </cell>
          <cell r="AA5506" t="str">
            <v>$1K or Below</v>
          </cell>
          <cell r="AB5506" t="str">
            <v>2010 or before</v>
          </cell>
        </row>
        <row r="5507">
          <cell r="E5507">
            <v>146.5</v>
          </cell>
          <cell r="Z5507" t="str">
            <v>Legacy</v>
          </cell>
          <cell r="AA5507" t="str">
            <v>$1K or Below</v>
          </cell>
          <cell r="AB5507" t="str">
            <v>2010 or before</v>
          </cell>
        </row>
        <row r="5508">
          <cell r="E5508">
            <v>146.38</v>
          </cell>
          <cell r="Z5508" t="str">
            <v>Legacy</v>
          </cell>
          <cell r="AA5508" t="str">
            <v>$1K or Below</v>
          </cell>
          <cell r="AB5508" t="str">
            <v>2010 or before</v>
          </cell>
        </row>
        <row r="5509">
          <cell r="E5509">
            <v>145.55000000000001</v>
          </cell>
          <cell r="Z5509" t="str">
            <v>Legacy</v>
          </cell>
          <cell r="AA5509" t="str">
            <v>$1K or Below</v>
          </cell>
          <cell r="AB5509" t="str">
            <v>2010 or before</v>
          </cell>
        </row>
        <row r="5510">
          <cell r="E5510">
            <v>145.49</v>
          </cell>
          <cell r="Z5510" t="str">
            <v>Legacy</v>
          </cell>
          <cell r="AA5510" t="str">
            <v>$1K or Below</v>
          </cell>
          <cell r="AB5510" t="str">
            <v>2010 or before</v>
          </cell>
        </row>
        <row r="5511">
          <cell r="E5511">
            <v>145.47</v>
          </cell>
          <cell r="Z5511" t="str">
            <v>Legacy</v>
          </cell>
          <cell r="AA5511" t="str">
            <v>$1K or Below</v>
          </cell>
          <cell r="AB5511" t="str">
            <v>2010 or before</v>
          </cell>
        </row>
        <row r="5512">
          <cell r="E5512">
            <v>145.38999999999999</v>
          </cell>
          <cell r="Z5512" t="str">
            <v>Legacy</v>
          </cell>
          <cell r="AA5512" t="str">
            <v>$1K or Below</v>
          </cell>
          <cell r="AB5512" t="str">
            <v>2010 or before</v>
          </cell>
        </row>
        <row r="5513">
          <cell r="E5513">
            <v>144.99</v>
          </cell>
          <cell r="Z5513" t="str">
            <v>Legacy</v>
          </cell>
          <cell r="AA5513" t="str">
            <v>$1K or Below</v>
          </cell>
          <cell r="AB5513" t="str">
            <v>2010 or before</v>
          </cell>
        </row>
        <row r="5514">
          <cell r="E5514">
            <v>144.99</v>
          </cell>
          <cell r="Z5514" t="str">
            <v>Legacy</v>
          </cell>
          <cell r="AA5514" t="str">
            <v>$1K or Below</v>
          </cell>
          <cell r="AB5514" t="str">
            <v>2010 or before</v>
          </cell>
        </row>
        <row r="5515">
          <cell r="E5515">
            <v>144.94</v>
          </cell>
          <cell r="Z5515" t="str">
            <v>Legacy</v>
          </cell>
          <cell r="AA5515" t="str">
            <v>$1K or Below</v>
          </cell>
          <cell r="AB5515" t="str">
            <v>2010 or before</v>
          </cell>
        </row>
        <row r="5516">
          <cell r="E5516">
            <v>144.88999999999999</v>
          </cell>
          <cell r="Z5516" t="str">
            <v>Legacy</v>
          </cell>
          <cell r="AA5516" t="str">
            <v>$1K or Below</v>
          </cell>
          <cell r="AB5516" t="str">
            <v>2010 or before</v>
          </cell>
        </row>
        <row r="5517">
          <cell r="E5517">
            <v>144.85</v>
          </cell>
          <cell r="Z5517" t="str">
            <v>Legacy</v>
          </cell>
          <cell r="AA5517" t="str">
            <v>$1K or Below</v>
          </cell>
          <cell r="AB5517" t="str">
            <v>2010 or before</v>
          </cell>
        </row>
        <row r="5518">
          <cell r="E5518">
            <v>144.84</v>
          </cell>
          <cell r="Z5518" t="str">
            <v>Legacy</v>
          </cell>
          <cell r="AA5518" t="str">
            <v>$1K or Below</v>
          </cell>
          <cell r="AB5518" t="str">
            <v>2010 or before</v>
          </cell>
        </row>
        <row r="5519">
          <cell r="E5519">
            <v>144.83000000000001</v>
          </cell>
          <cell r="Z5519" t="str">
            <v>Legacy</v>
          </cell>
          <cell r="AA5519" t="str">
            <v>$1K or Below</v>
          </cell>
          <cell r="AB5519" t="str">
            <v>2010 or before</v>
          </cell>
        </row>
        <row r="5520">
          <cell r="E5520">
            <v>144.80000000000001</v>
          </cell>
          <cell r="Z5520" t="str">
            <v>Legacy</v>
          </cell>
          <cell r="AA5520" t="str">
            <v>$1K or Below</v>
          </cell>
          <cell r="AB5520" t="str">
            <v>2010 or before</v>
          </cell>
        </row>
        <row r="5521">
          <cell r="E5521">
            <v>144.59</v>
          </cell>
          <cell r="Z5521" t="str">
            <v>Legacy</v>
          </cell>
          <cell r="AA5521" t="str">
            <v>$1K or Below</v>
          </cell>
          <cell r="AB5521" t="str">
            <v>2010 or before</v>
          </cell>
        </row>
        <row r="5522">
          <cell r="E5522">
            <v>144.49</v>
          </cell>
          <cell r="Z5522" t="str">
            <v>Legacy</v>
          </cell>
          <cell r="AA5522" t="str">
            <v>$1K or Below</v>
          </cell>
          <cell r="AB5522" t="str">
            <v>2010 or before</v>
          </cell>
        </row>
        <row r="5523">
          <cell r="E5523">
            <v>144.47</v>
          </cell>
          <cell r="Z5523" t="str">
            <v>Inbound</v>
          </cell>
          <cell r="AA5523" t="str">
            <v>$1K or Below</v>
          </cell>
          <cell r="AB5523">
            <v>2012</v>
          </cell>
        </row>
        <row r="5524">
          <cell r="E5524">
            <v>143.96</v>
          </cell>
          <cell r="Z5524" t="str">
            <v>Legacy</v>
          </cell>
          <cell r="AA5524" t="str">
            <v>$1K or Below</v>
          </cell>
          <cell r="AB5524" t="str">
            <v>2010 or before</v>
          </cell>
        </row>
        <row r="5525">
          <cell r="E5525">
            <v>143.86000000000001</v>
          </cell>
          <cell r="Z5525" t="str">
            <v>Legacy</v>
          </cell>
          <cell r="AA5525" t="str">
            <v>$1K or Below</v>
          </cell>
          <cell r="AB5525" t="str">
            <v>2010 or before</v>
          </cell>
        </row>
        <row r="5526">
          <cell r="E5526">
            <v>143.86000000000001</v>
          </cell>
          <cell r="Z5526" t="str">
            <v>Inbound</v>
          </cell>
          <cell r="AA5526" t="str">
            <v>$1K or Below</v>
          </cell>
          <cell r="AB5526">
            <v>2012</v>
          </cell>
        </row>
        <row r="5527">
          <cell r="E5527">
            <v>143.85</v>
          </cell>
          <cell r="Z5527" t="str">
            <v>Legacy</v>
          </cell>
          <cell r="AA5527" t="str">
            <v>$1K or Below</v>
          </cell>
          <cell r="AB5527" t="str">
            <v>2010 or before</v>
          </cell>
        </row>
        <row r="5528">
          <cell r="E5528">
            <v>143.76</v>
          </cell>
          <cell r="Z5528" t="str">
            <v>Legacy</v>
          </cell>
          <cell r="AA5528" t="str">
            <v>$1K or Below</v>
          </cell>
          <cell r="AB5528" t="str">
            <v>2010 or before</v>
          </cell>
        </row>
        <row r="5529">
          <cell r="E5529">
            <v>143.63999999999999</v>
          </cell>
          <cell r="Z5529" t="str">
            <v>Legacy</v>
          </cell>
          <cell r="AA5529" t="str">
            <v>$1K or Below</v>
          </cell>
          <cell r="AB5529" t="str">
            <v>2010 or before</v>
          </cell>
        </row>
        <row r="5530">
          <cell r="E5530">
            <v>143.49</v>
          </cell>
          <cell r="Z5530" t="str">
            <v>Ungating</v>
          </cell>
          <cell r="AA5530" t="str">
            <v>$1K or Below</v>
          </cell>
          <cell r="AB5530">
            <v>2012</v>
          </cell>
        </row>
        <row r="5531">
          <cell r="E5531">
            <v>143.44</v>
          </cell>
          <cell r="Z5531" t="str">
            <v>Legacy</v>
          </cell>
          <cell r="AA5531" t="str">
            <v>$1K or Below</v>
          </cell>
          <cell r="AB5531" t="str">
            <v>2010 or before</v>
          </cell>
        </row>
        <row r="5532">
          <cell r="E5532">
            <v>143.31</v>
          </cell>
          <cell r="Z5532" t="str">
            <v>Legacy</v>
          </cell>
          <cell r="AA5532" t="str">
            <v>$1K or Below</v>
          </cell>
          <cell r="AB5532">
            <v>2011</v>
          </cell>
        </row>
        <row r="5533">
          <cell r="E5533">
            <v>143.27000000000001</v>
          </cell>
          <cell r="Z5533" t="str">
            <v>Legacy</v>
          </cell>
          <cell r="AA5533" t="str">
            <v>$1K or Below</v>
          </cell>
          <cell r="AB5533" t="str">
            <v>2010 or before</v>
          </cell>
        </row>
        <row r="5534">
          <cell r="E5534">
            <v>143.05000000000001</v>
          </cell>
          <cell r="Z5534" t="str">
            <v>Legacy</v>
          </cell>
          <cell r="AA5534" t="str">
            <v>$1K or Below</v>
          </cell>
          <cell r="AB5534" t="str">
            <v>2010 or before</v>
          </cell>
        </row>
        <row r="5535">
          <cell r="E5535">
            <v>142.69999999999999</v>
          </cell>
          <cell r="Z5535" t="str">
            <v>Legacy</v>
          </cell>
          <cell r="AA5535" t="str">
            <v>$1K or Below</v>
          </cell>
          <cell r="AB5535" t="str">
            <v>2010 or before</v>
          </cell>
        </row>
        <row r="5536">
          <cell r="E5536">
            <v>142.57</v>
          </cell>
          <cell r="Z5536" t="str">
            <v>Legacy</v>
          </cell>
          <cell r="AA5536" t="str">
            <v>$1K or Below</v>
          </cell>
          <cell r="AB5536">
            <v>2011</v>
          </cell>
        </row>
        <row r="5537">
          <cell r="E5537">
            <v>142.49</v>
          </cell>
          <cell r="Z5537" t="str">
            <v>Legacy</v>
          </cell>
          <cell r="AA5537" t="str">
            <v>$1K or Below</v>
          </cell>
          <cell r="AB5537" t="str">
            <v>2010 or before</v>
          </cell>
        </row>
        <row r="5538">
          <cell r="E5538">
            <v>142.4</v>
          </cell>
          <cell r="Z5538" t="str">
            <v>Legacy</v>
          </cell>
          <cell r="AA5538" t="str">
            <v>$1K or Below</v>
          </cell>
          <cell r="AB5538" t="str">
            <v>2010 or before</v>
          </cell>
        </row>
        <row r="5539">
          <cell r="E5539">
            <v>142.34</v>
          </cell>
          <cell r="Z5539" t="str">
            <v>Legacy</v>
          </cell>
          <cell r="AA5539" t="str">
            <v>$1K or Below</v>
          </cell>
          <cell r="AB5539" t="str">
            <v>2010 or before</v>
          </cell>
        </row>
        <row r="5540">
          <cell r="E5540">
            <v>141.9</v>
          </cell>
          <cell r="Z5540" t="str">
            <v>Legacy</v>
          </cell>
          <cell r="AA5540" t="str">
            <v>$1K or Below</v>
          </cell>
          <cell r="AB5540" t="str">
            <v>2010 or before</v>
          </cell>
        </row>
        <row r="5541">
          <cell r="E5541">
            <v>141.30000000000001</v>
          </cell>
          <cell r="Z5541" t="str">
            <v>Legacy</v>
          </cell>
          <cell r="AA5541" t="str">
            <v>$1K or Below</v>
          </cell>
          <cell r="AB5541">
            <v>2011</v>
          </cell>
        </row>
        <row r="5542">
          <cell r="E5542">
            <v>141.16999999999999</v>
          </cell>
          <cell r="Z5542" t="str">
            <v>Legacy</v>
          </cell>
          <cell r="AA5542" t="str">
            <v>$1K or Below</v>
          </cell>
          <cell r="AB5542" t="str">
            <v>2010 or before</v>
          </cell>
        </row>
        <row r="5543">
          <cell r="E5543">
            <v>141.05000000000001</v>
          </cell>
          <cell r="Z5543" t="str">
            <v>Legacy</v>
          </cell>
          <cell r="AA5543" t="str">
            <v>$1K or Below</v>
          </cell>
          <cell r="AB5543" t="str">
            <v>2010 or before</v>
          </cell>
        </row>
        <row r="5544">
          <cell r="E5544">
            <v>140.88</v>
          </cell>
          <cell r="Z5544" t="str">
            <v>Legacy</v>
          </cell>
          <cell r="AA5544" t="str">
            <v>$1K or Below</v>
          </cell>
          <cell r="AB5544" t="str">
            <v>2010 or before</v>
          </cell>
        </row>
        <row r="5545">
          <cell r="E5545">
            <v>140.11000000000001</v>
          </cell>
          <cell r="Z5545" t="str">
            <v>Legacy</v>
          </cell>
          <cell r="AA5545" t="str">
            <v>$1K or Below</v>
          </cell>
          <cell r="AB5545" t="str">
            <v>2010 or before</v>
          </cell>
        </row>
        <row r="5546">
          <cell r="E5546">
            <v>140.07</v>
          </cell>
          <cell r="Z5546" t="str">
            <v>Legacy</v>
          </cell>
          <cell r="AA5546" t="str">
            <v>$1K or Below</v>
          </cell>
          <cell r="AB5546" t="str">
            <v>2010 or before</v>
          </cell>
        </row>
        <row r="5547">
          <cell r="E5547">
            <v>140.07</v>
          </cell>
          <cell r="Z5547" t="str">
            <v>Legacy</v>
          </cell>
          <cell r="AA5547" t="str">
            <v>$1K or Below</v>
          </cell>
          <cell r="AB5547" t="str">
            <v>2010 or before</v>
          </cell>
        </row>
        <row r="5548">
          <cell r="E5548">
            <v>140</v>
          </cell>
          <cell r="Z5548" t="str">
            <v>Legacy</v>
          </cell>
          <cell r="AA5548" t="str">
            <v>$1K or Below</v>
          </cell>
          <cell r="AB5548" t="str">
            <v>2010 or before</v>
          </cell>
        </row>
        <row r="5549">
          <cell r="E5549">
            <v>140</v>
          </cell>
          <cell r="Z5549" t="str">
            <v>Legacy</v>
          </cell>
          <cell r="AA5549" t="str">
            <v>$1K or Below</v>
          </cell>
          <cell r="AB5549" t="str">
            <v>2010 or before</v>
          </cell>
        </row>
        <row r="5550">
          <cell r="E5550">
            <v>139.97999999999999</v>
          </cell>
          <cell r="Z5550" t="str">
            <v>Inbound</v>
          </cell>
          <cell r="AA5550" t="str">
            <v>$1K or Below</v>
          </cell>
          <cell r="AB5550">
            <v>2011</v>
          </cell>
        </row>
        <row r="5551">
          <cell r="E5551">
            <v>139.52000000000001</v>
          </cell>
          <cell r="Z5551" t="str">
            <v>Legacy</v>
          </cell>
          <cell r="AA5551" t="str">
            <v>$1K or Below</v>
          </cell>
          <cell r="AB5551" t="str">
            <v>2010 or before</v>
          </cell>
        </row>
        <row r="5552">
          <cell r="E5552">
            <v>139.49</v>
          </cell>
          <cell r="Z5552" t="str">
            <v>Legacy</v>
          </cell>
          <cell r="AA5552" t="str">
            <v>$1K or Below</v>
          </cell>
          <cell r="AB5552" t="str">
            <v>2010 or before</v>
          </cell>
        </row>
        <row r="5553">
          <cell r="E5553">
            <v>139.13</v>
          </cell>
          <cell r="Z5553" t="str">
            <v>Legacy</v>
          </cell>
          <cell r="AA5553" t="str">
            <v>$1K or Below</v>
          </cell>
          <cell r="AB5553" t="str">
            <v>2010 or before</v>
          </cell>
        </row>
        <row r="5554">
          <cell r="E5554">
            <v>138.86000000000001</v>
          </cell>
          <cell r="Z5554" t="str">
            <v>Legacy</v>
          </cell>
          <cell r="AA5554" t="str">
            <v>$1K or Below</v>
          </cell>
          <cell r="AB5554">
            <v>2011</v>
          </cell>
        </row>
        <row r="5555">
          <cell r="E5555">
            <v>138.78</v>
          </cell>
          <cell r="Z5555" t="str">
            <v>Legacy</v>
          </cell>
          <cell r="AA5555" t="str">
            <v>$1K or Below</v>
          </cell>
          <cell r="AB5555" t="str">
            <v>2010 or before</v>
          </cell>
        </row>
        <row r="5556">
          <cell r="E5556">
            <v>138.75</v>
          </cell>
          <cell r="Z5556" t="str">
            <v>Legacy</v>
          </cell>
          <cell r="AA5556" t="str">
            <v>$1K or Below</v>
          </cell>
          <cell r="AB5556">
            <v>2011</v>
          </cell>
        </row>
        <row r="5557">
          <cell r="E5557">
            <v>138.47999999999999</v>
          </cell>
          <cell r="Z5557" t="str">
            <v>Legacy</v>
          </cell>
          <cell r="AA5557" t="str">
            <v>$1K or Below</v>
          </cell>
          <cell r="AB5557" t="str">
            <v>2010 or before</v>
          </cell>
        </row>
        <row r="5558">
          <cell r="E5558">
            <v>138.41</v>
          </cell>
          <cell r="Z5558" t="str">
            <v>Legacy</v>
          </cell>
          <cell r="AA5558" t="str">
            <v>$1K or Below</v>
          </cell>
          <cell r="AB5558" t="str">
            <v>2010 or before</v>
          </cell>
        </row>
        <row r="5559">
          <cell r="E5559">
            <v>137.78</v>
          </cell>
          <cell r="Z5559" t="str">
            <v>Legacy</v>
          </cell>
          <cell r="AA5559" t="str">
            <v>$1K or Below</v>
          </cell>
          <cell r="AB5559">
            <v>2011</v>
          </cell>
        </row>
        <row r="5560">
          <cell r="E5560">
            <v>137.76</v>
          </cell>
          <cell r="Z5560" t="str">
            <v>Legacy</v>
          </cell>
          <cell r="AA5560" t="str">
            <v>$1K or Below</v>
          </cell>
          <cell r="AB5560" t="str">
            <v>2010 or before</v>
          </cell>
        </row>
        <row r="5561">
          <cell r="E5561">
            <v>137.68</v>
          </cell>
          <cell r="Z5561" t="str">
            <v>Legacy</v>
          </cell>
          <cell r="AA5561" t="str">
            <v>$1K or Below</v>
          </cell>
          <cell r="AB5561">
            <v>2011</v>
          </cell>
        </row>
        <row r="5562">
          <cell r="E5562">
            <v>136.87</v>
          </cell>
          <cell r="Z5562" t="str">
            <v>Legacy</v>
          </cell>
          <cell r="AA5562" t="str">
            <v>$1K or Below</v>
          </cell>
          <cell r="AB5562" t="str">
            <v>2010 or before</v>
          </cell>
        </row>
        <row r="5563">
          <cell r="E5563">
            <v>136.84</v>
          </cell>
          <cell r="Z5563" t="str">
            <v>Legacy</v>
          </cell>
          <cell r="AA5563" t="str">
            <v>$1K or Below</v>
          </cell>
          <cell r="AB5563">
            <v>2012</v>
          </cell>
        </row>
        <row r="5564">
          <cell r="E5564">
            <v>136.63999999999999</v>
          </cell>
          <cell r="Z5564" t="str">
            <v>Legacy</v>
          </cell>
          <cell r="AA5564" t="str">
            <v>$1K or Below</v>
          </cell>
          <cell r="AB5564" t="str">
            <v>2010 or before</v>
          </cell>
        </row>
        <row r="5565">
          <cell r="E5565">
            <v>136.38</v>
          </cell>
          <cell r="Z5565" t="str">
            <v>Legacy</v>
          </cell>
          <cell r="AA5565" t="str">
            <v>$1K or Below</v>
          </cell>
          <cell r="AB5565">
            <v>2012</v>
          </cell>
        </row>
        <row r="5566">
          <cell r="E5566">
            <v>136.22999999999999</v>
          </cell>
          <cell r="Z5566" t="str">
            <v>Inbound</v>
          </cell>
          <cell r="AA5566" t="str">
            <v>$1K or Below</v>
          </cell>
          <cell r="AB5566">
            <v>2012</v>
          </cell>
        </row>
        <row r="5567">
          <cell r="E5567">
            <v>135.97999999999999</v>
          </cell>
          <cell r="Z5567" t="str">
            <v>Legacy</v>
          </cell>
          <cell r="AA5567" t="str">
            <v>$1K or Below</v>
          </cell>
          <cell r="AB5567" t="str">
            <v>2010 or before</v>
          </cell>
        </row>
        <row r="5568">
          <cell r="E5568">
            <v>135.97</v>
          </cell>
          <cell r="Z5568" t="str">
            <v>Legacy</v>
          </cell>
          <cell r="AA5568" t="str">
            <v>$1K or Below</v>
          </cell>
          <cell r="AB5568" t="str">
            <v>2010 or before</v>
          </cell>
        </row>
        <row r="5569">
          <cell r="E5569">
            <v>134.97999999999999</v>
          </cell>
          <cell r="Z5569" t="str">
            <v>Legacy</v>
          </cell>
          <cell r="AA5569" t="str">
            <v>$1K or Below</v>
          </cell>
          <cell r="AB5569" t="str">
            <v>2010 or before</v>
          </cell>
        </row>
        <row r="5570">
          <cell r="E5570">
            <v>134.97999999999999</v>
          </cell>
          <cell r="Z5570" t="str">
            <v>Inbound</v>
          </cell>
          <cell r="AA5570" t="str">
            <v>$1K or Below</v>
          </cell>
          <cell r="AB5570">
            <v>2012</v>
          </cell>
        </row>
        <row r="5571">
          <cell r="E5571">
            <v>134.96</v>
          </cell>
          <cell r="Z5571" t="str">
            <v>Legacy</v>
          </cell>
          <cell r="AA5571" t="str">
            <v>$1K or Below</v>
          </cell>
          <cell r="AB5571" t="str">
            <v>2010 or before</v>
          </cell>
        </row>
        <row r="5572">
          <cell r="E5572">
            <v>134.94</v>
          </cell>
          <cell r="Z5572" t="str">
            <v>Legacy</v>
          </cell>
          <cell r="AA5572" t="str">
            <v>$1K or Below</v>
          </cell>
          <cell r="AB5572" t="str">
            <v>2010 or before</v>
          </cell>
        </row>
        <row r="5573">
          <cell r="E5573">
            <v>134.82</v>
          </cell>
          <cell r="Z5573" t="str">
            <v>Legacy</v>
          </cell>
          <cell r="AA5573" t="str">
            <v>$1K or Below</v>
          </cell>
          <cell r="AB5573" t="str">
            <v>2010 or before</v>
          </cell>
        </row>
        <row r="5574">
          <cell r="E5574">
            <v>134.80000000000001</v>
          </cell>
          <cell r="Z5574" t="str">
            <v>Legacy</v>
          </cell>
          <cell r="AA5574" t="str">
            <v>$1K or Below</v>
          </cell>
          <cell r="AB5574" t="str">
            <v>2010 or before</v>
          </cell>
        </row>
        <row r="5575">
          <cell r="E5575">
            <v>134.79</v>
          </cell>
          <cell r="Z5575" t="str">
            <v>Legacy</v>
          </cell>
          <cell r="AA5575" t="str">
            <v>$1K or Below</v>
          </cell>
          <cell r="AB5575" t="str">
            <v>2010 or before</v>
          </cell>
        </row>
        <row r="5576">
          <cell r="E5576">
            <v>134.41999999999999</v>
          </cell>
          <cell r="Z5576" t="str">
            <v>Legacy</v>
          </cell>
          <cell r="AA5576" t="str">
            <v>$1K or Below</v>
          </cell>
          <cell r="AB5576">
            <v>2011</v>
          </cell>
        </row>
        <row r="5577">
          <cell r="E5577">
            <v>134.08000000000001</v>
          </cell>
          <cell r="Z5577" t="str">
            <v>Legacy</v>
          </cell>
          <cell r="AA5577" t="str">
            <v>$1K or Below</v>
          </cell>
          <cell r="AB5577" t="str">
            <v>2010 or before</v>
          </cell>
        </row>
        <row r="5578">
          <cell r="E5578">
            <v>134</v>
          </cell>
          <cell r="Z5578" t="str">
            <v>Legacy</v>
          </cell>
          <cell r="AA5578" t="str">
            <v>$1K or Below</v>
          </cell>
          <cell r="AB5578" t="str">
            <v>2010 or before</v>
          </cell>
        </row>
        <row r="5579">
          <cell r="E5579">
            <v>133.94999999999999</v>
          </cell>
          <cell r="Z5579" t="str">
            <v>Legacy</v>
          </cell>
          <cell r="AA5579" t="str">
            <v>$1K or Below</v>
          </cell>
          <cell r="AB5579" t="str">
            <v>2010 or before</v>
          </cell>
        </row>
        <row r="5580">
          <cell r="E5580">
            <v>133.91</v>
          </cell>
          <cell r="Z5580" t="str">
            <v>Legacy</v>
          </cell>
          <cell r="AA5580" t="str">
            <v>$1K or Below</v>
          </cell>
          <cell r="AB5580" t="str">
            <v>2010 or before</v>
          </cell>
        </row>
        <row r="5581">
          <cell r="E5581">
            <v>133.88999999999999</v>
          </cell>
          <cell r="Z5581" t="str">
            <v>Legacy</v>
          </cell>
          <cell r="AA5581" t="str">
            <v>$1K or Below</v>
          </cell>
          <cell r="AB5581" t="str">
            <v>2010 or before</v>
          </cell>
        </row>
        <row r="5582">
          <cell r="E5582">
            <v>133.88</v>
          </cell>
          <cell r="Z5582" t="str">
            <v>Legacy</v>
          </cell>
          <cell r="AA5582" t="str">
            <v>$1K or Below</v>
          </cell>
          <cell r="AB5582" t="str">
            <v>2010 or before</v>
          </cell>
        </row>
        <row r="5583">
          <cell r="E5583">
            <v>133.87</v>
          </cell>
          <cell r="Z5583" t="str">
            <v>Legacy</v>
          </cell>
          <cell r="AA5583" t="str">
            <v>$1K or Below</v>
          </cell>
          <cell r="AB5583" t="str">
            <v>2010 or before</v>
          </cell>
        </row>
        <row r="5584">
          <cell r="E5584">
            <v>133.77000000000001</v>
          </cell>
          <cell r="Z5584" t="str">
            <v>Legacy</v>
          </cell>
          <cell r="AA5584" t="str">
            <v>$1K or Below</v>
          </cell>
          <cell r="AB5584" t="str">
            <v>2010 or before</v>
          </cell>
        </row>
        <row r="5585">
          <cell r="E5585">
            <v>133.44999999999999</v>
          </cell>
          <cell r="Z5585" t="str">
            <v>Legacy</v>
          </cell>
          <cell r="AA5585" t="str">
            <v>$1K or Below</v>
          </cell>
          <cell r="AB5585" t="str">
            <v>2010 or before</v>
          </cell>
        </row>
        <row r="5586">
          <cell r="E5586">
            <v>133.30000000000001</v>
          </cell>
          <cell r="Z5586" t="str">
            <v>Legacy</v>
          </cell>
          <cell r="AA5586" t="str">
            <v>$1K or Below</v>
          </cell>
          <cell r="AB5586" t="str">
            <v>2010 or before</v>
          </cell>
        </row>
        <row r="5587">
          <cell r="E5587">
            <v>133.22999999999999</v>
          </cell>
          <cell r="Z5587" t="str">
            <v>Legacy</v>
          </cell>
          <cell r="AA5587" t="str">
            <v>$1K or Below</v>
          </cell>
          <cell r="AB5587" t="str">
            <v>2010 or before</v>
          </cell>
        </row>
        <row r="5588">
          <cell r="E5588">
            <v>132.85</v>
          </cell>
          <cell r="Z5588" t="str">
            <v>Legacy</v>
          </cell>
          <cell r="AA5588" t="str">
            <v>$1K or Below</v>
          </cell>
          <cell r="AB5588" t="str">
            <v>2010 or before</v>
          </cell>
        </row>
        <row r="5589">
          <cell r="E5589">
            <v>132.68</v>
          </cell>
          <cell r="Z5589" t="str">
            <v>Legacy</v>
          </cell>
          <cell r="AA5589" t="str">
            <v>$1K or Below</v>
          </cell>
          <cell r="AB5589" t="str">
            <v>2010 or before</v>
          </cell>
        </row>
        <row r="5590">
          <cell r="E5590">
            <v>132.65</v>
          </cell>
          <cell r="Z5590" t="str">
            <v>Legacy</v>
          </cell>
          <cell r="AA5590" t="str">
            <v>$1K or Below</v>
          </cell>
          <cell r="AB5590" t="str">
            <v>2010 or before</v>
          </cell>
        </row>
        <row r="5591">
          <cell r="E5591">
            <v>131.94</v>
          </cell>
          <cell r="Z5591" t="str">
            <v>Legacy</v>
          </cell>
          <cell r="AA5591" t="str">
            <v>$1K or Below</v>
          </cell>
          <cell r="AB5591">
            <v>2012</v>
          </cell>
        </row>
        <row r="5592">
          <cell r="E5592">
            <v>131.9</v>
          </cell>
          <cell r="Z5592" t="str">
            <v>Legacy</v>
          </cell>
          <cell r="AA5592" t="str">
            <v>$1K or Below</v>
          </cell>
          <cell r="AB5592">
            <v>2012</v>
          </cell>
        </row>
        <row r="5593">
          <cell r="E5593">
            <v>131.88999999999999</v>
          </cell>
          <cell r="Z5593" t="str">
            <v>Legacy</v>
          </cell>
          <cell r="AA5593" t="str">
            <v>$1K or Below</v>
          </cell>
          <cell r="AB5593" t="str">
            <v>2010 or before</v>
          </cell>
        </row>
        <row r="5594">
          <cell r="E5594">
            <v>131.87</v>
          </cell>
          <cell r="Z5594" t="str">
            <v>Legacy</v>
          </cell>
          <cell r="AA5594" t="str">
            <v>$1K or Below</v>
          </cell>
          <cell r="AB5594" t="str">
            <v>2010 or before</v>
          </cell>
        </row>
        <row r="5595">
          <cell r="E5595">
            <v>130.97999999999999</v>
          </cell>
          <cell r="Z5595" t="str">
            <v>Legacy</v>
          </cell>
          <cell r="AA5595" t="str">
            <v>$1K or Below</v>
          </cell>
          <cell r="AB5595" t="str">
            <v>2010 or before</v>
          </cell>
        </row>
        <row r="5596">
          <cell r="E5596">
            <v>130.96</v>
          </cell>
          <cell r="Z5596" t="str">
            <v>Legacy</v>
          </cell>
          <cell r="AA5596" t="str">
            <v>$1K or Below</v>
          </cell>
          <cell r="AB5596">
            <v>2012</v>
          </cell>
        </row>
        <row r="5597">
          <cell r="E5597">
            <v>130.9</v>
          </cell>
          <cell r="Z5597" t="str">
            <v>Legacy</v>
          </cell>
          <cell r="AA5597" t="str">
            <v>$1K or Below</v>
          </cell>
          <cell r="AB5597" t="str">
            <v>2010 or before</v>
          </cell>
        </row>
        <row r="5598">
          <cell r="E5598">
            <v>130.88</v>
          </cell>
          <cell r="Z5598" t="str">
            <v>Legacy</v>
          </cell>
          <cell r="AA5598" t="str">
            <v>$1K or Below</v>
          </cell>
          <cell r="AB5598" t="str">
            <v>2010 or before</v>
          </cell>
        </row>
        <row r="5599">
          <cell r="E5599">
            <v>130.69</v>
          </cell>
          <cell r="Z5599" t="str">
            <v>Legacy</v>
          </cell>
          <cell r="AA5599" t="str">
            <v>$1K or Below</v>
          </cell>
          <cell r="AB5599" t="str">
            <v>2010 or before</v>
          </cell>
        </row>
        <row r="5600">
          <cell r="E5600">
            <v>130.5</v>
          </cell>
          <cell r="Z5600" t="str">
            <v>Legacy</v>
          </cell>
          <cell r="AA5600" t="str">
            <v>$1K or Below</v>
          </cell>
          <cell r="AB5600" t="str">
            <v>2010 or before</v>
          </cell>
        </row>
        <row r="5601">
          <cell r="E5601">
            <v>130.38</v>
          </cell>
          <cell r="Z5601" t="str">
            <v>Legacy</v>
          </cell>
          <cell r="AA5601" t="str">
            <v>$1K or Below</v>
          </cell>
          <cell r="AB5601" t="str">
            <v>2010 or before</v>
          </cell>
        </row>
        <row r="5602">
          <cell r="E5602">
            <v>130.04</v>
          </cell>
          <cell r="Z5602" t="str">
            <v>Legacy</v>
          </cell>
          <cell r="AA5602" t="str">
            <v>$1K or Below</v>
          </cell>
          <cell r="AB5602" t="str">
            <v>2010 or before</v>
          </cell>
        </row>
        <row r="5603">
          <cell r="E5603">
            <v>129.96</v>
          </cell>
          <cell r="Z5603" t="str">
            <v>Legacy</v>
          </cell>
          <cell r="AA5603" t="str">
            <v>$1K or Below</v>
          </cell>
          <cell r="AB5603">
            <v>2011</v>
          </cell>
        </row>
        <row r="5604">
          <cell r="E5604">
            <v>129.9</v>
          </cell>
          <cell r="Z5604" t="str">
            <v>Legacy</v>
          </cell>
          <cell r="AA5604" t="str">
            <v>$1K or Below</v>
          </cell>
          <cell r="AB5604" t="str">
            <v>2010 or before</v>
          </cell>
        </row>
        <row r="5605">
          <cell r="E5605">
            <v>129.85</v>
          </cell>
          <cell r="Z5605" t="str">
            <v>Legacy</v>
          </cell>
          <cell r="AA5605" t="str">
            <v>$1K or Below</v>
          </cell>
          <cell r="AB5605" t="str">
            <v>2010 or before</v>
          </cell>
        </row>
        <row r="5606">
          <cell r="E5606">
            <v>128.97</v>
          </cell>
          <cell r="Z5606" t="str">
            <v>Legacy</v>
          </cell>
          <cell r="AA5606" t="str">
            <v>$1K or Below</v>
          </cell>
          <cell r="AB5606" t="str">
            <v>2010 or before</v>
          </cell>
        </row>
        <row r="5607">
          <cell r="E5607">
            <v>128.72999999999999</v>
          </cell>
          <cell r="Z5607" t="str">
            <v>Legacy</v>
          </cell>
          <cell r="AA5607" t="str">
            <v>$1K or Below</v>
          </cell>
          <cell r="AB5607" t="str">
            <v>2010 or before</v>
          </cell>
        </row>
        <row r="5608">
          <cell r="E5608">
            <v>128.69999999999999</v>
          </cell>
          <cell r="Z5608" t="str">
            <v>Legacy</v>
          </cell>
          <cell r="AA5608" t="str">
            <v>$1K or Below</v>
          </cell>
          <cell r="AB5608" t="str">
            <v>2010 or before</v>
          </cell>
        </row>
        <row r="5609">
          <cell r="E5609">
            <v>128.4</v>
          </cell>
          <cell r="Z5609" t="str">
            <v>Legacy</v>
          </cell>
          <cell r="AA5609" t="str">
            <v>$1K or Below</v>
          </cell>
          <cell r="AB5609" t="str">
            <v>2010 or before</v>
          </cell>
        </row>
        <row r="5610">
          <cell r="E5610">
            <v>128.05000000000001</v>
          </cell>
          <cell r="Z5610" t="str">
            <v>Legacy</v>
          </cell>
          <cell r="AA5610" t="str">
            <v>$1K or Below</v>
          </cell>
          <cell r="AB5610" t="str">
            <v>2010 or before</v>
          </cell>
        </row>
        <row r="5611">
          <cell r="E5611">
            <v>127.96</v>
          </cell>
          <cell r="Z5611" t="str">
            <v>Legacy</v>
          </cell>
          <cell r="AA5611" t="str">
            <v>$1K or Below</v>
          </cell>
          <cell r="AB5611">
            <v>2011</v>
          </cell>
        </row>
        <row r="5612">
          <cell r="E5612">
            <v>127.96</v>
          </cell>
          <cell r="Z5612" t="str">
            <v>Legacy</v>
          </cell>
          <cell r="AA5612" t="str">
            <v>$1K or Below</v>
          </cell>
          <cell r="AB5612" t="str">
            <v>2010 or before</v>
          </cell>
        </row>
        <row r="5613">
          <cell r="E5613">
            <v>127.75</v>
          </cell>
          <cell r="Z5613" t="str">
            <v>Legacy</v>
          </cell>
          <cell r="AA5613" t="str">
            <v>$1K or Below</v>
          </cell>
          <cell r="AB5613" t="str">
            <v>2010 or before</v>
          </cell>
        </row>
        <row r="5614">
          <cell r="E5614">
            <v>127.7</v>
          </cell>
          <cell r="Z5614" t="str">
            <v>Legacy</v>
          </cell>
          <cell r="AA5614" t="str">
            <v>$1K or Below</v>
          </cell>
          <cell r="AB5614" t="str">
            <v>2010 or before</v>
          </cell>
        </row>
        <row r="5615">
          <cell r="E5615">
            <v>127.55</v>
          </cell>
          <cell r="Z5615" t="str">
            <v>Legacy</v>
          </cell>
          <cell r="AA5615" t="str">
            <v>$1K or Below</v>
          </cell>
          <cell r="AB5615">
            <v>2011</v>
          </cell>
        </row>
        <row r="5616">
          <cell r="E5616">
            <v>127.5</v>
          </cell>
          <cell r="Z5616" t="str">
            <v>Legacy</v>
          </cell>
          <cell r="AA5616" t="str">
            <v>$1K or Below</v>
          </cell>
          <cell r="AB5616" t="str">
            <v>2010 or before</v>
          </cell>
        </row>
        <row r="5617">
          <cell r="E5617">
            <v>127.49</v>
          </cell>
          <cell r="Z5617" t="str">
            <v>Legacy</v>
          </cell>
          <cell r="AA5617" t="str">
            <v>$1K or Below</v>
          </cell>
          <cell r="AB5617" t="str">
            <v>2010 or before</v>
          </cell>
        </row>
        <row r="5618">
          <cell r="E5618">
            <v>127.45</v>
          </cell>
          <cell r="Z5618" t="str">
            <v>Legacy</v>
          </cell>
          <cell r="AA5618" t="str">
            <v>$1K or Below</v>
          </cell>
          <cell r="AB5618" t="str">
            <v>2010 or before</v>
          </cell>
        </row>
        <row r="5619">
          <cell r="E5619">
            <v>127.35</v>
          </cell>
          <cell r="Z5619" t="str">
            <v>Legacy</v>
          </cell>
          <cell r="AA5619" t="str">
            <v>$1K or Below</v>
          </cell>
          <cell r="AB5619">
            <v>2011</v>
          </cell>
        </row>
        <row r="5620">
          <cell r="E5620">
            <v>127.33</v>
          </cell>
          <cell r="Z5620" t="str">
            <v>Legacy</v>
          </cell>
          <cell r="AA5620" t="str">
            <v>$1K or Below</v>
          </cell>
          <cell r="AB5620" t="str">
            <v>2010 or before</v>
          </cell>
        </row>
        <row r="5621">
          <cell r="E5621">
            <v>127.31</v>
          </cell>
          <cell r="Z5621" t="str">
            <v>Legacy</v>
          </cell>
          <cell r="AA5621" t="str">
            <v>$1K or Below</v>
          </cell>
          <cell r="AB5621" t="str">
            <v>2010 or before</v>
          </cell>
        </row>
        <row r="5622">
          <cell r="E5622">
            <v>127.27</v>
          </cell>
          <cell r="Z5622" t="str">
            <v>Legacy</v>
          </cell>
          <cell r="AA5622" t="str">
            <v>$1K or Below</v>
          </cell>
          <cell r="AB5622" t="str">
            <v>2010 or before</v>
          </cell>
        </row>
        <row r="5623">
          <cell r="E5623">
            <v>127.16</v>
          </cell>
          <cell r="Z5623" t="str">
            <v>Legacy</v>
          </cell>
          <cell r="AA5623" t="str">
            <v>$1K or Below</v>
          </cell>
          <cell r="AB5623" t="str">
            <v>2010 or before</v>
          </cell>
        </row>
        <row r="5624">
          <cell r="E5624">
            <v>127.12</v>
          </cell>
          <cell r="Z5624" t="str">
            <v>Legacy</v>
          </cell>
          <cell r="AA5624" t="str">
            <v>$1K or Below</v>
          </cell>
          <cell r="AB5624" t="str">
            <v>2010 or before</v>
          </cell>
        </row>
        <row r="5625">
          <cell r="E5625">
            <v>126.97</v>
          </cell>
          <cell r="Z5625" t="str">
            <v>Legacy</v>
          </cell>
          <cell r="AA5625" t="str">
            <v>$1K or Below</v>
          </cell>
          <cell r="AB5625" t="str">
            <v>2010 or before</v>
          </cell>
        </row>
        <row r="5626">
          <cell r="E5626">
            <v>126.8</v>
          </cell>
          <cell r="Z5626" t="str">
            <v>Legacy</v>
          </cell>
          <cell r="AA5626" t="str">
            <v>$1K or Below</v>
          </cell>
          <cell r="AB5626" t="str">
            <v>2010 or before</v>
          </cell>
        </row>
        <row r="5627">
          <cell r="E5627">
            <v>126.49</v>
          </cell>
          <cell r="Z5627" t="str">
            <v>Legacy</v>
          </cell>
          <cell r="AA5627" t="str">
            <v>$1K or Below</v>
          </cell>
          <cell r="AB5627" t="str">
            <v>2010 or before</v>
          </cell>
        </row>
        <row r="5628">
          <cell r="E5628">
            <v>126.47</v>
          </cell>
          <cell r="Z5628" t="str">
            <v>Legacy</v>
          </cell>
          <cell r="AA5628" t="str">
            <v>$1K or Below</v>
          </cell>
          <cell r="AB5628" t="str">
            <v>2010 or before</v>
          </cell>
        </row>
        <row r="5629">
          <cell r="E5629">
            <v>126.38</v>
          </cell>
          <cell r="Z5629" t="str">
            <v>Legacy</v>
          </cell>
          <cell r="AA5629" t="str">
            <v>$1K or Below</v>
          </cell>
          <cell r="AB5629" t="str">
            <v>2010 or before</v>
          </cell>
        </row>
        <row r="5630">
          <cell r="E5630">
            <v>126.23</v>
          </cell>
          <cell r="Z5630" t="str">
            <v>Legacy</v>
          </cell>
          <cell r="AA5630" t="str">
            <v>$1K or Below</v>
          </cell>
          <cell r="AB5630" t="str">
            <v>2010 or before</v>
          </cell>
        </row>
        <row r="5631">
          <cell r="E5631">
            <v>125.93</v>
          </cell>
          <cell r="Z5631" t="str">
            <v>Legacy</v>
          </cell>
          <cell r="AA5631" t="str">
            <v>$1K or Below</v>
          </cell>
          <cell r="AB5631">
            <v>2011</v>
          </cell>
        </row>
        <row r="5632">
          <cell r="E5632">
            <v>125.56</v>
          </cell>
          <cell r="Z5632" t="str">
            <v>Legacy</v>
          </cell>
          <cell r="AA5632" t="str">
            <v>$1K or Below</v>
          </cell>
          <cell r="AB5632" t="str">
            <v>2010 or before</v>
          </cell>
        </row>
        <row r="5633">
          <cell r="E5633">
            <v>125.49</v>
          </cell>
          <cell r="Z5633" t="str">
            <v>Legacy</v>
          </cell>
          <cell r="AA5633" t="str">
            <v>$1K or Below</v>
          </cell>
          <cell r="AB5633" t="str">
            <v>2010 or before</v>
          </cell>
        </row>
        <row r="5634">
          <cell r="E5634">
            <v>125.14</v>
          </cell>
          <cell r="Z5634" t="str">
            <v>Legacy</v>
          </cell>
          <cell r="AA5634" t="str">
            <v>$1K or Below</v>
          </cell>
          <cell r="AB5634" t="str">
            <v>2010 or before</v>
          </cell>
        </row>
        <row r="5635">
          <cell r="E5635">
            <v>124.99</v>
          </cell>
          <cell r="Z5635" t="str">
            <v>Legacy</v>
          </cell>
          <cell r="AA5635" t="str">
            <v>$1K or Below</v>
          </cell>
          <cell r="AB5635" t="str">
            <v>2010 or before</v>
          </cell>
        </row>
        <row r="5636">
          <cell r="E5636">
            <v>124.96</v>
          </cell>
          <cell r="Z5636" t="str">
            <v>Legacy</v>
          </cell>
          <cell r="AA5636" t="str">
            <v>$1K or Below</v>
          </cell>
          <cell r="AB5636" t="str">
            <v>2010 or before</v>
          </cell>
        </row>
        <row r="5637">
          <cell r="E5637">
            <v>124.95</v>
          </cell>
          <cell r="Z5637" t="str">
            <v>Legacy</v>
          </cell>
          <cell r="AA5637" t="str">
            <v>$1K or Below</v>
          </cell>
          <cell r="AB5637">
            <v>2012</v>
          </cell>
        </row>
        <row r="5638">
          <cell r="E5638">
            <v>124.88</v>
          </cell>
          <cell r="Z5638" t="str">
            <v>Legacy</v>
          </cell>
          <cell r="AA5638" t="str">
            <v>$1K or Below</v>
          </cell>
          <cell r="AB5638" t="str">
            <v>2010 or before</v>
          </cell>
        </row>
        <row r="5639">
          <cell r="E5639">
            <v>124.85</v>
          </cell>
          <cell r="Z5639" t="str">
            <v>Legacy</v>
          </cell>
          <cell r="AA5639" t="str">
            <v>$1K or Below</v>
          </cell>
          <cell r="AB5639">
            <v>2011</v>
          </cell>
        </row>
        <row r="5640">
          <cell r="E5640">
            <v>124.65</v>
          </cell>
          <cell r="Z5640" t="str">
            <v>Legacy</v>
          </cell>
          <cell r="AA5640" t="str">
            <v>$1K or Below</v>
          </cell>
          <cell r="AB5640" t="str">
            <v>2010 or before</v>
          </cell>
        </row>
        <row r="5641">
          <cell r="E5641">
            <v>124.5</v>
          </cell>
          <cell r="Z5641" t="str">
            <v>Legacy</v>
          </cell>
          <cell r="AA5641" t="str">
            <v>$1K or Below</v>
          </cell>
          <cell r="AB5641" t="str">
            <v>2010 or before</v>
          </cell>
        </row>
        <row r="5642">
          <cell r="E5642">
            <v>124.5</v>
          </cell>
          <cell r="Z5642" t="str">
            <v>Legacy</v>
          </cell>
          <cell r="AA5642" t="str">
            <v>$1K or Below</v>
          </cell>
          <cell r="AB5642" t="str">
            <v>2010 or before</v>
          </cell>
        </row>
        <row r="5643">
          <cell r="E5643">
            <v>124.49</v>
          </cell>
          <cell r="Z5643" t="str">
            <v>Legacy</v>
          </cell>
          <cell r="AA5643" t="str">
            <v>$1K or Below</v>
          </cell>
          <cell r="AB5643" t="str">
            <v>2010 or before</v>
          </cell>
        </row>
        <row r="5644">
          <cell r="E5644">
            <v>124.49</v>
          </cell>
          <cell r="Z5644" t="str">
            <v>Legacy</v>
          </cell>
          <cell r="AA5644" t="str">
            <v>$1K or Below</v>
          </cell>
          <cell r="AB5644" t="str">
            <v>2010 or before</v>
          </cell>
        </row>
        <row r="5645">
          <cell r="E5645">
            <v>124.11</v>
          </cell>
          <cell r="Z5645" t="str">
            <v>Legacy</v>
          </cell>
          <cell r="AA5645" t="str">
            <v>$1K or Below</v>
          </cell>
          <cell r="AB5645" t="str">
            <v>2010 or before</v>
          </cell>
        </row>
        <row r="5646">
          <cell r="E5646">
            <v>123.84</v>
          </cell>
          <cell r="Z5646" t="str">
            <v>Legacy</v>
          </cell>
          <cell r="AA5646" t="str">
            <v>$1K or Below</v>
          </cell>
          <cell r="AB5646" t="str">
            <v>2010 or before</v>
          </cell>
        </row>
        <row r="5647">
          <cell r="E5647">
            <v>123.67</v>
          </cell>
          <cell r="Z5647" t="str">
            <v>Legacy</v>
          </cell>
          <cell r="AA5647" t="str">
            <v>$1K or Below</v>
          </cell>
          <cell r="AB5647">
            <v>2012</v>
          </cell>
        </row>
        <row r="5648">
          <cell r="E5648">
            <v>123.65</v>
          </cell>
          <cell r="Z5648" t="str">
            <v>Legacy</v>
          </cell>
          <cell r="AA5648" t="str">
            <v>$1K or Below</v>
          </cell>
          <cell r="AB5648" t="str">
            <v>2010 or before</v>
          </cell>
        </row>
        <row r="5649">
          <cell r="E5649">
            <v>123.53</v>
          </cell>
          <cell r="Z5649" t="str">
            <v>Legacy</v>
          </cell>
          <cell r="AA5649" t="str">
            <v>$1K or Below</v>
          </cell>
          <cell r="AB5649" t="str">
            <v>2010 or before</v>
          </cell>
        </row>
        <row r="5650">
          <cell r="E5650">
            <v>123.43</v>
          </cell>
          <cell r="Z5650" t="str">
            <v>Legacy</v>
          </cell>
          <cell r="AA5650" t="str">
            <v>$1K or Below</v>
          </cell>
          <cell r="AB5650" t="str">
            <v>2010 or before</v>
          </cell>
        </row>
        <row r="5651">
          <cell r="E5651">
            <v>123.42</v>
          </cell>
          <cell r="Z5651" t="str">
            <v>Legacy</v>
          </cell>
          <cell r="AA5651" t="str">
            <v>$1K or Below</v>
          </cell>
          <cell r="AB5651" t="str">
            <v>2010 or before</v>
          </cell>
        </row>
        <row r="5652">
          <cell r="E5652">
            <v>122.9</v>
          </cell>
          <cell r="Z5652" t="str">
            <v>Legacy</v>
          </cell>
          <cell r="AA5652" t="str">
            <v>$1K or Below</v>
          </cell>
          <cell r="AB5652" t="str">
            <v>2010 or before</v>
          </cell>
        </row>
        <row r="5653">
          <cell r="E5653">
            <v>122.82</v>
          </cell>
          <cell r="Z5653" t="str">
            <v>Legacy</v>
          </cell>
          <cell r="AA5653" t="str">
            <v>$1K or Below</v>
          </cell>
          <cell r="AB5653" t="str">
            <v>2010 or before</v>
          </cell>
        </row>
        <row r="5654">
          <cell r="E5654">
            <v>122.73</v>
          </cell>
          <cell r="Z5654" t="str">
            <v>Legacy</v>
          </cell>
          <cell r="AA5654" t="str">
            <v>$1K or Below</v>
          </cell>
          <cell r="AB5654" t="str">
            <v>2010 or before</v>
          </cell>
        </row>
        <row r="5655">
          <cell r="E5655">
            <v>122.57</v>
          </cell>
          <cell r="Z5655" t="str">
            <v>Legacy</v>
          </cell>
          <cell r="AA5655" t="str">
            <v>$1K or Below</v>
          </cell>
          <cell r="AB5655" t="str">
            <v>2010 or before</v>
          </cell>
        </row>
        <row r="5656">
          <cell r="E5656">
            <v>122.46</v>
          </cell>
          <cell r="Z5656" t="str">
            <v>Inbound</v>
          </cell>
          <cell r="AA5656" t="str">
            <v>$1K or Below</v>
          </cell>
          <cell r="AB5656">
            <v>2012</v>
          </cell>
        </row>
        <row r="5657">
          <cell r="E5657">
            <v>122.45</v>
          </cell>
          <cell r="Z5657" t="str">
            <v>Legacy</v>
          </cell>
          <cell r="AA5657" t="str">
            <v>$1K or Below</v>
          </cell>
          <cell r="AB5657" t="str">
            <v>2010 or before</v>
          </cell>
        </row>
        <row r="5658">
          <cell r="E5658">
            <v>122.4</v>
          </cell>
          <cell r="Z5658" t="str">
            <v>Legacy</v>
          </cell>
          <cell r="AA5658" t="str">
            <v>$1K or Below</v>
          </cell>
          <cell r="AB5658">
            <v>2011</v>
          </cell>
        </row>
        <row r="5659">
          <cell r="E5659">
            <v>122.36</v>
          </cell>
          <cell r="Z5659" t="str">
            <v>Legacy</v>
          </cell>
          <cell r="AA5659" t="str">
            <v>$1K or Below</v>
          </cell>
          <cell r="AB5659" t="str">
            <v>2010 or before</v>
          </cell>
        </row>
        <row r="5660">
          <cell r="E5660">
            <v>121.97</v>
          </cell>
          <cell r="Z5660" t="str">
            <v>Legacy</v>
          </cell>
          <cell r="AA5660" t="str">
            <v>$1K or Below</v>
          </cell>
          <cell r="AB5660" t="str">
            <v>2010 or before</v>
          </cell>
        </row>
        <row r="5661">
          <cell r="E5661">
            <v>121.48</v>
          </cell>
          <cell r="Z5661" t="str">
            <v>Legacy</v>
          </cell>
          <cell r="AA5661" t="str">
            <v>$1K or Below</v>
          </cell>
          <cell r="AB5661">
            <v>2011</v>
          </cell>
        </row>
        <row r="5662">
          <cell r="E5662">
            <v>121.47</v>
          </cell>
          <cell r="Z5662" t="str">
            <v>Legacy</v>
          </cell>
          <cell r="AA5662" t="str">
            <v>$1K or Below</v>
          </cell>
          <cell r="AB5662" t="str">
            <v>2010 or before</v>
          </cell>
        </row>
        <row r="5663">
          <cell r="E5663">
            <v>121.44</v>
          </cell>
          <cell r="Z5663" t="str">
            <v>Legacy</v>
          </cell>
          <cell r="AA5663" t="str">
            <v>$1K or Below</v>
          </cell>
          <cell r="AB5663" t="str">
            <v>2010 or before</v>
          </cell>
        </row>
        <row r="5664">
          <cell r="E5664">
            <v>121.4</v>
          </cell>
          <cell r="Z5664" t="str">
            <v>Inbound</v>
          </cell>
          <cell r="AA5664" t="str">
            <v>$1K or Below</v>
          </cell>
          <cell r="AB5664">
            <v>2012</v>
          </cell>
        </row>
        <row r="5665">
          <cell r="E5665">
            <v>121.02</v>
          </cell>
          <cell r="Z5665" t="str">
            <v>Legacy</v>
          </cell>
          <cell r="AA5665" t="str">
            <v>$1K or Below</v>
          </cell>
          <cell r="AB5665" t="str">
            <v>2010 or before</v>
          </cell>
        </row>
        <row r="5666">
          <cell r="E5666">
            <v>120.96</v>
          </cell>
          <cell r="Z5666" t="str">
            <v>Legacy</v>
          </cell>
          <cell r="AA5666" t="str">
            <v>$1K or Below</v>
          </cell>
          <cell r="AB5666" t="str">
            <v>2010 or before</v>
          </cell>
        </row>
        <row r="5667">
          <cell r="E5667">
            <v>120.81</v>
          </cell>
          <cell r="Z5667" t="str">
            <v>Legacy</v>
          </cell>
          <cell r="AA5667" t="str">
            <v>$1K or Below</v>
          </cell>
          <cell r="AB5667" t="str">
            <v>2010 or before</v>
          </cell>
        </row>
        <row r="5668">
          <cell r="E5668">
            <v>120.7</v>
          </cell>
          <cell r="Z5668" t="str">
            <v>Inbound</v>
          </cell>
          <cell r="AA5668" t="str">
            <v>$1K or Below</v>
          </cell>
          <cell r="AB5668">
            <v>2012</v>
          </cell>
        </row>
        <row r="5669">
          <cell r="E5669">
            <v>120.42</v>
          </cell>
          <cell r="Z5669" t="str">
            <v>Legacy</v>
          </cell>
          <cell r="AA5669" t="str">
            <v>$1K or Below</v>
          </cell>
          <cell r="AB5669" t="str">
            <v>2010 or before</v>
          </cell>
        </row>
        <row r="5670">
          <cell r="E5670">
            <v>120.21</v>
          </cell>
          <cell r="Z5670" t="str">
            <v>Ungating</v>
          </cell>
          <cell r="AA5670" t="str">
            <v>$1K or Below</v>
          </cell>
          <cell r="AB5670">
            <v>2012</v>
          </cell>
        </row>
        <row r="5671">
          <cell r="E5671">
            <v>120</v>
          </cell>
          <cell r="Z5671" t="str">
            <v>Legacy</v>
          </cell>
          <cell r="AA5671" t="str">
            <v>$1K or Below</v>
          </cell>
          <cell r="AB5671" t="str">
            <v>2010 or before</v>
          </cell>
        </row>
        <row r="5672">
          <cell r="E5672">
            <v>120</v>
          </cell>
          <cell r="Z5672" t="str">
            <v>Legacy</v>
          </cell>
          <cell r="AA5672" t="str">
            <v>$1K or Below</v>
          </cell>
          <cell r="AB5672" t="str">
            <v>2010 or before</v>
          </cell>
        </row>
        <row r="5673">
          <cell r="E5673">
            <v>119.98</v>
          </cell>
          <cell r="Z5673" t="str">
            <v>Legacy</v>
          </cell>
          <cell r="AA5673" t="str">
            <v>$1K or Below</v>
          </cell>
          <cell r="AB5673" t="str">
            <v>2010 or before</v>
          </cell>
        </row>
        <row r="5674">
          <cell r="E5674">
            <v>119.96</v>
          </cell>
          <cell r="Z5674" t="str">
            <v>Inbound</v>
          </cell>
          <cell r="AA5674" t="str">
            <v>$1K or Below</v>
          </cell>
          <cell r="AB5674">
            <v>2012</v>
          </cell>
        </row>
        <row r="5675">
          <cell r="E5675">
            <v>119.94</v>
          </cell>
          <cell r="Z5675" t="str">
            <v>Legacy</v>
          </cell>
          <cell r="AA5675" t="str">
            <v>$1K or Below</v>
          </cell>
          <cell r="AB5675" t="str">
            <v>2010 or before</v>
          </cell>
        </row>
        <row r="5676">
          <cell r="E5676">
            <v>119.88</v>
          </cell>
          <cell r="Z5676" t="str">
            <v>Legacy</v>
          </cell>
          <cell r="AA5676" t="str">
            <v>$1K or Below</v>
          </cell>
          <cell r="AB5676">
            <v>2011</v>
          </cell>
        </row>
        <row r="5677">
          <cell r="E5677">
            <v>119.85</v>
          </cell>
          <cell r="Z5677" t="str">
            <v>Legacy</v>
          </cell>
          <cell r="AA5677" t="str">
            <v>$1K or Below</v>
          </cell>
          <cell r="AB5677" t="str">
            <v>2010 or before</v>
          </cell>
        </row>
        <row r="5678">
          <cell r="E5678">
            <v>119.67</v>
          </cell>
          <cell r="Z5678" t="str">
            <v>Legacy</v>
          </cell>
          <cell r="AA5678" t="str">
            <v>$1K or Below</v>
          </cell>
          <cell r="AB5678">
            <v>2011</v>
          </cell>
        </row>
        <row r="5679">
          <cell r="E5679">
            <v>119.6</v>
          </cell>
          <cell r="Z5679" t="str">
            <v>Legacy</v>
          </cell>
          <cell r="AA5679" t="str">
            <v>$1K or Below</v>
          </cell>
          <cell r="AB5679" t="str">
            <v>2010 or before</v>
          </cell>
        </row>
        <row r="5680">
          <cell r="E5680">
            <v>119.26</v>
          </cell>
          <cell r="Z5680" t="str">
            <v>Legacy</v>
          </cell>
          <cell r="AA5680" t="str">
            <v>$1K or Below</v>
          </cell>
          <cell r="AB5680" t="str">
            <v>2010 or before</v>
          </cell>
        </row>
        <row r="5681">
          <cell r="E5681">
            <v>118.81</v>
          </cell>
          <cell r="Z5681" t="str">
            <v>Legacy</v>
          </cell>
          <cell r="AA5681" t="str">
            <v>$1K or Below</v>
          </cell>
          <cell r="AB5681" t="str">
            <v>2010 or before</v>
          </cell>
        </row>
        <row r="5682">
          <cell r="E5682">
            <v>118.27</v>
          </cell>
          <cell r="Z5682" t="str">
            <v>Legacy</v>
          </cell>
          <cell r="AA5682" t="str">
            <v>$1K or Below</v>
          </cell>
          <cell r="AB5682" t="str">
            <v>2010 or before</v>
          </cell>
        </row>
        <row r="5683">
          <cell r="E5683">
            <v>117.88</v>
          </cell>
          <cell r="Z5683" t="str">
            <v>Legacy</v>
          </cell>
          <cell r="AA5683" t="str">
            <v>$1K or Below</v>
          </cell>
          <cell r="AB5683" t="str">
            <v>2010 or before</v>
          </cell>
        </row>
        <row r="5684">
          <cell r="E5684">
            <v>117.73</v>
          </cell>
          <cell r="Z5684" t="str">
            <v>Legacy</v>
          </cell>
          <cell r="AA5684" t="str">
            <v>$1K or Below</v>
          </cell>
          <cell r="AB5684" t="str">
            <v>2010 or before</v>
          </cell>
        </row>
        <row r="5685">
          <cell r="E5685">
            <v>117.47</v>
          </cell>
          <cell r="Z5685" t="str">
            <v>Inbound</v>
          </cell>
          <cell r="AA5685" t="str">
            <v>$1K or Below</v>
          </cell>
          <cell r="AB5685">
            <v>2012</v>
          </cell>
        </row>
        <row r="5686">
          <cell r="E5686">
            <v>117.07</v>
          </cell>
          <cell r="Z5686" t="str">
            <v>Legacy</v>
          </cell>
          <cell r="AA5686" t="str">
            <v>$1K or Below</v>
          </cell>
          <cell r="AB5686" t="str">
            <v>2010 or before</v>
          </cell>
        </row>
        <row r="5687">
          <cell r="E5687">
            <v>116.94</v>
          </cell>
          <cell r="Z5687" t="str">
            <v>Legacy</v>
          </cell>
          <cell r="AA5687" t="str">
            <v>$1K or Below</v>
          </cell>
          <cell r="AB5687">
            <v>2012</v>
          </cell>
        </row>
        <row r="5688">
          <cell r="E5688">
            <v>116.93</v>
          </cell>
          <cell r="Z5688" t="str">
            <v>Legacy</v>
          </cell>
          <cell r="AA5688" t="str">
            <v>$1K or Below</v>
          </cell>
          <cell r="AB5688" t="str">
            <v>2010 or before</v>
          </cell>
        </row>
        <row r="5689">
          <cell r="E5689">
            <v>116.84</v>
          </cell>
          <cell r="Z5689" t="str">
            <v>Legacy</v>
          </cell>
          <cell r="AA5689" t="str">
            <v>$1K or Below</v>
          </cell>
          <cell r="AB5689" t="str">
            <v>2010 or before</v>
          </cell>
        </row>
        <row r="5690">
          <cell r="E5690">
            <v>116.84</v>
          </cell>
          <cell r="Z5690" t="str">
            <v>Legacy</v>
          </cell>
          <cell r="AA5690" t="str">
            <v>$1K or Below</v>
          </cell>
          <cell r="AB5690" t="str">
            <v>2010 or before</v>
          </cell>
        </row>
        <row r="5691">
          <cell r="E5691">
            <v>116.81</v>
          </cell>
          <cell r="Z5691" t="str">
            <v>Legacy</v>
          </cell>
          <cell r="AA5691" t="str">
            <v>$1K or Below</v>
          </cell>
          <cell r="AB5691" t="str">
            <v>2010 or before</v>
          </cell>
        </row>
        <row r="5692">
          <cell r="E5692">
            <v>116.53</v>
          </cell>
          <cell r="Z5692" t="str">
            <v>Legacy</v>
          </cell>
          <cell r="AA5692" t="str">
            <v>$1K or Below</v>
          </cell>
          <cell r="AB5692" t="str">
            <v>2010 or before</v>
          </cell>
        </row>
        <row r="5693">
          <cell r="E5693">
            <v>116.45</v>
          </cell>
          <cell r="Z5693" t="str">
            <v>Legacy</v>
          </cell>
          <cell r="AA5693" t="str">
            <v>$1K or Below</v>
          </cell>
          <cell r="AB5693" t="str">
            <v>2010 or before</v>
          </cell>
        </row>
        <row r="5694">
          <cell r="E5694">
            <v>116.39</v>
          </cell>
          <cell r="Z5694" t="str">
            <v>Legacy</v>
          </cell>
          <cell r="AA5694" t="str">
            <v>$1K or Below</v>
          </cell>
          <cell r="AB5694" t="str">
            <v>2010 or before</v>
          </cell>
        </row>
        <row r="5695">
          <cell r="E5695">
            <v>115.98</v>
          </cell>
          <cell r="Z5695" t="str">
            <v>Legacy</v>
          </cell>
          <cell r="AA5695" t="str">
            <v>$1K or Below</v>
          </cell>
          <cell r="AB5695" t="str">
            <v>2010 or before</v>
          </cell>
        </row>
        <row r="5696">
          <cell r="E5696">
            <v>115.92</v>
          </cell>
          <cell r="Z5696" t="str">
            <v>Legacy</v>
          </cell>
          <cell r="AA5696" t="str">
            <v>$1K or Below</v>
          </cell>
          <cell r="AB5696" t="str">
            <v>2010 or before</v>
          </cell>
        </row>
        <row r="5697">
          <cell r="E5697">
            <v>115.78</v>
          </cell>
          <cell r="Z5697" t="str">
            <v>Ungating</v>
          </cell>
          <cell r="AA5697" t="str">
            <v>$1K or Below</v>
          </cell>
          <cell r="AB5697">
            <v>2012</v>
          </cell>
        </row>
        <row r="5698">
          <cell r="E5698">
            <v>115.59</v>
          </cell>
          <cell r="Z5698" t="str">
            <v>Legacy</v>
          </cell>
          <cell r="AA5698" t="str">
            <v>$1K or Below</v>
          </cell>
          <cell r="AB5698">
            <v>2011</v>
          </cell>
        </row>
        <row r="5699">
          <cell r="E5699">
            <v>115.2</v>
          </cell>
          <cell r="Z5699" t="str">
            <v>Legacy</v>
          </cell>
          <cell r="AA5699" t="str">
            <v>$1K or Below</v>
          </cell>
          <cell r="AB5699" t="str">
            <v>2010 or before</v>
          </cell>
        </row>
        <row r="5700">
          <cell r="E5700">
            <v>114.96</v>
          </cell>
          <cell r="Z5700" t="str">
            <v>Legacy</v>
          </cell>
          <cell r="AA5700" t="str">
            <v>$1K or Below</v>
          </cell>
          <cell r="AB5700" t="str">
            <v>2010 or before</v>
          </cell>
        </row>
        <row r="5701">
          <cell r="E5701">
            <v>114.95</v>
          </cell>
          <cell r="Z5701" t="str">
            <v>Legacy</v>
          </cell>
          <cell r="AA5701" t="str">
            <v>$1K or Below</v>
          </cell>
          <cell r="AB5701" t="str">
            <v>2010 or before</v>
          </cell>
        </row>
        <row r="5702">
          <cell r="E5702">
            <v>114.94</v>
          </cell>
          <cell r="Z5702" t="str">
            <v>Legacy</v>
          </cell>
          <cell r="AA5702" t="str">
            <v>$1K or Below</v>
          </cell>
          <cell r="AB5702" t="str">
            <v>2010 or before</v>
          </cell>
        </row>
        <row r="5703">
          <cell r="E5703">
            <v>114.7</v>
          </cell>
          <cell r="Z5703" t="str">
            <v>Legacy</v>
          </cell>
          <cell r="AA5703" t="str">
            <v>$1K or Below</v>
          </cell>
          <cell r="AB5703" t="str">
            <v>2010 or before</v>
          </cell>
        </row>
        <row r="5704">
          <cell r="E5704">
            <v>114.48</v>
          </cell>
          <cell r="Z5704" t="str">
            <v>Legacy</v>
          </cell>
          <cell r="AA5704" t="str">
            <v>$1K or Below</v>
          </cell>
          <cell r="AB5704" t="str">
            <v>2010 or before</v>
          </cell>
        </row>
        <row r="5705">
          <cell r="E5705">
            <v>114.4</v>
          </cell>
          <cell r="Z5705" t="str">
            <v>Legacy</v>
          </cell>
          <cell r="AA5705" t="str">
            <v>$1K or Below</v>
          </cell>
          <cell r="AB5705" t="str">
            <v>2010 or before</v>
          </cell>
        </row>
        <row r="5706">
          <cell r="E5706">
            <v>114.3</v>
          </cell>
          <cell r="Z5706" t="str">
            <v>Legacy</v>
          </cell>
          <cell r="AA5706" t="str">
            <v>$1K or Below</v>
          </cell>
          <cell r="AB5706" t="str">
            <v>2010 or before</v>
          </cell>
        </row>
        <row r="5707">
          <cell r="E5707">
            <v>114.18</v>
          </cell>
          <cell r="Z5707" t="str">
            <v>Legacy</v>
          </cell>
          <cell r="AA5707" t="str">
            <v>$1K or Below</v>
          </cell>
          <cell r="AB5707" t="str">
            <v>2010 or before</v>
          </cell>
        </row>
        <row r="5708">
          <cell r="E5708">
            <v>114.09</v>
          </cell>
          <cell r="Z5708" t="str">
            <v>Legacy</v>
          </cell>
          <cell r="AA5708" t="str">
            <v>$1K or Below</v>
          </cell>
          <cell r="AB5708">
            <v>2011</v>
          </cell>
        </row>
        <row r="5709">
          <cell r="E5709">
            <v>113.8</v>
          </cell>
          <cell r="Z5709" t="str">
            <v>Legacy</v>
          </cell>
          <cell r="AA5709" t="str">
            <v>$1K or Below</v>
          </cell>
          <cell r="AB5709" t="str">
            <v>2010 or before</v>
          </cell>
        </row>
        <row r="5710">
          <cell r="E5710">
            <v>113.57</v>
          </cell>
          <cell r="Z5710" t="str">
            <v>Legacy</v>
          </cell>
          <cell r="AA5710" t="str">
            <v>$1K or Below</v>
          </cell>
          <cell r="AB5710" t="str">
            <v>2010 or before</v>
          </cell>
        </row>
        <row r="5711">
          <cell r="E5711">
            <v>113.45</v>
          </cell>
          <cell r="Z5711" t="str">
            <v>Legacy</v>
          </cell>
          <cell r="AA5711" t="str">
            <v>$1K or Below</v>
          </cell>
          <cell r="AB5711" t="str">
            <v>2010 or before</v>
          </cell>
        </row>
        <row r="5712">
          <cell r="E5712">
            <v>113.14</v>
          </cell>
          <cell r="Z5712" t="str">
            <v>Legacy</v>
          </cell>
          <cell r="AA5712" t="str">
            <v>$1K or Below</v>
          </cell>
          <cell r="AB5712">
            <v>2012</v>
          </cell>
        </row>
        <row r="5713">
          <cell r="E5713">
            <v>113</v>
          </cell>
          <cell r="Z5713" t="str">
            <v>Legacy</v>
          </cell>
          <cell r="AA5713" t="str">
            <v>$1K or Below</v>
          </cell>
          <cell r="AB5713" t="str">
            <v>2010 or before</v>
          </cell>
        </row>
        <row r="5714">
          <cell r="E5714">
            <v>112.92</v>
          </cell>
          <cell r="Z5714" t="str">
            <v>Inbound</v>
          </cell>
          <cell r="AA5714" t="str">
            <v>$1K or Below</v>
          </cell>
          <cell r="AB5714">
            <v>2011</v>
          </cell>
        </row>
        <row r="5715">
          <cell r="E5715">
            <v>112.68</v>
          </cell>
          <cell r="Z5715" t="str">
            <v>Legacy</v>
          </cell>
          <cell r="AA5715" t="str">
            <v>$1K or Below</v>
          </cell>
          <cell r="AB5715" t="str">
            <v>2010 or before</v>
          </cell>
        </row>
        <row r="5716">
          <cell r="E5716">
            <v>112.44</v>
          </cell>
          <cell r="Z5716" t="str">
            <v>Legacy</v>
          </cell>
          <cell r="AA5716" t="str">
            <v>$1K or Below</v>
          </cell>
          <cell r="AB5716" t="str">
            <v>2010 or before</v>
          </cell>
        </row>
        <row r="5717">
          <cell r="E5717">
            <v>112.4</v>
          </cell>
          <cell r="Z5717" t="str">
            <v>Legacy</v>
          </cell>
          <cell r="AA5717" t="str">
            <v>$1K or Below</v>
          </cell>
          <cell r="AB5717" t="str">
            <v>2010 or before</v>
          </cell>
        </row>
        <row r="5718">
          <cell r="E5718">
            <v>111.92</v>
          </cell>
          <cell r="Z5718" t="str">
            <v>Legacy</v>
          </cell>
          <cell r="AA5718" t="str">
            <v>$1K or Below</v>
          </cell>
          <cell r="AB5718" t="str">
            <v>2010 or before</v>
          </cell>
        </row>
        <row r="5719">
          <cell r="E5719">
            <v>111.75</v>
          </cell>
          <cell r="Z5719" t="str">
            <v>Legacy</v>
          </cell>
          <cell r="AA5719" t="str">
            <v>$1K or Below</v>
          </cell>
          <cell r="AB5719" t="str">
            <v>2010 or before</v>
          </cell>
        </row>
        <row r="5720">
          <cell r="E5720">
            <v>111.72</v>
          </cell>
          <cell r="Z5720" t="str">
            <v>Legacy</v>
          </cell>
          <cell r="AA5720" t="str">
            <v>$1K or Below</v>
          </cell>
          <cell r="AB5720" t="str">
            <v>2010 or before</v>
          </cell>
        </row>
        <row r="5721">
          <cell r="E5721">
            <v>111.61</v>
          </cell>
          <cell r="Z5721" t="str">
            <v>Global</v>
          </cell>
          <cell r="AA5721" t="str">
            <v>$1K or Below</v>
          </cell>
          <cell r="AB5721">
            <v>2012</v>
          </cell>
        </row>
        <row r="5722">
          <cell r="E5722">
            <v>111.43</v>
          </cell>
          <cell r="Z5722" t="str">
            <v>Legacy</v>
          </cell>
          <cell r="AA5722" t="str">
            <v>$1K or Below</v>
          </cell>
          <cell r="AB5722" t="str">
            <v>2010 or before</v>
          </cell>
        </row>
        <row r="5723">
          <cell r="E5723">
            <v>111.39</v>
          </cell>
          <cell r="Z5723" t="str">
            <v>Ungating</v>
          </cell>
          <cell r="AA5723" t="str">
            <v>$1K or Below</v>
          </cell>
          <cell r="AB5723">
            <v>2012</v>
          </cell>
        </row>
        <row r="5724">
          <cell r="E5724">
            <v>111.35</v>
          </cell>
          <cell r="Z5724" t="str">
            <v>Legacy</v>
          </cell>
          <cell r="AA5724" t="str">
            <v>$1K or Below</v>
          </cell>
          <cell r="AB5724" t="str">
            <v>2010 or before</v>
          </cell>
        </row>
        <row r="5725">
          <cell r="E5725">
            <v>111.18</v>
          </cell>
          <cell r="Z5725" t="str">
            <v>Legacy</v>
          </cell>
          <cell r="AA5725" t="str">
            <v>$1K or Below</v>
          </cell>
          <cell r="AB5725" t="str">
            <v>2010 or before</v>
          </cell>
        </row>
        <row r="5726">
          <cell r="E5726">
            <v>111.1</v>
          </cell>
          <cell r="Z5726" t="str">
            <v>Legacy</v>
          </cell>
          <cell r="AA5726" t="str">
            <v>$1K or Below</v>
          </cell>
          <cell r="AB5726" t="str">
            <v>2010 or before</v>
          </cell>
        </row>
        <row r="5727">
          <cell r="E5727">
            <v>111</v>
          </cell>
          <cell r="Z5727" t="str">
            <v>Legacy</v>
          </cell>
          <cell r="AA5727" t="str">
            <v>$1K or Below</v>
          </cell>
          <cell r="AB5727" t="str">
            <v>2010 or before</v>
          </cell>
        </row>
        <row r="5728">
          <cell r="E5728">
            <v>111</v>
          </cell>
          <cell r="Z5728" t="str">
            <v>Legacy</v>
          </cell>
          <cell r="AA5728" t="str">
            <v>$1K or Below</v>
          </cell>
          <cell r="AB5728">
            <v>2012</v>
          </cell>
        </row>
        <row r="5729">
          <cell r="E5729">
            <v>110.99</v>
          </cell>
          <cell r="Z5729" t="str">
            <v>Legacy</v>
          </cell>
          <cell r="AA5729" t="str">
            <v>$1K or Below</v>
          </cell>
          <cell r="AB5729" t="str">
            <v>2010 or before</v>
          </cell>
        </row>
        <row r="5730">
          <cell r="E5730">
            <v>110.97</v>
          </cell>
          <cell r="Z5730" t="str">
            <v>Legacy</v>
          </cell>
          <cell r="AA5730" t="str">
            <v>$1K or Below</v>
          </cell>
          <cell r="AB5730" t="str">
            <v>2010 or before</v>
          </cell>
        </row>
        <row r="5731">
          <cell r="E5731">
            <v>110.96</v>
          </cell>
          <cell r="Z5731" t="str">
            <v>Legacy</v>
          </cell>
          <cell r="AA5731" t="str">
            <v>$1K or Below</v>
          </cell>
          <cell r="AB5731" t="str">
            <v>2010 or before</v>
          </cell>
        </row>
        <row r="5732">
          <cell r="E5732">
            <v>110.94</v>
          </cell>
          <cell r="Z5732" t="str">
            <v>Legacy</v>
          </cell>
          <cell r="AA5732" t="str">
            <v>$1K or Below</v>
          </cell>
          <cell r="AB5732" t="str">
            <v>2010 or before</v>
          </cell>
        </row>
        <row r="5733">
          <cell r="E5733">
            <v>110.85</v>
          </cell>
          <cell r="Z5733" t="str">
            <v>Legacy</v>
          </cell>
          <cell r="AA5733" t="str">
            <v>$1K or Below</v>
          </cell>
          <cell r="AB5733" t="str">
            <v>2010 or before</v>
          </cell>
        </row>
        <row r="5734">
          <cell r="E5734">
            <v>110.71</v>
          </cell>
          <cell r="Z5734" t="str">
            <v>Legacy</v>
          </cell>
          <cell r="AA5734" t="str">
            <v>$1K or Below</v>
          </cell>
          <cell r="AB5734">
            <v>2011</v>
          </cell>
        </row>
        <row r="5735">
          <cell r="E5735">
            <v>110.66</v>
          </cell>
          <cell r="Z5735" t="str">
            <v>Legacy</v>
          </cell>
          <cell r="AA5735" t="str">
            <v>$1K or Below</v>
          </cell>
          <cell r="AB5735" t="str">
            <v>2010 or before</v>
          </cell>
        </row>
        <row r="5736">
          <cell r="E5736">
            <v>110.6</v>
          </cell>
          <cell r="Z5736" t="str">
            <v>Legacy</v>
          </cell>
          <cell r="AA5736" t="str">
            <v>$1K or Below</v>
          </cell>
          <cell r="AB5736">
            <v>2012</v>
          </cell>
        </row>
        <row r="5737">
          <cell r="E5737">
            <v>110.6</v>
          </cell>
          <cell r="Z5737" t="str">
            <v>Legacy</v>
          </cell>
          <cell r="AA5737" t="str">
            <v>$1K or Below</v>
          </cell>
          <cell r="AB5737" t="str">
            <v>2010 or before</v>
          </cell>
        </row>
        <row r="5738">
          <cell r="E5738">
            <v>110.48</v>
          </cell>
          <cell r="Z5738" t="str">
            <v>Legacy</v>
          </cell>
          <cell r="AA5738" t="str">
            <v>$1K or Below</v>
          </cell>
          <cell r="AB5738" t="str">
            <v>2010 or before</v>
          </cell>
        </row>
        <row r="5739">
          <cell r="E5739">
            <v>110.47</v>
          </cell>
          <cell r="Z5739" t="str">
            <v>Legacy</v>
          </cell>
          <cell r="AA5739" t="str">
            <v>$1K or Below</v>
          </cell>
          <cell r="AB5739" t="str">
            <v>2010 or before</v>
          </cell>
        </row>
        <row r="5740">
          <cell r="E5740">
            <v>110.46</v>
          </cell>
          <cell r="Z5740" t="str">
            <v>Legacy</v>
          </cell>
          <cell r="AA5740" t="str">
            <v>$1K or Below</v>
          </cell>
          <cell r="AB5740" t="str">
            <v>2010 or before</v>
          </cell>
        </row>
        <row r="5741">
          <cell r="E5741">
            <v>110.4</v>
          </cell>
          <cell r="Z5741" t="str">
            <v>Legacy</v>
          </cell>
          <cell r="AA5741" t="str">
            <v>$1K or Below</v>
          </cell>
          <cell r="AB5741" t="str">
            <v>2010 or before</v>
          </cell>
        </row>
        <row r="5742">
          <cell r="E5742">
            <v>110.39</v>
          </cell>
          <cell r="Z5742" t="str">
            <v>Legacy</v>
          </cell>
          <cell r="AA5742" t="str">
            <v>$1K or Below</v>
          </cell>
          <cell r="AB5742" t="str">
            <v>2010 or before</v>
          </cell>
        </row>
        <row r="5743">
          <cell r="E5743">
            <v>110.3</v>
          </cell>
          <cell r="Z5743" t="str">
            <v>Legacy</v>
          </cell>
          <cell r="AA5743" t="str">
            <v>$1K or Below</v>
          </cell>
          <cell r="AB5743" t="str">
            <v>2010 or before</v>
          </cell>
        </row>
        <row r="5744">
          <cell r="E5744">
            <v>109.99</v>
          </cell>
          <cell r="Z5744" t="str">
            <v>Legacy</v>
          </cell>
          <cell r="AA5744" t="str">
            <v>$1K or Below</v>
          </cell>
          <cell r="AB5744" t="str">
            <v>2010 or before</v>
          </cell>
        </row>
        <row r="5745">
          <cell r="E5745">
            <v>109.98</v>
          </cell>
          <cell r="Z5745" t="str">
            <v>Legacy</v>
          </cell>
          <cell r="AA5745" t="str">
            <v>$1K or Below</v>
          </cell>
          <cell r="AB5745" t="str">
            <v>2010 or before</v>
          </cell>
        </row>
        <row r="5746">
          <cell r="E5746">
            <v>109.98</v>
          </cell>
          <cell r="Z5746" t="str">
            <v>Legacy</v>
          </cell>
          <cell r="AA5746" t="str">
            <v>$1K or Below</v>
          </cell>
          <cell r="AB5746" t="str">
            <v>2010 or before</v>
          </cell>
        </row>
        <row r="5747">
          <cell r="E5747">
            <v>109.94</v>
          </cell>
          <cell r="Z5747" t="str">
            <v>Legacy</v>
          </cell>
          <cell r="AA5747" t="str">
            <v>$1K or Below</v>
          </cell>
          <cell r="AB5747" t="str">
            <v>2010 or before</v>
          </cell>
        </row>
        <row r="5748">
          <cell r="E5748">
            <v>109.88</v>
          </cell>
          <cell r="Z5748" t="str">
            <v>Legacy</v>
          </cell>
          <cell r="AA5748" t="str">
            <v>$1K or Below</v>
          </cell>
          <cell r="AB5748" t="str">
            <v>2010 or before</v>
          </cell>
        </row>
        <row r="5749">
          <cell r="E5749">
            <v>109.75</v>
          </cell>
          <cell r="Z5749" t="str">
            <v>Ungating</v>
          </cell>
          <cell r="AA5749" t="str">
            <v>$1K or Below</v>
          </cell>
          <cell r="AB5749">
            <v>2012</v>
          </cell>
        </row>
        <row r="5750">
          <cell r="E5750">
            <v>109.47</v>
          </cell>
          <cell r="Z5750" t="str">
            <v>Legacy</v>
          </cell>
          <cell r="AA5750" t="str">
            <v>$1K or Below</v>
          </cell>
          <cell r="AB5750" t="str">
            <v>2010 or before</v>
          </cell>
        </row>
        <row r="5751">
          <cell r="E5751">
            <v>109.27</v>
          </cell>
          <cell r="Z5751" t="str">
            <v>Legacy</v>
          </cell>
          <cell r="AA5751" t="str">
            <v>$1K or Below</v>
          </cell>
          <cell r="AB5751" t="str">
            <v>2010 or before</v>
          </cell>
        </row>
        <row r="5752">
          <cell r="E5752">
            <v>108.96</v>
          </cell>
          <cell r="Z5752" t="str">
            <v>Legacy</v>
          </cell>
          <cell r="AA5752" t="str">
            <v>$1K or Below</v>
          </cell>
          <cell r="AB5752" t="str">
            <v>2010 or before</v>
          </cell>
        </row>
        <row r="5753">
          <cell r="E5753">
            <v>108.71</v>
          </cell>
          <cell r="Z5753" t="str">
            <v>Legacy</v>
          </cell>
          <cell r="AA5753" t="str">
            <v>$1K or Below</v>
          </cell>
          <cell r="AB5753" t="str">
            <v>2010 or before</v>
          </cell>
        </row>
        <row r="5754">
          <cell r="E5754">
            <v>108.55</v>
          </cell>
          <cell r="Z5754" t="str">
            <v>Legacy</v>
          </cell>
          <cell r="AA5754" t="str">
            <v>$1K or Below</v>
          </cell>
          <cell r="AB5754" t="str">
            <v>2010 or before</v>
          </cell>
        </row>
        <row r="5755">
          <cell r="E5755">
            <v>108.53</v>
          </cell>
          <cell r="Z5755" t="str">
            <v>Legacy</v>
          </cell>
          <cell r="AA5755" t="str">
            <v>$1K or Below</v>
          </cell>
          <cell r="AB5755" t="str">
            <v>2010 or before</v>
          </cell>
        </row>
        <row r="5756">
          <cell r="E5756">
            <v>108.29</v>
          </cell>
          <cell r="Z5756" t="str">
            <v>Legacy</v>
          </cell>
          <cell r="AA5756" t="str">
            <v>$1K or Below</v>
          </cell>
          <cell r="AB5756" t="str">
            <v>2010 or before</v>
          </cell>
        </row>
        <row r="5757">
          <cell r="E5757">
            <v>107.87</v>
          </cell>
          <cell r="Z5757" t="str">
            <v>Legacy</v>
          </cell>
          <cell r="AA5757" t="str">
            <v>$1K or Below</v>
          </cell>
          <cell r="AB5757" t="str">
            <v>2010 or before</v>
          </cell>
        </row>
        <row r="5758">
          <cell r="E5758">
            <v>107.76</v>
          </cell>
          <cell r="Z5758" t="str">
            <v>Legacy</v>
          </cell>
          <cell r="AA5758" t="str">
            <v>$1K or Below</v>
          </cell>
          <cell r="AB5758" t="str">
            <v>2010 or before</v>
          </cell>
        </row>
        <row r="5759">
          <cell r="E5759">
            <v>107.68</v>
          </cell>
          <cell r="Z5759" t="str">
            <v>Legacy</v>
          </cell>
          <cell r="AA5759" t="str">
            <v>$1K or Below</v>
          </cell>
          <cell r="AB5759" t="str">
            <v>2010 or before</v>
          </cell>
        </row>
        <row r="5760">
          <cell r="E5760">
            <v>107.64</v>
          </cell>
          <cell r="Z5760" t="str">
            <v>Legacy</v>
          </cell>
          <cell r="AA5760" t="str">
            <v>$1K or Below</v>
          </cell>
          <cell r="AB5760" t="str">
            <v>2010 or before</v>
          </cell>
        </row>
        <row r="5761">
          <cell r="E5761">
            <v>107.56</v>
          </cell>
          <cell r="Z5761" t="str">
            <v>Legacy</v>
          </cell>
          <cell r="AA5761" t="str">
            <v>$1K or Below</v>
          </cell>
          <cell r="AB5761" t="str">
            <v>2010 or before</v>
          </cell>
        </row>
        <row r="5762">
          <cell r="E5762">
            <v>107.48</v>
          </cell>
          <cell r="Z5762" t="str">
            <v>Legacy</v>
          </cell>
          <cell r="AA5762" t="str">
            <v>$1K or Below</v>
          </cell>
          <cell r="AB5762" t="str">
            <v>2010 or before</v>
          </cell>
        </row>
        <row r="5763">
          <cell r="E5763">
            <v>107.46</v>
          </cell>
          <cell r="Z5763" t="str">
            <v>Legacy</v>
          </cell>
          <cell r="AA5763" t="str">
            <v>$1K or Below</v>
          </cell>
          <cell r="AB5763">
            <v>2011</v>
          </cell>
        </row>
        <row r="5764">
          <cell r="E5764">
            <v>107.45</v>
          </cell>
          <cell r="Z5764" t="str">
            <v>Legacy</v>
          </cell>
          <cell r="AA5764" t="str">
            <v>$1K or Below</v>
          </cell>
          <cell r="AB5764" t="str">
            <v>2010 or before</v>
          </cell>
        </row>
        <row r="5765">
          <cell r="E5765">
            <v>107.38</v>
          </cell>
          <cell r="Z5765" t="str">
            <v>Legacy</v>
          </cell>
          <cell r="AA5765" t="str">
            <v>$1K or Below</v>
          </cell>
          <cell r="AB5765" t="str">
            <v>2010 or before</v>
          </cell>
        </row>
        <row r="5766">
          <cell r="E5766">
            <v>107.32</v>
          </cell>
          <cell r="Z5766" t="str">
            <v>Ungating</v>
          </cell>
          <cell r="AA5766" t="str">
            <v>$1K or Below</v>
          </cell>
          <cell r="AB5766">
            <v>2012</v>
          </cell>
        </row>
        <row r="5767">
          <cell r="E5767">
            <v>107.26</v>
          </cell>
          <cell r="Z5767" t="str">
            <v>Legacy</v>
          </cell>
          <cell r="AA5767" t="str">
            <v>$1K or Below</v>
          </cell>
          <cell r="AB5767" t="str">
            <v>2010 or before</v>
          </cell>
        </row>
        <row r="5768">
          <cell r="E5768">
            <v>107</v>
          </cell>
          <cell r="Z5768" t="str">
            <v>Legacy</v>
          </cell>
          <cell r="AA5768" t="str">
            <v>$1K or Below</v>
          </cell>
          <cell r="AB5768" t="str">
            <v>2010 or before</v>
          </cell>
        </row>
        <row r="5769">
          <cell r="E5769">
            <v>106.98</v>
          </cell>
          <cell r="Z5769" t="str">
            <v>Legacy</v>
          </cell>
          <cell r="AA5769" t="str">
            <v>$1K or Below</v>
          </cell>
          <cell r="AB5769" t="str">
            <v>2010 or before</v>
          </cell>
        </row>
        <row r="5770">
          <cell r="E5770">
            <v>106.97</v>
          </cell>
          <cell r="Z5770" t="str">
            <v>Legacy</v>
          </cell>
          <cell r="AA5770" t="str">
            <v>$1K or Below</v>
          </cell>
          <cell r="AB5770" t="str">
            <v>2010 or before</v>
          </cell>
        </row>
        <row r="5771">
          <cell r="E5771">
            <v>106.95</v>
          </cell>
          <cell r="Z5771" t="str">
            <v>Legacy</v>
          </cell>
          <cell r="AA5771" t="str">
            <v>$1K or Below</v>
          </cell>
          <cell r="AB5771">
            <v>2011</v>
          </cell>
        </row>
        <row r="5772">
          <cell r="E5772">
            <v>106.8</v>
          </cell>
          <cell r="Z5772" t="str">
            <v>Legacy</v>
          </cell>
          <cell r="AA5772" t="str">
            <v>$1K or Below</v>
          </cell>
          <cell r="AB5772" t="str">
            <v>2010 or before</v>
          </cell>
        </row>
        <row r="5773">
          <cell r="E5773">
            <v>106.79</v>
          </cell>
          <cell r="Z5773" t="str">
            <v>Legacy</v>
          </cell>
          <cell r="AA5773" t="str">
            <v>$1K or Below</v>
          </cell>
          <cell r="AB5773">
            <v>2011</v>
          </cell>
        </row>
        <row r="5774">
          <cell r="E5774">
            <v>106.77</v>
          </cell>
          <cell r="Z5774" t="str">
            <v>Legacy</v>
          </cell>
          <cell r="AA5774" t="str">
            <v>$1K or Below</v>
          </cell>
          <cell r="AB5774" t="str">
            <v>2010 or before</v>
          </cell>
        </row>
        <row r="5775">
          <cell r="E5775">
            <v>106.61</v>
          </cell>
          <cell r="Z5775" t="str">
            <v>Legacy</v>
          </cell>
          <cell r="AA5775" t="str">
            <v>$1K or Below</v>
          </cell>
          <cell r="AB5775" t="str">
            <v>2010 or before</v>
          </cell>
        </row>
        <row r="5776">
          <cell r="E5776">
            <v>106.49</v>
          </cell>
          <cell r="Z5776" t="str">
            <v>Legacy</v>
          </cell>
          <cell r="AA5776" t="str">
            <v>$1K or Below</v>
          </cell>
          <cell r="AB5776" t="str">
            <v>2010 or before</v>
          </cell>
        </row>
        <row r="5777">
          <cell r="E5777">
            <v>106.47</v>
          </cell>
          <cell r="Z5777" t="str">
            <v>Inbound</v>
          </cell>
          <cell r="AA5777" t="str">
            <v>$1K or Below</v>
          </cell>
          <cell r="AB5777">
            <v>2012</v>
          </cell>
        </row>
        <row r="5778">
          <cell r="E5778">
            <v>106.43</v>
          </cell>
          <cell r="Z5778" t="str">
            <v>Legacy</v>
          </cell>
          <cell r="AA5778" t="str">
            <v>$1K or Below</v>
          </cell>
          <cell r="AB5778">
            <v>2011</v>
          </cell>
        </row>
        <row r="5779">
          <cell r="E5779">
            <v>106.27</v>
          </cell>
          <cell r="Z5779" t="str">
            <v>Legacy</v>
          </cell>
          <cell r="AA5779" t="str">
            <v>$1K or Below</v>
          </cell>
          <cell r="AB5779" t="str">
            <v>2010 or before</v>
          </cell>
        </row>
        <row r="5780">
          <cell r="E5780">
            <v>105.98</v>
          </cell>
          <cell r="Z5780" t="str">
            <v>Legacy</v>
          </cell>
          <cell r="AA5780" t="str">
            <v>$1K or Below</v>
          </cell>
          <cell r="AB5780" t="str">
            <v>2010 or before</v>
          </cell>
        </row>
        <row r="5781">
          <cell r="E5781">
            <v>105.8</v>
          </cell>
          <cell r="Z5781" t="str">
            <v>Ungating</v>
          </cell>
          <cell r="AA5781" t="str">
            <v>$1K or Below</v>
          </cell>
          <cell r="AB5781">
            <v>2012</v>
          </cell>
        </row>
        <row r="5782">
          <cell r="E5782">
            <v>105.66</v>
          </cell>
          <cell r="Z5782" t="str">
            <v>Legacy</v>
          </cell>
          <cell r="AA5782" t="str">
            <v>$1K or Below</v>
          </cell>
          <cell r="AB5782" t="str">
            <v>2010 or before</v>
          </cell>
        </row>
        <row r="5783">
          <cell r="E5783">
            <v>105.65</v>
          </cell>
          <cell r="Z5783" t="str">
            <v>Legacy</v>
          </cell>
          <cell r="AA5783" t="str">
            <v>$1K or Below</v>
          </cell>
          <cell r="AB5783" t="str">
            <v>2010 or before</v>
          </cell>
        </row>
        <row r="5784">
          <cell r="E5784">
            <v>105.6</v>
          </cell>
          <cell r="Z5784" t="str">
            <v>Legacy</v>
          </cell>
          <cell r="AA5784" t="str">
            <v>$1K or Below</v>
          </cell>
          <cell r="AB5784" t="str">
            <v>2010 or before</v>
          </cell>
        </row>
        <row r="5785">
          <cell r="E5785">
            <v>105.49</v>
          </cell>
          <cell r="Z5785" t="str">
            <v>Legacy</v>
          </cell>
          <cell r="AA5785" t="str">
            <v>$1K or Below</v>
          </cell>
          <cell r="AB5785" t="str">
            <v>2010 or before</v>
          </cell>
        </row>
        <row r="5786">
          <cell r="E5786">
            <v>105.48</v>
          </cell>
          <cell r="Z5786" t="str">
            <v>Legacy</v>
          </cell>
          <cell r="AA5786" t="str">
            <v>$1K or Below</v>
          </cell>
          <cell r="AB5786" t="str">
            <v>2010 or before</v>
          </cell>
        </row>
        <row r="5787">
          <cell r="E5787">
            <v>105.47</v>
          </cell>
          <cell r="Z5787" t="str">
            <v>Legacy</v>
          </cell>
          <cell r="AA5787" t="str">
            <v>$1K or Below</v>
          </cell>
          <cell r="AB5787" t="str">
            <v>2010 or before</v>
          </cell>
        </row>
        <row r="5788">
          <cell r="E5788">
            <v>105.44</v>
          </cell>
          <cell r="Z5788" t="str">
            <v>Inbound</v>
          </cell>
          <cell r="AA5788" t="str">
            <v>$1K or Below</v>
          </cell>
          <cell r="AB5788">
            <v>2012</v>
          </cell>
        </row>
        <row r="5789">
          <cell r="E5789">
            <v>105.31</v>
          </cell>
          <cell r="Z5789" t="str">
            <v>Legacy</v>
          </cell>
          <cell r="AA5789" t="str">
            <v>$1K or Below</v>
          </cell>
          <cell r="AB5789" t="str">
            <v>2010 or before</v>
          </cell>
        </row>
        <row r="5790">
          <cell r="E5790">
            <v>105.29</v>
          </cell>
          <cell r="Z5790" t="str">
            <v>Inbound</v>
          </cell>
          <cell r="AA5790" t="str">
            <v>$1K or Below</v>
          </cell>
          <cell r="AB5790">
            <v>2012</v>
          </cell>
        </row>
        <row r="5791">
          <cell r="E5791">
            <v>104.88</v>
          </cell>
          <cell r="Z5791" t="str">
            <v>Legacy</v>
          </cell>
          <cell r="AA5791" t="str">
            <v>$1K or Below</v>
          </cell>
          <cell r="AB5791" t="str">
            <v>2010 or before</v>
          </cell>
        </row>
        <row r="5792">
          <cell r="E5792">
            <v>104.85</v>
          </cell>
          <cell r="Z5792" t="str">
            <v>Legacy</v>
          </cell>
          <cell r="AA5792" t="str">
            <v>$1K or Below</v>
          </cell>
          <cell r="AB5792" t="str">
            <v>2010 or before</v>
          </cell>
        </row>
        <row r="5793">
          <cell r="E5793">
            <v>104.85</v>
          </cell>
          <cell r="Z5793" t="str">
            <v>Legacy</v>
          </cell>
          <cell r="AA5793" t="str">
            <v>$1K or Below</v>
          </cell>
          <cell r="AB5793" t="str">
            <v>2010 or before</v>
          </cell>
        </row>
        <row r="5794">
          <cell r="E5794">
            <v>104.84</v>
          </cell>
          <cell r="Z5794" t="str">
            <v>Legacy</v>
          </cell>
          <cell r="AA5794" t="str">
            <v>$1K or Below</v>
          </cell>
          <cell r="AB5794" t="str">
            <v>2010 or before</v>
          </cell>
        </row>
        <row r="5795">
          <cell r="E5795">
            <v>104.81</v>
          </cell>
          <cell r="Z5795" t="str">
            <v>Legacy</v>
          </cell>
          <cell r="AA5795" t="str">
            <v>$1K or Below</v>
          </cell>
          <cell r="AB5795" t="str">
            <v>2010 or before</v>
          </cell>
        </row>
        <row r="5796">
          <cell r="E5796">
            <v>104.64</v>
          </cell>
          <cell r="Z5796" t="str">
            <v>Legacy</v>
          </cell>
          <cell r="AA5796" t="str">
            <v>$1K or Below</v>
          </cell>
          <cell r="AB5796" t="str">
            <v>2010 or before</v>
          </cell>
        </row>
        <row r="5797">
          <cell r="E5797">
            <v>104.49</v>
          </cell>
          <cell r="Z5797" t="str">
            <v>Legacy</v>
          </cell>
          <cell r="AA5797" t="str">
            <v>$1K or Below</v>
          </cell>
          <cell r="AB5797" t="str">
            <v>2010 or before</v>
          </cell>
        </row>
        <row r="5798">
          <cell r="E5798">
            <v>104.49</v>
          </cell>
          <cell r="Z5798" t="str">
            <v>Legacy</v>
          </cell>
          <cell r="AA5798" t="str">
            <v>$1K or Below</v>
          </cell>
          <cell r="AB5798" t="str">
            <v>2010 or before</v>
          </cell>
        </row>
        <row r="5799">
          <cell r="E5799">
            <v>104.44</v>
          </cell>
          <cell r="Z5799" t="str">
            <v>Ungating</v>
          </cell>
          <cell r="AA5799" t="str">
            <v>$1K or Below</v>
          </cell>
          <cell r="AB5799">
            <v>2012</v>
          </cell>
        </row>
        <row r="5800">
          <cell r="E5800">
            <v>104.42</v>
          </cell>
          <cell r="Z5800" t="str">
            <v>Legacy</v>
          </cell>
          <cell r="AA5800" t="str">
            <v>$1K or Below</v>
          </cell>
          <cell r="AB5800">
            <v>2011</v>
          </cell>
        </row>
        <row r="5801">
          <cell r="E5801">
            <v>104.27</v>
          </cell>
          <cell r="Z5801" t="str">
            <v>Legacy</v>
          </cell>
          <cell r="AA5801" t="str">
            <v>$1K or Below</v>
          </cell>
          <cell r="AB5801" t="str">
            <v>2010 or before</v>
          </cell>
        </row>
        <row r="5802">
          <cell r="E5802">
            <v>104.22</v>
          </cell>
          <cell r="Z5802" t="str">
            <v>Ungating</v>
          </cell>
          <cell r="AA5802" t="str">
            <v>$1K or Below</v>
          </cell>
          <cell r="AB5802">
            <v>2012</v>
          </cell>
        </row>
        <row r="5803">
          <cell r="E5803">
            <v>103.95</v>
          </cell>
          <cell r="Z5803" t="str">
            <v>Legacy</v>
          </cell>
          <cell r="AA5803" t="str">
            <v>$1K or Below</v>
          </cell>
          <cell r="AB5803">
            <v>2012</v>
          </cell>
        </row>
        <row r="5804">
          <cell r="E5804">
            <v>103.92</v>
          </cell>
          <cell r="Z5804" t="str">
            <v>Inbound</v>
          </cell>
          <cell r="AA5804" t="str">
            <v>$1K or Below</v>
          </cell>
          <cell r="AB5804">
            <v>2012</v>
          </cell>
        </row>
        <row r="5805">
          <cell r="E5805">
            <v>103.86</v>
          </cell>
          <cell r="Z5805" t="str">
            <v>Legacy</v>
          </cell>
          <cell r="AA5805" t="str">
            <v>$1K or Below</v>
          </cell>
          <cell r="AB5805">
            <v>2011</v>
          </cell>
        </row>
        <row r="5806">
          <cell r="E5806">
            <v>103.44</v>
          </cell>
          <cell r="Z5806" t="str">
            <v>Legacy</v>
          </cell>
          <cell r="AA5806" t="str">
            <v>$1K or Below</v>
          </cell>
          <cell r="AB5806" t="str">
            <v>2010 or before</v>
          </cell>
        </row>
        <row r="5807">
          <cell r="E5807">
            <v>103.41</v>
          </cell>
          <cell r="Z5807" t="str">
            <v>Legacy</v>
          </cell>
          <cell r="AA5807" t="str">
            <v>$1K or Below</v>
          </cell>
          <cell r="AB5807" t="str">
            <v>2010 or before</v>
          </cell>
        </row>
        <row r="5808">
          <cell r="E5808">
            <v>103.34</v>
          </cell>
          <cell r="Z5808" t="str">
            <v>Legacy</v>
          </cell>
          <cell r="AA5808" t="str">
            <v>$1K or Below</v>
          </cell>
          <cell r="AB5808" t="str">
            <v>2010 or before</v>
          </cell>
        </row>
        <row r="5809">
          <cell r="E5809">
            <v>103.25</v>
          </cell>
          <cell r="Z5809" t="str">
            <v>Legacy</v>
          </cell>
          <cell r="AA5809" t="str">
            <v>$1K or Below</v>
          </cell>
          <cell r="AB5809" t="str">
            <v>2010 or before</v>
          </cell>
        </row>
        <row r="5810">
          <cell r="E5810">
            <v>103.06</v>
          </cell>
          <cell r="Z5810" t="str">
            <v>Legacy</v>
          </cell>
          <cell r="AA5810" t="str">
            <v>$1K or Below</v>
          </cell>
          <cell r="AB5810" t="str">
            <v>2010 or before</v>
          </cell>
        </row>
        <row r="5811">
          <cell r="E5811">
            <v>103</v>
          </cell>
          <cell r="Z5811" t="str">
            <v>Legacy</v>
          </cell>
          <cell r="AA5811" t="str">
            <v>$1K or Below</v>
          </cell>
          <cell r="AB5811" t="str">
            <v>2010 or before</v>
          </cell>
        </row>
        <row r="5812">
          <cell r="E5812">
            <v>103</v>
          </cell>
          <cell r="Z5812" t="str">
            <v>Legacy</v>
          </cell>
          <cell r="AA5812" t="str">
            <v>$1K or Below</v>
          </cell>
          <cell r="AB5812" t="str">
            <v>2010 or before</v>
          </cell>
        </row>
        <row r="5813">
          <cell r="E5813">
            <v>102.94</v>
          </cell>
          <cell r="Z5813" t="str">
            <v>Legacy</v>
          </cell>
          <cell r="AA5813" t="str">
            <v>$1K or Below</v>
          </cell>
          <cell r="AB5813" t="str">
            <v>2010 or before</v>
          </cell>
        </row>
        <row r="5814">
          <cell r="E5814">
            <v>102.94</v>
          </cell>
          <cell r="Z5814" t="str">
            <v>Legacy</v>
          </cell>
          <cell r="AA5814" t="str">
            <v>$1K or Below</v>
          </cell>
          <cell r="AB5814" t="str">
            <v>2010 or before</v>
          </cell>
        </row>
        <row r="5815">
          <cell r="E5815">
            <v>102.8</v>
          </cell>
          <cell r="Z5815" t="str">
            <v>Legacy</v>
          </cell>
          <cell r="AA5815" t="str">
            <v>$1K or Below</v>
          </cell>
          <cell r="AB5815">
            <v>2012</v>
          </cell>
        </row>
        <row r="5816">
          <cell r="E5816">
            <v>102.53</v>
          </cell>
          <cell r="Z5816" t="str">
            <v>Legacy</v>
          </cell>
          <cell r="AA5816" t="str">
            <v>$1K or Below</v>
          </cell>
          <cell r="AB5816">
            <v>2011</v>
          </cell>
        </row>
        <row r="5817">
          <cell r="E5817">
            <v>102.45</v>
          </cell>
          <cell r="Z5817" t="str">
            <v>Inbound</v>
          </cell>
          <cell r="AA5817" t="str">
            <v>$1K or Below</v>
          </cell>
          <cell r="AB5817">
            <v>2013</v>
          </cell>
        </row>
        <row r="5818">
          <cell r="E5818">
            <v>102</v>
          </cell>
          <cell r="Z5818" t="str">
            <v>Legacy</v>
          </cell>
          <cell r="AA5818" t="str">
            <v>$1K or Below</v>
          </cell>
          <cell r="AB5818" t="str">
            <v>2010 or before</v>
          </cell>
        </row>
        <row r="5819">
          <cell r="E5819">
            <v>102</v>
          </cell>
          <cell r="Z5819" t="str">
            <v>Legacy</v>
          </cell>
          <cell r="AA5819" t="str">
            <v>$1K or Below</v>
          </cell>
          <cell r="AB5819" t="str">
            <v>2010 or before</v>
          </cell>
        </row>
        <row r="5820">
          <cell r="E5820">
            <v>101.96</v>
          </cell>
          <cell r="Z5820" t="str">
            <v>Legacy</v>
          </cell>
          <cell r="AA5820" t="str">
            <v>$1K or Below</v>
          </cell>
          <cell r="AB5820" t="str">
            <v>2010 or before</v>
          </cell>
        </row>
        <row r="5821">
          <cell r="E5821">
            <v>101.86</v>
          </cell>
          <cell r="Z5821" t="str">
            <v>Legacy</v>
          </cell>
          <cell r="AA5821" t="str">
            <v>$1K or Below</v>
          </cell>
          <cell r="AB5821" t="str">
            <v>2010 or before</v>
          </cell>
        </row>
        <row r="5822">
          <cell r="E5822">
            <v>101.84</v>
          </cell>
          <cell r="Z5822" t="str">
            <v>Legacy</v>
          </cell>
          <cell r="AA5822" t="str">
            <v>$1K or Below</v>
          </cell>
          <cell r="AB5822" t="str">
            <v>2010 or before</v>
          </cell>
        </row>
        <row r="5823">
          <cell r="E5823">
            <v>101.82</v>
          </cell>
          <cell r="Z5823" t="str">
            <v>Legacy</v>
          </cell>
          <cell r="AA5823" t="str">
            <v>$1K or Below</v>
          </cell>
          <cell r="AB5823" t="str">
            <v>2010 or before</v>
          </cell>
        </row>
        <row r="5824">
          <cell r="E5824">
            <v>101.75</v>
          </cell>
          <cell r="Z5824" t="str">
            <v>Outbound</v>
          </cell>
          <cell r="AA5824" t="str">
            <v>$1K or Below</v>
          </cell>
          <cell r="AB5824">
            <v>2012</v>
          </cell>
        </row>
        <row r="5825">
          <cell r="E5825">
            <v>101.71</v>
          </cell>
          <cell r="Z5825" t="str">
            <v>Legacy</v>
          </cell>
          <cell r="AA5825" t="str">
            <v>$1K or Below</v>
          </cell>
          <cell r="AB5825" t="str">
            <v>2010 or before</v>
          </cell>
        </row>
        <row r="5826">
          <cell r="E5826">
            <v>101.5</v>
          </cell>
          <cell r="Z5826" t="str">
            <v>Legacy</v>
          </cell>
          <cell r="AA5826" t="str">
            <v>$1K or Below</v>
          </cell>
          <cell r="AB5826" t="str">
            <v>2010 or before</v>
          </cell>
        </row>
        <row r="5827">
          <cell r="E5827">
            <v>101.48</v>
          </cell>
          <cell r="Z5827" t="str">
            <v>Legacy</v>
          </cell>
          <cell r="AA5827" t="str">
            <v>$1K or Below</v>
          </cell>
          <cell r="AB5827" t="str">
            <v>2010 or before</v>
          </cell>
        </row>
        <row r="5828">
          <cell r="E5828">
            <v>101.43</v>
          </cell>
          <cell r="Z5828" t="str">
            <v>Ungating</v>
          </cell>
          <cell r="AA5828" t="str">
            <v>$1K or Below</v>
          </cell>
          <cell r="AB5828">
            <v>2012</v>
          </cell>
        </row>
        <row r="5829">
          <cell r="E5829">
            <v>101.36</v>
          </cell>
          <cell r="Z5829" t="str">
            <v>Legacy</v>
          </cell>
          <cell r="AA5829" t="str">
            <v>$1K or Below</v>
          </cell>
          <cell r="AB5829" t="str">
            <v>2010 or before</v>
          </cell>
        </row>
        <row r="5830">
          <cell r="E5830">
            <v>100.5</v>
          </cell>
          <cell r="Z5830" t="str">
            <v>Legacy</v>
          </cell>
          <cell r="AA5830" t="str">
            <v>$1K or Below</v>
          </cell>
          <cell r="AB5830" t="str">
            <v>2010 or before</v>
          </cell>
        </row>
        <row r="5831">
          <cell r="E5831">
            <v>100.49</v>
          </cell>
          <cell r="Z5831" t="str">
            <v>Legacy</v>
          </cell>
          <cell r="AA5831" t="str">
            <v>$1K or Below</v>
          </cell>
          <cell r="AB5831" t="str">
            <v>2010 or before</v>
          </cell>
        </row>
        <row r="5832">
          <cell r="E5832">
            <v>100.45</v>
          </cell>
          <cell r="Z5832" t="str">
            <v>Legacy</v>
          </cell>
          <cell r="AA5832" t="str">
            <v>$1K or Below</v>
          </cell>
          <cell r="AB5832" t="str">
            <v>2010 or before</v>
          </cell>
        </row>
        <row r="5833">
          <cell r="E5833">
            <v>100.28</v>
          </cell>
          <cell r="Z5833" t="str">
            <v>Legacy</v>
          </cell>
          <cell r="AA5833" t="str">
            <v>$1K or Below</v>
          </cell>
          <cell r="AB5833" t="str">
            <v>2010 or before</v>
          </cell>
        </row>
        <row r="5834">
          <cell r="E5834">
            <v>100</v>
          </cell>
          <cell r="Z5834" t="str">
            <v>Ungating</v>
          </cell>
          <cell r="AA5834" t="str">
            <v>$1K or Below</v>
          </cell>
          <cell r="AB5834">
            <v>2012</v>
          </cell>
        </row>
        <row r="5835">
          <cell r="E5835">
            <v>99.98</v>
          </cell>
          <cell r="Z5835" t="str">
            <v>Legacy</v>
          </cell>
          <cell r="AA5835" t="str">
            <v>$1K or Below</v>
          </cell>
          <cell r="AB5835" t="str">
            <v>2010 or before</v>
          </cell>
        </row>
        <row r="5836">
          <cell r="E5836">
            <v>99.96</v>
          </cell>
          <cell r="Z5836" t="str">
            <v>Legacy</v>
          </cell>
          <cell r="AA5836" t="str">
            <v>$1K or Below</v>
          </cell>
          <cell r="AB5836" t="str">
            <v>2010 or before</v>
          </cell>
        </row>
        <row r="5837">
          <cell r="E5837">
            <v>99.95</v>
          </cell>
          <cell r="Z5837" t="str">
            <v>Legacy</v>
          </cell>
          <cell r="AA5837" t="str">
            <v>$1K or Below</v>
          </cell>
          <cell r="AB5837" t="str">
            <v>2010 or before</v>
          </cell>
        </row>
        <row r="5838">
          <cell r="E5838">
            <v>99.92</v>
          </cell>
          <cell r="Z5838" t="str">
            <v>Legacy</v>
          </cell>
          <cell r="AA5838" t="str">
            <v>$1K or Below</v>
          </cell>
          <cell r="AB5838" t="str">
            <v>2010 or before</v>
          </cell>
        </row>
        <row r="5839">
          <cell r="E5839">
            <v>99.9</v>
          </cell>
          <cell r="Z5839" t="str">
            <v>Legacy</v>
          </cell>
          <cell r="AA5839" t="str">
            <v>$1K or Below</v>
          </cell>
          <cell r="AB5839" t="str">
            <v>2010 or before</v>
          </cell>
        </row>
        <row r="5840">
          <cell r="E5840">
            <v>99.9</v>
          </cell>
          <cell r="Z5840" t="str">
            <v>Legacy</v>
          </cell>
          <cell r="AA5840" t="str">
            <v>$1K or Below</v>
          </cell>
          <cell r="AB5840" t="str">
            <v>2010 or before</v>
          </cell>
        </row>
        <row r="5841">
          <cell r="E5841">
            <v>99.78</v>
          </cell>
          <cell r="Z5841" t="str">
            <v>Legacy</v>
          </cell>
          <cell r="AA5841" t="str">
            <v>$1K or Below</v>
          </cell>
          <cell r="AB5841">
            <v>2011</v>
          </cell>
        </row>
        <row r="5842">
          <cell r="E5842">
            <v>99.76</v>
          </cell>
          <cell r="Z5842" t="str">
            <v>Legacy</v>
          </cell>
          <cell r="AA5842" t="str">
            <v>$1K or Below</v>
          </cell>
          <cell r="AB5842" t="str">
            <v>2010 or before</v>
          </cell>
        </row>
        <row r="5843">
          <cell r="E5843">
            <v>99.61</v>
          </cell>
          <cell r="Z5843" t="str">
            <v>Legacy</v>
          </cell>
          <cell r="AA5843" t="str">
            <v>$1K or Below</v>
          </cell>
          <cell r="AB5843" t="str">
            <v>2010 or before</v>
          </cell>
        </row>
        <row r="5844">
          <cell r="E5844">
            <v>99.55</v>
          </cell>
          <cell r="Z5844" t="str">
            <v>Legacy</v>
          </cell>
          <cell r="AA5844" t="str">
            <v>$1K or Below</v>
          </cell>
          <cell r="AB5844" t="str">
            <v>2010 or before</v>
          </cell>
        </row>
        <row r="5845">
          <cell r="E5845">
            <v>99.49</v>
          </cell>
          <cell r="Z5845" t="str">
            <v>Legacy</v>
          </cell>
          <cell r="AA5845" t="str">
            <v>$1K or Below</v>
          </cell>
          <cell r="AB5845" t="str">
            <v>2010 or before</v>
          </cell>
        </row>
        <row r="5846">
          <cell r="E5846">
            <v>99.49</v>
          </cell>
          <cell r="Z5846" t="str">
            <v>Legacy</v>
          </cell>
          <cell r="AA5846" t="str">
            <v>$1K or Below</v>
          </cell>
          <cell r="AB5846" t="str">
            <v>2010 or before</v>
          </cell>
        </row>
        <row r="5847">
          <cell r="E5847">
            <v>99.47</v>
          </cell>
          <cell r="Z5847" t="str">
            <v>Legacy</v>
          </cell>
          <cell r="AA5847" t="str">
            <v>$1K or Below</v>
          </cell>
          <cell r="AB5847" t="str">
            <v>2010 or before</v>
          </cell>
        </row>
        <row r="5848">
          <cell r="E5848">
            <v>98.99</v>
          </cell>
          <cell r="Z5848" t="str">
            <v>Legacy</v>
          </cell>
          <cell r="AA5848" t="str">
            <v>$1K or Below</v>
          </cell>
          <cell r="AB5848" t="str">
            <v>2010 or before</v>
          </cell>
        </row>
        <row r="5849">
          <cell r="E5849">
            <v>98.98</v>
          </cell>
          <cell r="Z5849" t="str">
            <v>Legacy</v>
          </cell>
          <cell r="AA5849" t="str">
            <v>$1K or Below</v>
          </cell>
          <cell r="AB5849" t="str">
            <v>2010 or before</v>
          </cell>
        </row>
        <row r="5850">
          <cell r="E5850">
            <v>98.98</v>
          </cell>
          <cell r="Z5850" t="str">
            <v>Legacy</v>
          </cell>
          <cell r="AA5850" t="str">
            <v>$1K or Below</v>
          </cell>
          <cell r="AB5850" t="str">
            <v>2010 or before</v>
          </cell>
        </row>
        <row r="5851">
          <cell r="E5851">
            <v>98.97</v>
          </cell>
          <cell r="Z5851" t="str">
            <v>Ungating</v>
          </cell>
          <cell r="AA5851" t="str">
            <v>$1K or Below</v>
          </cell>
          <cell r="AB5851">
            <v>2011</v>
          </cell>
        </row>
        <row r="5852">
          <cell r="E5852">
            <v>98.96</v>
          </cell>
          <cell r="Z5852" t="str">
            <v>Legacy</v>
          </cell>
          <cell r="AA5852" t="str">
            <v>$1K or Below</v>
          </cell>
          <cell r="AB5852" t="str">
            <v>2010 or before</v>
          </cell>
        </row>
        <row r="5853">
          <cell r="E5853">
            <v>98.78</v>
          </cell>
          <cell r="Z5853" t="str">
            <v>Legacy</v>
          </cell>
          <cell r="AA5853" t="str">
            <v>$1K or Below</v>
          </cell>
          <cell r="AB5853" t="str">
            <v>2010 or before</v>
          </cell>
        </row>
        <row r="5854">
          <cell r="E5854">
            <v>98.62</v>
          </cell>
          <cell r="Z5854" t="str">
            <v>Legacy</v>
          </cell>
          <cell r="AA5854" t="str">
            <v>$1K or Below</v>
          </cell>
          <cell r="AB5854" t="str">
            <v>2010 or before</v>
          </cell>
        </row>
        <row r="5855">
          <cell r="E5855">
            <v>98.59</v>
          </cell>
          <cell r="Z5855" t="str">
            <v>Legacy</v>
          </cell>
          <cell r="AA5855" t="str">
            <v>$1K or Below</v>
          </cell>
          <cell r="AB5855">
            <v>2012</v>
          </cell>
        </row>
        <row r="5856">
          <cell r="E5856">
            <v>98.49</v>
          </cell>
          <cell r="Z5856" t="str">
            <v>Legacy</v>
          </cell>
          <cell r="AA5856" t="str">
            <v>$1K or Below</v>
          </cell>
          <cell r="AB5856" t="str">
            <v>2010 or before</v>
          </cell>
        </row>
        <row r="5857">
          <cell r="E5857">
            <v>98.45</v>
          </cell>
          <cell r="Z5857" t="str">
            <v>Legacy</v>
          </cell>
          <cell r="AA5857" t="str">
            <v>$1K or Below</v>
          </cell>
          <cell r="AB5857" t="str">
            <v>2010 or before</v>
          </cell>
        </row>
        <row r="5858">
          <cell r="E5858">
            <v>98.42</v>
          </cell>
          <cell r="Z5858" t="str">
            <v>Legacy</v>
          </cell>
          <cell r="AA5858" t="str">
            <v>$1K or Below</v>
          </cell>
          <cell r="AB5858" t="str">
            <v>2010 or before</v>
          </cell>
        </row>
        <row r="5859">
          <cell r="E5859">
            <v>98.34</v>
          </cell>
          <cell r="Z5859" t="str">
            <v>Legacy</v>
          </cell>
          <cell r="AA5859" t="str">
            <v>$1K or Below</v>
          </cell>
          <cell r="AB5859" t="str">
            <v>2010 or before</v>
          </cell>
        </row>
        <row r="5860">
          <cell r="E5860">
            <v>98.33</v>
          </cell>
          <cell r="Z5860" t="str">
            <v>Legacy</v>
          </cell>
          <cell r="AA5860" t="str">
            <v>$1K or Below</v>
          </cell>
          <cell r="AB5860" t="str">
            <v>2010 or before</v>
          </cell>
        </row>
        <row r="5861">
          <cell r="E5861">
            <v>98.1</v>
          </cell>
          <cell r="Z5861" t="str">
            <v>Legacy</v>
          </cell>
          <cell r="AA5861" t="str">
            <v>$1K or Below</v>
          </cell>
          <cell r="AB5861" t="str">
            <v>2010 or before</v>
          </cell>
        </row>
        <row r="5862">
          <cell r="E5862">
            <v>98.04</v>
          </cell>
          <cell r="Z5862" t="str">
            <v>Legacy</v>
          </cell>
          <cell r="AA5862" t="str">
            <v>$1K or Below</v>
          </cell>
          <cell r="AB5862" t="str">
            <v>2010 or before</v>
          </cell>
        </row>
        <row r="5863">
          <cell r="E5863">
            <v>98</v>
          </cell>
          <cell r="Z5863" t="str">
            <v>Legacy</v>
          </cell>
          <cell r="AA5863" t="str">
            <v>$1K or Below</v>
          </cell>
          <cell r="AB5863" t="str">
            <v>2010 or before</v>
          </cell>
        </row>
        <row r="5864">
          <cell r="E5864">
            <v>97.97</v>
          </cell>
          <cell r="Z5864" t="str">
            <v>Legacy</v>
          </cell>
          <cell r="AA5864" t="str">
            <v>$1K or Below</v>
          </cell>
          <cell r="AB5864" t="str">
            <v>2010 or before</v>
          </cell>
        </row>
        <row r="5865">
          <cell r="E5865">
            <v>97.95</v>
          </cell>
          <cell r="Z5865" t="str">
            <v>Legacy</v>
          </cell>
          <cell r="AA5865" t="str">
            <v>$1K or Below</v>
          </cell>
          <cell r="AB5865" t="str">
            <v>2010 or before</v>
          </cell>
        </row>
        <row r="5866">
          <cell r="E5866">
            <v>97.79</v>
          </cell>
          <cell r="Z5866" t="str">
            <v>Legacy</v>
          </cell>
          <cell r="AA5866" t="str">
            <v>$1K or Below</v>
          </cell>
          <cell r="AB5866" t="str">
            <v>2010 or before</v>
          </cell>
        </row>
        <row r="5867">
          <cell r="E5867">
            <v>97.73</v>
          </cell>
          <cell r="Z5867" t="str">
            <v>Legacy</v>
          </cell>
          <cell r="AA5867" t="str">
            <v>$1K or Below</v>
          </cell>
          <cell r="AB5867" t="str">
            <v>2010 or before</v>
          </cell>
        </row>
        <row r="5868">
          <cell r="E5868">
            <v>97.73</v>
          </cell>
          <cell r="Z5868" t="str">
            <v>Legacy</v>
          </cell>
          <cell r="AA5868" t="str">
            <v>$1K or Below</v>
          </cell>
          <cell r="AB5868">
            <v>2011</v>
          </cell>
        </row>
        <row r="5869">
          <cell r="E5869">
            <v>97.49</v>
          </cell>
          <cell r="Z5869" t="str">
            <v>Legacy</v>
          </cell>
          <cell r="AA5869" t="str">
            <v>$1K or Below</v>
          </cell>
          <cell r="AB5869" t="str">
            <v>2010 or before</v>
          </cell>
        </row>
        <row r="5870">
          <cell r="E5870">
            <v>97.47</v>
          </cell>
          <cell r="Z5870" t="str">
            <v>Legacy</v>
          </cell>
          <cell r="AA5870" t="str">
            <v>$1K or Below</v>
          </cell>
          <cell r="AB5870" t="str">
            <v>2010 or before</v>
          </cell>
        </row>
        <row r="5871">
          <cell r="E5871">
            <v>97.45</v>
          </cell>
          <cell r="Z5871" t="str">
            <v>Legacy</v>
          </cell>
          <cell r="AA5871" t="str">
            <v>$1K or Below</v>
          </cell>
          <cell r="AB5871" t="str">
            <v>2010 or before</v>
          </cell>
        </row>
        <row r="5872">
          <cell r="E5872">
            <v>97.42</v>
          </cell>
          <cell r="Z5872" t="str">
            <v>Legacy</v>
          </cell>
          <cell r="AA5872" t="str">
            <v>$1K or Below</v>
          </cell>
          <cell r="AB5872" t="str">
            <v>2010 or before</v>
          </cell>
        </row>
        <row r="5873">
          <cell r="E5873">
            <v>97.26</v>
          </cell>
          <cell r="Z5873" t="str">
            <v>Legacy</v>
          </cell>
          <cell r="AA5873" t="str">
            <v>$1K or Below</v>
          </cell>
          <cell r="AB5873" t="str">
            <v>2010 or before</v>
          </cell>
        </row>
        <row r="5874">
          <cell r="E5874">
            <v>96.97</v>
          </cell>
          <cell r="Z5874" t="str">
            <v>Legacy</v>
          </cell>
          <cell r="AA5874" t="str">
            <v>$1K or Below</v>
          </cell>
          <cell r="AB5874" t="str">
            <v>2010 or before</v>
          </cell>
        </row>
        <row r="5875">
          <cell r="E5875">
            <v>96.94</v>
          </cell>
          <cell r="Z5875" t="str">
            <v>Legacy</v>
          </cell>
          <cell r="AA5875" t="str">
            <v>$1K or Below</v>
          </cell>
          <cell r="AB5875" t="str">
            <v>2010 or before</v>
          </cell>
        </row>
        <row r="5876">
          <cell r="E5876">
            <v>96.88</v>
          </cell>
          <cell r="Z5876" t="str">
            <v>Legacy</v>
          </cell>
          <cell r="AA5876" t="str">
            <v>$1K or Below</v>
          </cell>
          <cell r="AB5876" t="str">
            <v>2010 or before</v>
          </cell>
        </row>
        <row r="5877">
          <cell r="E5877">
            <v>96.85</v>
          </cell>
          <cell r="Z5877" t="str">
            <v>Legacy</v>
          </cell>
          <cell r="AA5877" t="str">
            <v>$1K or Below</v>
          </cell>
          <cell r="AB5877" t="str">
            <v>2010 or before</v>
          </cell>
        </row>
        <row r="5878">
          <cell r="E5878">
            <v>96.81</v>
          </cell>
          <cell r="Z5878" t="str">
            <v>Legacy</v>
          </cell>
          <cell r="AA5878" t="str">
            <v>$1K or Below</v>
          </cell>
          <cell r="AB5878" t="str">
            <v>2010 or before</v>
          </cell>
        </row>
        <row r="5879">
          <cell r="E5879">
            <v>96.6</v>
          </cell>
          <cell r="Z5879" t="str">
            <v>Legacy</v>
          </cell>
          <cell r="AA5879" t="str">
            <v>$1K or Below</v>
          </cell>
          <cell r="AB5879" t="str">
            <v>2010 or before</v>
          </cell>
        </row>
        <row r="5880">
          <cell r="E5880">
            <v>96.28</v>
          </cell>
          <cell r="Z5880" t="str">
            <v>Legacy</v>
          </cell>
          <cell r="AA5880" t="str">
            <v>$1K or Below</v>
          </cell>
          <cell r="AB5880" t="str">
            <v>2010 or before</v>
          </cell>
        </row>
        <row r="5881">
          <cell r="E5881">
            <v>96.25</v>
          </cell>
          <cell r="Z5881" t="str">
            <v>Legacy</v>
          </cell>
          <cell r="AA5881" t="str">
            <v>$1K or Below</v>
          </cell>
          <cell r="AB5881" t="str">
            <v>2010 or before</v>
          </cell>
        </row>
        <row r="5882">
          <cell r="E5882">
            <v>96.17</v>
          </cell>
          <cell r="Z5882" t="str">
            <v>Legacy</v>
          </cell>
          <cell r="AA5882" t="str">
            <v>$1K or Below</v>
          </cell>
          <cell r="AB5882" t="str">
            <v>2010 or before</v>
          </cell>
        </row>
        <row r="5883">
          <cell r="E5883">
            <v>96</v>
          </cell>
          <cell r="Z5883" t="str">
            <v>Legacy</v>
          </cell>
          <cell r="AA5883" t="str">
            <v>$1K or Below</v>
          </cell>
          <cell r="AB5883" t="str">
            <v>2010 or before</v>
          </cell>
        </row>
        <row r="5884">
          <cell r="E5884">
            <v>95.88</v>
          </cell>
          <cell r="Z5884" t="str">
            <v>Legacy</v>
          </cell>
          <cell r="AA5884" t="str">
            <v>$1K or Below</v>
          </cell>
          <cell r="AB5884" t="str">
            <v>2010 or before</v>
          </cell>
        </row>
        <row r="5885">
          <cell r="E5885">
            <v>95.88</v>
          </cell>
          <cell r="Z5885" t="str">
            <v>Legacy</v>
          </cell>
          <cell r="AA5885" t="str">
            <v>$1K or Below</v>
          </cell>
          <cell r="AB5885" t="str">
            <v>2010 or before</v>
          </cell>
        </row>
        <row r="5886">
          <cell r="E5886">
            <v>95.85</v>
          </cell>
          <cell r="Z5886" t="str">
            <v>Legacy</v>
          </cell>
          <cell r="AA5886" t="str">
            <v>$1K or Below</v>
          </cell>
          <cell r="AB5886" t="str">
            <v>2010 or before</v>
          </cell>
        </row>
        <row r="5887">
          <cell r="E5887">
            <v>95.8</v>
          </cell>
          <cell r="Z5887" t="str">
            <v>Legacy</v>
          </cell>
          <cell r="AA5887" t="str">
            <v>$1K or Below</v>
          </cell>
          <cell r="AB5887" t="str">
            <v>2010 or before</v>
          </cell>
        </row>
        <row r="5888">
          <cell r="E5888">
            <v>95.55</v>
          </cell>
          <cell r="Z5888" t="str">
            <v>Legacy</v>
          </cell>
          <cell r="AA5888" t="str">
            <v>$1K or Below</v>
          </cell>
          <cell r="AB5888" t="str">
            <v>2010 or before</v>
          </cell>
        </row>
        <row r="5889">
          <cell r="E5889">
            <v>95.52</v>
          </cell>
          <cell r="Z5889" t="str">
            <v>Legacy</v>
          </cell>
          <cell r="AA5889" t="str">
            <v>$1K or Below</v>
          </cell>
          <cell r="AB5889" t="str">
            <v>2010 or before</v>
          </cell>
        </row>
        <row r="5890">
          <cell r="E5890">
            <v>95.37</v>
          </cell>
          <cell r="Z5890" t="str">
            <v>Inbound</v>
          </cell>
          <cell r="AA5890" t="str">
            <v>$1K or Below</v>
          </cell>
          <cell r="AB5890">
            <v>2011</v>
          </cell>
        </row>
        <row r="5891">
          <cell r="E5891">
            <v>95.35</v>
          </cell>
          <cell r="Z5891" t="str">
            <v>Legacy</v>
          </cell>
          <cell r="AA5891" t="str">
            <v>$1K or Below</v>
          </cell>
          <cell r="AB5891" t="str">
            <v>2010 or before</v>
          </cell>
        </row>
        <row r="5892">
          <cell r="E5892">
            <v>95.09</v>
          </cell>
          <cell r="Z5892" t="str">
            <v>Legacy</v>
          </cell>
          <cell r="AA5892" t="str">
            <v>$1K or Below</v>
          </cell>
          <cell r="AB5892" t="str">
            <v>2010 or before</v>
          </cell>
        </row>
        <row r="5893">
          <cell r="E5893">
            <v>95.07</v>
          </cell>
          <cell r="Z5893" t="str">
            <v>Legacy</v>
          </cell>
          <cell r="AA5893" t="str">
            <v>$1K or Below</v>
          </cell>
          <cell r="AB5893" t="str">
            <v>2010 or before</v>
          </cell>
        </row>
        <row r="5894">
          <cell r="E5894">
            <v>95</v>
          </cell>
          <cell r="Z5894" t="str">
            <v>Legacy</v>
          </cell>
          <cell r="AA5894" t="str">
            <v>$1K or Below</v>
          </cell>
          <cell r="AB5894" t="str">
            <v>2010 or before</v>
          </cell>
        </row>
        <row r="5895">
          <cell r="E5895">
            <v>95</v>
          </cell>
          <cell r="Z5895" t="str">
            <v>Legacy</v>
          </cell>
          <cell r="AA5895" t="str">
            <v>$1K or Below</v>
          </cell>
          <cell r="AB5895" t="str">
            <v>2010 or before</v>
          </cell>
        </row>
        <row r="5896">
          <cell r="E5896">
            <v>94.99</v>
          </cell>
          <cell r="Z5896" t="str">
            <v>Legacy</v>
          </cell>
          <cell r="AA5896" t="str">
            <v>$1K or Below</v>
          </cell>
          <cell r="AB5896" t="str">
            <v>2010 or before</v>
          </cell>
        </row>
        <row r="5897">
          <cell r="E5897">
            <v>94.96</v>
          </cell>
          <cell r="Z5897" t="str">
            <v>Legacy</v>
          </cell>
          <cell r="AA5897" t="str">
            <v>$1K or Below</v>
          </cell>
          <cell r="AB5897">
            <v>2012</v>
          </cell>
        </row>
        <row r="5898">
          <cell r="E5898">
            <v>94.96</v>
          </cell>
          <cell r="Z5898" t="str">
            <v>Legacy</v>
          </cell>
          <cell r="AA5898" t="str">
            <v>$1K or Below</v>
          </cell>
          <cell r="AB5898" t="str">
            <v>2010 or before</v>
          </cell>
        </row>
        <row r="5899">
          <cell r="E5899">
            <v>94.88</v>
          </cell>
          <cell r="Z5899" t="str">
            <v>Legacy</v>
          </cell>
          <cell r="AA5899" t="str">
            <v>$1K or Below</v>
          </cell>
          <cell r="AB5899" t="str">
            <v>2010 or before</v>
          </cell>
        </row>
        <row r="5900">
          <cell r="E5900">
            <v>94.83</v>
          </cell>
          <cell r="Z5900" t="str">
            <v>Legacy</v>
          </cell>
          <cell r="AA5900" t="str">
            <v>$1K or Below</v>
          </cell>
          <cell r="AB5900" t="str">
            <v>2010 or before</v>
          </cell>
        </row>
        <row r="5901">
          <cell r="E5901">
            <v>94.46</v>
          </cell>
          <cell r="Z5901" t="str">
            <v>Legacy</v>
          </cell>
          <cell r="AA5901" t="str">
            <v>$1K or Below</v>
          </cell>
          <cell r="AB5901">
            <v>2011</v>
          </cell>
        </row>
        <row r="5902">
          <cell r="E5902">
            <v>94.33</v>
          </cell>
          <cell r="Z5902" t="str">
            <v>Legacy</v>
          </cell>
          <cell r="AA5902" t="str">
            <v>$1K or Below</v>
          </cell>
          <cell r="AB5902" t="str">
            <v>2010 or before</v>
          </cell>
        </row>
        <row r="5903">
          <cell r="E5903">
            <v>94.12</v>
          </cell>
          <cell r="Z5903" t="str">
            <v>Legacy</v>
          </cell>
          <cell r="AA5903" t="str">
            <v>$1K or Below</v>
          </cell>
          <cell r="AB5903" t="str">
            <v>2010 or before</v>
          </cell>
        </row>
        <row r="5904">
          <cell r="E5904">
            <v>93.98</v>
          </cell>
          <cell r="Z5904" t="str">
            <v>Legacy</v>
          </cell>
          <cell r="AA5904" t="str">
            <v>$1K or Below</v>
          </cell>
          <cell r="AB5904" t="str">
            <v>2010 or before</v>
          </cell>
        </row>
        <row r="5905">
          <cell r="E5905">
            <v>93.92</v>
          </cell>
          <cell r="Z5905" t="str">
            <v>Legacy</v>
          </cell>
          <cell r="AA5905" t="str">
            <v>$1K or Below</v>
          </cell>
          <cell r="AB5905" t="str">
            <v>2010 or before</v>
          </cell>
        </row>
        <row r="5906">
          <cell r="E5906">
            <v>93.87</v>
          </cell>
          <cell r="Z5906" t="str">
            <v>Legacy</v>
          </cell>
          <cell r="AA5906" t="str">
            <v>$1K or Below</v>
          </cell>
          <cell r="AB5906" t="str">
            <v>2010 or before</v>
          </cell>
        </row>
        <row r="5907">
          <cell r="E5907">
            <v>93.47</v>
          </cell>
          <cell r="Z5907" t="str">
            <v>Legacy</v>
          </cell>
          <cell r="AA5907" t="str">
            <v>$1K or Below</v>
          </cell>
          <cell r="AB5907">
            <v>2012</v>
          </cell>
        </row>
        <row r="5908">
          <cell r="E5908">
            <v>93.43</v>
          </cell>
          <cell r="Z5908" t="str">
            <v>Legacy</v>
          </cell>
          <cell r="AA5908" t="str">
            <v>$1K or Below</v>
          </cell>
          <cell r="AB5908" t="str">
            <v>2010 or before</v>
          </cell>
        </row>
        <row r="5909">
          <cell r="E5909">
            <v>93.33</v>
          </cell>
          <cell r="Z5909" t="str">
            <v>Legacy</v>
          </cell>
          <cell r="AA5909" t="str">
            <v>$1K or Below</v>
          </cell>
          <cell r="AB5909">
            <v>2012</v>
          </cell>
        </row>
        <row r="5910">
          <cell r="E5910">
            <v>93.26</v>
          </cell>
          <cell r="Z5910" t="str">
            <v>Legacy</v>
          </cell>
          <cell r="AA5910" t="str">
            <v>$1K or Below</v>
          </cell>
          <cell r="AB5910" t="str">
            <v>2010 or before</v>
          </cell>
        </row>
        <row r="5911">
          <cell r="E5911">
            <v>93.22</v>
          </cell>
          <cell r="Z5911" t="str">
            <v>Legacy</v>
          </cell>
          <cell r="AA5911" t="str">
            <v>$1K or Below</v>
          </cell>
          <cell r="AB5911">
            <v>2011</v>
          </cell>
        </row>
        <row r="5912">
          <cell r="E5912">
            <v>93</v>
          </cell>
          <cell r="Z5912" t="str">
            <v>Legacy</v>
          </cell>
          <cell r="AA5912" t="str">
            <v>$1K or Below</v>
          </cell>
          <cell r="AB5912" t="str">
            <v>2010 or before</v>
          </cell>
        </row>
        <row r="5913">
          <cell r="E5913">
            <v>92.99</v>
          </cell>
          <cell r="Z5913" t="str">
            <v>Legacy</v>
          </cell>
          <cell r="AA5913" t="str">
            <v>$1K or Below</v>
          </cell>
          <cell r="AB5913" t="str">
            <v>2010 or before</v>
          </cell>
        </row>
        <row r="5914">
          <cell r="E5914">
            <v>92.94</v>
          </cell>
          <cell r="Z5914" t="str">
            <v>Legacy</v>
          </cell>
          <cell r="AA5914" t="str">
            <v>$1K or Below</v>
          </cell>
          <cell r="AB5914" t="str">
            <v>2010 or before</v>
          </cell>
        </row>
        <row r="5915">
          <cell r="E5915">
            <v>92.9</v>
          </cell>
          <cell r="Z5915" t="str">
            <v>Legacy</v>
          </cell>
          <cell r="AA5915" t="str">
            <v>$1K or Below</v>
          </cell>
          <cell r="AB5915" t="str">
            <v>2010 or before</v>
          </cell>
        </row>
        <row r="5916">
          <cell r="E5916">
            <v>92.86</v>
          </cell>
          <cell r="Z5916" t="str">
            <v>Legacy</v>
          </cell>
          <cell r="AA5916" t="str">
            <v>$1K or Below</v>
          </cell>
          <cell r="AB5916">
            <v>2011</v>
          </cell>
        </row>
        <row r="5917">
          <cell r="E5917">
            <v>92.8</v>
          </cell>
          <cell r="Z5917" t="str">
            <v>Legacy</v>
          </cell>
          <cell r="AA5917" t="str">
            <v>$1K or Below</v>
          </cell>
          <cell r="AB5917" t="str">
            <v>2010 or before</v>
          </cell>
        </row>
        <row r="5918">
          <cell r="E5918">
            <v>92.8</v>
          </cell>
          <cell r="Z5918" t="str">
            <v>Legacy</v>
          </cell>
          <cell r="AA5918" t="str">
            <v>$1K or Below</v>
          </cell>
          <cell r="AB5918" t="str">
            <v>2010 or before</v>
          </cell>
        </row>
        <row r="5919">
          <cell r="E5919">
            <v>92.76</v>
          </cell>
          <cell r="Z5919" t="str">
            <v>Legacy</v>
          </cell>
          <cell r="AA5919" t="str">
            <v>$1K or Below</v>
          </cell>
          <cell r="AB5919" t="str">
            <v>2010 or before</v>
          </cell>
        </row>
        <row r="5920">
          <cell r="E5920">
            <v>92.76</v>
          </cell>
          <cell r="Z5920" t="str">
            <v>Legacy</v>
          </cell>
          <cell r="AA5920" t="str">
            <v>$1K or Below</v>
          </cell>
          <cell r="AB5920" t="str">
            <v>2010 or before</v>
          </cell>
        </row>
        <row r="5921">
          <cell r="E5921">
            <v>92.7</v>
          </cell>
          <cell r="Z5921" t="str">
            <v>Legacy</v>
          </cell>
          <cell r="AA5921" t="str">
            <v>$1K or Below</v>
          </cell>
          <cell r="AB5921" t="str">
            <v>2010 or before</v>
          </cell>
        </row>
        <row r="5922">
          <cell r="E5922">
            <v>92.61</v>
          </cell>
          <cell r="Z5922" t="str">
            <v>Legacy</v>
          </cell>
          <cell r="AA5922" t="str">
            <v>$1K or Below</v>
          </cell>
          <cell r="AB5922" t="str">
            <v>2010 or before</v>
          </cell>
        </row>
        <row r="5923">
          <cell r="E5923">
            <v>92.58</v>
          </cell>
          <cell r="Z5923" t="str">
            <v>Legacy</v>
          </cell>
          <cell r="AA5923" t="str">
            <v>$1K or Below</v>
          </cell>
          <cell r="AB5923" t="str">
            <v>2010 or before</v>
          </cell>
        </row>
        <row r="5924">
          <cell r="E5924">
            <v>92.5</v>
          </cell>
          <cell r="Z5924" t="str">
            <v>Legacy</v>
          </cell>
          <cell r="AA5924" t="str">
            <v>$1K or Below</v>
          </cell>
          <cell r="AB5924">
            <v>2011</v>
          </cell>
        </row>
        <row r="5925">
          <cell r="E5925">
            <v>92.5</v>
          </cell>
          <cell r="Z5925" t="str">
            <v>Legacy</v>
          </cell>
          <cell r="AA5925" t="str">
            <v>$1K or Below</v>
          </cell>
          <cell r="AB5925" t="str">
            <v>2010 or before</v>
          </cell>
        </row>
        <row r="5926">
          <cell r="E5926">
            <v>92.45</v>
          </cell>
          <cell r="Z5926" t="str">
            <v>Legacy</v>
          </cell>
          <cell r="AA5926" t="str">
            <v>$1K or Below</v>
          </cell>
          <cell r="AB5926" t="str">
            <v>2010 or before</v>
          </cell>
        </row>
        <row r="5927">
          <cell r="E5927">
            <v>92.39</v>
          </cell>
          <cell r="Z5927" t="str">
            <v>Legacy</v>
          </cell>
          <cell r="AA5927" t="str">
            <v>$1K or Below</v>
          </cell>
          <cell r="AB5927" t="str">
            <v>2010 or before</v>
          </cell>
        </row>
        <row r="5928">
          <cell r="E5928">
            <v>92.33</v>
          </cell>
          <cell r="Z5928" t="str">
            <v>Legacy</v>
          </cell>
          <cell r="AA5928" t="str">
            <v>$1K or Below</v>
          </cell>
          <cell r="AB5928" t="str">
            <v>2010 or before</v>
          </cell>
        </row>
        <row r="5929">
          <cell r="E5929">
            <v>92.29</v>
          </cell>
          <cell r="Z5929" t="str">
            <v>Legacy</v>
          </cell>
          <cell r="AA5929" t="str">
            <v>$1K or Below</v>
          </cell>
          <cell r="AB5929" t="str">
            <v>2010 or before</v>
          </cell>
        </row>
        <row r="5930">
          <cell r="E5930">
            <v>92.22</v>
          </cell>
          <cell r="Z5930" t="str">
            <v>Legacy</v>
          </cell>
          <cell r="AA5930" t="str">
            <v>$1K or Below</v>
          </cell>
          <cell r="AB5930" t="str">
            <v>2010 or before</v>
          </cell>
        </row>
        <row r="5931">
          <cell r="E5931">
            <v>91.97</v>
          </cell>
          <cell r="Z5931" t="str">
            <v>Ungating</v>
          </cell>
          <cell r="AA5931" t="str">
            <v>$1K or Below</v>
          </cell>
          <cell r="AB5931">
            <v>2012</v>
          </cell>
        </row>
        <row r="5932">
          <cell r="E5932">
            <v>91.92</v>
          </cell>
          <cell r="Z5932" t="str">
            <v>Legacy</v>
          </cell>
          <cell r="AA5932" t="str">
            <v>$1K or Below</v>
          </cell>
          <cell r="AB5932" t="str">
            <v>2010 or before</v>
          </cell>
        </row>
        <row r="5933">
          <cell r="E5933">
            <v>91.55</v>
          </cell>
          <cell r="Z5933" t="str">
            <v>Legacy</v>
          </cell>
          <cell r="AA5933" t="str">
            <v>$1K or Below</v>
          </cell>
          <cell r="AB5933">
            <v>2012</v>
          </cell>
        </row>
        <row r="5934">
          <cell r="E5934">
            <v>91.27</v>
          </cell>
          <cell r="Z5934" t="str">
            <v>Legacy</v>
          </cell>
          <cell r="AA5934" t="str">
            <v>$1K or Below</v>
          </cell>
          <cell r="AB5934" t="str">
            <v>2010 or before</v>
          </cell>
        </row>
        <row r="5935">
          <cell r="E5935">
            <v>90.98</v>
          </cell>
          <cell r="Z5935" t="str">
            <v>Legacy</v>
          </cell>
          <cell r="AA5935" t="str">
            <v>$1K or Below</v>
          </cell>
          <cell r="AB5935" t="str">
            <v>2010 or before</v>
          </cell>
        </row>
        <row r="5936">
          <cell r="E5936">
            <v>90.96</v>
          </cell>
          <cell r="Z5936" t="str">
            <v>Legacy</v>
          </cell>
          <cell r="AA5936" t="str">
            <v>$1K or Below</v>
          </cell>
          <cell r="AB5936" t="str">
            <v>2010 or before</v>
          </cell>
        </row>
        <row r="5937">
          <cell r="E5937">
            <v>90.9</v>
          </cell>
          <cell r="Z5937" t="str">
            <v>Legacy</v>
          </cell>
          <cell r="AA5937" t="str">
            <v>$1K or Below</v>
          </cell>
          <cell r="AB5937" t="str">
            <v>2010 or before</v>
          </cell>
        </row>
        <row r="5938">
          <cell r="E5938">
            <v>90.86</v>
          </cell>
          <cell r="Z5938" t="str">
            <v>Legacy</v>
          </cell>
          <cell r="AA5938" t="str">
            <v>$1K or Below</v>
          </cell>
          <cell r="AB5938" t="str">
            <v>2010 or before</v>
          </cell>
        </row>
        <row r="5939">
          <cell r="E5939">
            <v>90.7</v>
          </cell>
          <cell r="Z5939" t="str">
            <v>Legacy</v>
          </cell>
          <cell r="AA5939" t="str">
            <v>$1K or Below</v>
          </cell>
          <cell r="AB5939" t="str">
            <v>2010 or before</v>
          </cell>
        </row>
        <row r="5940">
          <cell r="E5940">
            <v>90.65</v>
          </cell>
          <cell r="Z5940" t="str">
            <v>Legacy</v>
          </cell>
          <cell r="AA5940" t="str">
            <v>$1K or Below</v>
          </cell>
          <cell r="AB5940" t="str">
            <v>2010 or before</v>
          </cell>
        </row>
        <row r="5941">
          <cell r="E5941">
            <v>90.44</v>
          </cell>
          <cell r="Z5941" t="str">
            <v>Legacy</v>
          </cell>
          <cell r="AA5941" t="str">
            <v>$1K or Below</v>
          </cell>
          <cell r="AB5941" t="str">
            <v>2010 or before</v>
          </cell>
        </row>
        <row r="5942">
          <cell r="E5942">
            <v>90.33</v>
          </cell>
          <cell r="Z5942" t="str">
            <v>Legacy</v>
          </cell>
          <cell r="AA5942" t="str">
            <v>$1K or Below</v>
          </cell>
          <cell r="AB5942" t="str">
            <v>2010 or before</v>
          </cell>
        </row>
        <row r="5943">
          <cell r="E5943">
            <v>90.04</v>
          </cell>
          <cell r="Z5943" t="str">
            <v>Legacy</v>
          </cell>
          <cell r="AA5943" t="str">
            <v>$1K or Below</v>
          </cell>
          <cell r="AB5943" t="str">
            <v>2010 or before</v>
          </cell>
        </row>
        <row r="5944">
          <cell r="E5944">
            <v>89.99</v>
          </cell>
          <cell r="Z5944" t="str">
            <v>Legacy</v>
          </cell>
          <cell r="AA5944" t="str">
            <v>$1K or Below</v>
          </cell>
          <cell r="AB5944" t="str">
            <v>2010 or before</v>
          </cell>
        </row>
        <row r="5945">
          <cell r="E5945">
            <v>89.97</v>
          </cell>
          <cell r="Z5945" t="str">
            <v>Legacy</v>
          </cell>
          <cell r="AA5945" t="str">
            <v>$1K or Below</v>
          </cell>
          <cell r="AB5945" t="str">
            <v>2010 or before</v>
          </cell>
        </row>
        <row r="5946">
          <cell r="E5946">
            <v>89.96</v>
          </cell>
          <cell r="Z5946" t="str">
            <v>Legacy</v>
          </cell>
          <cell r="AA5946" t="str">
            <v>$1K or Below</v>
          </cell>
          <cell r="AB5946" t="str">
            <v>2010 or before</v>
          </cell>
        </row>
        <row r="5947">
          <cell r="E5947">
            <v>89.94</v>
          </cell>
          <cell r="Z5947" t="str">
            <v>Legacy</v>
          </cell>
          <cell r="AA5947" t="str">
            <v>$1K or Below</v>
          </cell>
          <cell r="AB5947" t="str">
            <v>2010 or before</v>
          </cell>
        </row>
        <row r="5948">
          <cell r="E5948">
            <v>89.94</v>
          </cell>
          <cell r="Z5948" t="str">
            <v>Legacy</v>
          </cell>
          <cell r="AA5948" t="str">
            <v>$1K or Below</v>
          </cell>
          <cell r="AB5948">
            <v>2011</v>
          </cell>
        </row>
        <row r="5949">
          <cell r="E5949">
            <v>89.85</v>
          </cell>
          <cell r="Z5949" t="str">
            <v>Legacy</v>
          </cell>
          <cell r="AA5949" t="str">
            <v>$1K or Below</v>
          </cell>
          <cell r="AB5949" t="str">
            <v>2010 or before</v>
          </cell>
        </row>
        <row r="5950">
          <cell r="E5950">
            <v>89.78</v>
          </cell>
          <cell r="Z5950" t="str">
            <v>Legacy</v>
          </cell>
          <cell r="AA5950" t="str">
            <v>$1K or Below</v>
          </cell>
          <cell r="AB5950" t="str">
            <v>2010 or before</v>
          </cell>
        </row>
        <row r="5951">
          <cell r="E5951">
            <v>89.73</v>
          </cell>
          <cell r="Z5951" t="str">
            <v>Legacy</v>
          </cell>
          <cell r="AA5951" t="str">
            <v>$1K or Below</v>
          </cell>
          <cell r="AB5951" t="str">
            <v>2010 or before</v>
          </cell>
        </row>
        <row r="5952">
          <cell r="E5952">
            <v>89.61</v>
          </cell>
          <cell r="Z5952" t="str">
            <v>Legacy</v>
          </cell>
          <cell r="AA5952" t="str">
            <v>$1K or Below</v>
          </cell>
          <cell r="AB5952" t="str">
            <v>2010 or before</v>
          </cell>
        </row>
        <row r="5953">
          <cell r="E5953">
            <v>89.55</v>
          </cell>
          <cell r="Z5953" t="str">
            <v>Legacy</v>
          </cell>
          <cell r="AA5953" t="str">
            <v>$1K or Below</v>
          </cell>
          <cell r="AB5953" t="str">
            <v>2010 or before</v>
          </cell>
        </row>
        <row r="5954">
          <cell r="E5954">
            <v>89.49</v>
          </cell>
          <cell r="Z5954" t="str">
            <v>Legacy</v>
          </cell>
          <cell r="AA5954" t="str">
            <v>$1K or Below</v>
          </cell>
          <cell r="AB5954" t="str">
            <v>2010 or before</v>
          </cell>
        </row>
        <row r="5955">
          <cell r="E5955">
            <v>89.47</v>
          </cell>
          <cell r="Z5955" t="str">
            <v>Legacy</v>
          </cell>
          <cell r="AA5955" t="str">
            <v>$1K or Below</v>
          </cell>
          <cell r="AB5955" t="str">
            <v>2010 or before</v>
          </cell>
        </row>
        <row r="5956">
          <cell r="E5956">
            <v>89.33</v>
          </cell>
          <cell r="Z5956" t="str">
            <v>Legacy</v>
          </cell>
          <cell r="AA5956" t="str">
            <v>$1K or Below</v>
          </cell>
          <cell r="AB5956">
            <v>2012</v>
          </cell>
        </row>
        <row r="5957">
          <cell r="E5957">
            <v>89.22</v>
          </cell>
          <cell r="Z5957" t="str">
            <v>Legacy</v>
          </cell>
          <cell r="AA5957" t="str">
            <v>$1K or Below</v>
          </cell>
          <cell r="AB5957">
            <v>2011</v>
          </cell>
        </row>
        <row r="5958">
          <cell r="E5958">
            <v>89.2</v>
          </cell>
          <cell r="Z5958" t="str">
            <v>Legacy</v>
          </cell>
          <cell r="AA5958" t="str">
            <v>$1K or Below</v>
          </cell>
          <cell r="AB5958" t="str">
            <v>2010 or before</v>
          </cell>
        </row>
        <row r="5959">
          <cell r="E5959">
            <v>89.19</v>
          </cell>
          <cell r="Z5959" t="str">
            <v>Legacy</v>
          </cell>
          <cell r="AA5959" t="str">
            <v>$1K or Below</v>
          </cell>
          <cell r="AB5959" t="str">
            <v>2010 or before</v>
          </cell>
        </row>
        <row r="5960">
          <cell r="E5960">
            <v>89.01</v>
          </cell>
          <cell r="Z5960" t="str">
            <v>Legacy</v>
          </cell>
          <cell r="AA5960" t="str">
            <v>$1K or Below</v>
          </cell>
          <cell r="AB5960">
            <v>2011</v>
          </cell>
        </row>
        <row r="5961">
          <cell r="E5961">
            <v>89</v>
          </cell>
          <cell r="Z5961" t="str">
            <v>Legacy</v>
          </cell>
          <cell r="AA5961" t="str">
            <v>$1K or Below</v>
          </cell>
          <cell r="AB5961">
            <v>2012</v>
          </cell>
        </row>
        <row r="5962">
          <cell r="E5962">
            <v>88.86</v>
          </cell>
          <cell r="Z5962" t="str">
            <v>Legacy</v>
          </cell>
          <cell r="AA5962" t="str">
            <v>$1K or Below</v>
          </cell>
          <cell r="AB5962" t="str">
            <v>2010 or before</v>
          </cell>
        </row>
        <row r="5963">
          <cell r="E5963">
            <v>88.75</v>
          </cell>
          <cell r="Z5963" t="str">
            <v>Legacy</v>
          </cell>
          <cell r="AA5963" t="str">
            <v>$1K or Below</v>
          </cell>
          <cell r="AB5963">
            <v>2011</v>
          </cell>
        </row>
        <row r="5964">
          <cell r="E5964">
            <v>88.69</v>
          </cell>
          <cell r="Z5964" t="str">
            <v>Legacy</v>
          </cell>
          <cell r="AA5964" t="str">
            <v>$1K or Below</v>
          </cell>
          <cell r="AB5964" t="str">
            <v>2010 or before</v>
          </cell>
        </row>
        <row r="5965">
          <cell r="E5965">
            <v>88.57</v>
          </cell>
          <cell r="Z5965" t="str">
            <v>Legacy</v>
          </cell>
          <cell r="AA5965" t="str">
            <v>$1K or Below</v>
          </cell>
          <cell r="AB5965" t="str">
            <v>2010 or before</v>
          </cell>
        </row>
        <row r="5966">
          <cell r="E5966">
            <v>88.49</v>
          </cell>
          <cell r="Z5966" t="str">
            <v>Legacy</v>
          </cell>
          <cell r="AA5966" t="str">
            <v>$1K or Below</v>
          </cell>
          <cell r="AB5966" t="str">
            <v>2010 or before</v>
          </cell>
        </row>
        <row r="5967">
          <cell r="E5967">
            <v>88.43</v>
          </cell>
          <cell r="Z5967" t="str">
            <v>Legacy</v>
          </cell>
          <cell r="AA5967" t="str">
            <v>$1K or Below</v>
          </cell>
          <cell r="AB5967" t="str">
            <v>2010 or before</v>
          </cell>
        </row>
        <row r="5968">
          <cell r="E5968">
            <v>88.32</v>
          </cell>
          <cell r="Z5968" t="str">
            <v>Legacy</v>
          </cell>
          <cell r="AA5968" t="str">
            <v>$1K or Below</v>
          </cell>
          <cell r="AB5968" t="str">
            <v>2010 or before</v>
          </cell>
        </row>
        <row r="5969">
          <cell r="E5969">
            <v>88.25</v>
          </cell>
          <cell r="Z5969" t="str">
            <v>Legacy</v>
          </cell>
          <cell r="AA5969" t="str">
            <v>$1K or Below</v>
          </cell>
          <cell r="AB5969">
            <v>2011</v>
          </cell>
        </row>
        <row r="5970">
          <cell r="E5970">
            <v>88.18</v>
          </cell>
          <cell r="Z5970" t="str">
            <v>Legacy</v>
          </cell>
          <cell r="AA5970" t="str">
            <v>$1K or Below</v>
          </cell>
          <cell r="AB5970">
            <v>2011</v>
          </cell>
        </row>
        <row r="5971">
          <cell r="E5971">
            <v>87.99</v>
          </cell>
          <cell r="Z5971" t="str">
            <v>Ungating</v>
          </cell>
          <cell r="AA5971" t="str">
            <v>$1K or Below</v>
          </cell>
          <cell r="AB5971">
            <v>2012</v>
          </cell>
        </row>
        <row r="5972">
          <cell r="E5972">
            <v>87.97</v>
          </cell>
          <cell r="Z5972" t="str">
            <v>Legacy</v>
          </cell>
          <cell r="AA5972" t="str">
            <v>$1K or Below</v>
          </cell>
          <cell r="AB5972" t="str">
            <v>2010 or before</v>
          </cell>
        </row>
        <row r="5973">
          <cell r="E5973">
            <v>87.96</v>
          </cell>
          <cell r="Z5973" t="str">
            <v>Legacy</v>
          </cell>
          <cell r="AA5973" t="str">
            <v>$1K or Below</v>
          </cell>
          <cell r="AB5973" t="str">
            <v>2010 or before</v>
          </cell>
        </row>
        <row r="5974">
          <cell r="E5974">
            <v>87.89</v>
          </cell>
          <cell r="Z5974" t="str">
            <v>Legacy</v>
          </cell>
          <cell r="AA5974" t="str">
            <v>$1K or Below</v>
          </cell>
          <cell r="AB5974" t="str">
            <v>2010 or before</v>
          </cell>
        </row>
        <row r="5975">
          <cell r="E5975">
            <v>87.78</v>
          </cell>
          <cell r="Z5975" t="str">
            <v>Legacy</v>
          </cell>
          <cell r="AA5975" t="str">
            <v>$1K or Below</v>
          </cell>
          <cell r="AB5975" t="str">
            <v>2010 or before</v>
          </cell>
        </row>
        <row r="5976">
          <cell r="E5976">
            <v>87.74</v>
          </cell>
          <cell r="Z5976" t="str">
            <v>Legacy</v>
          </cell>
          <cell r="AA5976" t="str">
            <v>$1K or Below</v>
          </cell>
          <cell r="AB5976">
            <v>2011</v>
          </cell>
        </row>
        <row r="5977">
          <cell r="E5977">
            <v>87.58</v>
          </cell>
          <cell r="Z5977" t="str">
            <v>Legacy</v>
          </cell>
          <cell r="AA5977" t="str">
            <v>$1K or Below</v>
          </cell>
          <cell r="AB5977" t="str">
            <v>2010 or before</v>
          </cell>
        </row>
        <row r="5978">
          <cell r="E5978">
            <v>87.43</v>
          </cell>
          <cell r="Z5978" t="str">
            <v>Legacy</v>
          </cell>
          <cell r="AA5978" t="str">
            <v>$1K or Below</v>
          </cell>
          <cell r="AB5978" t="str">
            <v>2010 or before</v>
          </cell>
        </row>
        <row r="5979">
          <cell r="E5979">
            <v>87.4</v>
          </cell>
          <cell r="Z5979" t="str">
            <v>Legacy</v>
          </cell>
          <cell r="AA5979" t="str">
            <v>$1K or Below</v>
          </cell>
          <cell r="AB5979" t="str">
            <v>2010 or before</v>
          </cell>
        </row>
        <row r="5980">
          <cell r="E5980">
            <v>87.35</v>
          </cell>
          <cell r="Z5980" t="str">
            <v>Legacy</v>
          </cell>
          <cell r="AA5980" t="str">
            <v>$1K or Below</v>
          </cell>
          <cell r="AB5980">
            <v>2012</v>
          </cell>
        </row>
        <row r="5981">
          <cell r="E5981">
            <v>87.34</v>
          </cell>
          <cell r="Z5981" t="str">
            <v>Legacy</v>
          </cell>
          <cell r="AA5981" t="str">
            <v>$1K or Below</v>
          </cell>
          <cell r="AB5981" t="str">
            <v>2010 or before</v>
          </cell>
        </row>
        <row r="5982">
          <cell r="E5982">
            <v>86.98</v>
          </cell>
          <cell r="Z5982" t="str">
            <v>Legacy</v>
          </cell>
          <cell r="AA5982" t="str">
            <v>$1K or Below</v>
          </cell>
          <cell r="AB5982" t="str">
            <v>2010 or before</v>
          </cell>
        </row>
        <row r="5983">
          <cell r="E5983">
            <v>86.96</v>
          </cell>
          <cell r="Z5983" t="str">
            <v>Legacy</v>
          </cell>
          <cell r="AA5983" t="str">
            <v>$1K or Below</v>
          </cell>
          <cell r="AB5983" t="str">
            <v>2010 or before</v>
          </cell>
        </row>
        <row r="5984">
          <cell r="E5984">
            <v>86.96</v>
          </cell>
          <cell r="Z5984" t="str">
            <v>Legacy</v>
          </cell>
          <cell r="AA5984" t="str">
            <v>$1K or Below</v>
          </cell>
          <cell r="AB5984" t="str">
            <v>2010 or before</v>
          </cell>
        </row>
        <row r="5985">
          <cell r="E5985">
            <v>86.96</v>
          </cell>
          <cell r="Z5985" t="str">
            <v>Legacy</v>
          </cell>
          <cell r="AA5985" t="str">
            <v>$1K or Below</v>
          </cell>
          <cell r="AB5985" t="str">
            <v>2010 or before</v>
          </cell>
        </row>
        <row r="5986">
          <cell r="E5986">
            <v>86.92</v>
          </cell>
          <cell r="Z5986" t="str">
            <v>Legacy</v>
          </cell>
          <cell r="AA5986" t="str">
            <v>$1K or Below</v>
          </cell>
          <cell r="AB5986" t="str">
            <v>2010 or before</v>
          </cell>
        </row>
        <row r="5987">
          <cell r="E5987">
            <v>86.88</v>
          </cell>
          <cell r="Z5987" t="str">
            <v>Legacy</v>
          </cell>
          <cell r="AA5987" t="str">
            <v>$1K or Below</v>
          </cell>
          <cell r="AB5987" t="str">
            <v>2010 or before</v>
          </cell>
        </row>
        <row r="5988">
          <cell r="E5988">
            <v>86.83</v>
          </cell>
          <cell r="Z5988" t="str">
            <v>Legacy</v>
          </cell>
          <cell r="AA5988" t="str">
            <v>$1K or Below</v>
          </cell>
          <cell r="AB5988" t="str">
            <v>2010 or before</v>
          </cell>
        </row>
        <row r="5989">
          <cell r="E5989">
            <v>86.51</v>
          </cell>
          <cell r="Z5989" t="str">
            <v>Legacy</v>
          </cell>
          <cell r="AA5989" t="str">
            <v>$1K or Below</v>
          </cell>
          <cell r="AB5989" t="str">
            <v>2010 or before</v>
          </cell>
        </row>
        <row r="5990">
          <cell r="E5990">
            <v>86.45</v>
          </cell>
          <cell r="Z5990" t="str">
            <v>Legacy</v>
          </cell>
          <cell r="AA5990" t="str">
            <v>$1K or Below</v>
          </cell>
          <cell r="AB5990" t="str">
            <v>2010 or before</v>
          </cell>
        </row>
        <row r="5991">
          <cell r="E5991">
            <v>86.38</v>
          </cell>
          <cell r="Z5991" t="str">
            <v>Legacy</v>
          </cell>
          <cell r="AA5991" t="str">
            <v>$1K or Below</v>
          </cell>
          <cell r="AB5991" t="str">
            <v>2010 or before</v>
          </cell>
        </row>
        <row r="5992">
          <cell r="E5992">
            <v>86.36</v>
          </cell>
          <cell r="Z5992" t="str">
            <v>Legacy</v>
          </cell>
          <cell r="AA5992" t="str">
            <v>$1K or Below</v>
          </cell>
          <cell r="AB5992">
            <v>2011</v>
          </cell>
        </row>
        <row r="5993">
          <cell r="E5993">
            <v>86.34</v>
          </cell>
          <cell r="Z5993" t="str">
            <v>Legacy</v>
          </cell>
          <cell r="AA5993" t="str">
            <v>$1K or Below</v>
          </cell>
          <cell r="AB5993" t="str">
            <v>2010 or before</v>
          </cell>
        </row>
        <row r="5994">
          <cell r="E5994">
            <v>86.06</v>
          </cell>
          <cell r="Z5994" t="str">
            <v>Inbound</v>
          </cell>
          <cell r="AA5994" t="str">
            <v>$1K or Below</v>
          </cell>
          <cell r="AB5994">
            <v>2011</v>
          </cell>
        </row>
        <row r="5995">
          <cell r="E5995">
            <v>85.98</v>
          </cell>
          <cell r="Z5995" t="str">
            <v>Legacy</v>
          </cell>
          <cell r="AA5995" t="str">
            <v>$1K or Below</v>
          </cell>
          <cell r="AB5995" t="str">
            <v>2010 or before</v>
          </cell>
        </row>
        <row r="5996">
          <cell r="E5996">
            <v>85.91</v>
          </cell>
          <cell r="Z5996" t="str">
            <v>Inbound</v>
          </cell>
          <cell r="AA5996" t="str">
            <v>$1K or Below</v>
          </cell>
          <cell r="AB5996">
            <v>2011</v>
          </cell>
        </row>
        <row r="5997">
          <cell r="E5997">
            <v>85.85</v>
          </cell>
          <cell r="Z5997" t="str">
            <v>Legacy</v>
          </cell>
          <cell r="AA5997" t="str">
            <v>$1K or Below</v>
          </cell>
          <cell r="AB5997" t="str">
            <v>2010 or before</v>
          </cell>
        </row>
        <row r="5998">
          <cell r="E5998">
            <v>85.52</v>
          </cell>
          <cell r="Z5998" t="str">
            <v>Legacy</v>
          </cell>
          <cell r="AA5998" t="str">
            <v>$1K or Below</v>
          </cell>
          <cell r="AB5998" t="str">
            <v>2010 or before</v>
          </cell>
        </row>
        <row r="5999">
          <cell r="E5999">
            <v>85.41</v>
          </cell>
          <cell r="Z5999" t="str">
            <v>Legacy</v>
          </cell>
          <cell r="AA5999" t="str">
            <v>$1K or Below</v>
          </cell>
          <cell r="AB5999" t="str">
            <v>2010 or before</v>
          </cell>
        </row>
        <row r="6000">
          <cell r="E6000">
            <v>85.12</v>
          </cell>
          <cell r="Z6000" t="str">
            <v>Legacy</v>
          </cell>
          <cell r="AA6000" t="str">
            <v>$1K or Below</v>
          </cell>
          <cell r="AB6000" t="str">
            <v>2010 or before</v>
          </cell>
        </row>
        <row r="6001">
          <cell r="E6001">
            <v>85.08</v>
          </cell>
          <cell r="Z6001" t="str">
            <v>Legacy</v>
          </cell>
          <cell r="AA6001" t="str">
            <v>$1K or Below</v>
          </cell>
          <cell r="AB6001" t="str">
            <v>2010 or before</v>
          </cell>
        </row>
        <row r="6002">
          <cell r="E6002">
            <v>85.05</v>
          </cell>
          <cell r="Z6002" t="str">
            <v>Legacy</v>
          </cell>
          <cell r="AA6002" t="str">
            <v>$1K or Below</v>
          </cell>
          <cell r="AB6002" t="str">
            <v>2010 or before</v>
          </cell>
        </row>
        <row r="6003">
          <cell r="E6003">
            <v>84.99</v>
          </cell>
          <cell r="Z6003" t="str">
            <v>Legacy</v>
          </cell>
          <cell r="AA6003" t="str">
            <v>$1K or Below</v>
          </cell>
          <cell r="AB6003" t="str">
            <v>2010 or before</v>
          </cell>
        </row>
        <row r="6004">
          <cell r="E6004">
            <v>84.98</v>
          </cell>
          <cell r="Z6004" t="str">
            <v>Legacy</v>
          </cell>
          <cell r="AA6004" t="str">
            <v>$1K or Below</v>
          </cell>
          <cell r="AB6004" t="str">
            <v>2010 or before</v>
          </cell>
        </row>
        <row r="6005">
          <cell r="E6005">
            <v>84.96</v>
          </cell>
          <cell r="Z6005" t="str">
            <v>Legacy</v>
          </cell>
          <cell r="AA6005" t="str">
            <v>$1K or Below</v>
          </cell>
          <cell r="AB6005" t="str">
            <v>2010 or before</v>
          </cell>
        </row>
        <row r="6006">
          <cell r="E6006">
            <v>84.89</v>
          </cell>
          <cell r="Z6006" t="str">
            <v>Legacy</v>
          </cell>
          <cell r="AA6006" t="str">
            <v>$1K or Below</v>
          </cell>
          <cell r="AB6006" t="str">
            <v>2010 or before</v>
          </cell>
        </row>
        <row r="6007">
          <cell r="E6007">
            <v>84.68</v>
          </cell>
          <cell r="Z6007" t="str">
            <v>Legacy</v>
          </cell>
          <cell r="AA6007" t="str">
            <v>$1K or Below</v>
          </cell>
          <cell r="AB6007" t="str">
            <v>2010 or before</v>
          </cell>
        </row>
        <row r="6008">
          <cell r="E6008">
            <v>84.64</v>
          </cell>
          <cell r="Z6008" t="str">
            <v>Legacy</v>
          </cell>
          <cell r="AA6008" t="str">
            <v>$1K or Below</v>
          </cell>
          <cell r="AB6008" t="str">
            <v>2010 or before</v>
          </cell>
        </row>
        <row r="6009">
          <cell r="E6009">
            <v>84.48</v>
          </cell>
          <cell r="Z6009" t="str">
            <v>Legacy</v>
          </cell>
          <cell r="AA6009" t="str">
            <v>$1K or Below</v>
          </cell>
          <cell r="AB6009" t="str">
            <v>2010 or before</v>
          </cell>
        </row>
        <row r="6010">
          <cell r="E6010">
            <v>84.44</v>
          </cell>
          <cell r="Z6010" t="str">
            <v>Legacy</v>
          </cell>
          <cell r="AA6010" t="str">
            <v>$1K or Below</v>
          </cell>
          <cell r="AB6010" t="str">
            <v>2010 or before</v>
          </cell>
        </row>
        <row r="6011">
          <cell r="E6011">
            <v>84.44</v>
          </cell>
          <cell r="Z6011" t="str">
            <v>Legacy</v>
          </cell>
          <cell r="AA6011" t="str">
            <v>$1K or Below</v>
          </cell>
          <cell r="AB6011" t="str">
            <v>2010 or before</v>
          </cell>
        </row>
        <row r="6012">
          <cell r="E6012">
            <v>84.32</v>
          </cell>
          <cell r="Z6012" t="str">
            <v>Legacy</v>
          </cell>
          <cell r="AA6012" t="str">
            <v>$1K or Below</v>
          </cell>
          <cell r="AB6012" t="str">
            <v>2010 or before</v>
          </cell>
        </row>
        <row r="6013">
          <cell r="E6013">
            <v>84.16</v>
          </cell>
          <cell r="Z6013" t="str">
            <v>Legacy</v>
          </cell>
          <cell r="AA6013" t="str">
            <v>$1K or Below</v>
          </cell>
          <cell r="AB6013" t="str">
            <v>2010 or before</v>
          </cell>
        </row>
        <row r="6014">
          <cell r="E6014">
            <v>84.03</v>
          </cell>
          <cell r="Z6014" t="str">
            <v>Legacy</v>
          </cell>
          <cell r="AA6014" t="str">
            <v>$1K or Below</v>
          </cell>
          <cell r="AB6014" t="str">
            <v>2010 or before</v>
          </cell>
        </row>
        <row r="6015">
          <cell r="E6015">
            <v>83.99</v>
          </cell>
          <cell r="Z6015" t="str">
            <v>Legacy</v>
          </cell>
          <cell r="AA6015" t="str">
            <v>$1K or Below</v>
          </cell>
          <cell r="AB6015" t="str">
            <v>2010 or before</v>
          </cell>
        </row>
        <row r="6016">
          <cell r="E6016">
            <v>83.96</v>
          </cell>
          <cell r="Z6016" t="str">
            <v>Legacy</v>
          </cell>
          <cell r="AA6016" t="str">
            <v>$1K or Below</v>
          </cell>
          <cell r="AB6016" t="str">
            <v>2010 or before</v>
          </cell>
        </row>
        <row r="6017">
          <cell r="E6017">
            <v>83.96</v>
          </cell>
          <cell r="Z6017" t="str">
            <v>Legacy</v>
          </cell>
          <cell r="AA6017" t="str">
            <v>$1K or Below</v>
          </cell>
          <cell r="AB6017" t="str">
            <v>2010 or before</v>
          </cell>
        </row>
        <row r="6018">
          <cell r="E6018">
            <v>83.95</v>
          </cell>
          <cell r="Z6018" t="str">
            <v>Legacy</v>
          </cell>
          <cell r="AA6018" t="str">
            <v>$1K or Below</v>
          </cell>
          <cell r="AB6018" t="str">
            <v>2010 or before</v>
          </cell>
        </row>
        <row r="6019">
          <cell r="E6019">
            <v>83.95</v>
          </cell>
          <cell r="Z6019" t="str">
            <v>Legacy</v>
          </cell>
          <cell r="AA6019" t="str">
            <v>$1K or Below</v>
          </cell>
          <cell r="AB6019" t="str">
            <v>2010 or before</v>
          </cell>
        </row>
        <row r="6020">
          <cell r="E6020">
            <v>83.94</v>
          </cell>
          <cell r="Z6020" t="str">
            <v>Legacy</v>
          </cell>
          <cell r="AA6020" t="str">
            <v>$1K or Below</v>
          </cell>
          <cell r="AB6020" t="str">
            <v>2010 or before</v>
          </cell>
        </row>
        <row r="6021">
          <cell r="E6021">
            <v>83.89</v>
          </cell>
          <cell r="Z6021" t="str">
            <v>Legacy</v>
          </cell>
          <cell r="AA6021" t="str">
            <v>$1K or Below</v>
          </cell>
          <cell r="AB6021" t="str">
            <v>2010 or before</v>
          </cell>
        </row>
        <row r="6022">
          <cell r="E6022">
            <v>83.72</v>
          </cell>
          <cell r="Z6022" t="str">
            <v>Legacy</v>
          </cell>
          <cell r="AA6022" t="str">
            <v>$1K or Below</v>
          </cell>
          <cell r="AB6022" t="str">
            <v>2010 or before</v>
          </cell>
        </row>
        <row r="6023">
          <cell r="E6023">
            <v>83.6</v>
          </cell>
          <cell r="Z6023" t="str">
            <v>Legacy</v>
          </cell>
          <cell r="AA6023" t="str">
            <v>$1K or Below</v>
          </cell>
          <cell r="AB6023" t="str">
            <v>2010 or before</v>
          </cell>
        </row>
        <row r="6024">
          <cell r="E6024">
            <v>83.5</v>
          </cell>
          <cell r="Z6024" t="str">
            <v>Legacy</v>
          </cell>
          <cell r="AA6024" t="str">
            <v>$1K or Below</v>
          </cell>
          <cell r="AB6024" t="str">
            <v>2010 or before</v>
          </cell>
        </row>
        <row r="6025">
          <cell r="E6025">
            <v>83.45</v>
          </cell>
          <cell r="Z6025" t="str">
            <v>Legacy</v>
          </cell>
          <cell r="AA6025" t="str">
            <v>$1K or Below</v>
          </cell>
          <cell r="AB6025" t="str">
            <v>2010 or before</v>
          </cell>
        </row>
        <row r="6026">
          <cell r="E6026">
            <v>83.31</v>
          </cell>
          <cell r="Z6026" t="str">
            <v>Ungating</v>
          </cell>
          <cell r="AA6026" t="str">
            <v>$1K or Below</v>
          </cell>
          <cell r="AB6026">
            <v>2013</v>
          </cell>
        </row>
        <row r="6027">
          <cell r="E6027">
            <v>83.24</v>
          </cell>
          <cell r="Z6027" t="str">
            <v>Legacy</v>
          </cell>
          <cell r="AA6027" t="str">
            <v>$1K or Below</v>
          </cell>
          <cell r="AB6027" t="str">
            <v>2010 or before</v>
          </cell>
        </row>
        <row r="6028">
          <cell r="E6028">
            <v>83.01</v>
          </cell>
          <cell r="Z6028" t="str">
            <v>Legacy</v>
          </cell>
          <cell r="AA6028" t="str">
            <v>$1K or Below</v>
          </cell>
          <cell r="AB6028" t="str">
            <v>2010 or before</v>
          </cell>
        </row>
        <row r="6029">
          <cell r="E6029">
            <v>82.98</v>
          </cell>
          <cell r="Z6029" t="str">
            <v>Legacy</v>
          </cell>
          <cell r="AA6029" t="str">
            <v>$1K or Below</v>
          </cell>
          <cell r="AB6029" t="str">
            <v>2010 or before</v>
          </cell>
        </row>
        <row r="6030">
          <cell r="E6030">
            <v>82.9</v>
          </cell>
          <cell r="Z6030" t="str">
            <v>Legacy</v>
          </cell>
          <cell r="AA6030" t="str">
            <v>$1K or Below</v>
          </cell>
          <cell r="AB6030" t="str">
            <v>2010 or before</v>
          </cell>
        </row>
        <row r="6031">
          <cell r="E6031">
            <v>82.53</v>
          </cell>
          <cell r="Z6031" t="str">
            <v>Legacy</v>
          </cell>
          <cell r="AA6031" t="str">
            <v>$1K or Below</v>
          </cell>
          <cell r="AB6031">
            <v>2012</v>
          </cell>
        </row>
        <row r="6032">
          <cell r="E6032">
            <v>82.46</v>
          </cell>
          <cell r="Z6032" t="str">
            <v>Legacy</v>
          </cell>
          <cell r="AA6032" t="str">
            <v>$1K or Below</v>
          </cell>
          <cell r="AB6032" t="str">
            <v>2010 or before</v>
          </cell>
        </row>
        <row r="6033">
          <cell r="E6033">
            <v>82.45</v>
          </cell>
          <cell r="Z6033" t="str">
            <v>Legacy</v>
          </cell>
          <cell r="AA6033" t="str">
            <v>$1K or Below</v>
          </cell>
          <cell r="AB6033" t="str">
            <v>2010 or before</v>
          </cell>
        </row>
        <row r="6034">
          <cell r="E6034">
            <v>82.45</v>
          </cell>
          <cell r="Z6034" t="str">
            <v>Legacy</v>
          </cell>
          <cell r="AA6034" t="str">
            <v>$1K or Below</v>
          </cell>
          <cell r="AB6034" t="str">
            <v>2010 or before</v>
          </cell>
        </row>
        <row r="6035">
          <cell r="E6035">
            <v>82.42</v>
          </cell>
          <cell r="Z6035" t="str">
            <v>Legacy</v>
          </cell>
          <cell r="AA6035" t="str">
            <v>$1K or Below</v>
          </cell>
          <cell r="AB6035" t="str">
            <v>2010 or before</v>
          </cell>
        </row>
        <row r="6036">
          <cell r="E6036">
            <v>82.28</v>
          </cell>
          <cell r="Z6036" t="str">
            <v>Legacy</v>
          </cell>
          <cell r="AA6036" t="str">
            <v>$1K or Below</v>
          </cell>
          <cell r="AB6036" t="str">
            <v>2010 or before</v>
          </cell>
        </row>
        <row r="6037">
          <cell r="E6037">
            <v>82.22</v>
          </cell>
          <cell r="Z6037" t="str">
            <v>Legacy</v>
          </cell>
          <cell r="AA6037" t="str">
            <v>$1K or Below</v>
          </cell>
          <cell r="AB6037" t="str">
            <v>2010 or before</v>
          </cell>
        </row>
        <row r="6038">
          <cell r="E6038">
            <v>82.14</v>
          </cell>
          <cell r="Z6038" t="str">
            <v>Legacy</v>
          </cell>
          <cell r="AA6038" t="str">
            <v>$1K or Below</v>
          </cell>
          <cell r="AB6038" t="str">
            <v>2010 or before</v>
          </cell>
        </row>
        <row r="6039">
          <cell r="E6039">
            <v>82</v>
          </cell>
          <cell r="Z6039" t="str">
            <v>Legacy</v>
          </cell>
          <cell r="AA6039" t="str">
            <v>$1K or Below</v>
          </cell>
          <cell r="AB6039">
            <v>2012</v>
          </cell>
        </row>
        <row r="6040">
          <cell r="E6040">
            <v>82</v>
          </cell>
          <cell r="Z6040" t="str">
            <v>Legacy</v>
          </cell>
          <cell r="AA6040" t="str">
            <v>$1K or Below</v>
          </cell>
          <cell r="AB6040" t="str">
            <v>2010 or before</v>
          </cell>
        </row>
        <row r="6041">
          <cell r="E6041">
            <v>81.96</v>
          </cell>
          <cell r="Z6041" t="str">
            <v>Legacy</v>
          </cell>
          <cell r="AA6041" t="str">
            <v>$1K or Below</v>
          </cell>
          <cell r="AB6041" t="str">
            <v>2010 or before</v>
          </cell>
        </row>
        <row r="6042">
          <cell r="E6042">
            <v>81.93</v>
          </cell>
          <cell r="Z6042" t="str">
            <v>Legacy</v>
          </cell>
          <cell r="AA6042" t="str">
            <v>$1K or Below</v>
          </cell>
          <cell r="AB6042" t="str">
            <v>2010 or before</v>
          </cell>
        </row>
        <row r="6043">
          <cell r="E6043">
            <v>81.88</v>
          </cell>
          <cell r="Z6043" t="str">
            <v>Legacy</v>
          </cell>
          <cell r="AA6043" t="str">
            <v>$1K or Below</v>
          </cell>
          <cell r="AB6043" t="str">
            <v>2010 or before</v>
          </cell>
        </row>
        <row r="6044">
          <cell r="E6044">
            <v>81.88</v>
          </cell>
          <cell r="Z6044" t="str">
            <v>Legacy</v>
          </cell>
          <cell r="AA6044" t="str">
            <v>$1K or Below</v>
          </cell>
          <cell r="AB6044" t="str">
            <v>2010 or before</v>
          </cell>
        </row>
        <row r="6045">
          <cell r="E6045">
            <v>81.84</v>
          </cell>
          <cell r="Z6045" t="str">
            <v>Legacy</v>
          </cell>
          <cell r="AA6045" t="str">
            <v>$1K or Below</v>
          </cell>
          <cell r="AB6045" t="str">
            <v>2010 or before</v>
          </cell>
        </row>
        <row r="6046">
          <cell r="E6046">
            <v>81.430000000000007</v>
          </cell>
          <cell r="Z6046" t="str">
            <v>Legacy</v>
          </cell>
          <cell r="AA6046" t="str">
            <v>$1K or Below</v>
          </cell>
          <cell r="AB6046" t="str">
            <v>2010 or before</v>
          </cell>
        </row>
        <row r="6047">
          <cell r="E6047">
            <v>81.430000000000007</v>
          </cell>
          <cell r="Z6047" t="str">
            <v>Legacy</v>
          </cell>
          <cell r="AA6047" t="str">
            <v>$1K or Below</v>
          </cell>
          <cell r="AB6047" t="str">
            <v>2010 or before</v>
          </cell>
        </row>
        <row r="6048">
          <cell r="E6048">
            <v>81.400000000000006</v>
          </cell>
          <cell r="Z6048" t="str">
            <v>Legacy</v>
          </cell>
          <cell r="AA6048" t="str">
            <v>$1K or Below</v>
          </cell>
          <cell r="AB6048" t="str">
            <v>2010 or before</v>
          </cell>
        </row>
        <row r="6049">
          <cell r="E6049">
            <v>81.38</v>
          </cell>
          <cell r="Z6049" t="str">
            <v>Legacy</v>
          </cell>
          <cell r="AA6049" t="str">
            <v>$1K or Below</v>
          </cell>
          <cell r="AB6049" t="str">
            <v>2010 or before</v>
          </cell>
        </row>
        <row r="6050">
          <cell r="E6050">
            <v>81.239999999999995</v>
          </cell>
          <cell r="Z6050" t="str">
            <v>Legacy</v>
          </cell>
          <cell r="AA6050" t="str">
            <v>$1K or Below</v>
          </cell>
          <cell r="AB6050" t="str">
            <v>2010 or before</v>
          </cell>
        </row>
        <row r="6051">
          <cell r="E6051">
            <v>80.989999999999995</v>
          </cell>
          <cell r="Z6051" t="str">
            <v>Legacy</v>
          </cell>
          <cell r="AA6051" t="str">
            <v>$1K or Below</v>
          </cell>
          <cell r="AB6051" t="str">
            <v>2010 or before</v>
          </cell>
        </row>
        <row r="6052">
          <cell r="E6052">
            <v>80.989999999999995</v>
          </cell>
          <cell r="Z6052" t="str">
            <v>Legacy</v>
          </cell>
          <cell r="AA6052" t="str">
            <v>$1K or Below</v>
          </cell>
          <cell r="AB6052" t="str">
            <v>2010 or before</v>
          </cell>
        </row>
        <row r="6053">
          <cell r="E6053">
            <v>80.98</v>
          </cell>
          <cell r="Z6053" t="str">
            <v>Legacy</v>
          </cell>
          <cell r="AA6053" t="str">
            <v>$1K or Below</v>
          </cell>
          <cell r="AB6053" t="str">
            <v>2010 or before</v>
          </cell>
        </row>
        <row r="6054">
          <cell r="E6054">
            <v>80.959999999999994</v>
          </cell>
          <cell r="Z6054" t="str">
            <v>Legacy</v>
          </cell>
          <cell r="AA6054" t="str">
            <v>$1K or Below</v>
          </cell>
          <cell r="AB6054" t="str">
            <v>2010 or before</v>
          </cell>
        </row>
        <row r="6055">
          <cell r="E6055">
            <v>80.94</v>
          </cell>
          <cell r="Z6055" t="str">
            <v>Legacy</v>
          </cell>
          <cell r="AA6055" t="str">
            <v>$1K or Below</v>
          </cell>
          <cell r="AB6055" t="str">
            <v>2010 or before</v>
          </cell>
        </row>
        <row r="6056">
          <cell r="E6056">
            <v>80.94</v>
          </cell>
          <cell r="Z6056" t="str">
            <v>Legacy</v>
          </cell>
          <cell r="AA6056" t="str">
            <v>$1K or Below</v>
          </cell>
          <cell r="AB6056" t="str">
            <v>2010 or before</v>
          </cell>
        </row>
        <row r="6057">
          <cell r="E6057">
            <v>80.89</v>
          </cell>
          <cell r="Z6057" t="str">
            <v>Legacy</v>
          </cell>
          <cell r="AA6057" t="str">
            <v>$1K or Below</v>
          </cell>
          <cell r="AB6057" t="str">
            <v>2010 or before</v>
          </cell>
        </row>
        <row r="6058">
          <cell r="E6058">
            <v>80.87</v>
          </cell>
          <cell r="Z6058" t="str">
            <v>Legacy</v>
          </cell>
          <cell r="AA6058" t="str">
            <v>$1K or Below</v>
          </cell>
          <cell r="AB6058" t="str">
            <v>2010 or before</v>
          </cell>
        </row>
        <row r="6059">
          <cell r="E6059">
            <v>80.819999999999993</v>
          </cell>
          <cell r="Z6059" t="str">
            <v>Legacy</v>
          </cell>
          <cell r="AA6059" t="str">
            <v>$1K or Below</v>
          </cell>
          <cell r="AB6059" t="str">
            <v>2010 or before</v>
          </cell>
        </row>
        <row r="6060">
          <cell r="E6060">
            <v>80.760000000000005</v>
          </cell>
          <cell r="Z6060" t="str">
            <v>Legacy</v>
          </cell>
          <cell r="AA6060" t="str">
            <v>$1K or Below</v>
          </cell>
          <cell r="AB6060" t="str">
            <v>2010 or before</v>
          </cell>
        </row>
        <row r="6061">
          <cell r="E6061">
            <v>80.680000000000007</v>
          </cell>
          <cell r="Z6061" t="str">
            <v>Legacy</v>
          </cell>
          <cell r="AA6061" t="str">
            <v>$1K or Below</v>
          </cell>
          <cell r="AB6061" t="str">
            <v>2010 or before</v>
          </cell>
        </row>
        <row r="6062">
          <cell r="E6062">
            <v>80.400000000000006</v>
          </cell>
          <cell r="Z6062" t="str">
            <v>Legacy</v>
          </cell>
          <cell r="AA6062" t="str">
            <v>$1K or Below</v>
          </cell>
          <cell r="AB6062" t="str">
            <v>2010 or before</v>
          </cell>
        </row>
        <row r="6063">
          <cell r="E6063">
            <v>80.39</v>
          </cell>
          <cell r="Z6063" t="str">
            <v>Legacy</v>
          </cell>
          <cell r="AA6063" t="str">
            <v>$1K or Below</v>
          </cell>
          <cell r="AB6063" t="str">
            <v>2010 or before</v>
          </cell>
        </row>
        <row r="6064">
          <cell r="E6064">
            <v>80.27</v>
          </cell>
          <cell r="Z6064" t="str">
            <v>Legacy</v>
          </cell>
          <cell r="AA6064" t="str">
            <v>$1K or Below</v>
          </cell>
          <cell r="AB6064">
            <v>2011</v>
          </cell>
        </row>
        <row r="6065">
          <cell r="E6065">
            <v>80.13</v>
          </cell>
          <cell r="Z6065" t="str">
            <v>Legacy</v>
          </cell>
          <cell r="AA6065" t="str">
            <v>$1K or Below</v>
          </cell>
          <cell r="AB6065" t="str">
            <v>2010 or before</v>
          </cell>
        </row>
        <row r="6066">
          <cell r="E6066">
            <v>80.05</v>
          </cell>
          <cell r="Z6066" t="str">
            <v>Ungating</v>
          </cell>
          <cell r="AA6066" t="str">
            <v>$1K or Below</v>
          </cell>
          <cell r="AB6066">
            <v>2012</v>
          </cell>
        </row>
        <row r="6067">
          <cell r="E6067">
            <v>80</v>
          </cell>
          <cell r="Z6067" t="str">
            <v>Legacy</v>
          </cell>
          <cell r="AA6067" t="str">
            <v>$1K or Below</v>
          </cell>
          <cell r="AB6067" t="str">
            <v>2010 or before</v>
          </cell>
        </row>
        <row r="6068">
          <cell r="E6068">
            <v>79.989999999999995</v>
          </cell>
          <cell r="Z6068" t="str">
            <v>Legacy</v>
          </cell>
          <cell r="AA6068" t="str">
            <v>$1K or Below</v>
          </cell>
          <cell r="AB6068" t="str">
            <v>2010 or before</v>
          </cell>
        </row>
        <row r="6069">
          <cell r="E6069">
            <v>79.989999999999995</v>
          </cell>
          <cell r="Z6069" t="str">
            <v>Legacy</v>
          </cell>
          <cell r="AA6069" t="str">
            <v>$1K or Below</v>
          </cell>
          <cell r="AB6069" t="str">
            <v>2010 or before</v>
          </cell>
        </row>
        <row r="6070">
          <cell r="E6070">
            <v>79.98</v>
          </cell>
          <cell r="Z6070" t="str">
            <v>Legacy</v>
          </cell>
          <cell r="AA6070" t="str">
            <v>$1K or Below</v>
          </cell>
          <cell r="AB6070" t="str">
            <v>2010 or before</v>
          </cell>
        </row>
        <row r="6071">
          <cell r="E6071">
            <v>79.98</v>
          </cell>
          <cell r="Z6071" t="str">
            <v>Outbound</v>
          </cell>
          <cell r="AA6071" t="str">
            <v>$1K or Below</v>
          </cell>
          <cell r="AB6071">
            <v>2012</v>
          </cell>
        </row>
        <row r="6072">
          <cell r="E6072">
            <v>79.959999999999994</v>
          </cell>
          <cell r="Z6072" t="str">
            <v>Ungating</v>
          </cell>
          <cell r="AA6072" t="str">
            <v>$1K or Below</v>
          </cell>
          <cell r="AB6072">
            <v>2012</v>
          </cell>
        </row>
        <row r="6073">
          <cell r="E6073">
            <v>79.959999999999994</v>
          </cell>
          <cell r="Z6073" t="str">
            <v>Legacy</v>
          </cell>
          <cell r="AA6073" t="str">
            <v>$1K or Below</v>
          </cell>
          <cell r="AB6073" t="str">
            <v>2010 or before</v>
          </cell>
        </row>
        <row r="6074">
          <cell r="E6074">
            <v>79.959999999999994</v>
          </cell>
          <cell r="Z6074" t="str">
            <v>Legacy</v>
          </cell>
          <cell r="AA6074" t="str">
            <v>$1K or Below</v>
          </cell>
          <cell r="AB6074" t="str">
            <v>2010 or before</v>
          </cell>
        </row>
        <row r="6075">
          <cell r="E6075">
            <v>79.92</v>
          </cell>
          <cell r="Z6075" t="str">
            <v>Legacy</v>
          </cell>
          <cell r="AA6075" t="str">
            <v>$1K or Below</v>
          </cell>
          <cell r="AB6075" t="str">
            <v>2010 or before</v>
          </cell>
        </row>
        <row r="6076">
          <cell r="E6076">
            <v>79.900000000000006</v>
          </cell>
          <cell r="Z6076" t="str">
            <v>Legacy</v>
          </cell>
          <cell r="AA6076" t="str">
            <v>$1K or Below</v>
          </cell>
          <cell r="AB6076" t="str">
            <v>2010 or before</v>
          </cell>
        </row>
        <row r="6077">
          <cell r="E6077">
            <v>79.8</v>
          </cell>
          <cell r="Z6077" t="str">
            <v>Legacy</v>
          </cell>
          <cell r="AA6077" t="str">
            <v>$1K or Below</v>
          </cell>
          <cell r="AB6077" t="str">
            <v>2010 or before</v>
          </cell>
        </row>
        <row r="6078">
          <cell r="E6078">
            <v>79.7</v>
          </cell>
          <cell r="Z6078" t="str">
            <v>Legacy</v>
          </cell>
          <cell r="AA6078" t="str">
            <v>$1K or Below</v>
          </cell>
          <cell r="AB6078" t="str">
            <v>2010 or before</v>
          </cell>
        </row>
        <row r="6079">
          <cell r="E6079">
            <v>79.58</v>
          </cell>
          <cell r="Z6079" t="str">
            <v>Legacy</v>
          </cell>
          <cell r="AA6079" t="str">
            <v>$1K or Below</v>
          </cell>
          <cell r="AB6079">
            <v>2012</v>
          </cell>
        </row>
        <row r="6080">
          <cell r="E6080">
            <v>79.569999999999993</v>
          </cell>
          <cell r="Z6080" t="str">
            <v>Legacy</v>
          </cell>
          <cell r="AA6080" t="str">
            <v>$1K or Below</v>
          </cell>
          <cell r="AB6080">
            <v>2011</v>
          </cell>
        </row>
        <row r="6081">
          <cell r="E6081">
            <v>79.489999999999995</v>
          </cell>
          <cell r="Z6081" t="str">
            <v>Legacy</v>
          </cell>
          <cell r="AA6081" t="str">
            <v>$1K or Below</v>
          </cell>
          <cell r="AB6081" t="str">
            <v>2010 or before</v>
          </cell>
        </row>
        <row r="6082">
          <cell r="E6082">
            <v>79.37</v>
          </cell>
          <cell r="Z6082" t="str">
            <v>Legacy</v>
          </cell>
          <cell r="AA6082" t="str">
            <v>$1K or Below</v>
          </cell>
          <cell r="AB6082" t="str">
            <v>2010 or before</v>
          </cell>
        </row>
        <row r="6083">
          <cell r="E6083">
            <v>79.290000000000006</v>
          </cell>
          <cell r="Z6083" t="str">
            <v>Legacy</v>
          </cell>
          <cell r="AA6083" t="str">
            <v>$1K or Below</v>
          </cell>
          <cell r="AB6083" t="str">
            <v>2010 or before</v>
          </cell>
        </row>
        <row r="6084">
          <cell r="E6084">
            <v>79.25</v>
          </cell>
          <cell r="Z6084" t="str">
            <v>Inbound</v>
          </cell>
          <cell r="AA6084" t="str">
            <v>$1K or Below</v>
          </cell>
          <cell r="AB6084">
            <v>2012</v>
          </cell>
        </row>
        <row r="6085">
          <cell r="E6085">
            <v>79.239999999999995</v>
          </cell>
          <cell r="Z6085" t="str">
            <v>Legacy</v>
          </cell>
          <cell r="AA6085" t="str">
            <v>$1K or Below</v>
          </cell>
          <cell r="AB6085" t="str">
            <v>2010 or before</v>
          </cell>
        </row>
        <row r="6086">
          <cell r="E6086">
            <v>79</v>
          </cell>
          <cell r="Z6086" t="str">
            <v>Legacy</v>
          </cell>
          <cell r="AA6086" t="str">
            <v>$1K or Below</v>
          </cell>
          <cell r="AB6086" t="str">
            <v>2010 or before</v>
          </cell>
        </row>
        <row r="6087">
          <cell r="E6087">
            <v>78.989999999999995</v>
          </cell>
          <cell r="Z6087" t="str">
            <v>Legacy</v>
          </cell>
          <cell r="AA6087" t="str">
            <v>$1K or Below</v>
          </cell>
          <cell r="AB6087" t="str">
            <v>2010 or before</v>
          </cell>
        </row>
        <row r="6088">
          <cell r="E6088">
            <v>78.959999999999994</v>
          </cell>
          <cell r="Z6088" t="str">
            <v>Legacy</v>
          </cell>
          <cell r="AA6088" t="str">
            <v>$1K or Below</v>
          </cell>
          <cell r="AB6088" t="str">
            <v>2010 or before</v>
          </cell>
        </row>
        <row r="6089">
          <cell r="E6089">
            <v>78.739999999999995</v>
          </cell>
          <cell r="Z6089" t="str">
            <v>Ungating</v>
          </cell>
          <cell r="AA6089" t="str">
            <v>$1K or Below</v>
          </cell>
          <cell r="AB6089">
            <v>2011</v>
          </cell>
        </row>
        <row r="6090">
          <cell r="E6090">
            <v>78.599999999999994</v>
          </cell>
          <cell r="Z6090" t="str">
            <v>Legacy</v>
          </cell>
          <cell r="AA6090" t="str">
            <v>$1K or Below</v>
          </cell>
          <cell r="AB6090" t="str">
            <v>2010 or before</v>
          </cell>
        </row>
        <row r="6091">
          <cell r="E6091">
            <v>78.540000000000006</v>
          </cell>
          <cell r="Z6091" t="str">
            <v>Legacy</v>
          </cell>
          <cell r="AA6091" t="str">
            <v>$1K or Below</v>
          </cell>
          <cell r="AB6091" t="str">
            <v>2010 or before</v>
          </cell>
        </row>
        <row r="6092">
          <cell r="E6092">
            <v>78.5</v>
          </cell>
          <cell r="Z6092" t="str">
            <v>Legacy</v>
          </cell>
          <cell r="AA6092" t="str">
            <v>$1K or Below</v>
          </cell>
          <cell r="AB6092" t="str">
            <v>2010 or before</v>
          </cell>
        </row>
        <row r="6093">
          <cell r="E6093">
            <v>78.5</v>
          </cell>
          <cell r="Z6093" t="str">
            <v>Legacy</v>
          </cell>
          <cell r="AA6093" t="str">
            <v>$1K or Below</v>
          </cell>
          <cell r="AB6093" t="str">
            <v>2010 or before</v>
          </cell>
        </row>
        <row r="6094">
          <cell r="E6094">
            <v>78.48</v>
          </cell>
          <cell r="Z6094" t="str">
            <v>Legacy</v>
          </cell>
          <cell r="AA6094" t="str">
            <v>$1K or Below</v>
          </cell>
          <cell r="AB6094" t="str">
            <v>2010 or before</v>
          </cell>
        </row>
        <row r="6095">
          <cell r="E6095">
            <v>78.45</v>
          </cell>
          <cell r="Z6095" t="str">
            <v>Legacy</v>
          </cell>
          <cell r="AA6095" t="str">
            <v>$1K or Below</v>
          </cell>
          <cell r="AB6095" t="str">
            <v>2010 or before</v>
          </cell>
        </row>
        <row r="6096">
          <cell r="E6096">
            <v>78</v>
          </cell>
          <cell r="Z6096" t="str">
            <v>Legacy</v>
          </cell>
          <cell r="AA6096" t="str">
            <v>$1K or Below</v>
          </cell>
          <cell r="AB6096" t="str">
            <v>2010 or before</v>
          </cell>
        </row>
        <row r="6097">
          <cell r="E6097">
            <v>77.959999999999994</v>
          </cell>
          <cell r="Z6097" t="str">
            <v>Legacy</v>
          </cell>
          <cell r="AA6097" t="str">
            <v>$1K or Below</v>
          </cell>
          <cell r="AB6097">
            <v>2011</v>
          </cell>
        </row>
        <row r="6098">
          <cell r="E6098">
            <v>77.959999999999994</v>
          </cell>
          <cell r="Z6098" t="str">
            <v>Legacy</v>
          </cell>
          <cell r="AA6098" t="str">
            <v>$1K or Below</v>
          </cell>
          <cell r="AB6098" t="str">
            <v>2010 or before</v>
          </cell>
        </row>
        <row r="6099">
          <cell r="E6099">
            <v>77.930000000000007</v>
          </cell>
          <cell r="Z6099" t="str">
            <v>Legacy</v>
          </cell>
          <cell r="AA6099" t="str">
            <v>$1K or Below</v>
          </cell>
          <cell r="AB6099">
            <v>2012</v>
          </cell>
        </row>
        <row r="6100">
          <cell r="E6100">
            <v>77.58</v>
          </cell>
          <cell r="Z6100" t="str">
            <v>Legacy</v>
          </cell>
          <cell r="AA6100" t="str">
            <v>$1K or Below</v>
          </cell>
          <cell r="AB6100" t="str">
            <v>2010 or before</v>
          </cell>
        </row>
        <row r="6101">
          <cell r="E6101">
            <v>77.5</v>
          </cell>
          <cell r="Z6101" t="str">
            <v>Legacy</v>
          </cell>
          <cell r="AA6101" t="str">
            <v>$1K or Below</v>
          </cell>
          <cell r="AB6101">
            <v>2012</v>
          </cell>
        </row>
        <row r="6102">
          <cell r="E6102">
            <v>77.48</v>
          </cell>
          <cell r="Z6102" t="str">
            <v>Legacy</v>
          </cell>
          <cell r="AA6102" t="str">
            <v>$1K or Below</v>
          </cell>
          <cell r="AB6102" t="str">
            <v>2010 or before</v>
          </cell>
        </row>
        <row r="6103">
          <cell r="E6103">
            <v>77.400000000000006</v>
          </cell>
          <cell r="Z6103" t="str">
            <v>Legacy</v>
          </cell>
          <cell r="AA6103" t="str">
            <v>$1K or Below</v>
          </cell>
          <cell r="AB6103" t="str">
            <v>2010 or before</v>
          </cell>
        </row>
        <row r="6104">
          <cell r="E6104">
            <v>77.34</v>
          </cell>
          <cell r="Z6104" t="str">
            <v>Legacy</v>
          </cell>
          <cell r="AA6104" t="str">
            <v>$1K or Below</v>
          </cell>
          <cell r="AB6104" t="str">
            <v>2010 or before</v>
          </cell>
        </row>
        <row r="6105">
          <cell r="E6105">
            <v>77.290000000000006</v>
          </cell>
          <cell r="Z6105" t="str">
            <v>Legacy</v>
          </cell>
          <cell r="AA6105" t="str">
            <v>$1K or Below</v>
          </cell>
          <cell r="AB6105" t="str">
            <v>2010 or before</v>
          </cell>
        </row>
        <row r="6106">
          <cell r="E6106">
            <v>77.14</v>
          </cell>
          <cell r="Z6106" t="str">
            <v>Legacy</v>
          </cell>
          <cell r="AA6106" t="str">
            <v>$1K or Below</v>
          </cell>
          <cell r="AB6106" t="str">
            <v>2010 or before</v>
          </cell>
        </row>
        <row r="6107">
          <cell r="E6107">
            <v>77.06</v>
          </cell>
          <cell r="Z6107" t="str">
            <v>Legacy</v>
          </cell>
          <cell r="AA6107" t="str">
            <v>$1K or Below</v>
          </cell>
          <cell r="AB6107" t="str">
            <v>2010 or before</v>
          </cell>
        </row>
        <row r="6108">
          <cell r="E6108">
            <v>76.97</v>
          </cell>
          <cell r="Z6108" t="str">
            <v>Legacy</v>
          </cell>
          <cell r="AA6108" t="str">
            <v>$1K or Below</v>
          </cell>
          <cell r="AB6108" t="str">
            <v>2010 or before</v>
          </cell>
        </row>
        <row r="6109">
          <cell r="E6109">
            <v>76.88</v>
          </cell>
          <cell r="Z6109" t="str">
            <v>Legacy</v>
          </cell>
          <cell r="AA6109" t="str">
            <v>$1K or Below</v>
          </cell>
          <cell r="AB6109" t="str">
            <v>2010 or before</v>
          </cell>
        </row>
        <row r="6110">
          <cell r="E6110">
            <v>76.849999999999994</v>
          </cell>
          <cell r="Z6110" t="str">
            <v>Legacy</v>
          </cell>
          <cell r="AA6110" t="str">
            <v>$1K or Below</v>
          </cell>
          <cell r="AB6110">
            <v>2011</v>
          </cell>
        </row>
        <row r="6111">
          <cell r="E6111">
            <v>76.849999999999994</v>
          </cell>
          <cell r="Z6111" t="str">
            <v>Legacy</v>
          </cell>
          <cell r="AA6111" t="str">
            <v>$1K or Below</v>
          </cell>
          <cell r="AB6111" t="str">
            <v>2010 or before</v>
          </cell>
        </row>
        <row r="6112">
          <cell r="E6112">
            <v>76.78</v>
          </cell>
          <cell r="Z6112" t="str">
            <v>Legacy</v>
          </cell>
          <cell r="AA6112" t="str">
            <v>$1K or Below</v>
          </cell>
          <cell r="AB6112" t="str">
            <v>2010 or before</v>
          </cell>
        </row>
        <row r="6113">
          <cell r="E6113">
            <v>76.64</v>
          </cell>
          <cell r="Z6113" t="str">
            <v>Legacy</v>
          </cell>
          <cell r="AA6113" t="str">
            <v>$1K or Below</v>
          </cell>
          <cell r="AB6113" t="str">
            <v>2010 or before</v>
          </cell>
        </row>
        <row r="6114">
          <cell r="E6114">
            <v>76.489999999999995</v>
          </cell>
          <cell r="Z6114" t="str">
            <v>Ungating</v>
          </cell>
          <cell r="AA6114" t="str">
            <v>$1K or Below</v>
          </cell>
          <cell r="AB6114">
            <v>2012</v>
          </cell>
        </row>
        <row r="6115">
          <cell r="E6115">
            <v>76.44</v>
          </cell>
          <cell r="Z6115" t="str">
            <v>Legacy</v>
          </cell>
          <cell r="AA6115" t="str">
            <v>$1K or Below</v>
          </cell>
          <cell r="AB6115" t="str">
            <v>2010 or before</v>
          </cell>
        </row>
        <row r="6116">
          <cell r="E6116">
            <v>76.44</v>
          </cell>
          <cell r="Z6116" t="str">
            <v>Legacy</v>
          </cell>
          <cell r="AA6116" t="str">
            <v>$1K or Below</v>
          </cell>
          <cell r="AB6116" t="str">
            <v>2010 or before</v>
          </cell>
        </row>
        <row r="6117">
          <cell r="E6117">
            <v>76.430000000000007</v>
          </cell>
          <cell r="Z6117" t="str">
            <v>Legacy</v>
          </cell>
          <cell r="AA6117" t="str">
            <v>$1K or Below</v>
          </cell>
          <cell r="AB6117" t="str">
            <v>2010 or before</v>
          </cell>
        </row>
        <row r="6118">
          <cell r="E6118">
            <v>76.349999999999994</v>
          </cell>
          <cell r="Z6118" t="str">
            <v>Legacy</v>
          </cell>
          <cell r="AA6118" t="str">
            <v>$1K or Below</v>
          </cell>
          <cell r="AB6118">
            <v>2012</v>
          </cell>
        </row>
        <row r="6119">
          <cell r="E6119">
            <v>76.239999999999995</v>
          </cell>
          <cell r="Z6119" t="str">
            <v>Legacy</v>
          </cell>
          <cell r="AA6119" t="str">
            <v>$1K or Below</v>
          </cell>
          <cell r="AB6119" t="str">
            <v>2010 or before</v>
          </cell>
        </row>
        <row r="6120">
          <cell r="E6120">
            <v>76.180000000000007</v>
          </cell>
          <cell r="Z6120" t="str">
            <v>Legacy</v>
          </cell>
          <cell r="AA6120" t="str">
            <v>$1K or Below</v>
          </cell>
          <cell r="AB6120" t="str">
            <v>2010 or before</v>
          </cell>
        </row>
        <row r="6121">
          <cell r="E6121">
            <v>75.97</v>
          </cell>
          <cell r="Z6121" t="str">
            <v>Legacy</v>
          </cell>
          <cell r="AA6121" t="str">
            <v>$1K or Below</v>
          </cell>
          <cell r="AB6121">
            <v>2011</v>
          </cell>
        </row>
        <row r="6122">
          <cell r="E6122">
            <v>75.959999999999994</v>
          </cell>
          <cell r="Z6122" t="str">
            <v>Legacy</v>
          </cell>
          <cell r="AA6122" t="str">
            <v>$1K or Below</v>
          </cell>
          <cell r="AB6122" t="str">
            <v>2010 or before</v>
          </cell>
        </row>
        <row r="6123">
          <cell r="E6123">
            <v>75.959999999999994</v>
          </cell>
          <cell r="Z6123" t="str">
            <v>Legacy</v>
          </cell>
          <cell r="AA6123" t="str">
            <v>$1K or Below</v>
          </cell>
          <cell r="AB6123">
            <v>2011</v>
          </cell>
        </row>
        <row r="6124">
          <cell r="E6124">
            <v>75.900000000000006</v>
          </cell>
          <cell r="Z6124" t="str">
            <v>Legacy</v>
          </cell>
          <cell r="AA6124" t="str">
            <v>$1K or Below</v>
          </cell>
          <cell r="AB6124">
            <v>2011</v>
          </cell>
        </row>
        <row r="6125">
          <cell r="E6125">
            <v>75.87</v>
          </cell>
          <cell r="Z6125" t="str">
            <v>Legacy</v>
          </cell>
          <cell r="AA6125" t="str">
            <v>$1K or Below</v>
          </cell>
          <cell r="AB6125" t="str">
            <v>2010 or before</v>
          </cell>
        </row>
        <row r="6126">
          <cell r="E6126">
            <v>75.84</v>
          </cell>
          <cell r="Z6126" t="str">
            <v>Legacy</v>
          </cell>
          <cell r="AA6126" t="str">
            <v>$1K or Below</v>
          </cell>
          <cell r="AB6126" t="str">
            <v>2010 or before</v>
          </cell>
        </row>
        <row r="6127">
          <cell r="E6127">
            <v>75.790000000000006</v>
          </cell>
          <cell r="Z6127" t="str">
            <v>Ungating</v>
          </cell>
          <cell r="AA6127" t="str">
            <v>$1K or Below</v>
          </cell>
          <cell r="AB6127">
            <v>2013</v>
          </cell>
        </row>
        <row r="6128">
          <cell r="E6128">
            <v>75.52</v>
          </cell>
          <cell r="Z6128" t="str">
            <v>Legacy</v>
          </cell>
          <cell r="AA6128" t="str">
            <v>$1K or Below</v>
          </cell>
          <cell r="AB6128" t="str">
            <v>2010 or before</v>
          </cell>
        </row>
        <row r="6129">
          <cell r="E6129">
            <v>75.489999999999995</v>
          </cell>
          <cell r="Z6129" t="str">
            <v>Legacy</v>
          </cell>
          <cell r="AA6129" t="str">
            <v>$1K or Below</v>
          </cell>
          <cell r="AB6129" t="str">
            <v>2010 or before</v>
          </cell>
        </row>
        <row r="6130">
          <cell r="E6130">
            <v>75.489999999999995</v>
          </cell>
          <cell r="Z6130" t="str">
            <v>Legacy</v>
          </cell>
          <cell r="AA6130" t="str">
            <v>$1K or Below</v>
          </cell>
          <cell r="AB6130" t="str">
            <v>2010 or before</v>
          </cell>
        </row>
        <row r="6131">
          <cell r="E6131">
            <v>75.489999999999995</v>
          </cell>
          <cell r="Z6131" t="str">
            <v>Legacy</v>
          </cell>
          <cell r="AA6131" t="str">
            <v>$1K or Below</v>
          </cell>
          <cell r="AB6131" t="str">
            <v>2010 or before</v>
          </cell>
        </row>
        <row r="6132">
          <cell r="E6132">
            <v>75.37</v>
          </cell>
          <cell r="Z6132" t="str">
            <v>Legacy</v>
          </cell>
          <cell r="AA6132" t="str">
            <v>$1K or Below</v>
          </cell>
          <cell r="AB6132" t="str">
            <v>2010 or before</v>
          </cell>
        </row>
        <row r="6133">
          <cell r="E6133">
            <v>75.260000000000005</v>
          </cell>
          <cell r="Z6133" t="str">
            <v>Legacy</v>
          </cell>
          <cell r="AA6133" t="str">
            <v>$1K or Below</v>
          </cell>
          <cell r="AB6133" t="str">
            <v>2010 or before</v>
          </cell>
        </row>
        <row r="6134">
          <cell r="E6134">
            <v>75</v>
          </cell>
          <cell r="Z6134" t="str">
            <v>Outbound</v>
          </cell>
          <cell r="AA6134" t="str">
            <v>$1K or Below</v>
          </cell>
          <cell r="AB6134">
            <v>2012</v>
          </cell>
        </row>
        <row r="6135">
          <cell r="E6135">
            <v>75</v>
          </cell>
          <cell r="Z6135" t="str">
            <v>Legacy</v>
          </cell>
          <cell r="AA6135" t="str">
            <v>$1K or Below</v>
          </cell>
          <cell r="AB6135" t="str">
            <v>2010 or before</v>
          </cell>
        </row>
        <row r="6136">
          <cell r="E6136">
            <v>74.95</v>
          </cell>
          <cell r="Z6136" t="str">
            <v>Legacy</v>
          </cell>
          <cell r="AA6136" t="str">
            <v>$1K or Below</v>
          </cell>
          <cell r="AB6136" t="str">
            <v>2010 or before</v>
          </cell>
        </row>
        <row r="6137">
          <cell r="E6137">
            <v>74.89</v>
          </cell>
          <cell r="Z6137" t="str">
            <v>Legacy</v>
          </cell>
          <cell r="AA6137" t="str">
            <v>$1K or Below</v>
          </cell>
          <cell r="AB6137" t="str">
            <v>2010 or before</v>
          </cell>
        </row>
        <row r="6138">
          <cell r="E6138">
            <v>74.88</v>
          </cell>
          <cell r="Z6138" t="str">
            <v>Legacy</v>
          </cell>
          <cell r="AA6138" t="str">
            <v>$1K or Below</v>
          </cell>
          <cell r="AB6138" t="str">
            <v>2010 or before</v>
          </cell>
        </row>
        <row r="6139">
          <cell r="E6139">
            <v>74.83</v>
          </cell>
          <cell r="Z6139" t="str">
            <v>Legacy</v>
          </cell>
          <cell r="AA6139" t="str">
            <v>$1K or Below</v>
          </cell>
          <cell r="AB6139" t="str">
            <v>2010 or before</v>
          </cell>
        </row>
        <row r="6140">
          <cell r="E6140">
            <v>74.77</v>
          </cell>
          <cell r="Z6140" t="str">
            <v>Legacy</v>
          </cell>
          <cell r="AA6140" t="str">
            <v>$1K or Below</v>
          </cell>
          <cell r="AB6140" t="str">
            <v>2010 or before</v>
          </cell>
        </row>
        <row r="6141">
          <cell r="E6141">
            <v>74.61</v>
          </cell>
          <cell r="Z6141" t="str">
            <v>Legacy</v>
          </cell>
          <cell r="AA6141" t="str">
            <v>$1K or Below</v>
          </cell>
          <cell r="AB6141" t="str">
            <v>2010 or before</v>
          </cell>
        </row>
        <row r="6142">
          <cell r="E6142">
            <v>74.599999999999994</v>
          </cell>
          <cell r="Z6142" t="str">
            <v>Legacy</v>
          </cell>
          <cell r="AA6142" t="str">
            <v>$1K or Below</v>
          </cell>
          <cell r="AB6142" t="str">
            <v>2010 or before</v>
          </cell>
        </row>
        <row r="6143">
          <cell r="E6143">
            <v>74.5</v>
          </cell>
          <cell r="Z6143" t="str">
            <v>Legacy</v>
          </cell>
          <cell r="AA6143" t="str">
            <v>$1K or Below</v>
          </cell>
          <cell r="AB6143" t="str">
            <v>2010 or before</v>
          </cell>
        </row>
        <row r="6144">
          <cell r="E6144">
            <v>74.48</v>
          </cell>
          <cell r="Z6144" t="str">
            <v>Legacy</v>
          </cell>
          <cell r="AA6144" t="str">
            <v>$1K or Below</v>
          </cell>
          <cell r="AB6144" t="str">
            <v>2010 or before</v>
          </cell>
        </row>
        <row r="6145">
          <cell r="E6145">
            <v>74.47</v>
          </cell>
          <cell r="Z6145" t="str">
            <v>Legacy</v>
          </cell>
          <cell r="AA6145" t="str">
            <v>$1K or Below</v>
          </cell>
          <cell r="AB6145">
            <v>2011</v>
          </cell>
        </row>
        <row r="6146">
          <cell r="E6146">
            <v>74.44</v>
          </cell>
          <cell r="Z6146" t="str">
            <v>Legacy</v>
          </cell>
          <cell r="AA6146" t="str">
            <v>$1K or Below</v>
          </cell>
          <cell r="AB6146" t="str">
            <v>2010 or before</v>
          </cell>
        </row>
        <row r="6147">
          <cell r="E6147">
            <v>74.34</v>
          </cell>
          <cell r="Z6147" t="str">
            <v>Legacy</v>
          </cell>
          <cell r="AA6147" t="str">
            <v>$1K or Below</v>
          </cell>
          <cell r="AB6147">
            <v>2012</v>
          </cell>
        </row>
        <row r="6148">
          <cell r="E6148">
            <v>74.25</v>
          </cell>
          <cell r="Z6148" t="str">
            <v>Legacy</v>
          </cell>
          <cell r="AA6148" t="str">
            <v>$1K or Below</v>
          </cell>
          <cell r="AB6148" t="str">
            <v>2010 or before</v>
          </cell>
        </row>
        <row r="6149">
          <cell r="E6149">
            <v>74.12</v>
          </cell>
          <cell r="Z6149" t="str">
            <v>Legacy</v>
          </cell>
          <cell r="AA6149" t="str">
            <v>$1K or Below</v>
          </cell>
          <cell r="AB6149" t="str">
            <v>2010 or before</v>
          </cell>
        </row>
        <row r="6150">
          <cell r="E6150">
            <v>74</v>
          </cell>
          <cell r="Z6150" t="str">
            <v>Legacy</v>
          </cell>
          <cell r="AA6150" t="str">
            <v>$1K or Below</v>
          </cell>
          <cell r="AB6150" t="str">
            <v>2010 or before</v>
          </cell>
        </row>
        <row r="6151">
          <cell r="E6151">
            <v>74</v>
          </cell>
          <cell r="Z6151" t="str">
            <v>Legacy</v>
          </cell>
          <cell r="AA6151" t="str">
            <v>$1K or Below</v>
          </cell>
          <cell r="AB6151" t="str">
            <v>2010 or before</v>
          </cell>
        </row>
        <row r="6152">
          <cell r="E6152">
            <v>74</v>
          </cell>
          <cell r="Z6152" t="str">
            <v>Legacy</v>
          </cell>
          <cell r="AA6152" t="str">
            <v>$1K or Below</v>
          </cell>
          <cell r="AB6152" t="str">
            <v>2010 or before</v>
          </cell>
        </row>
        <row r="6153">
          <cell r="E6153">
            <v>73.98</v>
          </cell>
          <cell r="Z6153" t="str">
            <v>Legacy</v>
          </cell>
          <cell r="AA6153" t="str">
            <v>$1K or Below</v>
          </cell>
          <cell r="AB6153" t="str">
            <v>2010 or before</v>
          </cell>
        </row>
        <row r="6154">
          <cell r="E6154">
            <v>73.98</v>
          </cell>
          <cell r="Z6154" t="str">
            <v>Legacy</v>
          </cell>
          <cell r="AA6154" t="str">
            <v>$1K or Below</v>
          </cell>
          <cell r="AB6154">
            <v>2012</v>
          </cell>
        </row>
        <row r="6155">
          <cell r="E6155">
            <v>73.88</v>
          </cell>
          <cell r="Z6155" t="str">
            <v>Legacy</v>
          </cell>
          <cell r="AA6155" t="str">
            <v>$1K or Below</v>
          </cell>
          <cell r="AB6155" t="str">
            <v>2010 or before</v>
          </cell>
        </row>
        <row r="6156">
          <cell r="E6156">
            <v>73.77</v>
          </cell>
          <cell r="Z6156" t="str">
            <v>Legacy</v>
          </cell>
          <cell r="AA6156" t="str">
            <v>$1K or Below</v>
          </cell>
          <cell r="AB6156" t="str">
            <v>2010 or before</v>
          </cell>
        </row>
        <row r="6157">
          <cell r="E6157">
            <v>73.510000000000005</v>
          </cell>
          <cell r="Z6157" t="str">
            <v>Legacy</v>
          </cell>
          <cell r="AA6157" t="str">
            <v>$1K or Below</v>
          </cell>
          <cell r="AB6157" t="str">
            <v>2010 or before</v>
          </cell>
        </row>
        <row r="6158">
          <cell r="E6158">
            <v>73.47</v>
          </cell>
          <cell r="Z6158" t="str">
            <v>Legacy</v>
          </cell>
          <cell r="AA6158" t="str">
            <v>$1K or Below</v>
          </cell>
          <cell r="AB6158" t="str">
            <v>2010 or before</v>
          </cell>
        </row>
        <row r="6159">
          <cell r="E6159">
            <v>73.45</v>
          </cell>
          <cell r="Z6159" t="str">
            <v>Legacy</v>
          </cell>
          <cell r="AA6159" t="str">
            <v>$1K or Below</v>
          </cell>
          <cell r="AB6159">
            <v>2011</v>
          </cell>
        </row>
        <row r="6160">
          <cell r="E6160">
            <v>73.45</v>
          </cell>
          <cell r="Z6160" t="str">
            <v>Legacy</v>
          </cell>
          <cell r="AA6160" t="str">
            <v>$1K or Below</v>
          </cell>
          <cell r="AB6160" t="str">
            <v>2010 or before</v>
          </cell>
        </row>
        <row r="6161">
          <cell r="E6161">
            <v>73.319999999999993</v>
          </cell>
          <cell r="Z6161" t="str">
            <v>Inbound</v>
          </cell>
          <cell r="AA6161" t="str">
            <v>$1K or Below</v>
          </cell>
          <cell r="AB6161">
            <v>2011</v>
          </cell>
        </row>
        <row r="6162">
          <cell r="E6162">
            <v>73.16</v>
          </cell>
          <cell r="Z6162" t="str">
            <v>Legacy</v>
          </cell>
          <cell r="AA6162" t="str">
            <v>$1K or Below</v>
          </cell>
          <cell r="AB6162" t="str">
            <v>2010 or before</v>
          </cell>
        </row>
        <row r="6163">
          <cell r="E6163">
            <v>73.03</v>
          </cell>
          <cell r="Z6163" t="str">
            <v>Legacy</v>
          </cell>
          <cell r="AA6163" t="str">
            <v>$1K or Below</v>
          </cell>
          <cell r="AB6163" t="str">
            <v>2010 or before</v>
          </cell>
        </row>
        <row r="6164">
          <cell r="E6164">
            <v>72.989999999999995</v>
          </cell>
          <cell r="Z6164" t="str">
            <v>Legacy</v>
          </cell>
          <cell r="AA6164" t="str">
            <v>$1K or Below</v>
          </cell>
          <cell r="AB6164" t="str">
            <v>2010 or before</v>
          </cell>
        </row>
        <row r="6165">
          <cell r="E6165">
            <v>72.959999999999994</v>
          </cell>
          <cell r="Z6165" t="str">
            <v>Legacy</v>
          </cell>
          <cell r="AA6165" t="str">
            <v>$1K or Below</v>
          </cell>
          <cell r="AB6165" t="str">
            <v>2010 or before</v>
          </cell>
        </row>
        <row r="6166">
          <cell r="E6166">
            <v>72.88</v>
          </cell>
          <cell r="Z6166" t="str">
            <v>Legacy</v>
          </cell>
          <cell r="AA6166" t="str">
            <v>$1K or Below</v>
          </cell>
          <cell r="AB6166" t="str">
            <v>2010 or before</v>
          </cell>
        </row>
        <row r="6167">
          <cell r="E6167">
            <v>72.75</v>
          </cell>
          <cell r="Z6167" t="str">
            <v>Legacy</v>
          </cell>
          <cell r="AA6167" t="str">
            <v>$1K or Below</v>
          </cell>
          <cell r="AB6167" t="str">
            <v>2010 or before</v>
          </cell>
        </row>
        <row r="6168">
          <cell r="E6168">
            <v>72.64</v>
          </cell>
          <cell r="Z6168" t="str">
            <v>Legacy</v>
          </cell>
          <cell r="AA6168" t="str">
            <v>$1K or Below</v>
          </cell>
          <cell r="AB6168" t="str">
            <v>2010 or before</v>
          </cell>
        </row>
        <row r="6169">
          <cell r="E6169">
            <v>72.290000000000006</v>
          </cell>
          <cell r="Z6169" t="str">
            <v>Legacy</v>
          </cell>
          <cell r="AA6169" t="str">
            <v>$1K or Below</v>
          </cell>
          <cell r="AB6169" t="str">
            <v>2010 or before</v>
          </cell>
        </row>
        <row r="6170">
          <cell r="E6170">
            <v>72.17</v>
          </cell>
          <cell r="Z6170" t="str">
            <v>Legacy</v>
          </cell>
          <cell r="AA6170" t="str">
            <v>$1K or Below</v>
          </cell>
          <cell r="AB6170" t="str">
            <v>2010 or before</v>
          </cell>
        </row>
        <row r="6171">
          <cell r="E6171">
            <v>72.03</v>
          </cell>
          <cell r="Z6171" t="str">
            <v>Legacy</v>
          </cell>
          <cell r="AA6171" t="str">
            <v>$1K or Below</v>
          </cell>
          <cell r="AB6171" t="str">
            <v>2010 or before</v>
          </cell>
        </row>
        <row r="6172">
          <cell r="E6172">
            <v>71.959999999999994</v>
          </cell>
          <cell r="Z6172" t="str">
            <v>Legacy</v>
          </cell>
          <cell r="AA6172" t="str">
            <v>$1K or Below</v>
          </cell>
          <cell r="AB6172" t="str">
            <v>2010 or before</v>
          </cell>
        </row>
        <row r="6173">
          <cell r="E6173">
            <v>71.900000000000006</v>
          </cell>
          <cell r="Z6173" t="str">
            <v>Legacy</v>
          </cell>
          <cell r="AA6173" t="str">
            <v>$1K or Below</v>
          </cell>
          <cell r="AB6173" t="str">
            <v>2010 or before</v>
          </cell>
        </row>
        <row r="6174">
          <cell r="E6174">
            <v>71.900000000000006</v>
          </cell>
          <cell r="Z6174" t="str">
            <v>Legacy</v>
          </cell>
          <cell r="AA6174" t="str">
            <v>$1K or Below</v>
          </cell>
          <cell r="AB6174">
            <v>2011</v>
          </cell>
        </row>
        <row r="6175">
          <cell r="E6175">
            <v>71.86</v>
          </cell>
          <cell r="Z6175" t="str">
            <v>Legacy</v>
          </cell>
          <cell r="AA6175" t="str">
            <v>$1K or Below</v>
          </cell>
          <cell r="AB6175" t="str">
            <v>2010 or before</v>
          </cell>
        </row>
        <row r="6176">
          <cell r="E6176">
            <v>71.8</v>
          </cell>
          <cell r="Z6176" t="str">
            <v>Legacy</v>
          </cell>
          <cell r="AA6176" t="str">
            <v>$1K or Below</v>
          </cell>
          <cell r="AB6176" t="str">
            <v>2010 or before</v>
          </cell>
        </row>
        <row r="6177">
          <cell r="E6177">
            <v>71.7</v>
          </cell>
          <cell r="Z6177" t="str">
            <v>Legacy</v>
          </cell>
          <cell r="AA6177" t="str">
            <v>$1K or Below</v>
          </cell>
          <cell r="AB6177" t="str">
            <v>2010 or before</v>
          </cell>
        </row>
        <row r="6178">
          <cell r="E6178">
            <v>71.52</v>
          </cell>
          <cell r="Z6178" t="str">
            <v>Legacy</v>
          </cell>
          <cell r="AA6178" t="str">
            <v>$1K or Below</v>
          </cell>
          <cell r="AB6178" t="str">
            <v>2010 or before</v>
          </cell>
        </row>
        <row r="6179">
          <cell r="E6179">
            <v>71.48</v>
          </cell>
          <cell r="Z6179" t="str">
            <v>Legacy</v>
          </cell>
          <cell r="AA6179" t="str">
            <v>$1K or Below</v>
          </cell>
          <cell r="AB6179" t="str">
            <v>2010 or before</v>
          </cell>
        </row>
        <row r="6180">
          <cell r="E6180">
            <v>71.39</v>
          </cell>
          <cell r="Z6180" t="str">
            <v>Legacy</v>
          </cell>
          <cell r="AA6180" t="str">
            <v>$1K or Below</v>
          </cell>
          <cell r="AB6180" t="str">
            <v>2010 or before</v>
          </cell>
        </row>
        <row r="6181">
          <cell r="E6181">
            <v>71.25</v>
          </cell>
          <cell r="Z6181" t="str">
            <v>Legacy</v>
          </cell>
          <cell r="AA6181" t="str">
            <v>$1K or Below</v>
          </cell>
          <cell r="AB6181" t="str">
            <v>2010 or before</v>
          </cell>
        </row>
        <row r="6182">
          <cell r="E6182">
            <v>71.19</v>
          </cell>
          <cell r="Z6182" t="str">
            <v>Legacy</v>
          </cell>
          <cell r="AA6182" t="str">
            <v>$1K or Below</v>
          </cell>
          <cell r="AB6182" t="str">
            <v>2010 or before</v>
          </cell>
        </row>
        <row r="6183">
          <cell r="E6183">
            <v>71.099999999999994</v>
          </cell>
          <cell r="Z6183" t="str">
            <v>Legacy</v>
          </cell>
          <cell r="AA6183" t="str">
            <v>$1K or Below</v>
          </cell>
          <cell r="AB6183" t="str">
            <v>2010 or before</v>
          </cell>
        </row>
        <row r="6184">
          <cell r="E6184">
            <v>71</v>
          </cell>
          <cell r="Z6184" t="str">
            <v>Legacy</v>
          </cell>
          <cell r="AA6184" t="str">
            <v>$1K or Below</v>
          </cell>
          <cell r="AB6184" t="str">
            <v>2010 or before</v>
          </cell>
        </row>
        <row r="6185">
          <cell r="E6185">
            <v>70.989999999999995</v>
          </cell>
          <cell r="Z6185" t="str">
            <v>Legacy</v>
          </cell>
          <cell r="AA6185" t="str">
            <v>$1K or Below</v>
          </cell>
          <cell r="AB6185" t="str">
            <v>2010 or before</v>
          </cell>
        </row>
        <row r="6186">
          <cell r="E6186">
            <v>70.98</v>
          </cell>
          <cell r="Z6186" t="str">
            <v>Legacy</v>
          </cell>
          <cell r="AA6186" t="str">
            <v>$1K or Below</v>
          </cell>
          <cell r="AB6186" t="str">
            <v>2010 or before</v>
          </cell>
        </row>
        <row r="6187">
          <cell r="E6187">
            <v>70.95</v>
          </cell>
          <cell r="Z6187" t="str">
            <v>Legacy</v>
          </cell>
          <cell r="AA6187" t="str">
            <v>$1K or Below</v>
          </cell>
          <cell r="AB6187" t="str">
            <v>2010 or before</v>
          </cell>
        </row>
        <row r="6188">
          <cell r="E6188">
            <v>70.88</v>
          </cell>
          <cell r="Z6188" t="str">
            <v>Legacy</v>
          </cell>
          <cell r="AA6188" t="str">
            <v>$1K or Below</v>
          </cell>
          <cell r="AB6188" t="str">
            <v>2010 or before</v>
          </cell>
        </row>
        <row r="6189">
          <cell r="E6189">
            <v>70.680000000000007</v>
          </cell>
          <cell r="Z6189" t="str">
            <v>Legacy</v>
          </cell>
          <cell r="AA6189" t="str">
            <v>$1K or Below</v>
          </cell>
          <cell r="AB6189" t="str">
            <v>2010 or before</v>
          </cell>
        </row>
        <row r="6190">
          <cell r="E6190">
            <v>70.67</v>
          </cell>
          <cell r="Z6190" t="str">
            <v>Legacy</v>
          </cell>
          <cell r="AA6190" t="str">
            <v>$1K or Below</v>
          </cell>
          <cell r="AB6190" t="str">
            <v>2010 or before</v>
          </cell>
        </row>
        <row r="6191">
          <cell r="E6191">
            <v>70.48</v>
          </cell>
          <cell r="Z6191" t="str">
            <v>Legacy</v>
          </cell>
          <cell r="AA6191" t="str">
            <v>$1K or Below</v>
          </cell>
          <cell r="AB6191">
            <v>2011</v>
          </cell>
        </row>
        <row r="6192">
          <cell r="E6192">
            <v>70.47</v>
          </cell>
          <cell r="Z6192" t="str">
            <v>Legacy</v>
          </cell>
          <cell r="AA6192" t="str">
            <v>$1K or Below</v>
          </cell>
          <cell r="AB6192" t="str">
            <v>2010 or before</v>
          </cell>
        </row>
        <row r="6193">
          <cell r="E6193">
            <v>70.41</v>
          </cell>
          <cell r="Z6193" t="str">
            <v>Legacy</v>
          </cell>
          <cell r="AA6193" t="str">
            <v>$1K or Below</v>
          </cell>
          <cell r="AB6193" t="str">
            <v>2010 or before</v>
          </cell>
        </row>
        <row r="6194">
          <cell r="E6194">
            <v>70.36</v>
          </cell>
          <cell r="Z6194" t="str">
            <v>Legacy</v>
          </cell>
          <cell r="AA6194" t="str">
            <v>$1K or Below</v>
          </cell>
          <cell r="AB6194" t="str">
            <v>2010 or before</v>
          </cell>
        </row>
        <row r="6195">
          <cell r="E6195">
            <v>70.12</v>
          </cell>
          <cell r="Z6195" t="str">
            <v>Legacy</v>
          </cell>
          <cell r="AA6195" t="str">
            <v>$1K or Below</v>
          </cell>
          <cell r="AB6195" t="str">
            <v>2010 or before</v>
          </cell>
        </row>
        <row r="6196">
          <cell r="E6196">
            <v>70.05</v>
          </cell>
          <cell r="Z6196" t="str">
            <v>Legacy</v>
          </cell>
          <cell r="AA6196" t="str">
            <v>$1K or Below</v>
          </cell>
          <cell r="AB6196" t="str">
            <v>2010 or before</v>
          </cell>
        </row>
        <row r="6197">
          <cell r="E6197">
            <v>70</v>
          </cell>
          <cell r="Z6197" t="str">
            <v>Legacy</v>
          </cell>
          <cell r="AA6197" t="str">
            <v>$1K or Below</v>
          </cell>
          <cell r="AB6197" t="str">
            <v>2010 or before</v>
          </cell>
        </row>
        <row r="6198">
          <cell r="E6198">
            <v>70</v>
          </cell>
          <cell r="Z6198" t="str">
            <v>Legacy</v>
          </cell>
          <cell r="AA6198" t="str">
            <v>$1K or Below</v>
          </cell>
          <cell r="AB6198" t="str">
            <v>2010 or before</v>
          </cell>
        </row>
        <row r="6199">
          <cell r="E6199">
            <v>70</v>
          </cell>
          <cell r="Z6199" t="str">
            <v>Legacy</v>
          </cell>
          <cell r="AA6199" t="str">
            <v>$1K or Below</v>
          </cell>
          <cell r="AB6199" t="str">
            <v>2010 or before</v>
          </cell>
        </row>
        <row r="6200">
          <cell r="E6200">
            <v>69.989999999999995</v>
          </cell>
          <cell r="Z6200" t="str">
            <v>Legacy</v>
          </cell>
          <cell r="AA6200" t="str">
            <v>$1K or Below</v>
          </cell>
          <cell r="AB6200" t="str">
            <v>2010 or before</v>
          </cell>
        </row>
        <row r="6201">
          <cell r="E6201">
            <v>69.989999999999995</v>
          </cell>
          <cell r="Z6201" t="str">
            <v>Legacy</v>
          </cell>
          <cell r="AA6201" t="str">
            <v>$1K or Below</v>
          </cell>
          <cell r="AB6201" t="str">
            <v>2010 or before</v>
          </cell>
        </row>
        <row r="6202">
          <cell r="E6202">
            <v>69.989999999999995</v>
          </cell>
          <cell r="Z6202" t="str">
            <v>Legacy</v>
          </cell>
          <cell r="AA6202" t="str">
            <v>$1K or Below</v>
          </cell>
          <cell r="AB6202" t="str">
            <v>2010 or before</v>
          </cell>
        </row>
        <row r="6203">
          <cell r="E6203">
            <v>69.97</v>
          </cell>
          <cell r="Z6203" t="str">
            <v>Legacy</v>
          </cell>
          <cell r="AA6203" t="str">
            <v>$1K or Below</v>
          </cell>
          <cell r="AB6203" t="str">
            <v>2010 or before</v>
          </cell>
        </row>
        <row r="6204">
          <cell r="E6204">
            <v>69.97</v>
          </cell>
          <cell r="Z6204" t="str">
            <v>Legacy</v>
          </cell>
          <cell r="AA6204" t="str">
            <v>$1K or Below</v>
          </cell>
          <cell r="AB6204" t="str">
            <v>2010 or before</v>
          </cell>
        </row>
        <row r="6205">
          <cell r="E6205">
            <v>69.95</v>
          </cell>
          <cell r="Z6205" t="str">
            <v>Legacy</v>
          </cell>
          <cell r="AA6205" t="str">
            <v>$1K or Below</v>
          </cell>
          <cell r="AB6205" t="str">
            <v>2010 or before</v>
          </cell>
        </row>
        <row r="6206">
          <cell r="E6206">
            <v>69.94</v>
          </cell>
          <cell r="Z6206" t="str">
            <v>Legacy</v>
          </cell>
          <cell r="AA6206" t="str">
            <v>$1K or Below</v>
          </cell>
          <cell r="AB6206" t="str">
            <v>2010 or before</v>
          </cell>
        </row>
        <row r="6207">
          <cell r="E6207">
            <v>69.8</v>
          </cell>
          <cell r="Z6207" t="str">
            <v>Legacy</v>
          </cell>
          <cell r="AA6207" t="str">
            <v>$1K or Below</v>
          </cell>
          <cell r="AB6207" t="str">
            <v>2010 or before</v>
          </cell>
        </row>
        <row r="6208">
          <cell r="E6208">
            <v>69.790000000000006</v>
          </cell>
          <cell r="Z6208" t="str">
            <v>Legacy</v>
          </cell>
          <cell r="AA6208" t="str">
            <v>$1K or Below</v>
          </cell>
          <cell r="AB6208" t="str">
            <v>2010 or before</v>
          </cell>
        </row>
        <row r="6209">
          <cell r="E6209">
            <v>69.73</v>
          </cell>
          <cell r="Z6209" t="str">
            <v>Legacy</v>
          </cell>
          <cell r="AA6209" t="str">
            <v>$1K or Below</v>
          </cell>
          <cell r="AB6209" t="str">
            <v>2010 or before</v>
          </cell>
        </row>
        <row r="6210">
          <cell r="E6210">
            <v>69.62</v>
          </cell>
          <cell r="Z6210" t="str">
            <v>Legacy</v>
          </cell>
          <cell r="AA6210" t="str">
            <v>$1K or Below</v>
          </cell>
          <cell r="AB6210" t="str">
            <v>2010 or before</v>
          </cell>
        </row>
        <row r="6211">
          <cell r="E6211">
            <v>69.5</v>
          </cell>
          <cell r="Z6211" t="str">
            <v>Legacy</v>
          </cell>
          <cell r="AA6211" t="str">
            <v>$1K or Below</v>
          </cell>
          <cell r="AB6211" t="str">
            <v>2010 or before</v>
          </cell>
        </row>
        <row r="6212">
          <cell r="E6212">
            <v>69.489999999999995</v>
          </cell>
          <cell r="Z6212" t="str">
            <v>Legacy</v>
          </cell>
          <cell r="AA6212" t="str">
            <v>$1K or Below</v>
          </cell>
          <cell r="AB6212" t="str">
            <v>2010 or before</v>
          </cell>
        </row>
        <row r="6213">
          <cell r="E6213">
            <v>69.48</v>
          </cell>
          <cell r="Z6213" t="str">
            <v>Legacy</v>
          </cell>
          <cell r="AA6213" t="str">
            <v>$1K or Below</v>
          </cell>
          <cell r="AB6213" t="str">
            <v>2010 or before</v>
          </cell>
        </row>
        <row r="6214">
          <cell r="E6214">
            <v>69.33</v>
          </cell>
          <cell r="Z6214" t="str">
            <v>Legacy</v>
          </cell>
          <cell r="AA6214" t="str">
            <v>$1K or Below</v>
          </cell>
          <cell r="AB6214">
            <v>2011</v>
          </cell>
        </row>
        <row r="6215">
          <cell r="E6215">
            <v>69.33</v>
          </cell>
          <cell r="Z6215" t="str">
            <v>Ungating</v>
          </cell>
          <cell r="AA6215" t="str">
            <v>$1K or Below</v>
          </cell>
          <cell r="AB6215">
            <v>2012</v>
          </cell>
        </row>
        <row r="6216">
          <cell r="E6216">
            <v>69.12</v>
          </cell>
          <cell r="Z6216" t="str">
            <v>Legacy</v>
          </cell>
          <cell r="AA6216" t="str">
            <v>$1K or Below</v>
          </cell>
          <cell r="AB6216" t="str">
            <v>2010 or before</v>
          </cell>
        </row>
        <row r="6217">
          <cell r="E6217">
            <v>69</v>
          </cell>
          <cell r="Z6217" t="str">
            <v>Legacy</v>
          </cell>
          <cell r="AA6217" t="str">
            <v>$1K or Below</v>
          </cell>
          <cell r="AB6217" t="str">
            <v>2010 or before</v>
          </cell>
        </row>
        <row r="6218">
          <cell r="E6218">
            <v>68.98</v>
          </cell>
          <cell r="Z6218" t="str">
            <v>Legacy</v>
          </cell>
          <cell r="AA6218" t="str">
            <v>$1K or Below</v>
          </cell>
          <cell r="AB6218" t="str">
            <v>2010 or before</v>
          </cell>
        </row>
        <row r="6219">
          <cell r="E6219">
            <v>68.959999999999994</v>
          </cell>
          <cell r="Z6219" t="str">
            <v>Legacy</v>
          </cell>
          <cell r="AA6219" t="str">
            <v>$1K or Below</v>
          </cell>
          <cell r="AB6219" t="str">
            <v>2010 or before</v>
          </cell>
        </row>
        <row r="6220">
          <cell r="E6220">
            <v>68.959999999999994</v>
          </cell>
          <cell r="Z6220" t="str">
            <v>Inbound</v>
          </cell>
          <cell r="AA6220" t="str">
            <v>$1K or Below</v>
          </cell>
          <cell r="AB6220">
            <v>2013</v>
          </cell>
        </row>
        <row r="6221">
          <cell r="E6221">
            <v>68.959999999999994</v>
          </cell>
          <cell r="Z6221" t="str">
            <v>Legacy</v>
          </cell>
          <cell r="AA6221" t="str">
            <v>$1K or Below</v>
          </cell>
          <cell r="AB6221" t="str">
            <v>2010 or before</v>
          </cell>
        </row>
        <row r="6222">
          <cell r="E6222">
            <v>68.819999999999993</v>
          </cell>
          <cell r="Z6222" t="str">
            <v>Legacy</v>
          </cell>
          <cell r="AA6222" t="str">
            <v>$1K or Below</v>
          </cell>
          <cell r="AB6222" t="str">
            <v>2010 or before</v>
          </cell>
        </row>
        <row r="6223">
          <cell r="E6223">
            <v>68.790000000000006</v>
          </cell>
          <cell r="Z6223" t="str">
            <v>Legacy</v>
          </cell>
          <cell r="AA6223" t="str">
            <v>$1K or Below</v>
          </cell>
          <cell r="AB6223" t="str">
            <v>2010 or before</v>
          </cell>
        </row>
        <row r="6224">
          <cell r="E6224">
            <v>68.67</v>
          </cell>
          <cell r="Z6224" t="str">
            <v>Legacy</v>
          </cell>
          <cell r="AA6224" t="str">
            <v>$1K or Below</v>
          </cell>
          <cell r="AB6224" t="str">
            <v>2010 or before</v>
          </cell>
        </row>
        <row r="6225">
          <cell r="E6225">
            <v>68.62</v>
          </cell>
          <cell r="Z6225" t="str">
            <v>Legacy</v>
          </cell>
          <cell r="AA6225" t="str">
            <v>$1K or Below</v>
          </cell>
          <cell r="AB6225" t="str">
            <v>2010 or before</v>
          </cell>
        </row>
        <row r="6226">
          <cell r="E6226">
            <v>68.45</v>
          </cell>
          <cell r="Z6226" t="str">
            <v>Legacy</v>
          </cell>
          <cell r="AA6226" t="str">
            <v>$1K or Below</v>
          </cell>
          <cell r="AB6226">
            <v>2011</v>
          </cell>
        </row>
        <row r="6227">
          <cell r="E6227">
            <v>68.33</v>
          </cell>
          <cell r="Z6227" t="str">
            <v>Legacy</v>
          </cell>
          <cell r="AA6227" t="str">
            <v>$1K or Below</v>
          </cell>
          <cell r="AB6227" t="str">
            <v>2010 or before</v>
          </cell>
        </row>
        <row r="6228">
          <cell r="E6228">
            <v>68.319999999999993</v>
          </cell>
          <cell r="Z6228" t="str">
            <v>Legacy</v>
          </cell>
          <cell r="AA6228" t="str">
            <v>$1K or Below</v>
          </cell>
          <cell r="AB6228" t="str">
            <v>2010 or before</v>
          </cell>
        </row>
        <row r="6229">
          <cell r="E6229">
            <v>68.31</v>
          </cell>
          <cell r="Z6229" t="str">
            <v>Legacy</v>
          </cell>
          <cell r="AA6229" t="str">
            <v>$1K or Below</v>
          </cell>
          <cell r="AB6229" t="str">
            <v>2010 or before</v>
          </cell>
        </row>
        <row r="6230">
          <cell r="E6230">
            <v>68.25</v>
          </cell>
          <cell r="Z6230" t="str">
            <v>Legacy</v>
          </cell>
          <cell r="AA6230" t="str">
            <v>$1K or Below</v>
          </cell>
          <cell r="AB6230" t="str">
            <v>2010 or before</v>
          </cell>
        </row>
        <row r="6231">
          <cell r="E6231">
            <v>68.099999999999994</v>
          </cell>
          <cell r="Z6231" t="str">
            <v>Legacy</v>
          </cell>
          <cell r="AA6231" t="str">
            <v>$1K or Below</v>
          </cell>
          <cell r="AB6231" t="str">
            <v>2010 or before</v>
          </cell>
        </row>
        <row r="6232">
          <cell r="E6232">
            <v>67.97</v>
          </cell>
          <cell r="Z6232" t="str">
            <v>Inbound</v>
          </cell>
          <cell r="AA6232" t="str">
            <v>$1K or Below</v>
          </cell>
          <cell r="AB6232">
            <v>2013</v>
          </cell>
        </row>
        <row r="6233">
          <cell r="E6233">
            <v>67.959999999999994</v>
          </cell>
          <cell r="Z6233" t="str">
            <v>Legacy</v>
          </cell>
          <cell r="AA6233" t="str">
            <v>$1K or Below</v>
          </cell>
          <cell r="AB6233" t="str">
            <v>2010 or before</v>
          </cell>
        </row>
        <row r="6234">
          <cell r="E6234">
            <v>67.94</v>
          </cell>
          <cell r="Z6234" t="str">
            <v>Legacy</v>
          </cell>
          <cell r="AA6234" t="str">
            <v>$1K or Below</v>
          </cell>
          <cell r="AB6234">
            <v>2011</v>
          </cell>
        </row>
        <row r="6235">
          <cell r="E6235">
            <v>67.94</v>
          </cell>
          <cell r="Z6235" t="str">
            <v>Legacy</v>
          </cell>
          <cell r="AA6235" t="str">
            <v>$1K or Below</v>
          </cell>
          <cell r="AB6235" t="str">
            <v>2010 or before</v>
          </cell>
        </row>
        <row r="6236">
          <cell r="E6236">
            <v>67.89</v>
          </cell>
          <cell r="Z6236" t="str">
            <v>Legacy</v>
          </cell>
          <cell r="AA6236" t="str">
            <v>$1K or Below</v>
          </cell>
          <cell r="AB6236">
            <v>2011</v>
          </cell>
        </row>
        <row r="6237">
          <cell r="E6237">
            <v>67.66</v>
          </cell>
          <cell r="Z6237" t="str">
            <v>Legacy</v>
          </cell>
          <cell r="AA6237" t="str">
            <v>$1K or Below</v>
          </cell>
          <cell r="AB6237" t="str">
            <v>2010 or before</v>
          </cell>
        </row>
        <row r="6238">
          <cell r="E6238">
            <v>67.599999999999994</v>
          </cell>
          <cell r="Z6238" t="str">
            <v>Legacy</v>
          </cell>
          <cell r="AA6238" t="str">
            <v>$1K or Below</v>
          </cell>
          <cell r="AB6238" t="str">
            <v>2010 or before</v>
          </cell>
        </row>
        <row r="6239">
          <cell r="E6239">
            <v>67.56</v>
          </cell>
          <cell r="Z6239" t="str">
            <v>Legacy</v>
          </cell>
          <cell r="AA6239" t="str">
            <v>$1K or Below</v>
          </cell>
          <cell r="AB6239" t="str">
            <v>2010 or before</v>
          </cell>
        </row>
        <row r="6240">
          <cell r="E6240">
            <v>67.489999999999995</v>
          </cell>
          <cell r="Z6240" t="str">
            <v>Legacy</v>
          </cell>
          <cell r="AA6240" t="str">
            <v>$1K or Below</v>
          </cell>
          <cell r="AB6240" t="str">
            <v>2010 or before</v>
          </cell>
        </row>
        <row r="6241">
          <cell r="E6241">
            <v>67.44</v>
          </cell>
          <cell r="Z6241" t="str">
            <v>Legacy</v>
          </cell>
          <cell r="AA6241" t="str">
            <v>$1K or Below</v>
          </cell>
          <cell r="AB6241" t="str">
            <v>2010 or before</v>
          </cell>
        </row>
        <row r="6242">
          <cell r="E6242">
            <v>67.400000000000006</v>
          </cell>
          <cell r="Z6242" t="str">
            <v>Legacy</v>
          </cell>
          <cell r="AA6242" t="str">
            <v>$1K or Below</v>
          </cell>
          <cell r="AB6242" t="str">
            <v>2010 or before</v>
          </cell>
        </row>
        <row r="6243">
          <cell r="E6243">
            <v>67.290000000000006</v>
          </cell>
          <cell r="Z6243" t="str">
            <v>Inbound</v>
          </cell>
          <cell r="AA6243" t="str">
            <v>$1K or Below</v>
          </cell>
          <cell r="AB6243">
            <v>2013</v>
          </cell>
        </row>
        <row r="6244">
          <cell r="E6244">
            <v>66.989999999999995</v>
          </cell>
          <cell r="Z6244" t="str">
            <v>Legacy</v>
          </cell>
          <cell r="AA6244" t="str">
            <v>$1K or Below</v>
          </cell>
          <cell r="AB6244" t="str">
            <v>2010 or before</v>
          </cell>
        </row>
        <row r="6245">
          <cell r="E6245">
            <v>66.98</v>
          </cell>
          <cell r="Z6245" t="str">
            <v>Legacy</v>
          </cell>
          <cell r="AA6245" t="str">
            <v>$1K or Below</v>
          </cell>
          <cell r="AB6245" t="str">
            <v>2010 or before</v>
          </cell>
        </row>
        <row r="6246">
          <cell r="E6246">
            <v>66.95</v>
          </cell>
          <cell r="Z6246" t="str">
            <v>Legacy</v>
          </cell>
          <cell r="AA6246" t="str">
            <v>$1K or Below</v>
          </cell>
          <cell r="AB6246" t="str">
            <v>2010 or before</v>
          </cell>
        </row>
        <row r="6247">
          <cell r="E6247">
            <v>66.95</v>
          </cell>
          <cell r="Z6247" t="str">
            <v>Legacy</v>
          </cell>
          <cell r="AA6247" t="str">
            <v>$1K or Below</v>
          </cell>
          <cell r="AB6247" t="str">
            <v>2010 or before</v>
          </cell>
        </row>
        <row r="6248">
          <cell r="E6248">
            <v>66.91</v>
          </cell>
          <cell r="Z6248" t="str">
            <v>Legacy</v>
          </cell>
          <cell r="AA6248" t="str">
            <v>$1K or Below</v>
          </cell>
          <cell r="AB6248" t="str">
            <v>2010 or before</v>
          </cell>
        </row>
        <row r="6249">
          <cell r="E6249">
            <v>66.22</v>
          </cell>
          <cell r="Z6249" t="str">
            <v>Legacy</v>
          </cell>
          <cell r="AA6249" t="str">
            <v>$1K or Below</v>
          </cell>
          <cell r="AB6249" t="str">
            <v>2010 or before</v>
          </cell>
        </row>
        <row r="6250">
          <cell r="E6250">
            <v>65.989999999999995</v>
          </cell>
          <cell r="Z6250" t="str">
            <v>Legacy</v>
          </cell>
          <cell r="AA6250" t="str">
            <v>$1K or Below</v>
          </cell>
          <cell r="AB6250" t="str">
            <v>2010 or before</v>
          </cell>
        </row>
        <row r="6251">
          <cell r="E6251">
            <v>65.98</v>
          </cell>
          <cell r="Z6251" t="str">
            <v>Legacy</v>
          </cell>
          <cell r="AA6251" t="str">
            <v>$1K or Below</v>
          </cell>
          <cell r="AB6251" t="str">
            <v>2010 or before</v>
          </cell>
        </row>
        <row r="6252">
          <cell r="E6252">
            <v>65.98</v>
          </cell>
          <cell r="Z6252" t="str">
            <v>Legacy</v>
          </cell>
          <cell r="AA6252" t="str">
            <v>$1K or Below</v>
          </cell>
          <cell r="AB6252" t="str">
            <v>2010 or before</v>
          </cell>
        </row>
        <row r="6253">
          <cell r="E6253">
            <v>65.97</v>
          </cell>
          <cell r="Z6253" t="str">
            <v>Legacy</v>
          </cell>
          <cell r="AA6253" t="str">
            <v>$1K or Below</v>
          </cell>
          <cell r="AB6253" t="str">
            <v>2010 or before</v>
          </cell>
        </row>
        <row r="6254">
          <cell r="E6254">
            <v>65.97</v>
          </cell>
          <cell r="Z6254" t="str">
            <v>Legacy</v>
          </cell>
          <cell r="AA6254" t="str">
            <v>$1K or Below</v>
          </cell>
          <cell r="AB6254" t="str">
            <v>2010 or before</v>
          </cell>
        </row>
        <row r="6255">
          <cell r="E6255">
            <v>65.92</v>
          </cell>
          <cell r="Z6255" t="str">
            <v>Legacy</v>
          </cell>
          <cell r="AA6255" t="str">
            <v>$1K or Below</v>
          </cell>
          <cell r="AB6255" t="str">
            <v>2010 or before</v>
          </cell>
        </row>
        <row r="6256">
          <cell r="E6256">
            <v>65.91</v>
          </cell>
          <cell r="Z6256" t="str">
            <v>Legacy</v>
          </cell>
          <cell r="AA6256" t="str">
            <v>$1K or Below</v>
          </cell>
          <cell r="AB6256" t="str">
            <v>2010 or before</v>
          </cell>
        </row>
        <row r="6257">
          <cell r="E6257">
            <v>65.87</v>
          </cell>
          <cell r="Z6257" t="str">
            <v>Legacy</v>
          </cell>
          <cell r="AA6257" t="str">
            <v>$1K or Below</v>
          </cell>
          <cell r="AB6257" t="str">
            <v>2010 or before</v>
          </cell>
        </row>
        <row r="6258">
          <cell r="E6258">
            <v>65.8</v>
          </cell>
          <cell r="Z6258" t="str">
            <v>Legacy</v>
          </cell>
          <cell r="AA6258" t="str">
            <v>$1K or Below</v>
          </cell>
          <cell r="AB6258">
            <v>2011</v>
          </cell>
        </row>
        <row r="6259">
          <cell r="E6259">
            <v>65.64</v>
          </cell>
          <cell r="Z6259" t="str">
            <v>Legacy</v>
          </cell>
          <cell r="AA6259" t="str">
            <v>$1K or Below</v>
          </cell>
          <cell r="AB6259" t="str">
            <v>2010 or before</v>
          </cell>
        </row>
        <row r="6260">
          <cell r="E6260">
            <v>65.510000000000005</v>
          </cell>
          <cell r="Z6260" t="str">
            <v>Legacy</v>
          </cell>
          <cell r="AA6260" t="str">
            <v>$1K or Below</v>
          </cell>
          <cell r="AB6260" t="str">
            <v>2010 or before</v>
          </cell>
        </row>
        <row r="6261">
          <cell r="E6261">
            <v>65.489999999999995</v>
          </cell>
          <cell r="Z6261" t="str">
            <v>Legacy</v>
          </cell>
          <cell r="AA6261" t="str">
            <v>$1K or Below</v>
          </cell>
          <cell r="AB6261">
            <v>2011</v>
          </cell>
        </row>
        <row r="6262">
          <cell r="E6262">
            <v>65.489999999999995</v>
          </cell>
          <cell r="Z6262" t="str">
            <v>Legacy</v>
          </cell>
          <cell r="AA6262" t="str">
            <v>$1K or Below</v>
          </cell>
          <cell r="AB6262" t="str">
            <v>2010 or before</v>
          </cell>
        </row>
        <row r="6263">
          <cell r="E6263">
            <v>65.47</v>
          </cell>
          <cell r="Z6263" t="str">
            <v>Legacy</v>
          </cell>
          <cell r="AA6263" t="str">
            <v>$1K or Below</v>
          </cell>
          <cell r="AB6263">
            <v>2012</v>
          </cell>
        </row>
        <row r="6264">
          <cell r="E6264">
            <v>65.3</v>
          </cell>
          <cell r="Z6264" t="str">
            <v>Legacy</v>
          </cell>
          <cell r="AA6264" t="str">
            <v>$1K or Below</v>
          </cell>
          <cell r="AB6264">
            <v>2011</v>
          </cell>
        </row>
        <row r="6265">
          <cell r="E6265">
            <v>65.22</v>
          </cell>
          <cell r="Z6265" t="str">
            <v>Legacy</v>
          </cell>
          <cell r="AA6265" t="str">
            <v>$1K or Below</v>
          </cell>
          <cell r="AB6265" t="str">
            <v>2010 or before</v>
          </cell>
        </row>
        <row r="6266">
          <cell r="E6266">
            <v>65.180000000000007</v>
          </cell>
          <cell r="Z6266" t="str">
            <v>Legacy</v>
          </cell>
          <cell r="AA6266" t="str">
            <v>$1K or Below</v>
          </cell>
          <cell r="AB6266" t="str">
            <v>2010 or before</v>
          </cell>
        </row>
        <row r="6267">
          <cell r="E6267">
            <v>64.989999999999995</v>
          </cell>
          <cell r="Z6267" t="str">
            <v>Legacy</v>
          </cell>
          <cell r="AA6267" t="str">
            <v>$1K or Below</v>
          </cell>
          <cell r="AB6267" t="str">
            <v>2010 or before</v>
          </cell>
        </row>
        <row r="6268">
          <cell r="E6268">
            <v>64.989999999999995</v>
          </cell>
          <cell r="Z6268" t="str">
            <v>Legacy</v>
          </cell>
          <cell r="AA6268" t="str">
            <v>$1K or Below</v>
          </cell>
          <cell r="AB6268">
            <v>2012</v>
          </cell>
        </row>
        <row r="6269">
          <cell r="E6269">
            <v>64.989999999999995</v>
          </cell>
          <cell r="Z6269" t="str">
            <v>Legacy</v>
          </cell>
          <cell r="AA6269" t="str">
            <v>$1K or Below</v>
          </cell>
          <cell r="AB6269" t="str">
            <v>2010 or before</v>
          </cell>
        </row>
        <row r="6270">
          <cell r="E6270">
            <v>64.989999999999995</v>
          </cell>
          <cell r="Z6270" t="str">
            <v>Global</v>
          </cell>
          <cell r="AA6270" t="str">
            <v>$1K or Below</v>
          </cell>
          <cell r="AB6270">
            <v>2013</v>
          </cell>
        </row>
        <row r="6271">
          <cell r="E6271">
            <v>64.989999999999995</v>
          </cell>
          <cell r="Z6271" t="str">
            <v>Legacy</v>
          </cell>
          <cell r="AA6271" t="str">
            <v>$1K or Below</v>
          </cell>
          <cell r="AB6271" t="str">
            <v>2010 or before</v>
          </cell>
        </row>
        <row r="6272">
          <cell r="E6272">
            <v>64.98</v>
          </cell>
          <cell r="Z6272" t="str">
            <v>Legacy</v>
          </cell>
          <cell r="AA6272" t="str">
            <v>$1K or Below</v>
          </cell>
          <cell r="AB6272" t="str">
            <v>2010 or before</v>
          </cell>
        </row>
        <row r="6273">
          <cell r="E6273">
            <v>64.98</v>
          </cell>
          <cell r="Z6273" t="str">
            <v>Legacy</v>
          </cell>
          <cell r="AA6273" t="str">
            <v>$1K or Below</v>
          </cell>
          <cell r="AB6273" t="str">
            <v>2010 or before</v>
          </cell>
        </row>
        <row r="6274">
          <cell r="E6274">
            <v>64.98</v>
          </cell>
          <cell r="Z6274" t="str">
            <v>Legacy</v>
          </cell>
          <cell r="AA6274" t="str">
            <v>$1K or Below</v>
          </cell>
          <cell r="AB6274">
            <v>2012</v>
          </cell>
        </row>
        <row r="6275">
          <cell r="E6275">
            <v>64.97</v>
          </cell>
          <cell r="Z6275" t="str">
            <v>Legacy</v>
          </cell>
          <cell r="AA6275" t="str">
            <v>$1K or Below</v>
          </cell>
          <cell r="AB6275">
            <v>2011</v>
          </cell>
        </row>
        <row r="6276">
          <cell r="E6276">
            <v>64.92</v>
          </cell>
          <cell r="Z6276" t="str">
            <v>Legacy</v>
          </cell>
          <cell r="AA6276" t="str">
            <v>$1K or Below</v>
          </cell>
          <cell r="AB6276" t="str">
            <v>2010 or before</v>
          </cell>
        </row>
        <row r="6277">
          <cell r="E6277">
            <v>64.900000000000006</v>
          </cell>
          <cell r="Z6277" t="str">
            <v>Legacy</v>
          </cell>
          <cell r="AA6277" t="str">
            <v>$1K or Below</v>
          </cell>
          <cell r="AB6277" t="str">
            <v>2010 or before</v>
          </cell>
        </row>
        <row r="6278">
          <cell r="E6278">
            <v>64.89</v>
          </cell>
          <cell r="Z6278" t="str">
            <v>Legacy</v>
          </cell>
          <cell r="AA6278" t="str">
            <v>$1K or Below</v>
          </cell>
          <cell r="AB6278" t="str">
            <v>2010 or before</v>
          </cell>
        </row>
        <row r="6279">
          <cell r="E6279">
            <v>64.89</v>
          </cell>
          <cell r="Z6279" t="str">
            <v>Legacy</v>
          </cell>
          <cell r="AA6279" t="str">
            <v>$1K or Below</v>
          </cell>
          <cell r="AB6279" t="str">
            <v>2010 or before</v>
          </cell>
        </row>
        <row r="6280">
          <cell r="E6280">
            <v>64.89</v>
          </cell>
          <cell r="Z6280" t="str">
            <v>Legacy</v>
          </cell>
          <cell r="AA6280" t="str">
            <v>$1K or Below</v>
          </cell>
          <cell r="AB6280" t="str">
            <v>2010 or before</v>
          </cell>
        </row>
        <row r="6281">
          <cell r="E6281">
            <v>64.86</v>
          </cell>
          <cell r="Z6281" t="str">
            <v>Legacy</v>
          </cell>
          <cell r="AA6281" t="str">
            <v>$1K or Below</v>
          </cell>
          <cell r="AB6281">
            <v>2011</v>
          </cell>
        </row>
        <row r="6282">
          <cell r="E6282">
            <v>64.77</v>
          </cell>
          <cell r="Z6282" t="str">
            <v>Legacy</v>
          </cell>
          <cell r="AA6282" t="str">
            <v>$1K or Below</v>
          </cell>
          <cell r="AB6282" t="str">
            <v>2010 or before</v>
          </cell>
        </row>
        <row r="6283">
          <cell r="E6283">
            <v>64.489999999999995</v>
          </cell>
          <cell r="Z6283" t="str">
            <v>Legacy</v>
          </cell>
          <cell r="AA6283" t="str">
            <v>$1K or Below</v>
          </cell>
          <cell r="AB6283">
            <v>2011</v>
          </cell>
        </row>
        <row r="6284">
          <cell r="E6284">
            <v>64.489999999999995</v>
          </cell>
          <cell r="Z6284" t="str">
            <v>Ungating</v>
          </cell>
          <cell r="AA6284" t="str">
            <v>$1K or Below</v>
          </cell>
          <cell r="AB6284">
            <v>2012</v>
          </cell>
        </row>
        <row r="6285">
          <cell r="E6285">
            <v>64.489999999999995</v>
          </cell>
          <cell r="Z6285" t="str">
            <v>Legacy</v>
          </cell>
          <cell r="AA6285" t="str">
            <v>$1K or Below</v>
          </cell>
          <cell r="AB6285" t="str">
            <v>2010 or before</v>
          </cell>
        </row>
        <row r="6286">
          <cell r="E6286">
            <v>64.47</v>
          </cell>
          <cell r="Z6286" t="str">
            <v>Legacy</v>
          </cell>
          <cell r="AA6286" t="str">
            <v>$1K or Below</v>
          </cell>
          <cell r="AB6286" t="str">
            <v>2010 or before</v>
          </cell>
        </row>
        <row r="6287">
          <cell r="E6287">
            <v>64.47</v>
          </cell>
          <cell r="Z6287" t="str">
            <v>Legacy</v>
          </cell>
          <cell r="AA6287" t="str">
            <v>$1K or Below</v>
          </cell>
          <cell r="AB6287">
            <v>2012</v>
          </cell>
        </row>
        <row r="6288">
          <cell r="E6288">
            <v>64.459999999999994</v>
          </cell>
          <cell r="Z6288" t="str">
            <v>Legacy</v>
          </cell>
          <cell r="AA6288" t="str">
            <v>$1K or Below</v>
          </cell>
          <cell r="AB6288" t="str">
            <v>2010 or before</v>
          </cell>
        </row>
        <row r="6289">
          <cell r="E6289">
            <v>64.45</v>
          </cell>
          <cell r="Z6289" t="str">
            <v>Legacy</v>
          </cell>
          <cell r="AA6289" t="str">
            <v>$1K or Below</v>
          </cell>
          <cell r="AB6289" t="str">
            <v>2010 or before</v>
          </cell>
        </row>
        <row r="6290">
          <cell r="E6290">
            <v>64.44</v>
          </cell>
          <cell r="Z6290" t="str">
            <v>Legacy</v>
          </cell>
          <cell r="AA6290" t="str">
            <v>$1K or Below</v>
          </cell>
          <cell r="AB6290" t="str">
            <v>2010 or before</v>
          </cell>
        </row>
        <row r="6291">
          <cell r="E6291">
            <v>64.400000000000006</v>
          </cell>
          <cell r="Z6291" t="str">
            <v>Legacy</v>
          </cell>
          <cell r="AA6291" t="str">
            <v>$1K or Below</v>
          </cell>
          <cell r="AB6291" t="str">
            <v>2010 or before</v>
          </cell>
        </row>
        <row r="6292">
          <cell r="E6292">
            <v>64.39</v>
          </cell>
          <cell r="Z6292" t="str">
            <v>Inbound</v>
          </cell>
          <cell r="AA6292" t="str">
            <v>$1K or Below</v>
          </cell>
          <cell r="AB6292">
            <v>2012</v>
          </cell>
        </row>
        <row r="6293">
          <cell r="E6293">
            <v>64.02</v>
          </cell>
          <cell r="Z6293" t="str">
            <v>Legacy</v>
          </cell>
          <cell r="AA6293" t="str">
            <v>$1K or Below</v>
          </cell>
          <cell r="AB6293" t="str">
            <v>2010 or before</v>
          </cell>
        </row>
        <row r="6294">
          <cell r="E6294">
            <v>63.99</v>
          </cell>
          <cell r="Z6294" t="str">
            <v>Legacy</v>
          </cell>
          <cell r="AA6294" t="str">
            <v>$1K or Below</v>
          </cell>
          <cell r="AB6294">
            <v>2011</v>
          </cell>
        </row>
        <row r="6295">
          <cell r="E6295">
            <v>63.98</v>
          </cell>
          <cell r="Z6295" t="str">
            <v>Legacy</v>
          </cell>
          <cell r="AA6295" t="str">
            <v>$1K or Below</v>
          </cell>
          <cell r="AB6295" t="str">
            <v>2010 or before</v>
          </cell>
        </row>
        <row r="6296">
          <cell r="E6296">
            <v>63.98</v>
          </cell>
          <cell r="Z6296" t="str">
            <v>Legacy</v>
          </cell>
          <cell r="AA6296" t="str">
            <v>$1K or Below</v>
          </cell>
          <cell r="AB6296" t="str">
            <v>2010 or before</v>
          </cell>
        </row>
        <row r="6297">
          <cell r="E6297">
            <v>63.96</v>
          </cell>
          <cell r="Z6297" t="str">
            <v>Legacy</v>
          </cell>
          <cell r="AA6297" t="str">
            <v>$1K or Below</v>
          </cell>
          <cell r="AB6297" t="str">
            <v>2010 or before</v>
          </cell>
        </row>
        <row r="6298">
          <cell r="E6298">
            <v>63.96</v>
          </cell>
          <cell r="Z6298" t="str">
            <v>Legacy</v>
          </cell>
          <cell r="AA6298" t="str">
            <v>$1K or Below</v>
          </cell>
          <cell r="AB6298" t="str">
            <v>2010 or before</v>
          </cell>
        </row>
        <row r="6299">
          <cell r="E6299">
            <v>63.95</v>
          </cell>
          <cell r="Z6299" t="str">
            <v>Legacy</v>
          </cell>
          <cell r="AA6299" t="str">
            <v>$1K or Below</v>
          </cell>
          <cell r="AB6299" t="str">
            <v>2010 or before</v>
          </cell>
        </row>
        <row r="6300">
          <cell r="E6300">
            <v>63.93</v>
          </cell>
          <cell r="Z6300" t="str">
            <v>Legacy</v>
          </cell>
          <cell r="AA6300" t="str">
            <v>$1K or Below</v>
          </cell>
          <cell r="AB6300" t="str">
            <v>2010 or before</v>
          </cell>
        </row>
        <row r="6301">
          <cell r="E6301">
            <v>63.85</v>
          </cell>
          <cell r="Z6301" t="str">
            <v>Legacy</v>
          </cell>
          <cell r="AA6301" t="str">
            <v>$1K or Below</v>
          </cell>
          <cell r="AB6301" t="str">
            <v>2010 or before</v>
          </cell>
        </row>
        <row r="6302">
          <cell r="E6302">
            <v>63.82</v>
          </cell>
          <cell r="Z6302" t="str">
            <v>Ungating</v>
          </cell>
          <cell r="AA6302" t="str">
            <v>$1K or Below</v>
          </cell>
          <cell r="AB6302">
            <v>2012</v>
          </cell>
        </row>
        <row r="6303">
          <cell r="E6303">
            <v>63.76</v>
          </cell>
          <cell r="Z6303" t="str">
            <v>Legacy</v>
          </cell>
          <cell r="AA6303" t="str">
            <v>$1K or Below</v>
          </cell>
          <cell r="AB6303" t="str">
            <v>2010 or before</v>
          </cell>
        </row>
        <row r="6304">
          <cell r="E6304">
            <v>63.6</v>
          </cell>
          <cell r="Z6304" t="str">
            <v>Legacy</v>
          </cell>
          <cell r="AA6304" t="str">
            <v>$1K or Below</v>
          </cell>
          <cell r="AB6304" t="str">
            <v>2010 or before</v>
          </cell>
        </row>
        <row r="6305">
          <cell r="E6305">
            <v>63.49</v>
          </cell>
          <cell r="Z6305" t="str">
            <v>Legacy</v>
          </cell>
          <cell r="AA6305" t="str">
            <v>$1K or Below</v>
          </cell>
          <cell r="AB6305" t="str">
            <v>2010 or before</v>
          </cell>
        </row>
        <row r="6306">
          <cell r="E6306">
            <v>63.48</v>
          </cell>
          <cell r="Z6306" t="str">
            <v>Legacy</v>
          </cell>
          <cell r="AA6306" t="str">
            <v>$1K or Below</v>
          </cell>
          <cell r="AB6306" t="str">
            <v>2010 or before</v>
          </cell>
        </row>
        <row r="6307">
          <cell r="E6307">
            <v>63.44</v>
          </cell>
          <cell r="Z6307" t="str">
            <v>Legacy</v>
          </cell>
          <cell r="AA6307" t="str">
            <v>$1K or Below</v>
          </cell>
          <cell r="AB6307" t="str">
            <v>2010 or before</v>
          </cell>
        </row>
        <row r="6308">
          <cell r="E6308">
            <v>63.24</v>
          </cell>
          <cell r="Z6308" t="str">
            <v>Legacy</v>
          </cell>
          <cell r="AA6308" t="str">
            <v>$1K or Below</v>
          </cell>
          <cell r="AB6308" t="str">
            <v>2010 or before</v>
          </cell>
        </row>
        <row r="6309">
          <cell r="E6309">
            <v>62.99</v>
          </cell>
          <cell r="Z6309" t="str">
            <v>Legacy</v>
          </cell>
          <cell r="AA6309" t="str">
            <v>$1K or Below</v>
          </cell>
          <cell r="AB6309" t="str">
            <v>2010 or before</v>
          </cell>
        </row>
        <row r="6310">
          <cell r="E6310">
            <v>62.98</v>
          </cell>
          <cell r="Z6310" t="str">
            <v>Legacy</v>
          </cell>
          <cell r="AA6310" t="str">
            <v>$1K or Below</v>
          </cell>
          <cell r="AB6310" t="str">
            <v>2010 or before</v>
          </cell>
        </row>
        <row r="6311">
          <cell r="E6311">
            <v>62.98</v>
          </cell>
          <cell r="Z6311" t="str">
            <v>Legacy</v>
          </cell>
          <cell r="AA6311" t="str">
            <v>$1K or Below</v>
          </cell>
          <cell r="AB6311" t="str">
            <v>2010 or before</v>
          </cell>
        </row>
        <row r="6312">
          <cell r="E6312">
            <v>62.96</v>
          </cell>
          <cell r="Z6312" t="str">
            <v>Legacy</v>
          </cell>
          <cell r="AA6312" t="str">
            <v>$1K or Below</v>
          </cell>
          <cell r="AB6312" t="str">
            <v>2010 or before</v>
          </cell>
        </row>
        <row r="6313">
          <cell r="E6313">
            <v>62.94</v>
          </cell>
          <cell r="Z6313" t="str">
            <v>Legacy</v>
          </cell>
          <cell r="AA6313" t="str">
            <v>$1K or Below</v>
          </cell>
          <cell r="AB6313" t="str">
            <v>2010 or before</v>
          </cell>
        </row>
        <row r="6314">
          <cell r="E6314">
            <v>62.94</v>
          </cell>
          <cell r="Z6314" t="str">
            <v>Legacy</v>
          </cell>
          <cell r="AA6314" t="str">
            <v>$1K or Below</v>
          </cell>
          <cell r="AB6314" t="str">
            <v>2010 or before</v>
          </cell>
        </row>
        <row r="6315">
          <cell r="E6315">
            <v>62.92</v>
          </cell>
          <cell r="Z6315" t="str">
            <v>Inbound</v>
          </cell>
          <cell r="AA6315" t="str">
            <v>$1K or Below</v>
          </cell>
          <cell r="AB6315">
            <v>2011</v>
          </cell>
        </row>
        <row r="6316">
          <cell r="E6316">
            <v>62.82</v>
          </cell>
          <cell r="Z6316" t="str">
            <v>Legacy</v>
          </cell>
          <cell r="AA6316" t="str">
            <v>$1K or Below</v>
          </cell>
          <cell r="AB6316" t="str">
            <v>2010 or before</v>
          </cell>
        </row>
        <row r="6317">
          <cell r="E6317">
            <v>62.71</v>
          </cell>
          <cell r="Z6317" t="str">
            <v>Legacy</v>
          </cell>
          <cell r="AA6317" t="str">
            <v>$1K or Below</v>
          </cell>
          <cell r="AB6317" t="str">
            <v>2010 or before</v>
          </cell>
        </row>
        <row r="6318">
          <cell r="E6318">
            <v>62.64</v>
          </cell>
          <cell r="Z6318" t="str">
            <v>Legacy</v>
          </cell>
          <cell r="AA6318" t="str">
            <v>$1K or Below</v>
          </cell>
          <cell r="AB6318" t="str">
            <v>2010 or before</v>
          </cell>
        </row>
        <row r="6319">
          <cell r="E6319">
            <v>62.49</v>
          </cell>
          <cell r="Z6319" t="str">
            <v>Legacy</v>
          </cell>
          <cell r="AA6319" t="str">
            <v>$1K or Below</v>
          </cell>
          <cell r="AB6319" t="str">
            <v>2010 or before</v>
          </cell>
        </row>
        <row r="6320">
          <cell r="E6320">
            <v>62.3</v>
          </cell>
          <cell r="Z6320" t="str">
            <v>Legacy</v>
          </cell>
          <cell r="AA6320" t="str">
            <v>$1K or Below</v>
          </cell>
          <cell r="AB6320" t="str">
            <v>2010 or before</v>
          </cell>
        </row>
        <row r="6321">
          <cell r="E6321">
            <v>62.23</v>
          </cell>
          <cell r="Z6321" t="str">
            <v>Legacy</v>
          </cell>
          <cell r="AA6321" t="str">
            <v>$1K or Below</v>
          </cell>
          <cell r="AB6321" t="str">
            <v>2010 or before</v>
          </cell>
        </row>
        <row r="6322">
          <cell r="E6322">
            <v>61.98</v>
          </cell>
          <cell r="Z6322" t="str">
            <v>Legacy</v>
          </cell>
          <cell r="AA6322" t="str">
            <v>$1K or Below</v>
          </cell>
          <cell r="AB6322" t="str">
            <v>2010 or before</v>
          </cell>
        </row>
        <row r="6323">
          <cell r="E6323">
            <v>61.95</v>
          </cell>
          <cell r="Z6323" t="str">
            <v>Legacy</v>
          </cell>
          <cell r="AA6323" t="str">
            <v>$1K or Below</v>
          </cell>
          <cell r="AB6323" t="str">
            <v>2010 or before</v>
          </cell>
        </row>
        <row r="6324">
          <cell r="E6324">
            <v>61.92</v>
          </cell>
          <cell r="Z6324" t="str">
            <v>Legacy</v>
          </cell>
          <cell r="AA6324" t="str">
            <v>$1K or Below</v>
          </cell>
          <cell r="AB6324" t="str">
            <v>2010 or before</v>
          </cell>
        </row>
        <row r="6325">
          <cell r="E6325">
            <v>61.9</v>
          </cell>
          <cell r="Z6325" t="str">
            <v>Legacy</v>
          </cell>
          <cell r="AA6325" t="str">
            <v>$1K or Below</v>
          </cell>
          <cell r="AB6325">
            <v>2011</v>
          </cell>
        </row>
        <row r="6326">
          <cell r="E6326">
            <v>61.88</v>
          </cell>
          <cell r="Z6326" t="str">
            <v>Legacy</v>
          </cell>
          <cell r="AA6326" t="str">
            <v>$1K or Below</v>
          </cell>
          <cell r="AB6326" t="str">
            <v>2010 or before</v>
          </cell>
        </row>
        <row r="6327">
          <cell r="E6327">
            <v>61.61</v>
          </cell>
          <cell r="Z6327" t="str">
            <v>Legacy</v>
          </cell>
          <cell r="AA6327" t="str">
            <v>$1K or Below</v>
          </cell>
          <cell r="AB6327" t="str">
            <v>2010 or before</v>
          </cell>
        </row>
        <row r="6328">
          <cell r="E6328">
            <v>61.49</v>
          </cell>
          <cell r="Z6328" t="str">
            <v>Legacy</v>
          </cell>
          <cell r="AA6328" t="str">
            <v>$1K or Below</v>
          </cell>
          <cell r="AB6328" t="str">
            <v>2010 or before</v>
          </cell>
        </row>
        <row r="6329">
          <cell r="E6329">
            <v>61.49</v>
          </cell>
          <cell r="Z6329" t="str">
            <v>Legacy</v>
          </cell>
          <cell r="AA6329" t="str">
            <v>$1K or Below</v>
          </cell>
          <cell r="AB6329" t="str">
            <v>2010 or before</v>
          </cell>
        </row>
        <row r="6330">
          <cell r="E6330">
            <v>61.43</v>
          </cell>
          <cell r="Z6330" t="str">
            <v>Legacy</v>
          </cell>
          <cell r="AA6330" t="str">
            <v>$1K or Below</v>
          </cell>
          <cell r="AB6330" t="str">
            <v>2010 or before</v>
          </cell>
        </row>
        <row r="6331">
          <cell r="E6331">
            <v>61.23</v>
          </cell>
          <cell r="Z6331" t="str">
            <v>Legacy</v>
          </cell>
          <cell r="AA6331" t="str">
            <v>$1K or Below</v>
          </cell>
          <cell r="AB6331" t="str">
            <v>2010 or before</v>
          </cell>
        </row>
        <row r="6332">
          <cell r="E6332">
            <v>61.13</v>
          </cell>
          <cell r="Z6332" t="str">
            <v>Legacy</v>
          </cell>
          <cell r="AA6332" t="str">
            <v>$1K or Below</v>
          </cell>
          <cell r="AB6332" t="str">
            <v>2010 or before</v>
          </cell>
        </row>
        <row r="6333">
          <cell r="E6333">
            <v>60.95</v>
          </cell>
          <cell r="Z6333" t="str">
            <v>Legacy</v>
          </cell>
          <cell r="AA6333" t="str">
            <v>$1K or Below</v>
          </cell>
          <cell r="AB6333" t="str">
            <v>2010 or before</v>
          </cell>
        </row>
        <row r="6334">
          <cell r="E6334">
            <v>60.93</v>
          </cell>
          <cell r="Z6334" t="str">
            <v>Legacy</v>
          </cell>
          <cell r="AA6334" t="str">
            <v>$1K or Below</v>
          </cell>
          <cell r="AB6334">
            <v>2011</v>
          </cell>
        </row>
        <row r="6335">
          <cell r="E6335">
            <v>60.48</v>
          </cell>
          <cell r="Z6335" t="str">
            <v>Legacy</v>
          </cell>
          <cell r="AA6335" t="str">
            <v>$1K or Below</v>
          </cell>
          <cell r="AB6335" t="str">
            <v>2010 or before</v>
          </cell>
        </row>
        <row r="6336">
          <cell r="E6336">
            <v>60.48</v>
          </cell>
          <cell r="Z6336" t="str">
            <v>Legacy</v>
          </cell>
          <cell r="AA6336" t="str">
            <v>$1K or Below</v>
          </cell>
          <cell r="AB6336" t="str">
            <v>2010 or before</v>
          </cell>
        </row>
        <row r="6337">
          <cell r="E6337">
            <v>60.45</v>
          </cell>
          <cell r="Z6337" t="str">
            <v>Legacy</v>
          </cell>
          <cell r="AA6337" t="str">
            <v>$1K or Below</v>
          </cell>
          <cell r="AB6337" t="str">
            <v>2010 or before</v>
          </cell>
        </row>
        <row r="6338">
          <cell r="E6338">
            <v>60.24</v>
          </cell>
          <cell r="Z6338" t="str">
            <v>Legacy</v>
          </cell>
          <cell r="AA6338" t="str">
            <v>$1K or Below</v>
          </cell>
          <cell r="AB6338" t="str">
            <v>2010 or before</v>
          </cell>
        </row>
        <row r="6339">
          <cell r="E6339">
            <v>60.23</v>
          </cell>
          <cell r="Z6339" t="str">
            <v>Legacy</v>
          </cell>
          <cell r="AA6339" t="str">
            <v>$1K or Below</v>
          </cell>
          <cell r="AB6339" t="str">
            <v>2010 or before</v>
          </cell>
        </row>
        <row r="6340">
          <cell r="E6340">
            <v>60.14</v>
          </cell>
          <cell r="Z6340" t="str">
            <v>Legacy</v>
          </cell>
          <cell r="AA6340" t="str">
            <v>$1K or Below</v>
          </cell>
          <cell r="AB6340" t="str">
            <v>2010 or before</v>
          </cell>
        </row>
        <row r="6341">
          <cell r="E6341">
            <v>60.1</v>
          </cell>
          <cell r="Z6341" t="str">
            <v>Legacy</v>
          </cell>
          <cell r="AA6341" t="str">
            <v>$1K or Below</v>
          </cell>
          <cell r="AB6341" t="str">
            <v>2010 or before</v>
          </cell>
        </row>
        <row r="6342">
          <cell r="E6342">
            <v>60</v>
          </cell>
          <cell r="Z6342" t="str">
            <v>Legacy</v>
          </cell>
          <cell r="AA6342" t="str">
            <v>$1K or Below</v>
          </cell>
          <cell r="AB6342" t="str">
            <v>2010 or before</v>
          </cell>
        </row>
        <row r="6343">
          <cell r="E6343">
            <v>60</v>
          </cell>
          <cell r="Z6343" t="str">
            <v>Legacy</v>
          </cell>
          <cell r="AA6343" t="str">
            <v>$1K or Below</v>
          </cell>
          <cell r="AB6343">
            <v>2011</v>
          </cell>
        </row>
        <row r="6344">
          <cell r="E6344">
            <v>59.99</v>
          </cell>
          <cell r="Z6344" t="str">
            <v>Legacy</v>
          </cell>
          <cell r="AA6344" t="str">
            <v>$1K or Below</v>
          </cell>
          <cell r="AB6344" t="str">
            <v>2010 or before</v>
          </cell>
        </row>
        <row r="6345">
          <cell r="E6345">
            <v>59.99</v>
          </cell>
          <cell r="Z6345" t="str">
            <v>Legacy</v>
          </cell>
          <cell r="AA6345" t="str">
            <v>$1K or Below</v>
          </cell>
          <cell r="AB6345" t="str">
            <v>2010 or before</v>
          </cell>
        </row>
        <row r="6346">
          <cell r="E6346">
            <v>59.98</v>
          </cell>
          <cell r="Z6346" t="str">
            <v>Legacy</v>
          </cell>
          <cell r="AA6346" t="str">
            <v>$1K or Below</v>
          </cell>
          <cell r="AB6346" t="str">
            <v>2010 or before</v>
          </cell>
        </row>
        <row r="6347">
          <cell r="E6347">
            <v>59.98</v>
          </cell>
          <cell r="Z6347" t="str">
            <v>Legacy</v>
          </cell>
          <cell r="AA6347" t="str">
            <v>$1K or Below</v>
          </cell>
          <cell r="AB6347" t="str">
            <v>2010 or before</v>
          </cell>
        </row>
        <row r="6348">
          <cell r="E6348">
            <v>59.97</v>
          </cell>
          <cell r="Z6348" t="str">
            <v>Legacy</v>
          </cell>
          <cell r="AA6348" t="str">
            <v>$1K or Below</v>
          </cell>
          <cell r="AB6348">
            <v>2011</v>
          </cell>
        </row>
        <row r="6349">
          <cell r="E6349">
            <v>59.96</v>
          </cell>
          <cell r="Z6349" t="str">
            <v>Legacy</v>
          </cell>
          <cell r="AA6349" t="str">
            <v>$1K or Below</v>
          </cell>
          <cell r="AB6349" t="str">
            <v>2010 or before</v>
          </cell>
        </row>
        <row r="6350">
          <cell r="E6350">
            <v>59.96</v>
          </cell>
          <cell r="Z6350" t="str">
            <v>Legacy</v>
          </cell>
          <cell r="AA6350" t="str">
            <v>$1K or Below</v>
          </cell>
          <cell r="AB6350" t="str">
            <v>2010 or before</v>
          </cell>
        </row>
        <row r="6351">
          <cell r="E6351">
            <v>59.96</v>
          </cell>
          <cell r="Z6351" t="str">
            <v>Legacy</v>
          </cell>
          <cell r="AA6351" t="str">
            <v>$1K or Below</v>
          </cell>
          <cell r="AB6351" t="str">
            <v>2010 or before</v>
          </cell>
        </row>
        <row r="6352">
          <cell r="E6352">
            <v>59.96</v>
          </cell>
          <cell r="Z6352" t="str">
            <v>Legacy</v>
          </cell>
          <cell r="AA6352" t="str">
            <v>$1K or Below</v>
          </cell>
          <cell r="AB6352" t="str">
            <v>2010 or before</v>
          </cell>
        </row>
        <row r="6353">
          <cell r="E6353">
            <v>59.95</v>
          </cell>
          <cell r="Z6353" t="str">
            <v>Legacy</v>
          </cell>
          <cell r="AA6353" t="str">
            <v>$1K or Below</v>
          </cell>
          <cell r="AB6353" t="str">
            <v>2010 or before</v>
          </cell>
        </row>
        <row r="6354">
          <cell r="E6354">
            <v>59.95</v>
          </cell>
          <cell r="Z6354" t="str">
            <v>Legacy</v>
          </cell>
          <cell r="AA6354" t="str">
            <v>$1K or Below</v>
          </cell>
          <cell r="AB6354" t="str">
            <v>2010 or before</v>
          </cell>
        </row>
        <row r="6355">
          <cell r="E6355">
            <v>59.92</v>
          </cell>
          <cell r="Z6355" t="str">
            <v>Legacy</v>
          </cell>
          <cell r="AA6355" t="str">
            <v>$1K or Below</v>
          </cell>
          <cell r="AB6355" t="str">
            <v>2010 or before</v>
          </cell>
        </row>
        <row r="6356">
          <cell r="E6356">
            <v>59.9</v>
          </cell>
          <cell r="Z6356" t="str">
            <v>Legacy</v>
          </cell>
          <cell r="AA6356" t="str">
            <v>$1K or Below</v>
          </cell>
          <cell r="AB6356" t="str">
            <v>2010 or before</v>
          </cell>
        </row>
        <row r="6357">
          <cell r="E6357">
            <v>59.85</v>
          </cell>
          <cell r="Z6357" t="str">
            <v>Outbound</v>
          </cell>
          <cell r="AA6357" t="str">
            <v>$1K or Below</v>
          </cell>
          <cell r="AB6357">
            <v>2012</v>
          </cell>
        </row>
        <row r="6358">
          <cell r="E6358">
            <v>59.85</v>
          </cell>
          <cell r="Z6358" t="str">
            <v>Legacy</v>
          </cell>
          <cell r="AA6358" t="str">
            <v>$1K or Below</v>
          </cell>
          <cell r="AB6358" t="str">
            <v>2010 or before</v>
          </cell>
        </row>
        <row r="6359">
          <cell r="E6359">
            <v>59.8</v>
          </cell>
          <cell r="Z6359" t="str">
            <v>Legacy</v>
          </cell>
          <cell r="AA6359" t="str">
            <v>$1K or Below</v>
          </cell>
          <cell r="AB6359" t="str">
            <v>2010 or before</v>
          </cell>
        </row>
        <row r="6360">
          <cell r="E6360">
            <v>59.76</v>
          </cell>
          <cell r="Z6360" t="str">
            <v>Legacy</v>
          </cell>
          <cell r="AA6360" t="str">
            <v>$1K or Below</v>
          </cell>
          <cell r="AB6360" t="str">
            <v>2010 or before</v>
          </cell>
        </row>
        <row r="6361">
          <cell r="E6361">
            <v>59.72</v>
          </cell>
          <cell r="Z6361" t="str">
            <v>Legacy</v>
          </cell>
          <cell r="AA6361" t="str">
            <v>$1K or Below</v>
          </cell>
          <cell r="AB6361" t="str">
            <v>2010 or before</v>
          </cell>
        </row>
        <row r="6362">
          <cell r="E6362">
            <v>59.49</v>
          </cell>
          <cell r="Z6362" t="str">
            <v>Legacy</v>
          </cell>
          <cell r="AA6362" t="str">
            <v>$1K or Below</v>
          </cell>
          <cell r="AB6362" t="str">
            <v>2010 or before</v>
          </cell>
        </row>
        <row r="6363">
          <cell r="E6363">
            <v>59.49</v>
          </cell>
          <cell r="Z6363" t="str">
            <v>Legacy</v>
          </cell>
          <cell r="AA6363" t="str">
            <v>$1K or Below</v>
          </cell>
          <cell r="AB6363" t="str">
            <v>2010 or before</v>
          </cell>
        </row>
        <row r="6364">
          <cell r="E6364">
            <v>59.49</v>
          </cell>
          <cell r="Z6364" t="str">
            <v>Legacy</v>
          </cell>
          <cell r="AA6364" t="str">
            <v>$1K or Below</v>
          </cell>
          <cell r="AB6364" t="str">
            <v>2010 or before</v>
          </cell>
        </row>
        <row r="6365">
          <cell r="E6365">
            <v>59.48</v>
          </cell>
          <cell r="Z6365" t="str">
            <v>Legacy</v>
          </cell>
          <cell r="AA6365" t="str">
            <v>$1K or Below</v>
          </cell>
          <cell r="AB6365" t="str">
            <v>2010 or before</v>
          </cell>
        </row>
        <row r="6366">
          <cell r="E6366">
            <v>59.48</v>
          </cell>
          <cell r="Z6366" t="str">
            <v>Legacy</v>
          </cell>
          <cell r="AA6366" t="str">
            <v>$1K or Below</v>
          </cell>
          <cell r="AB6366" t="str">
            <v>2010 or before</v>
          </cell>
        </row>
        <row r="6367">
          <cell r="E6367">
            <v>59.48</v>
          </cell>
          <cell r="Z6367" t="str">
            <v>Legacy</v>
          </cell>
          <cell r="AA6367" t="str">
            <v>$1K or Below</v>
          </cell>
          <cell r="AB6367" t="str">
            <v>2010 or before</v>
          </cell>
        </row>
        <row r="6368">
          <cell r="E6368">
            <v>59.48</v>
          </cell>
          <cell r="Z6368" t="str">
            <v>Legacy</v>
          </cell>
          <cell r="AA6368" t="str">
            <v>$1K or Below</v>
          </cell>
          <cell r="AB6368" t="str">
            <v>2010 or before</v>
          </cell>
        </row>
        <row r="6369">
          <cell r="E6369">
            <v>59.46</v>
          </cell>
          <cell r="Z6369" t="str">
            <v>Legacy</v>
          </cell>
          <cell r="AA6369" t="str">
            <v>$1K or Below</v>
          </cell>
          <cell r="AB6369" t="str">
            <v>2010 or before</v>
          </cell>
        </row>
        <row r="6370">
          <cell r="E6370">
            <v>59.45</v>
          </cell>
          <cell r="Z6370" t="str">
            <v>Legacy</v>
          </cell>
          <cell r="AA6370" t="str">
            <v>$1K or Below</v>
          </cell>
          <cell r="AB6370" t="str">
            <v>2010 or before</v>
          </cell>
        </row>
        <row r="6371">
          <cell r="E6371">
            <v>59.37</v>
          </cell>
          <cell r="Z6371" t="str">
            <v>Legacy</v>
          </cell>
          <cell r="AA6371" t="str">
            <v>$1K or Below</v>
          </cell>
          <cell r="AB6371" t="str">
            <v>2010 or before</v>
          </cell>
        </row>
        <row r="6372">
          <cell r="E6372">
            <v>59</v>
          </cell>
          <cell r="Z6372" t="str">
            <v>Inbound</v>
          </cell>
          <cell r="AA6372" t="str">
            <v>$1K or Below</v>
          </cell>
          <cell r="AB6372">
            <v>2012</v>
          </cell>
        </row>
        <row r="6373">
          <cell r="E6373">
            <v>58.96</v>
          </cell>
          <cell r="Z6373" t="str">
            <v>Legacy</v>
          </cell>
          <cell r="AA6373" t="str">
            <v>$1K or Below</v>
          </cell>
          <cell r="AB6373" t="str">
            <v>2010 or before</v>
          </cell>
        </row>
        <row r="6374">
          <cell r="E6374">
            <v>58.62</v>
          </cell>
          <cell r="Z6374" t="str">
            <v>Legacy</v>
          </cell>
          <cell r="AA6374" t="str">
            <v>$1K or Below</v>
          </cell>
          <cell r="AB6374" t="str">
            <v>2010 or before</v>
          </cell>
        </row>
        <row r="6375">
          <cell r="E6375">
            <v>58.47</v>
          </cell>
          <cell r="Z6375" t="str">
            <v>Legacy</v>
          </cell>
          <cell r="AA6375" t="str">
            <v>$1K or Below</v>
          </cell>
          <cell r="AB6375" t="str">
            <v>2010 or before</v>
          </cell>
        </row>
        <row r="6376">
          <cell r="E6376">
            <v>58.44</v>
          </cell>
          <cell r="Z6376" t="str">
            <v>Legacy</v>
          </cell>
          <cell r="AA6376" t="str">
            <v>$1K or Below</v>
          </cell>
          <cell r="AB6376" t="str">
            <v>2010 or before</v>
          </cell>
        </row>
        <row r="6377">
          <cell r="E6377">
            <v>58.44</v>
          </cell>
          <cell r="Z6377" t="str">
            <v>Legacy</v>
          </cell>
          <cell r="AA6377" t="str">
            <v>$1K or Below</v>
          </cell>
          <cell r="AB6377" t="str">
            <v>2010 or before</v>
          </cell>
        </row>
        <row r="6378">
          <cell r="E6378">
            <v>58.44</v>
          </cell>
          <cell r="Z6378" t="str">
            <v>Legacy</v>
          </cell>
          <cell r="AA6378" t="str">
            <v>$1K or Below</v>
          </cell>
          <cell r="AB6378">
            <v>2012</v>
          </cell>
        </row>
        <row r="6379">
          <cell r="E6379">
            <v>58.34</v>
          </cell>
          <cell r="Z6379" t="str">
            <v>Legacy</v>
          </cell>
          <cell r="AA6379" t="str">
            <v>$1K or Below</v>
          </cell>
          <cell r="AB6379" t="str">
            <v>2010 or before</v>
          </cell>
        </row>
        <row r="6380">
          <cell r="E6380">
            <v>57.96</v>
          </cell>
          <cell r="Z6380" t="str">
            <v>Legacy</v>
          </cell>
          <cell r="AA6380" t="str">
            <v>$1K or Below</v>
          </cell>
          <cell r="AB6380" t="str">
            <v>2010 or before</v>
          </cell>
        </row>
        <row r="6381">
          <cell r="E6381">
            <v>57.96</v>
          </cell>
          <cell r="Z6381" t="str">
            <v>Legacy</v>
          </cell>
          <cell r="AA6381" t="str">
            <v>$1K or Below</v>
          </cell>
          <cell r="AB6381" t="str">
            <v>2010 or before</v>
          </cell>
        </row>
        <row r="6382">
          <cell r="E6382">
            <v>57.95</v>
          </cell>
          <cell r="Z6382" t="str">
            <v>Legacy</v>
          </cell>
          <cell r="AA6382" t="str">
            <v>$1K or Below</v>
          </cell>
          <cell r="AB6382" t="str">
            <v>2010 or before</v>
          </cell>
        </row>
        <row r="6383">
          <cell r="E6383">
            <v>57.94</v>
          </cell>
          <cell r="Z6383" t="str">
            <v>Legacy</v>
          </cell>
          <cell r="AA6383" t="str">
            <v>$1K or Below</v>
          </cell>
          <cell r="AB6383" t="str">
            <v>2010 or before</v>
          </cell>
        </row>
        <row r="6384">
          <cell r="E6384">
            <v>57.9</v>
          </cell>
          <cell r="Z6384" t="str">
            <v>Legacy</v>
          </cell>
          <cell r="AA6384" t="str">
            <v>$1K or Below</v>
          </cell>
          <cell r="AB6384" t="str">
            <v>2010 or before</v>
          </cell>
        </row>
        <row r="6385">
          <cell r="E6385">
            <v>57.87</v>
          </cell>
          <cell r="Z6385" t="str">
            <v>Legacy</v>
          </cell>
          <cell r="AA6385" t="str">
            <v>$1K or Below</v>
          </cell>
          <cell r="AB6385" t="str">
            <v>2010 or before</v>
          </cell>
        </row>
        <row r="6386">
          <cell r="E6386">
            <v>57.77</v>
          </cell>
          <cell r="Z6386" t="str">
            <v>Legacy</v>
          </cell>
          <cell r="AA6386" t="str">
            <v>$1K or Below</v>
          </cell>
          <cell r="AB6386" t="str">
            <v>2010 or before</v>
          </cell>
        </row>
        <row r="6387">
          <cell r="E6387">
            <v>57.73</v>
          </cell>
          <cell r="Z6387" t="str">
            <v>Legacy</v>
          </cell>
          <cell r="AA6387" t="str">
            <v>$1K or Below</v>
          </cell>
          <cell r="AB6387" t="str">
            <v>2010 or before</v>
          </cell>
        </row>
        <row r="6388">
          <cell r="E6388">
            <v>57.69</v>
          </cell>
          <cell r="Z6388" t="str">
            <v>Legacy</v>
          </cell>
          <cell r="AA6388" t="str">
            <v>$1K or Below</v>
          </cell>
          <cell r="AB6388" t="str">
            <v>2010 or before</v>
          </cell>
        </row>
        <row r="6389">
          <cell r="E6389">
            <v>57.49</v>
          </cell>
          <cell r="Z6389" t="str">
            <v>Ungating</v>
          </cell>
          <cell r="AA6389" t="str">
            <v>$1K or Below</v>
          </cell>
          <cell r="AB6389">
            <v>2013</v>
          </cell>
        </row>
        <row r="6390">
          <cell r="E6390">
            <v>57.48</v>
          </cell>
          <cell r="Z6390" t="str">
            <v>Legacy</v>
          </cell>
          <cell r="AA6390" t="str">
            <v>$1K or Below</v>
          </cell>
          <cell r="AB6390">
            <v>2011</v>
          </cell>
        </row>
        <row r="6391">
          <cell r="E6391">
            <v>57.48</v>
          </cell>
          <cell r="Z6391" t="str">
            <v>Legacy</v>
          </cell>
          <cell r="AA6391" t="str">
            <v>$1K or Below</v>
          </cell>
          <cell r="AB6391" t="str">
            <v>2010 or before</v>
          </cell>
        </row>
        <row r="6392">
          <cell r="E6392">
            <v>57.48</v>
          </cell>
          <cell r="Z6392" t="str">
            <v>Legacy</v>
          </cell>
          <cell r="AA6392" t="str">
            <v>$1K or Below</v>
          </cell>
          <cell r="AB6392" t="str">
            <v>2010 or before</v>
          </cell>
        </row>
        <row r="6393">
          <cell r="E6393">
            <v>57.47</v>
          </cell>
          <cell r="Z6393" t="str">
            <v>Legacy</v>
          </cell>
          <cell r="AA6393" t="str">
            <v>$1K or Below</v>
          </cell>
          <cell r="AB6393" t="str">
            <v>2010 or before</v>
          </cell>
        </row>
        <row r="6394">
          <cell r="E6394">
            <v>57.45</v>
          </cell>
          <cell r="Z6394" t="str">
            <v>Legacy</v>
          </cell>
          <cell r="AA6394" t="str">
            <v>$1K or Below</v>
          </cell>
          <cell r="AB6394" t="str">
            <v>2010 or before</v>
          </cell>
        </row>
        <row r="6395">
          <cell r="E6395">
            <v>57.45</v>
          </cell>
          <cell r="Z6395" t="str">
            <v>Ungating</v>
          </cell>
          <cell r="AA6395" t="str">
            <v>$1K or Below</v>
          </cell>
          <cell r="AB6395">
            <v>2012</v>
          </cell>
        </row>
        <row r="6396">
          <cell r="E6396">
            <v>57.45</v>
          </cell>
          <cell r="Z6396" t="str">
            <v>Legacy</v>
          </cell>
          <cell r="AA6396" t="str">
            <v>$1K or Below</v>
          </cell>
          <cell r="AB6396" t="str">
            <v>2010 or before</v>
          </cell>
        </row>
        <row r="6397">
          <cell r="E6397">
            <v>57.43</v>
          </cell>
          <cell r="Z6397" t="str">
            <v>Legacy</v>
          </cell>
          <cell r="AA6397" t="str">
            <v>$1K or Below</v>
          </cell>
          <cell r="AB6397" t="str">
            <v>2010 or before</v>
          </cell>
        </row>
        <row r="6398">
          <cell r="E6398">
            <v>57</v>
          </cell>
          <cell r="Z6398" t="str">
            <v>Legacy</v>
          </cell>
          <cell r="AA6398" t="str">
            <v>$1K or Below</v>
          </cell>
          <cell r="AB6398" t="str">
            <v>2010 or before</v>
          </cell>
        </row>
        <row r="6399">
          <cell r="E6399">
            <v>56.98</v>
          </cell>
          <cell r="Z6399" t="str">
            <v>Legacy</v>
          </cell>
          <cell r="AA6399" t="str">
            <v>$1K or Below</v>
          </cell>
          <cell r="AB6399" t="str">
            <v>2010 or before</v>
          </cell>
        </row>
        <row r="6400">
          <cell r="E6400">
            <v>56.96</v>
          </cell>
          <cell r="Z6400" t="str">
            <v>Legacy</v>
          </cell>
          <cell r="AA6400" t="str">
            <v>$1K or Below</v>
          </cell>
          <cell r="AB6400" t="str">
            <v>2010 or before</v>
          </cell>
        </row>
        <row r="6401">
          <cell r="E6401">
            <v>56.88</v>
          </cell>
          <cell r="Z6401" t="str">
            <v>Legacy</v>
          </cell>
          <cell r="AA6401" t="str">
            <v>$1K or Below</v>
          </cell>
          <cell r="AB6401" t="str">
            <v>2010 or before</v>
          </cell>
        </row>
        <row r="6402">
          <cell r="E6402">
            <v>56.85</v>
          </cell>
          <cell r="Z6402" t="str">
            <v>Legacy</v>
          </cell>
          <cell r="AA6402" t="str">
            <v>$1K or Below</v>
          </cell>
          <cell r="AB6402" t="str">
            <v>2010 or before</v>
          </cell>
        </row>
        <row r="6403">
          <cell r="E6403">
            <v>56.82</v>
          </cell>
          <cell r="Z6403" t="str">
            <v>Legacy</v>
          </cell>
          <cell r="AA6403" t="str">
            <v>$1K or Below</v>
          </cell>
          <cell r="AB6403" t="str">
            <v>2010 or before</v>
          </cell>
        </row>
        <row r="6404">
          <cell r="E6404">
            <v>56.73</v>
          </cell>
          <cell r="Z6404" t="str">
            <v>Legacy</v>
          </cell>
          <cell r="AA6404" t="str">
            <v>$1K or Below</v>
          </cell>
          <cell r="AB6404">
            <v>2012</v>
          </cell>
        </row>
        <row r="6405">
          <cell r="E6405">
            <v>56.62</v>
          </cell>
          <cell r="Z6405" t="str">
            <v>Legacy</v>
          </cell>
          <cell r="AA6405" t="str">
            <v>$1K or Below</v>
          </cell>
          <cell r="AB6405" t="str">
            <v>2010 or before</v>
          </cell>
        </row>
        <row r="6406">
          <cell r="E6406">
            <v>56.49</v>
          </cell>
          <cell r="Z6406" t="str">
            <v>Legacy</v>
          </cell>
          <cell r="AA6406" t="str">
            <v>$1K or Below</v>
          </cell>
          <cell r="AB6406" t="str">
            <v>2010 or before</v>
          </cell>
        </row>
        <row r="6407">
          <cell r="E6407">
            <v>56.48</v>
          </cell>
          <cell r="Z6407" t="str">
            <v>Legacy</v>
          </cell>
          <cell r="AA6407" t="str">
            <v>$1K or Below</v>
          </cell>
          <cell r="AB6407" t="str">
            <v>2010 or before</v>
          </cell>
        </row>
        <row r="6408">
          <cell r="E6408">
            <v>56.48</v>
          </cell>
          <cell r="Z6408" t="str">
            <v>Legacy</v>
          </cell>
          <cell r="AA6408" t="str">
            <v>$1K or Below</v>
          </cell>
          <cell r="AB6408" t="str">
            <v>2010 or before</v>
          </cell>
        </row>
        <row r="6409">
          <cell r="E6409">
            <v>56.47</v>
          </cell>
          <cell r="Z6409" t="str">
            <v>Legacy</v>
          </cell>
          <cell r="AA6409" t="str">
            <v>$1K or Below</v>
          </cell>
          <cell r="AB6409" t="str">
            <v>2010 or before</v>
          </cell>
        </row>
        <row r="6410">
          <cell r="E6410">
            <v>56.44</v>
          </cell>
          <cell r="Z6410" t="str">
            <v>Legacy</v>
          </cell>
          <cell r="AA6410" t="str">
            <v>$1K or Below</v>
          </cell>
          <cell r="AB6410">
            <v>2011</v>
          </cell>
        </row>
        <row r="6411">
          <cell r="E6411">
            <v>56.4</v>
          </cell>
          <cell r="Z6411" t="str">
            <v>Legacy</v>
          </cell>
          <cell r="AA6411" t="str">
            <v>$1K or Below</v>
          </cell>
          <cell r="AB6411" t="str">
            <v>2010 or before</v>
          </cell>
        </row>
        <row r="6412">
          <cell r="E6412">
            <v>56.36</v>
          </cell>
          <cell r="Z6412" t="str">
            <v>Legacy</v>
          </cell>
          <cell r="AA6412" t="str">
            <v>$1K or Below</v>
          </cell>
          <cell r="AB6412" t="str">
            <v>2010 or before</v>
          </cell>
        </row>
        <row r="6413">
          <cell r="E6413">
            <v>56.32</v>
          </cell>
          <cell r="Z6413" t="str">
            <v>Inbound</v>
          </cell>
          <cell r="AA6413" t="str">
            <v>$1K or Below</v>
          </cell>
          <cell r="AB6413">
            <v>2012</v>
          </cell>
        </row>
        <row r="6414">
          <cell r="E6414">
            <v>56.31</v>
          </cell>
          <cell r="Z6414" t="str">
            <v>Legacy</v>
          </cell>
          <cell r="AA6414" t="str">
            <v>$1K or Below</v>
          </cell>
          <cell r="AB6414" t="str">
            <v>2010 or before</v>
          </cell>
        </row>
        <row r="6415">
          <cell r="E6415">
            <v>56.29</v>
          </cell>
          <cell r="Z6415" t="str">
            <v>Legacy</v>
          </cell>
          <cell r="AA6415" t="str">
            <v>$1K or Below</v>
          </cell>
          <cell r="AB6415" t="str">
            <v>2010 or before</v>
          </cell>
        </row>
        <row r="6416">
          <cell r="E6416">
            <v>56.23</v>
          </cell>
          <cell r="Z6416" t="str">
            <v>Legacy</v>
          </cell>
          <cell r="AA6416" t="str">
            <v>$1K or Below</v>
          </cell>
          <cell r="AB6416" t="str">
            <v>2010 or before</v>
          </cell>
        </row>
        <row r="6417">
          <cell r="E6417">
            <v>56</v>
          </cell>
          <cell r="Z6417" t="str">
            <v>Legacy</v>
          </cell>
          <cell r="AA6417" t="str">
            <v>$1K or Below</v>
          </cell>
          <cell r="AB6417" t="str">
            <v>2010 or before</v>
          </cell>
        </row>
        <row r="6418">
          <cell r="E6418">
            <v>56</v>
          </cell>
          <cell r="Z6418" t="str">
            <v>Legacy</v>
          </cell>
          <cell r="AA6418" t="str">
            <v>$1K or Below</v>
          </cell>
          <cell r="AB6418" t="str">
            <v>2010 or before</v>
          </cell>
        </row>
        <row r="6419">
          <cell r="E6419">
            <v>56</v>
          </cell>
          <cell r="Z6419" t="str">
            <v>Legacy</v>
          </cell>
          <cell r="AA6419" t="str">
            <v>$1K or Below</v>
          </cell>
          <cell r="AB6419" t="str">
            <v>2010 or before</v>
          </cell>
        </row>
        <row r="6420">
          <cell r="E6420">
            <v>55.99</v>
          </cell>
          <cell r="Z6420" t="str">
            <v>Legacy</v>
          </cell>
          <cell r="AA6420" t="str">
            <v>$1K or Below</v>
          </cell>
          <cell r="AB6420" t="str">
            <v>2010 or before</v>
          </cell>
        </row>
        <row r="6421">
          <cell r="E6421">
            <v>55.99</v>
          </cell>
          <cell r="Z6421" t="str">
            <v>Legacy</v>
          </cell>
          <cell r="AA6421" t="str">
            <v>$1K or Below</v>
          </cell>
          <cell r="AB6421" t="str">
            <v>2010 or before</v>
          </cell>
        </row>
        <row r="6422">
          <cell r="E6422">
            <v>55.99</v>
          </cell>
          <cell r="Z6422" t="str">
            <v>Legacy</v>
          </cell>
          <cell r="AA6422" t="str">
            <v>$1K or Below</v>
          </cell>
          <cell r="AB6422" t="str">
            <v>2010 or before</v>
          </cell>
        </row>
        <row r="6423">
          <cell r="E6423">
            <v>55.99</v>
          </cell>
          <cell r="Z6423" t="str">
            <v>Legacy</v>
          </cell>
          <cell r="AA6423" t="str">
            <v>$1K or Below</v>
          </cell>
          <cell r="AB6423" t="str">
            <v>2010 or before</v>
          </cell>
        </row>
        <row r="6424">
          <cell r="E6424">
            <v>55.98</v>
          </cell>
          <cell r="Z6424" t="str">
            <v>Legacy</v>
          </cell>
          <cell r="AA6424" t="str">
            <v>$1K or Below</v>
          </cell>
          <cell r="AB6424" t="str">
            <v>2010 or before</v>
          </cell>
        </row>
        <row r="6425">
          <cell r="E6425">
            <v>55.96</v>
          </cell>
          <cell r="Z6425" t="str">
            <v>Legacy</v>
          </cell>
          <cell r="AA6425" t="str">
            <v>$1K or Below</v>
          </cell>
          <cell r="AB6425" t="str">
            <v>2010 or before</v>
          </cell>
        </row>
        <row r="6426">
          <cell r="E6426">
            <v>55.94</v>
          </cell>
          <cell r="Z6426" t="str">
            <v>Legacy</v>
          </cell>
          <cell r="AA6426" t="str">
            <v>$1K or Below</v>
          </cell>
          <cell r="AB6426" t="str">
            <v>2010 or before</v>
          </cell>
        </row>
        <row r="6427">
          <cell r="E6427">
            <v>55.92</v>
          </cell>
          <cell r="Z6427" t="str">
            <v>Legacy</v>
          </cell>
          <cell r="AA6427" t="str">
            <v>$1K or Below</v>
          </cell>
          <cell r="AB6427" t="str">
            <v>2010 or before</v>
          </cell>
        </row>
        <row r="6428">
          <cell r="E6428">
            <v>55.85</v>
          </cell>
          <cell r="Z6428" t="str">
            <v>Legacy</v>
          </cell>
          <cell r="AA6428" t="str">
            <v>$1K or Below</v>
          </cell>
          <cell r="AB6428" t="str">
            <v>2010 or before</v>
          </cell>
        </row>
        <row r="6429">
          <cell r="E6429">
            <v>55.72</v>
          </cell>
          <cell r="Z6429" t="str">
            <v>Legacy</v>
          </cell>
          <cell r="AA6429" t="str">
            <v>$1K or Below</v>
          </cell>
          <cell r="AB6429" t="str">
            <v>2010 or before</v>
          </cell>
        </row>
        <row r="6430">
          <cell r="E6430">
            <v>55.49</v>
          </cell>
          <cell r="Z6430" t="str">
            <v>Legacy</v>
          </cell>
          <cell r="AA6430" t="str">
            <v>$1K or Below</v>
          </cell>
          <cell r="AB6430" t="str">
            <v>2010 or before</v>
          </cell>
        </row>
        <row r="6431">
          <cell r="E6431">
            <v>55.49</v>
          </cell>
          <cell r="Z6431" t="str">
            <v>Legacy</v>
          </cell>
          <cell r="AA6431" t="str">
            <v>$1K or Below</v>
          </cell>
          <cell r="AB6431" t="str">
            <v>2010 or before</v>
          </cell>
        </row>
        <row r="6432">
          <cell r="E6432">
            <v>55.48</v>
          </cell>
          <cell r="Z6432" t="str">
            <v>Legacy</v>
          </cell>
          <cell r="AA6432" t="str">
            <v>$1K or Below</v>
          </cell>
          <cell r="AB6432" t="str">
            <v>2010 or before</v>
          </cell>
        </row>
        <row r="6433">
          <cell r="E6433">
            <v>55.47</v>
          </cell>
          <cell r="Z6433" t="str">
            <v>Legacy</v>
          </cell>
          <cell r="AA6433" t="str">
            <v>$1K or Below</v>
          </cell>
          <cell r="AB6433">
            <v>2012</v>
          </cell>
        </row>
        <row r="6434">
          <cell r="E6434">
            <v>55.34</v>
          </cell>
          <cell r="Z6434" t="str">
            <v>Legacy</v>
          </cell>
          <cell r="AA6434" t="str">
            <v>$1K or Below</v>
          </cell>
          <cell r="AB6434" t="str">
            <v>2010 or before</v>
          </cell>
        </row>
        <row r="6435">
          <cell r="E6435">
            <v>55.27</v>
          </cell>
          <cell r="Z6435" t="str">
            <v>Legacy</v>
          </cell>
          <cell r="AA6435" t="str">
            <v>$1K or Below</v>
          </cell>
          <cell r="AB6435" t="str">
            <v>2010 or before</v>
          </cell>
        </row>
        <row r="6436">
          <cell r="E6436">
            <v>55.26</v>
          </cell>
          <cell r="Z6436" t="str">
            <v>Legacy</v>
          </cell>
          <cell r="AA6436" t="str">
            <v>$1K or Below</v>
          </cell>
          <cell r="AB6436" t="str">
            <v>2010 or before</v>
          </cell>
        </row>
        <row r="6437">
          <cell r="E6437">
            <v>55.19</v>
          </cell>
          <cell r="Z6437" t="str">
            <v>Legacy</v>
          </cell>
          <cell r="AA6437" t="str">
            <v>$1K or Below</v>
          </cell>
          <cell r="AB6437">
            <v>2012</v>
          </cell>
        </row>
        <row r="6438">
          <cell r="E6438">
            <v>55.09</v>
          </cell>
          <cell r="Z6438" t="str">
            <v>Legacy</v>
          </cell>
          <cell r="AA6438" t="str">
            <v>$1K or Below</v>
          </cell>
          <cell r="AB6438" t="str">
            <v>2010 or before</v>
          </cell>
        </row>
        <row r="6439">
          <cell r="E6439">
            <v>54.99</v>
          </cell>
          <cell r="Z6439" t="str">
            <v>Legacy</v>
          </cell>
          <cell r="AA6439" t="str">
            <v>$1K or Below</v>
          </cell>
          <cell r="AB6439" t="str">
            <v>2010 or before</v>
          </cell>
        </row>
        <row r="6440">
          <cell r="E6440">
            <v>54.99</v>
          </cell>
          <cell r="Z6440" t="str">
            <v>Legacy</v>
          </cell>
          <cell r="AA6440" t="str">
            <v>$1K or Below</v>
          </cell>
          <cell r="AB6440" t="str">
            <v>2010 or before</v>
          </cell>
        </row>
        <row r="6441">
          <cell r="E6441">
            <v>54.98</v>
          </cell>
          <cell r="Z6441" t="str">
            <v>Legacy</v>
          </cell>
          <cell r="AA6441" t="str">
            <v>$1K or Below</v>
          </cell>
          <cell r="AB6441" t="str">
            <v>2010 or before</v>
          </cell>
        </row>
        <row r="6442">
          <cell r="E6442">
            <v>54.98</v>
          </cell>
          <cell r="Z6442" t="str">
            <v>Legacy</v>
          </cell>
          <cell r="AA6442" t="str">
            <v>$1K or Below</v>
          </cell>
          <cell r="AB6442" t="str">
            <v>2010 or before</v>
          </cell>
        </row>
        <row r="6443">
          <cell r="E6443">
            <v>54.98</v>
          </cell>
          <cell r="Z6443" t="str">
            <v>Legacy</v>
          </cell>
          <cell r="AA6443" t="str">
            <v>$1K or Below</v>
          </cell>
          <cell r="AB6443" t="str">
            <v>2010 or before</v>
          </cell>
        </row>
        <row r="6444">
          <cell r="E6444">
            <v>54.98</v>
          </cell>
          <cell r="Z6444" t="str">
            <v>Legacy</v>
          </cell>
          <cell r="AA6444" t="str">
            <v>$1K or Below</v>
          </cell>
          <cell r="AB6444" t="str">
            <v>2010 or before</v>
          </cell>
        </row>
        <row r="6445">
          <cell r="E6445">
            <v>54.98</v>
          </cell>
          <cell r="Z6445" t="str">
            <v>Legacy</v>
          </cell>
          <cell r="AA6445" t="str">
            <v>$1K or Below</v>
          </cell>
          <cell r="AB6445" t="str">
            <v>2010 or before</v>
          </cell>
        </row>
        <row r="6446">
          <cell r="E6446">
            <v>54.89</v>
          </cell>
          <cell r="Z6446" t="str">
            <v>Legacy</v>
          </cell>
          <cell r="AA6446" t="str">
            <v>$1K or Below</v>
          </cell>
          <cell r="AB6446" t="str">
            <v>2010 or before</v>
          </cell>
        </row>
        <row r="6447">
          <cell r="E6447">
            <v>54.77</v>
          </cell>
          <cell r="Z6447" t="str">
            <v>Legacy</v>
          </cell>
          <cell r="AA6447" t="str">
            <v>$1K or Below</v>
          </cell>
          <cell r="AB6447" t="str">
            <v>2010 or before</v>
          </cell>
        </row>
        <row r="6448">
          <cell r="E6448">
            <v>54.69</v>
          </cell>
          <cell r="Z6448" t="str">
            <v>Legacy</v>
          </cell>
          <cell r="AA6448" t="str">
            <v>$1K or Below</v>
          </cell>
          <cell r="AB6448" t="str">
            <v>2010 or before</v>
          </cell>
        </row>
        <row r="6449">
          <cell r="E6449">
            <v>54.49</v>
          </cell>
          <cell r="Z6449" t="str">
            <v>Legacy</v>
          </cell>
          <cell r="AA6449" t="str">
            <v>$1K or Below</v>
          </cell>
          <cell r="AB6449" t="str">
            <v>2010 or before</v>
          </cell>
        </row>
        <row r="6450">
          <cell r="E6450">
            <v>54.49</v>
          </cell>
          <cell r="Z6450" t="str">
            <v>Legacy</v>
          </cell>
          <cell r="AA6450" t="str">
            <v>$1K or Below</v>
          </cell>
          <cell r="AB6450" t="str">
            <v>2010 or before</v>
          </cell>
        </row>
        <row r="6451">
          <cell r="E6451">
            <v>54.13</v>
          </cell>
          <cell r="Z6451" t="str">
            <v>Legacy</v>
          </cell>
          <cell r="AA6451" t="str">
            <v>$1K or Below</v>
          </cell>
          <cell r="AB6451" t="str">
            <v>2010 or before</v>
          </cell>
        </row>
        <row r="6452">
          <cell r="E6452">
            <v>53.99</v>
          </cell>
          <cell r="Z6452" t="str">
            <v>Legacy</v>
          </cell>
          <cell r="AA6452" t="str">
            <v>$1K or Below</v>
          </cell>
          <cell r="AB6452" t="str">
            <v>2010 or before</v>
          </cell>
        </row>
        <row r="6453">
          <cell r="E6453">
            <v>53.99</v>
          </cell>
          <cell r="Z6453" t="str">
            <v>Legacy</v>
          </cell>
          <cell r="AA6453" t="str">
            <v>$1K or Below</v>
          </cell>
          <cell r="AB6453">
            <v>2012</v>
          </cell>
        </row>
        <row r="6454">
          <cell r="E6454">
            <v>53.98</v>
          </cell>
          <cell r="Z6454" t="str">
            <v>Legacy</v>
          </cell>
          <cell r="AA6454" t="str">
            <v>$1K or Below</v>
          </cell>
          <cell r="AB6454" t="str">
            <v>2010 or before</v>
          </cell>
        </row>
        <row r="6455">
          <cell r="E6455">
            <v>53.97</v>
          </cell>
          <cell r="Z6455" t="str">
            <v>Legacy</v>
          </cell>
          <cell r="AA6455" t="str">
            <v>$1K or Below</v>
          </cell>
          <cell r="AB6455">
            <v>2012</v>
          </cell>
        </row>
        <row r="6456">
          <cell r="E6456">
            <v>53.97</v>
          </cell>
          <cell r="Z6456" t="str">
            <v>Legacy</v>
          </cell>
          <cell r="AA6456" t="str">
            <v>$1K or Below</v>
          </cell>
          <cell r="AB6456" t="str">
            <v>2010 or before</v>
          </cell>
        </row>
        <row r="6457">
          <cell r="E6457">
            <v>53.96</v>
          </cell>
          <cell r="Z6457" t="str">
            <v>Legacy</v>
          </cell>
          <cell r="AA6457" t="str">
            <v>$1K or Below</v>
          </cell>
          <cell r="AB6457" t="str">
            <v>2010 or before</v>
          </cell>
        </row>
        <row r="6458">
          <cell r="E6458">
            <v>53.95</v>
          </cell>
          <cell r="Z6458" t="str">
            <v>Legacy</v>
          </cell>
          <cell r="AA6458" t="str">
            <v>$1K or Below</v>
          </cell>
          <cell r="AB6458" t="str">
            <v>2010 or before</v>
          </cell>
        </row>
        <row r="6459">
          <cell r="E6459">
            <v>53.95</v>
          </cell>
          <cell r="Z6459" t="str">
            <v>Legacy</v>
          </cell>
          <cell r="AA6459" t="str">
            <v>$1K or Below</v>
          </cell>
          <cell r="AB6459" t="str">
            <v>2010 or before</v>
          </cell>
        </row>
        <row r="6460">
          <cell r="E6460">
            <v>53.95</v>
          </cell>
          <cell r="Z6460" t="str">
            <v>Legacy</v>
          </cell>
          <cell r="AA6460" t="str">
            <v>$1K or Below</v>
          </cell>
          <cell r="AB6460" t="str">
            <v>2010 or before</v>
          </cell>
        </row>
        <row r="6461">
          <cell r="E6461">
            <v>53.94</v>
          </cell>
          <cell r="Z6461" t="str">
            <v>Legacy</v>
          </cell>
          <cell r="AA6461" t="str">
            <v>$1K or Below</v>
          </cell>
          <cell r="AB6461" t="str">
            <v>2010 or before</v>
          </cell>
        </row>
        <row r="6462">
          <cell r="E6462">
            <v>53.89</v>
          </cell>
          <cell r="Z6462" t="str">
            <v>Legacy</v>
          </cell>
          <cell r="AA6462" t="str">
            <v>$1K or Below</v>
          </cell>
          <cell r="AB6462">
            <v>2011</v>
          </cell>
        </row>
        <row r="6463">
          <cell r="E6463">
            <v>53.88</v>
          </cell>
          <cell r="Z6463" t="str">
            <v>Legacy</v>
          </cell>
          <cell r="AA6463" t="str">
            <v>$1K or Below</v>
          </cell>
          <cell r="AB6463" t="str">
            <v>2010 or before</v>
          </cell>
        </row>
        <row r="6464">
          <cell r="E6464">
            <v>53.78</v>
          </cell>
          <cell r="Z6464" t="str">
            <v>Legacy</v>
          </cell>
          <cell r="AA6464" t="str">
            <v>$1K or Below</v>
          </cell>
          <cell r="AB6464" t="str">
            <v>2010 or before</v>
          </cell>
        </row>
        <row r="6465">
          <cell r="E6465">
            <v>53.7</v>
          </cell>
          <cell r="Z6465" t="str">
            <v>Legacy</v>
          </cell>
          <cell r="AA6465" t="str">
            <v>$1K or Below</v>
          </cell>
          <cell r="AB6465" t="str">
            <v>2010 or before</v>
          </cell>
        </row>
        <row r="6466">
          <cell r="E6466">
            <v>53.66</v>
          </cell>
          <cell r="Z6466" t="str">
            <v>Legacy</v>
          </cell>
          <cell r="AA6466" t="str">
            <v>$1K or Below</v>
          </cell>
          <cell r="AB6466" t="str">
            <v>2010 or before</v>
          </cell>
        </row>
        <row r="6467">
          <cell r="E6467">
            <v>53.64</v>
          </cell>
          <cell r="Z6467" t="str">
            <v>Legacy</v>
          </cell>
          <cell r="AA6467" t="str">
            <v>$1K or Below</v>
          </cell>
          <cell r="AB6467" t="str">
            <v>2010 or before</v>
          </cell>
        </row>
        <row r="6468">
          <cell r="E6468">
            <v>53.64</v>
          </cell>
          <cell r="Z6468" t="str">
            <v>Legacy</v>
          </cell>
          <cell r="AA6468" t="str">
            <v>$1K or Below</v>
          </cell>
          <cell r="AB6468" t="str">
            <v>2010 or before</v>
          </cell>
        </row>
        <row r="6469">
          <cell r="E6469">
            <v>53.59</v>
          </cell>
          <cell r="Z6469" t="str">
            <v>Legacy</v>
          </cell>
          <cell r="AA6469" t="str">
            <v>$1K or Below</v>
          </cell>
          <cell r="AB6469" t="str">
            <v>2010 or before</v>
          </cell>
        </row>
        <row r="6470">
          <cell r="E6470">
            <v>53.56</v>
          </cell>
          <cell r="Z6470" t="str">
            <v>Legacy</v>
          </cell>
          <cell r="AA6470" t="str">
            <v>$1K or Below</v>
          </cell>
          <cell r="AB6470">
            <v>2011</v>
          </cell>
        </row>
        <row r="6471">
          <cell r="E6471">
            <v>53.5</v>
          </cell>
          <cell r="Z6471" t="str">
            <v>Legacy</v>
          </cell>
          <cell r="AA6471" t="str">
            <v>$1K or Below</v>
          </cell>
          <cell r="AB6471" t="str">
            <v>2010 or before</v>
          </cell>
        </row>
        <row r="6472">
          <cell r="E6472">
            <v>53.5</v>
          </cell>
          <cell r="Z6472" t="str">
            <v>Legacy</v>
          </cell>
          <cell r="AA6472" t="str">
            <v>$1K or Below</v>
          </cell>
          <cell r="AB6472" t="str">
            <v>2010 or before</v>
          </cell>
        </row>
        <row r="6473">
          <cell r="E6473">
            <v>53.44</v>
          </cell>
          <cell r="Z6473" t="str">
            <v>Legacy</v>
          </cell>
          <cell r="AA6473" t="str">
            <v>$1K or Below</v>
          </cell>
          <cell r="AB6473" t="str">
            <v>2010 or before</v>
          </cell>
        </row>
        <row r="6474">
          <cell r="E6474">
            <v>53.44</v>
          </cell>
          <cell r="Z6474" t="str">
            <v>Legacy</v>
          </cell>
          <cell r="AA6474" t="str">
            <v>$1K or Below</v>
          </cell>
          <cell r="AB6474" t="str">
            <v>2010 or before</v>
          </cell>
        </row>
        <row r="6475">
          <cell r="E6475">
            <v>53.31</v>
          </cell>
          <cell r="Z6475" t="str">
            <v>Legacy</v>
          </cell>
          <cell r="AA6475" t="str">
            <v>$1K or Below</v>
          </cell>
          <cell r="AB6475" t="str">
            <v>2010 or before</v>
          </cell>
        </row>
        <row r="6476">
          <cell r="E6476">
            <v>53.28</v>
          </cell>
          <cell r="Z6476" t="str">
            <v>Legacy</v>
          </cell>
          <cell r="AA6476" t="str">
            <v>$1K or Below</v>
          </cell>
          <cell r="AB6476" t="str">
            <v>2010 or before</v>
          </cell>
        </row>
        <row r="6477">
          <cell r="E6477">
            <v>53.22</v>
          </cell>
          <cell r="Z6477" t="str">
            <v>Legacy</v>
          </cell>
          <cell r="AA6477" t="str">
            <v>$1K or Below</v>
          </cell>
          <cell r="AB6477">
            <v>2012</v>
          </cell>
        </row>
        <row r="6478">
          <cell r="E6478">
            <v>53.03</v>
          </cell>
          <cell r="Z6478" t="str">
            <v>Legacy</v>
          </cell>
          <cell r="AA6478" t="str">
            <v>$1K or Below</v>
          </cell>
          <cell r="AB6478" t="str">
            <v>2010 or before</v>
          </cell>
        </row>
        <row r="6479">
          <cell r="E6479">
            <v>53</v>
          </cell>
          <cell r="Z6479" t="str">
            <v>Legacy</v>
          </cell>
          <cell r="AA6479" t="str">
            <v>$1K or Below</v>
          </cell>
          <cell r="AB6479" t="str">
            <v>2010 or before</v>
          </cell>
        </row>
        <row r="6480">
          <cell r="E6480">
            <v>52.99</v>
          </cell>
          <cell r="Z6480" t="str">
            <v>Legacy</v>
          </cell>
          <cell r="AA6480" t="str">
            <v>$1K or Below</v>
          </cell>
          <cell r="AB6480" t="str">
            <v>2010 or before</v>
          </cell>
        </row>
        <row r="6481">
          <cell r="E6481">
            <v>52.98</v>
          </cell>
          <cell r="Z6481" t="str">
            <v>Legacy</v>
          </cell>
          <cell r="AA6481" t="str">
            <v>$1K or Below</v>
          </cell>
          <cell r="AB6481" t="str">
            <v>2010 or before</v>
          </cell>
        </row>
        <row r="6482">
          <cell r="E6482">
            <v>52.98</v>
          </cell>
          <cell r="Z6482" t="str">
            <v>Legacy</v>
          </cell>
          <cell r="AA6482" t="str">
            <v>$1K or Below</v>
          </cell>
          <cell r="AB6482" t="str">
            <v>2010 or before</v>
          </cell>
        </row>
        <row r="6483">
          <cell r="E6483">
            <v>52.97</v>
          </cell>
          <cell r="Z6483" t="str">
            <v>Inbound</v>
          </cell>
          <cell r="AA6483" t="str">
            <v>$1K or Below</v>
          </cell>
          <cell r="AB6483">
            <v>2012</v>
          </cell>
        </row>
        <row r="6484">
          <cell r="E6484">
            <v>52.88</v>
          </cell>
          <cell r="Z6484" t="str">
            <v>Legacy</v>
          </cell>
          <cell r="AA6484" t="str">
            <v>$1K or Below</v>
          </cell>
          <cell r="AB6484" t="str">
            <v>2010 or before</v>
          </cell>
        </row>
        <row r="6485">
          <cell r="E6485">
            <v>52.77</v>
          </cell>
          <cell r="Z6485" t="str">
            <v>Legacy</v>
          </cell>
          <cell r="AA6485" t="str">
            <v>$1K or Below</v>
          </cell>
          <cell r="AB6485">
            <v>2012</v>
          </cell>
        </row>
        <row r="6486">
          <cell r="E6486">
            <v>52.74</v>
          </cell>
          <cell r="Z6486" t="str">
            <v>Legacy</v>
          </cell>
          <cell r="AA6486" t="str">
            <v>$1K or Below</v>
          </cell>
          <cell r="AB6486" t="str">
            <v>2010 or before</v>
          </cell>
        </row>
        <row r="6487">
          <cell r="E6487">
            <v>52.63</v>
          </cell>
          <cell r="Z6487" t="str">
            <v>Legacy</v>
          </cell>
          <cell r="AA6487" t="str">
            <v>$1K or Below</v>
          </cell>
          <cell r="AB6487" t="str">
            <v>2010 or before</v>
          </cell>
        </row>
        <row r="6488">
          <cell r="E6488">
            <v>52.56</v>
          </cell>
          <cell r="Z6488" t="str">
            <v>Legacy</v>
          </cell>
          <cell r="AA6488" t="str">
            <v>$1K or Below</v>
          </cell>
          <cell r="AB6488" t="str">
            <v>2010 or before</v>
          </cell>
        </row>
        <row r="6489">
          <cell r="E6489">
            <v>52.5</v>
          </cell>
          <cell r="Z6489" t="str">
            <v>Legacy</v>
          </cell>
          <cell r="AA6489" t="str">
            <v>$1K or Below</v>
          </cell>
          <cell r="AB6489">
            <v>2011</v>
          </cell>
        </row>
        <row r="6490">
          <cell r="E6490">
            <v>52.5</v>
          </cell>
          <cell r="Z6490" t="str">
            <v>Legacy</v>
          </cell>
          <cell r="AA6490" t="str">
            <v>$1K or Below</v>
          </cell>
          <cell r="AB6490" t="str">
            <v>2010 or before</v>
          </cell>
        </row>
        <row r="6491">
          <cell r="E6491">
            <v>52.49</v>
          </cell>
          <cell r="Z6491" t="str">
            <v>Legacy</v>
          </cell>
          <cell r="AA6491" t="str">
            <v>$1K or Below</v>
          </cell>
          <cell r="AB6491" t="str">
            <v>2010 or before</v>
          </cell>
        </row>
        <row r="6492">
          <cell r="E6492">
            <v>52.49</v>
          </cell>
          <cell r="Z6492" t="str">
            <v>Legacy</v>
          </cell>
          <cell r="AA6492" t="str">
            <v>$1K or Below</v>
          </cell>
          <cell r="AB6492">
            <v>2011</v>
          </cell>
        </row>
        <row r="6493">
          <cell r="E6493">
            <v>52.49</v>
          </cell>
          <cell r="Z6493" t="str">
            <v>Legacy</v>
          </cell>
          <cell r="AA6493" t="str">
            <v>$1K or Below</v>
          </cell>
          <cell r="AB6493" t="str">
            <v>2010 or before</v>
          </cell>
        </row>
        <row r="6494">
          <cell r="E6494">
            <v>52.47</v>
          </cell>
          <cell r="Z6494" t="str">
            <v>Legacy</v>
          </cell>
          <cell r="AA6494" t="str">
            <v>$1K or Below</v>
          </cell>
          <cell r="AB6494" t="str">
            <v>2010 or before</v>
          </cell>
        </row>
        <row r="6495">
          <cell r="E6495">
            <v>52.46</v>
          </cell>
          <cell r="Z6495" t="str">
            <v>Legacy</v>
          </cell>
          <cell r="AA6495" t="str">
            <v>$1K or Below</v>
          </cell>
          <cell r="AB6495" t="str">
            <v>2010 or before</v>
          </cell>
        </row>
        <row r="6496">
          <cell r="E6496">
            <v>52.45</v>
          </cell>
          <cell r="Z6496" t="str">
            <v>Legacy</v>
          </cell>
          <cell r="AA6496" t="str">
            <v>$1K or Below</v>
          </cell>
          <cell r="AB6496" t="str">
            <v>2010 or before</v>
          </cell>
        </row>
        <row r="6497">
          <cell r="E6497">
            <v>52.27</v>
          </cell>
          <cell r="Z6497" t="str">
            <v>Legacy</v>
          </cell>
          <cell r="AA6497" t="str">
            <v>$1K or Below</v>
          </cell>
          <cell r="AB6497" t="str">
            <v>2010 or before</v>
          </cell>
        </row>
        <row r="6498">
          <cell r="E6498">
            <v>52.24</v>
          </cell>
          <cell r="Z6498" t="str">
            <v>Legacy</v>
          </cell>
          <cell r="AA6498" t="str">
            <v>$1K or Below</v>
          </cell>
          <cell r="AB6498" t="str">
            <v>2010 or before</v>
          </cell>
        </row>
        <row r="6499">
          <cell r="E6499">
            <v>52.2</v>
          </cell>
          <cell r="Z6499" t="str">
            <v>Legacy</v>
          </cell>
          <cell r="AA6499" t="str">
            <v>$1K or Below</v>
          </cell>
          <cell r="AB6499" t="str">
            <v>2010 or before</v>
          </cell>
        </row>
        <row r="6500">
          <cell r="E6500">
            <v>52.14</v>
          </cell>
          <cell r="Z6500" t="str">
            <v>Legacy</v>
          </cell>
          <cell r="AA6500" t="str">
            <v>$1K or Below</v>
          </cell>
          <cell r="AB6500" t="str">
            <v>2010 or before</v>
          </cell>
        </row>
        <row r="6501">
          <cell r="E6501">
            <v>52.09</v>
          </cell>
          <cell r="Z6501" t="str">
            <v>Legacy</v>
          </cell>
          <cell r="AA6501" t="str">
            <v>$1K or Below</v>
          </cell>
          <cell r="AB6501">
            <v>2011</v>
          </cell>
        </row>
        <row r="6502">
          <cell r="E6502">
            <v>51.99</v>
          </cell>
          <cell r="Z6502" t="str">
            <v>Legacy</v>
          </cell>
          <cell r="AA6502" t="str">
            <v>$1K or Below</v>
          </cell>
          <cell r="AB6502" t="str">
            <v>2010 or before</v>
          </cell>
        </row>
        <row r="6503">
          <cell r="E6503">
            <v>51.99</v>
          </cell>
          <cell r="Z6503" t="str">
            <v>Legacy</v>
          </cell>
          <cell r="AA6503" t="str">
            <v>$1K or Below</v>
          </cell>
          <cell r="AB6503" t="str">
            <v>2010 or before</v>
          </cell>
        </row>
        <row r="6504">
          <cell r="E6504">
            <v>51.99</v>
          </cell>
          <cell r="Z6504" t="str">
            <v>Legacy</v>
          </cell>
          <cell r="AA6504" t="str">
            <v>$1K or Below</v>
          </cell>
          <cell r="AB6504" t="str">
            <v>2010 or before</v>
          </cell>
        </row>
        <row r="6505">
          <cell r="E6505">
            <v>51.99</v>
          </cell>
          <cell r="Z6505" t="str">
            <v>Ungating</v>
          </cell>
          <cell r="AA6505" t="str">
            <v>$1K or Below</v>
          </cell>
          <cell r="AB6505">
            <v>2012</v>
          </cell>
        </row>
        <row r="6506">
          <cell r="E6506">
            <v>51.97</v>
          </cell>
          <cell r="Z6506" t="str">
            <v>Legacy</v>
          </cell>
          <cell r="AA6506" t="str">
            <v>$1K or Below</v>
          </cell>
          <cell r="AB6506" t="str">
            <v>2010 or before</v>
          </cell>
        </row>
        <row r="6507">
          <cell r="E6507">
            <v>51.96</v>
          </cell>
          <cell r="Z6507" t="str">
            <v>Legacy</v>
          </cell>
          <cell r="AA6507" t="str">
            <v>$1K or Below</v>
          </cell>
          <cell r="AB6507" t="str">
            <v>2010 or before</v>
          </cell>
        </row>
        <row r="6508">
          <cell r="E6508">
            <v>51.96</v>
          </cell>
          <cell r="Z6508" t="str">
            <v>Legacy</v>
          </cell>
          <cell r="AA6508" t="str">
            <v>$1K or Below</v>
          </cell>
          <cell r="AB6508" t="str">
            <v>2010 or before</v>
          </cell>
        </row>
        <row r="6509">
          <cell r="E6509">
            <v>51.88</v>
          </cell>
          <cell r="Z6509" t="str">
            <v>Legacy</v>
          </cell>
          <cell r="AA6509" t="str">
            <v>$1K or Below</v>
          </cell>
          <cell r="AB6509" t="str">
            <v>2010 or before</v>
          </cell>
        </row>
        <row r="6510">
          <cell r="E6510">
            <v>51.8</v>
          </cell>
          <cell r="Z6510" t="str">
            <v>Legacy</v>
          </cell>
          <cell r="AA6510" t="str">
            <v>$1K or Below</v>
          </cell>
          <cell r="AB6510" t="str">
            <v>2010 or before</v>
          </cell>
        </row>
        <row r="6511">
          <cell r="E6511">
            <v>51.79</v>
          </cell>
          <cell r="Z6511" t="str">
            <v>Legacy</v>
          </cell>
          <cell r="AA6511" t="str">
            <v>$1K or Below</v>
          </cell>
          <cell r="AB6511" t="str">
            <v>2010 or before</v>
          </cell>
        </row>
        <row r="6512">
          <cell r="E6512">
            <v>51.57</v>
          </cell>
          <cell r="Z6512" t="str">
            <v>Legacy</v>
          </cell>
          <cell r="AA6512" t="str">
            <v>$1K or Below</v>
          </cell>
          <cell r="AB6512" t="str">
            <v>2010 or before</v>
          </cell>
        </row>
        <row r="6513">
          <cell r="E6513">
            <v>51.49</v>
          </cell>
          <cell r="Z6513" t="str">
            <v>Legacy</v>
          </cell>
          <cell r="AA6513" t="str">
            <v>$1K or Below</v>
          </cell>
          <cell r="AB6513" t="str">
            <v>2010 or before</v>
          </cell>
        </row>
        <row r="6514">
          <cell r="E6514">
            <v>51.49</v>
          </cell>
          <cell r="Z6514" t="str">
            <v>Legacy</v>
          </cell>
          <cell r="AA6514" t="str">
            <v>$1K or Below</v>
          </cell>
          <cell r="AB6514" t="str">
            <v>2010 or before</v>
          </cell>
        </row>
        <row r="6515">
          <cell r="E6515">
            <v>51.49</v>
          </cell>
          <cell r="Z6515" t="str">
            <v>Legacy</v>
          </cell>
          <cell r="AA6515" t="str">
            <v>$1K or Below</v>
          </cell>
          <cell r="AB6515" t="str">
            <v>2010 or before</v>
          </cell>
        </row>
        <row r="6516">
          <cell r="E6516">
            <v>51.48</v>
          </cell>
          <cell r="Z6516" t="str">
            <v>Legacy</v>
          </cell>
          <cell r="AA6516" t="str">
            <v>$1K or Below</v>
          </cell>
          <cell r="AB6516" t="str">
            <v>2010 or before</v>
          </cell>
        </row>
        <row r="6517">
          <cell r="E6517">
            <v>51.46</v>
          </cell>
          <cell r="Z6517" t="str">
            <v>Legacy</v>
          </cell>
          <cell r="AA6517" t="str">
            <v>$1K or Below</v>
          </cell>
          <cell r="AB6517" t="str">
            <v>2010 or before</v>
          </cell>
        </row>
        <row r="6518">
          <cell r="E6518">
            <v>51.45</v>
          </cell>
          <cell r="Z6518" t="str">
            <v>Legacy</v>
          </cell>
          <cell r="AA6518" t="str">
            <v>$1K or Below</v>
          </cell>
          <cell r="AB6518" t="str">
            <v>2010 or before</v>
          </cell>
        </row>
        <row r="6519">
          <cell r="E6519">
            <v>51.04</v>
          </cell>
          <cell r="Z6519" t="str">
            <v>Legacy</v>
          </cell>
          <cell r="AA6519" t="str">
            <v>$1K or Below</v>
          </cell>
          <cell r="AB6519" t="str">
            <v>2010 or before</v>
          </cell>
        </row>
        <row r="6520">
          <cell r="E6520">
            <v>50.99</v>
          </cell>
          <cell r="Z6520" t="str">
            <v>Legacy</v>
          </cell>
          <cell r="AA6520" t="str">
            <v>$1K or Below</v>
          </cell>
          <cell r="AB6520" t="str">
            <v>2010 or before</v>
          </cell>
        </row>
        <row r="6521">
          <cell r="E6521">
            <v>50.98</v>
          </cell>
          <cell r="Z6521" t="str">
            <v>Legacy</v>
          </cell>
          <cell r="AA6521" t="str">
            <v>$1K or Below</v>
          </cell>
          <cell r="AB6521" t="str">
            <v>2010 or before</v>
          </cell>
        </row>
        <row r="6522">
          <cell r="E6522">
            <v>50.97</v>
          </cell>
          <cell r="Z6522" t="str">
            <v>Legacy</v>
          </cell>
          <cell r="AA6522" t="str">
            <v>$1K or Below</v>
          </cell>
          <cell r="AB6522" t="str">
            <v>2010 or before</v>
          </cell>
        </row>
        <row r="6523">
          <cell r="E6523">
            <v>50.94</v>
          </cell>
          <cell r="Z6523" t="str">
            <v>Legacy</v>
          </cell>
          <cell r="AA6523" t="str">
            <v>$1K or Below</v>
          </cell>
          <cell r="AB6523" t="str">
            <v>2010 or before</v>
          </cell>
        </row>
        <row r="6524">
          <cell r="E6524">
            <v>50.92</v>
          </cell>
          <cell r="Z6524" t="str">
            <v>Legacy</v>
          </cell>
          <cell r="AA6524" t="str">
            <v>$1K or Below</v>
          </cell>
          <cell r="AB6524" t="str">
            <v>2010 or before</v>
          </cell>
        </row>
        <row r="6525">
          <cell r="E6525">
            <v>50.9</v>
          </cell>
          <cell r="Z6525" t="str">
            <v>Legacy</v>
          </cell>
          <cell r="AA6525" t="str">
            <v>$1K or Below</v>
          </cell>
          <cell r="AB6525" t="str">
            <v>2010 or before</v>
          </cell>
        </row>
        <row r="6526">
          <cell r="E6526">
            <v>50.9</v>
          </cell>
          <cell r="Z6526" t="str">
            <v>Legacy</v>
          </cell>
          <cell r="AA6526" t="str">
            <v>$1K or Below</v>
          </cell>
          <cell r="AB6526" t="str">
            <v>2010 or before</v>
          </cell>
        </row>
        <row r="6527">
          <cell r="E6527">
            <v>50.72</v>
          </cell>
          <cell r="Z6527" t="str">
            <v>Legacy</v>
          </cell>
          <cell r="AA6527" t="str">
            <v>$1K or Below</v>
          </cell>
          <cell r="AB6527" t="str">
            <v>2010 or before</v>
          </cell>
        </row>
        <row r="6528">
          <cell r="E6528">
            <v>50.59</v>
          </cell>
          <cell r="Z6528" t="str">
            <v>Legacy</v>
          </cell>
          <cell r="AA6528" t="str">
            <v>$1K or Below</v>
          </cell>
          <cell r="AB6528" t="str">
            <v>2010 or before</v>
          </cell>
        </row>
        <row r="6529">
          <cell r="E6529">
            <v>50.52</v>
          </cell>
          <cell r="Z6529" t="str">
            <v>Legacy</v>
          </cell>
          <cell r="AA6529" t="str">
            <v>$1K or Below</v>
          </cell>
          <cell r="AB6529" t="str">
            <v>2010 or before</v>
          </cell>
        </row>
        <row r="6530">
          <cell r="E6530">
            <v>50.52</v>
          </cell>
          <cell r="Z6530" t="str">
            <v>Legacy</v>
          </cell>
          <cell r="AA6530" t="str">
            <v>$1K or Below</v>
          </cell>
          <cell r="AB6530" t="str">
            <v>2010 or before</v>
          </cell>
        </row>
        <row r="6531">
          <cell r="E6531">
            <v>50.47</v>
          </cell>
          <cell r="Z6531" t="str">
            <v>Legacy</v>
          </cell>
          <cell r="AA6531" t="str">
            <v>$1K or Below</v>
          </cell>
          <cell r="AB6531" t="str">
            <v>2010 or before</v>
          </cell>
        </row>
        <row r="6532">
          <cell r="E6532">
            <v>50.19</v>
          </cell>
          <cell r="Z6532" t="str">
            <v>Legacy</v>
          </cell>
          <cell r="AA6532" t="str">
            <v>$1K or Below</v>
          </cell>
          <cell r="AB6532" t="str">
            <v>2010 or before</v>
          </cell>
        </row>
        <row r="6533">
          <cell r="E6533">
            <v>50.15</v>
          </cell>
          <cell r="Z6533" t="str">
            <v>Ungating</v>
          </cell>
          <cell r="AA6533" t="str">
            <v>$1K or Below</v>
          </cell>
          <cell r="AB6533">
            <v>2012</v>
          </cell>
        </row>
        <row r="6534">
          <cell r="E6534">
            <v>50.14</v>
          </cell>
          <cell r="Z6534" t="str">
            <v>Legacy</v>
          </cell>
          <cell r="AA6534" t="str">
            <v>$1K or Below</v>
          </cell>
          <cell r="AB6534" t="str">
            <v>2010 or before</v>
          </cell>
        </row>
        <row r="6535">
          <cell r="E6535">
            <v>50</v>
          </cell>
          <cell r="Z6535" t="str">
            <v>Legacy</v>
          </cell>
          <cell r="AA6535" t="str">
            <v>$1K or Below</v>
          </cell>
          <cell r="AB6535" t="str">
            <v>2010 or before</v>
          </cell>
        </row>
        <row r="6536">
          <cell r="E6536">
            <v>49.99</v>
          </cell>
          <cell r="Z6536" t="str">
            <v>Legacy</v>
          </cell>
          <cell r="AA6536" t="str">
            <v>$1K or Below</v>
          </cell>
          <cell r="AB6536" t="str">
            <v>2010 or before</v>
          </cell>
        </row>
        <row r="6537">
          <cell r="E6537">
            <v>49.99</v>
          </cell>
          <cell r="Z6537" t="str">
            <v>Legacy</v>
          </cell>
          <cell r="AA6537" t="str">
            <v>$1K or Below</v>
          </cell>
          <cell r="AB6537" t="str">
            <v>2010 or before</v>
          </cell>
        </row>
        <row r="6538">
          <cell r="E6538">
            <v>49.99</v>
          </cell>
          <cell r="Z6538" t="str">
            <v>Legacy</v>
          </cell>
          <cell r="AA6538" t="str">
            <v>$1K or Below</v>
          </cell>
          <cell r="AB6538" t="str">
            <v>2010 or before</v>
          </cell>
        </row>
        <row r="6539">
          <cell r="E6539">
            <v>49.99</v>
          </cell>
          <cell r="Z6539" t="str">
            <v>Legacy</v>
          </cell>
          <cell r="AA6539" t="str">
            <v>$1K or Below</v>
          </cell>
          <cell r="AB6539" t="str">
            <v>2010 or before</v>
          </cell>
        </row>
        <row r="6540">
          <cell r="E6540">
            <v>49.99</v>
          </cell>
          <cell r="Z6540" t="str">
            <v>Legacy</v>
          </cell>
          <cell r="AA6540" t="str">
            <v>$1K or Below</v>
          </cell>
          <cell r="AB6540" t="str">
            <v>2010 or before</v>
          </cell>
        </row>
        <row r="6541">
          <cell r="E6541">
            <v>49.98</v>
          </cell>
          <cell r="Z6541" t="str">
            <v>Inbound</v>
          </cell>
          <cell r="AA6541" t="str">
            <v>$1K or Below</v>
          </cell>
          <cell r="AB6541">
            <v>2012</v>
          </cell>
        </row>
        <row r="6542">
          <cell r="E6542">
            <v>49.98</v>
          </cell>
          <cell r="Z6542" t="str">
            <v>Legacy</v>
          </cell>
          <cell r="AA6542" t="str">
            <v>$1K or Below</v>
          </cell>
          <cell r="AB6542" t="str">
            <v>2010 or before</v>
          </cell>
        </row>
        <row r="6543">
          <cell r="E6543">
            <v>49.96</v>
          </cell>
          <cell r="Z6543" t="str">
            <v>Legacy</v>
          </cell>
          <cell r="AA6543" t="str">
            <v>$1K or Below</v>
          </cell>
          <cell r="AB6543" t="str">
            <v>2010 or before</v>
          </cell>
        </row>
        <row r="6544">
          <cell r="E6544">
            <v>49.95</v>
          </cell>
          <cell r="Z6544" t="str">
            <v>Legacy</v>
          </cell>
          <cell r="AA6544" t="str">
            <v>$1K or Below</v>
          </cell>
          <cell r="AB6544" t="str">
            <v>2010 or before</v>
          </cell>
        </row>
        <row r="6545">
          <cell r="E6545">
            <v>49.94</v>
          </cell>
          <cell r="Z6545" t="str">
            <v>Legacy</v>
          </cell>
          <cell r="AA6545" t="str">
            <v>$1K or Below</v>
          </cell>
          <cell r="AB6545" t="str">
            <v>2010 or before</v>
          </cell>
        </row>
        <row r="6546">
          <cell r="E6546">
            <v>49.9</v>
          </cell>
          <cell r="Z6546" t="str">
            <v>Legacy</v>
          </cell>
          <cell r="AA6546" t="str">
            <v>$1K or Below</v>
          </cell>
          <cell r="AB6546" t="str">
            <v>2010 or before</v>
          </cell>
        </row>
        <row r="6547">
          <cell r="E6547">
            <v>49.88</v>
          </cell>
          <cell r="Z6547" t="str">
            <v>Legacy</v>
          </cell>
          <cell r="AA6547" t="str">
            <v>$1K or Below</v>
          </cell>
          <cell r="AB6547">
            <v>2011</v>
          </cell>
        </row>
        <row r="6548">
          <cell r="E6548">
            <v>49.81</v>
          </cell>
          <cell r="Z6548" t="str">
            <v>Legacy</v>
          </cell>
          <cell r="AA6548" t="str">
            <v>$1K or Below</v>
          </cell>
          <cell r="AB6548">
            <v>2011</v>
          </cell>
        </row>
        <row r="6549">
          <cell r="E6549">
            <v>49.77</v>
          </cell>
          <cell r="Z6549" t="str">
            <v>Legacy</v>
          </cell>
          <cell r="AA6549" t="str">
            <v>$1K or Below</v>
          </cell>
          <cell r="AB6549">
            <v>2012</v>
          </cell>
        </row>
        <row r="6550">
          <cell r="E6550">
            <v>49.66</v>
          </cell>
          <cell r="Z6550" t="str">
            <v>Legacy</v>
          </cell>
          <cell r="AA6550" t="str">
            <v>$1K or Below</v>
          </cell>
          <cell r="AB6550" t="str">
            <v>2010 or before</v>
          </cell>
        </row>
        <row r="6551">
          <cell r="E6551">
            <v>49.66</v>
          </cell>
          <cell r="Z6551" t="str">
            <v>Legacy</v>
          </cell>
          <cell r="AA6551" t="str">
            <v>$1K or Below</v>
          </cell>
          <cell r="AB6551" t="str">
            <v>2010 or before</v>
          </cell>
        </row>
        <row r="6552">
          <cell r="E6552">
            <v>49.54</v>
          </cell>
          <cell r="Z6552" t="str">
            <v>Legacy</v>
          </cell>
          <cell r="AA6552" t="str">
            <v>$1K or Below</v>
          </cell>
          <cell r="AB6552" t="str">
            <v>2010 or before</v>
          </cell>
        </row>
        <row r="6553">
          <cell r="E6553">
            <v>49.49</v>
          </cell>
          <cell r="Z6553" t="str">
            <v>Legacy</v>
          </cell>
          <cell r="AA6553" t="str">
            <v>$1K or Below</v>
          </cell>
          <cell r="AB6553" t="str">
            <v>2010 or before</v>
          </cell>
        </row>
        <row r="6554">
          <cell r="E6554">
            <v>49.48</v>
          </cell>
          <cell r="Z6554" t="str">
            <v>Legacy</v>
          </cell>
          <cell r="AA6554" t="str">
            <v>$1K or Below</v>
          </cell>
          <cell r="AB6554" t="str">
            <v>2010 or before</v>
          </cell>
        </row>
        <row r="6555">
          <cell r="E6555">
            <v>49.48</v>
          </cell>
          <cell r="Z6555" t="str">
            <v>Legacy</v>
          </cell>
          <cell r="AA6555" t="str">
            <v>$1K or Below</v>
          </cell>
          <cell r="AB6555" t="str">
            <v>2010 or before</v>
          </cell>
        </row>
        <row r="6556">
          <cell r="E6556">
            <v>49.46</v>
          </cell>
          <cell r="Z6556" t="str">
            <v>Legacy</v>
          </cell>
          <cell r="AA6556" t="str">
            <v>$1K or Below</v>
          </cell>
          <cell r="AB6556">
            <v>2011</v>
          </cell>
        </row>
        <row r="6557">
          <cell r="E6557">
            <v>49.44</v>
          </cell>
          <cell r="Z6557" t="str">
            <v>Legacy</v>
          </cell>
          <cell r="AA6557" t="str">
            <v>$1K or Below</v>
          </cell>
          <cell r="AB6557" t="str">
            <v>2010 or before</v>
          </cell>
        </row>
        <row r="6558">
          <cell r="E6558">
            <v>49.44</v>
          </cell>
          <cell r="Z6558" t="str">
            <v>Legacy</v>
          </cell>
          <cell r="AA6558" t="str">
            <v>$1K or Below</v>
          </cell>
          <cell r="AB6558" t="str">
            <v>2010 or before</v>
          </cell>
        </row>
        <row r="6559">
          <cell r="E6559">
            <v>49.41</v>
          </cell>
          <cell r="Z6559" t="str">
            <v>Legacy</v>
          </cell>
          <cell r="AA6559" t="str">
            <v>$1K or Below</v>
          </cell>
          <cell r="AB6559" t="str">
            <v>2010 or before</v>
          </cell>
        </row>
        <row r="6560">
          <cell r="E6560">
            <v>49.35</v>
          </cell>
          <cell r="Z6560" t="str">
            <v>Legacy</v>
          </cell>
          <cell r="AA6560" t="str">
            <v>$1K or Below</v>
          </cell>
          <cell r="AB6560" t="str">
            <v>2010 or before</v>
          </cell>
        </row>
        <row r="6561">
          <cell r="E6561">
            <v>49.33</v>
          </cell>
          <cell r="Z6561" t="str">
            <v>Legacy</v>
          </cell>
          <cell r="AA6561" t="str">
            <v>$1K or Below</v>
          </cell>
          <cell r="AB6561" t="str">
            <v>2010 or before</v>
          </cell>
        </row>
        <row r="6562">
          <cell r="E6562">
            <v>49.07</v>
          </cell>
          <cell r="Z6562" t="str">
            <v>Legacy</v>
          </cell>
          <cell r="AA6562" t="str">
            <v>$1K or Below</v>
          </cell>
          <cell r="AB6562">
            <v>2011</v>
          </cell>
        </row>
        <row r="6563">
          <cell r="E6563">
            <v>49</v>
          </cell>
          <cell r="Z6563" t="str">
            <v>Legacy</v>
          </cell>
          <cell r="AA6563" t="str">
            <v>$1K or Below</v>
          </cell>
          <cell r="AB6563" t="str">
            <v>2010 or before</v>
          </cell>
        </row>
        <row r="6564">
          <cell r="E6564">
            <v>48.99</v>
          </cell>
          <cell r="Z6564" t="str">
            <v>Legacy</v>
          </cell>
          <cell r="AA6564" t="str">
            <v>$1K or Below</v>
          </cell>
          <cell r="AB6564" t="str">
            <v>2010 or before</v>
          </cell>
        </row>
        <row r="6565">
          <cell r="E6565">
            <v>48.99</v>
          </cell>
          <cell r="Z6565" t="str">
            <v>Legacy</v>
          </cell>
          <cell r="AA6565" t="str">
            <v>$1K or Below</v>
          </cell>
          <cell r="AB6565" t="str">
            <v>2010 or before</v>
          </cell>
        </row>
        <row r="6566">
          <cell r="E6566">
            <v>48.95</v>
          </cell>
          <cell r="Z6566" t="str">
            <v>Legacy</v>
          </cell>
          <cell r="AA6566" t="str">
            <v>$1K or Below</v>
          </cell>
          <cell r="AB6566" t="str">
            <v>2010 or before</v>
          </cell>
        </row>
        <row r="6567">
          <cell r="E6567">
            <v>48.92</v>
          </cell>
          <cell r="Z6567" t="str">
            <v>Legacy</v>
          </cell>
          <cell r="AA6567" t="str">
            <v>$1K or Below</v>
          </cell>
          <cell r="AB6567" t="str">
            <v>2010 or before</v>
          </cell>
        </row>
        <row r="6568">
          <cell r="E6568">
            <v>48.88</v>
          </cell>
          <cell r="Z6568" t="str">
            <v>Legacy</v>
          </cell>
          <cell r="AA6568" t="str">
            <v>$1K or Below</v>
          </cell>
          <cell r="AB6568" t="str">
            <v>2010 or before</v>
          </cell>
        </row>
        <row r="6569">
          <cell r="E6569">
            <v>48.86</v>
          </cell>
          <cell r="Z6569" t="str">
            <v>Legacy</v>
          </cell>
          <cell r="AA6569" t="str">
            <v>$1K or Below</v>
          </cell>
          <cell r="AB6569" t="str">
            <v>2010 or before</v>
          </cell>
        </row>
        <row r="6570">
          <cell r="E6570">
            <v>48.79</v>
          </cell>
          <cell r="Z6570" t="str">
            <v>Legacy</v>
          </cell>
          <cell r="AA6570" t="str">
            <v>$1K or Below</v>
          </cell>
          <cell r="AB6570">
            <v>2012</v>
          </cell>
        </row>
        <row r="6571">
          <cell r="E6571">
            <v>48.73</v>
          </cell>
          <cell r="Z6571" t="str">
            <v>Legacy</v>
          </cell>
          <cell r="AA6571" t="str">
            <v>$1K or Below</v>
          </cell>
          <cell r="AB6571">
            <v>2011</v>
          </cell>
        </row>
        <row r="6572">
          <cell r="E6572">
            <v>48.73</v>
          </cell>
          <cell r="Z6572" t="str">
            <v>Legacy</v>
          </cell>
          <cell r="AA6572" t="str">
            <v>$1K or Below</v>
          </cell>
          <cell r="AB6572" t="str">
            <v>2010 or before</v>
          </cell>
        </row>
        <row r="6573">
          <cell r="E6573">
            <v>48.5</v>
          </cell>
          <cell r="Z6573" t="str">
            <v>Legacy</v>
          </cell>
          <cell r="AA6573" t="str">
            <v>$1K or Below</v>
          </cell>
          <cell r="AB6573" t="str">
            <v>2010 or before</v>
          </cell>
        </row>
        <row r="6574">
          <cell r="E6574">
            <v>48.22</v>
          </cell>
          <cell r="Z6574" t="str">
            <v>Legacy</v>
          </cell>
          <cell r="AA6574" t="str">
            <v>$1K or Below</v>
          </cell>
          <cell r="AB6574" t="str">
            <v>2010 or before</v>
          </cell>
        </row>
        <row r="6575">
          <cell r="E6575">
            <v>48.2</v>
          </cell>
          <cell r="Z6575" t="str">
            <v>Legacy</v>
          </cell>
          <cell r="AA6575" t="str">
            <v>$1K or Below</v>
          </cell>
          <cell r="AB6575" t="str">
            <v>2010 or before</v>
          </cell>
        </row>
        <row r="6576">
          <cell r="E6576">
            <v>48.11</v>
          </cell>
          <cell r="Z6576" t="str">
            <v>Legacy</v>
          </cell>
          <cell r="AA6576" t="str">
            <v>$1K or Below</v>
          </cell>
          <cell r="AB6576" t="str">
            <v>2010 or before</v>
          </cell>
        </row>
        <row r="6577">
          <cell r="E6577">
            <v>48</v>
          </cell>
          <cell r="Z6577" t="str">
            <v>Legacy</v>
          </cell>
          <cell r="AA6577" t="str">
            <v>$1K or Below</v>
          </cell>
          <cell r="AB6577">
            <v>2011</v>
          </cell>
        </row>
        <row r="6578">
          <cell r="E6578">
            <v>48</v>
          </cell>
          <cell r="Z6578" t="str">
            <v>Outbound</v>
          </cell>
          <cell r="AA6578" t="str">
            <v>$1K or Below</v>
          </cell>
          <cell r="AB6578">
            <v>2012</v>
          </cell>
        </row>
        <row r="6579">
          <cell r="E6579">
            <v>48</v>
          </cell>
          <cell r="Z6579" t="str">
            <v>Legacy</v>
          </cell>
          <cell r="AA6579" t="str">
            <v>$1K or Below</v>
          </cell>
          <cell r="AB6579" t="str">
            <v>2010 or before</v>
          </cell>
        </row>
        <row r="6580">
          <cell r="E6580">
            <v>48</v>
          </cell>
          <cell r="Z6580" t="str">
            <v>Legacy</v>
          </cell>
          <cell r="AA6580" t="str">
            <v>$1K or Below</v>
          </cell>
          <cell r="AB6580" t="str">
            <v>2010 or before</v>
          </cell>
        </row>
        <row r="6581">
          <cell r="E6581">
            <v>48</v>
          </cell>
          <cell r="Z6581" t="str">
            <v>Legacy</v>
          </cell>
          <cell r="AA6581" t="str">
            <v>$1K or Below</v>
          </cell>
          <cell r="AB6581" t="str">
            <v>2010 or before</v>
          </cell>
        </row>
        <row r="6582">
          <cell r="E6582">
            <v>47.98</v>
          </cell>
          <cell r="Z6582" t="str">
            <v>Legacy</v>
          </cell>
          <cell r="AA6582" t="str">
            <v>$1K or Below</v>
          </cell>
          <cell r="AB6582">
            <v>2011</v>
          </cell>
        </row>
        <row r="6583">
          <cell r="E6583">
            <v>47.98</v>
          </cell>
          <cell r="Z6583" t="str">
            <v>Legacy</v>
          </cell>
          <cell r="AA6583" t="str">
            <v>$1K or Below</v>
          </cell>
          <cell r="AB6583" t="str">
            <v>2010 or before</v>
          </cell>
        </row>
        <row r="6584">
          <cell r="E6584">
            <v>47.95</v>
          </cell>
          <cell r="Z6584" t="str">
            <v>Legacy</v>
          </cell>
          <cell r="AA6584" t="str">
            <v>$1K or Below</v>
          </cell>
          <cell r="AB6584">
            <v>2011</v>
          </cell>
        </row>
        <row r="6585">
          <cell r="E6585">
            <v>47.94</v>
          </cell>
          <cell r="Z6585" t="str">
            <v>Legacy</v>
          </cell>
          <cell r="AA6585" t="str">
            <v>$1K or Below</v>
          </cell>
          <cell r="AB6585" t="str">
            <v>2010 or before</v>
          </cell>
        </row>
        <row r="6586">
          <cell r="E6586">
            <v>47.94</v>
          </cell>
          <cell r="Z6586" t="str">
            <v>Legacy</v>
          </cell>
          <cell r="AA6586" t="str">
            <v>$1K or Below</v>
          </cell>
          <cell r="AB6586" t="str">
            <v>2010 or before</v>
          </cell>
        </row>
        <row r="6587">
          <cell r="E6587">
            <v>47.94</v>
          </cell>
          <cell r="Z6587" t="str">
            <v>Legacy</v>
          </cell>
          <cell r="AA6587" t="str">
            <v>$1K or Below</v>
          </cell>
          <cell r="AB6587" t="str">
            <v>2010 or before</v>
          </cell>
        </row>
        <row r="6588">
          <cell r="E6588">
            <v>47.94</v>
          </cell>
          <cell r="Z6588" t="str">
            <v>Legacy</v>
          </cell>
          <cell r="AA6588" t="str">
            <v>$1K or Below</v>
          </cell>
          <cell r="AB6588" t="str">
            <v>2010 or before</v>
          </cell>
        </row>
        <row r="6589">
          <cell r="E6589">
            <v>47.92</v>
          </cell>
          <cell r="Z6589" t="str">
            <v>Legacy</v>
          </cell>
          <cell r="AA6589" t="str">
            <v>$1K or Below</v>
          </cell>
          <cell r="AB6589" t="str">
            <v>2010 or before</v>
          </cell>
        </row>
        <row r="6590">
          <cell r="E6590">
            <v>47.92</v>
          </cell>
          <cell r="Z6590" t="str">
            <v>Legacy</v>
          </cell>
          <cell r="AA6590" t="str">
            <v>$1K or Below</v>
          </cell>
          <cell r="AB6590" t="str">
            <v>2010 or before</v>
          </cell>
        </row>
        <row r="6591">
          <cell r="E6591">
            <v>47.7</v>
          </cell>
          <cell r="Z6591" t="str">
            <v>Legacy</v>
          </cell>
          <cell r="AA6591" t="str">
            <v>$1K or Below</v>
          </cell>
          <cell r="AB6591" t="str">
            <v>2010 or before</v>
          </cell>
        </row>
        <row r="6592">
          <cell r="E6592">
            <v>47.49</v>
          </cell>
          <cell r="Z6592" t="str">
            <v>Legacy</v>
          </cell>
          <cell r="AA6592" t="str">
            <v>$1K or Below</v>
          </cell>
          <cell r="AB6592" t="str">
            <v>2010 or before</v>
          </cell>
        </row>
        <row r="6593">
          <cell r="E6593">
            <v>47.48</v>
          </cell>
          <cell r="Z6593" t="str">
            <v>Legacy</v>
          </cell>
          <cell r="AA6593" t="str">
            <v>$1K or Below</v>
          </cell>
          <cell r="AB6593" t="str">
            <v>2010 or before</v>
          </cell>
        </row>
        <row r="6594">
          <cell r="E6594">
            <v>47.31</v>
          </cell>
          <cell r="Z6594" t="str">
            <v>Legacy</v>
          </cell>
          <cell r="AA6594" t="str">
            <v>$1K or Below</v>
          </cell>
          <cell r="AB6594" t="str">
            <v>2010 or before</v>
          </cell>
        </row>
        <row r="6595">
          <cell r="E6595">
            <v>47</v>
          </cell>
          <cell r="Z6595" t="str">
            <v>Global</v>
          </cell>
          <cell r="AA6595" t="str">
            <v>$1K or Below</v>
          </cell>
          <cell r="AB6595">
            <v>2013</v>
          </cell>
        </row>
        <row r="6596">
          <cell r="E6596">
            <v>46.96</v>
          </cell>
          <cell r="Z6596" t="str">
            <v>Legacy</v>
          </cell>
          <cell r="AA6596" t="str">
            <v>$1K or Below</v>
          </cell>
          <cell r="AB6596" t="str">
            <v>2010 or before</v>
          </cell>
        </row>
        <row r="6597">
          <cell r="E6597">
            <v>46.83</v>
          </cell>
          <cell r="Z6597" t="str">
            <v>Legacy</v>
          </cell>
          <cell r="AA6597" t="str">
            <v>$1K or Below</v>
          </cell>
          <cell r="AB6597" t="str">
            <v>2010 or before</v>
          </cell>
        </row>
        <row r="6598">
          <cell r="E6598">
            <v>46.6</v>
          </cell>
          <cell r="Z6598" t="str">
            <v>Legacy</v>
          </cell>
          <cell r="AA6598" t="str">
            <v>$1K or Below</v>
          </cell>
          <cell r="AB6598">
            <v>2012</v>
          </cell>
        </row>
        <row r="6599">
          <cell r="E6599">
            <v>46.49</v>
          </cell>
          <cell r="Z6599" t="str">
            <v>Legacy</v>
          </cell>
          <cell r="AA6599" t="str">
            <v>$1K or Below</v>
          </cell>
          <cell r="AB6599" t="str">
            <v>2010 or before</v>
          </cell>
        </row>
        <row r="6600">
          <cell r="E6600">
            <v>46.48</v>
          </cell>
          <cell r="Z6600" t="str">
            <v>Legacy</v>
          </cell>
          <cell r="AA6600" t="str">
            <v>$1K or Below</v>
          </cell>
          <cell r="AB6600" t="str">
            <v>2010 or before</v>
          </cell>
        </row>
        <row r="6601">
          <cell r="E6601">
            <v>46.48</v>
          </cell>
          <cell r="Z6601" t="str">
            <v>Legacy</v>
          </cell>
          <cell r="AA6601" t="str">
            <v>$1K or Below</v>
          </cell>
          <cell r="AB6601" t="str">
            <v>2010 or before</v>
          </cell>
        </row>
        <row r="6602">
          <cell r="E6602">
            <v>46.48</v>
          </cell>
          <cell r="Z6602" t="str">
            <v>Legacy</v>
          </cell>
          <cell r="AA6602" t="str">
            <v>$1K or Below</v>
          </cell>
          <cell r="AB6602" t="str">
            <v>2010 or before</v>
          </cell>
        </row>
        <row r="6603">
          <cell r="E6603">
            <v>46.43</v>
          </cell>
          <cell r="Z6603" t="str">
            <v>Legacy</v>
          </cell>
          <cell r="AA6603" t="str">
            <v>$1K or Below</v>
          </cell>
          <cell r="AB6603" t="str">
            <v>2010 or before</v>
          </cell>
        </row>
        <row r="6604">
          <cell r="E6604">
            <v>46.43</v>
          </cell>
          <cell r="Z6604" t="str">
            <v>Legacy</v>
          </cell>
          <cell r="AA6604" t="str">
            <v>$1K or Below</v>
          </cell>
          <cell r="AB6604" t="str">
            <v>2010 or before</v>
          </cell>
        </row>
        <row r="6605">
          <cell r="E6605">
            <v>46.07</v>
          </cell>
          <cell r="Z6605" t="str">
            <v>Legacy</v>
          </cell>
          <cell r="AA6605" t="str">
            <v>$1K or Below</v>
          </cell>
          <cell r="AB6605" t="str">
            <v>2010 or before</v>
          </cell>
        </row>
        <row r="6606">
          <cell r="E6606">
            <v>46.03</v>
          </cell>
          <cell r="Z6606" t="str">
            <v>Legacy</v>
          </cell>
          <cell r="AA6606" t="str">
            <v>$1K or Below</v>
          </cell>
          <cell r="AB6606" t="str">
            <v>2010 or before</v>
          </cell>
        </row>
        <row r="6607">
          <cell r="E6607">
            <v>46.03</v>
          </cell>
          <cell r="Z6607" t="str">
            <v>Legacy</v>
          </cell>
          <cell r="AA6607" t="str">
            <v>$1K or Below</v>
          </cell>
          <cell r="AB6607" t="str">
            <v>2010 or before</v>
          </cell>
        </row>
        <row r="6608">
          <cell r="E6608">
            <v>45.99</v>
          </cell>
          <cell r="Z6608" t="str">
            <v>Legacy</v>
          </cell>
          <cell r="AA6608" t="str">
            <v>$1K or Below</v>
          </cell>
          <cell r="AB6608" t="str">
            <v>2010 or before</v>
          </cell>
        </row>
        <row r="6609">
          <cell r="E6609">
            <v>45.96</v>
          </cell>
          <cell r="Z6609" t="str">
            <v>Ungating</v>
          </cell>
          <cell r="AA6609" t="str">
            <v>$1K or Below</v>
          </cell>
          <cell r="AB6609">
            <v>2012</v>
          </cell>
        </row>
        <row r="6610">
          <cell r="E6610">
            <v>45.93</v>
          </cell>
          <cell r="Z6610" t="str">
            <v>Legacy</v>
          </cell>
          <cell r="AA6610" t="str">
            <v>$1K or Below</v>
          </cell>
          <cell r="AB6610" t="str">
            <v>2010 or before</v>
          </cell>
        </row>
        <row r="6611">
          <cell r="E6611">
            <v>45.9</v>
          </cell>
          <cell r="Z6611" t="str">
            <v>Legacy</v>
          </cell>
          <cell r="AA6611" t="str">
            <v>$1K or Below</v>
          </cell>
          <cell r="AB6611" t="str">
            <v>2010 or before</v>
          </cell>
        </row>
        <row r="6612">
          <cell r="E6612">
            <v>45.88</v>
          </cell>
          <cell r="Z6612" t="str">
            <v>Legacy</v>
          </cell>
          <cell r="AA6612" t="str">
            <v>$1K or Below</v>
          </cell>
          <cell r="AB6612" t="str">
            <v>2010 or before</v>
          </cell>
        </row>
        <row r="6613">
          <cell r="E6613">
            <v>45.8</v>
          </cell>
          <cell r="Z6613" t="str">
            <v>Legacy</v>
          </cell>
          <cell r="AA6613" t="str">
            <v>$1K or Below</v>
          </cell>
          <cell r="AB6613" t="str">
            <v>2010 or before</v>
          </cell>
        </row>
        <row r="6614">
          <cell r="E6614">
            <v>45.69</v>
          </cell>
          <cell r="Z6614" t="str">
            <v>Legacy</v>
          </cell>
          <cell r="AA6614" t="str">
            <v>$1K or Below</v>
          </cell>
          <cell r="AB6614">
            <v>2011</v>
          </cell>
        </row>
        <row r="6615">
          <cell r="E6615">
            <v>45.56</v>
          </cell>
          <cell r="Z6615" t="str">
            <v>Legacy</v>
          </cell>
          <cell r="AA6615" t="str">
            <v>$1K or Below</v>
          </cell>
          <cell r="AB6615" t="str">
            <v>2010 or before</v>
          </cell>
        </row>
        <row r="6616">
          <cell r="E6616">
            <v>45.49</v>
          </cell>
          <cell r="Z6616" t="str">
            <v>Legacy</v>
          </cell>
          <cell r="AA6616" t="str">
            <v>$1K or Below</v>
          </cell>
          <cell r="AB6616">
            <v>2012</v>
          </cell>
        </row>
        <row r="6617">
          <cell r="E6617">
            <v>45.49</v>
          </cell>
          <cell r="Z6617" t="str">
            <v>Legacy</v>
          </cell>
          <cell r="AA6617" t="str">
            <v>$1K or Below</v>
          </cell>
          <cell r="AB6617" t="str">
            <v>2010 or before</v>
          </cell>
        </row>
        <row r="6618">
          <cell r="E6618">
            <v>45.48</v>
          </cell>
          <cell r="Z6618" t="str">
            <v>Legacy</v>
          </cell>
          <cell r="AA6618" t="str">
            <v>$1K or Below</v>
          </cell>
          <cell r="AB6618" t="str">
            <v>2010 or before</v>
          </cell>
        </row>
        <row r="6619">
          <cell r="E6619">
            <v>45.48</v>
          </cell>
          <cell r="Z6619" t="str">
            <v>Legacy</v>
          </cell>
          <cell r="AA6619" t="str">
            <v>$1K or Below</v>
          </cell>
          <cell r="AB6619" t="str">
            <v>2010 or before</v>
          </cell>
        </row>
        <row r="6620">
          <cell r="E6620">
            <v>45.47</v>
          </cell>
          <cell r="Z6620" t="str">
            <v>Legacy</v>
          </cell>
          <cell r="AA6620" t="str">
            <v>$1K or Below</v>
          </cell>
          <cell r="AB6620" t="str">
            <v>2010 or before</v>
          </cell>
        </row>
        <row r="6621">
          <cell r="E6621">
            <v>45.44</v>
          </cell>
          <cell r="Z6621" t="str">
            <v>Legacy</v>
          </cell>
          <cell r="AA6621" t="str">
            <v>$1K or Below</v>
          </cell>
          <cell r="AB6621" t="str">
            <v>2010 or before</v>
          </cell>
        </row>
        <row r="6622">
          <cell r="E6622">
            <v>45.43</v>
          </cell>
          <cell r="Z6622" t="str">
            <v>Legacy</v>
          </cell>
          <cell r="AA6622" t="str">
            <v>$1K or Below</v>
          </cell>
          <cell r="AB6622" t="str">
            <v>2010 or before</v>
          </cell>
        </row>
        <row r="6623">
          <cell r="E6623">
            <v>45.39</v>
          </cell>
          <cell r="Z6623" t="str">
            <v>Legacy</v>
          </cell>
          <cell r="AA6623" t="str">
            <v>$1K or Below</v>
          </cell>
          <cell r="AB6623" t="str">
            <v>2010 or before</v>
          </cell>
        </row>
        <row r="6624">
          <cell r="E6624">
            <v>45.3</v>
          </cell>
          <cell r="Z6624" t="str">
            <v>Inbound</v>
          </cell>
          <cell r="AA6624" t="str">
            <v>$1K or Below</v>
          </cell>
          <cell r="AB6624">
            <v>2013</v>
          </cell>
        </row>
        <row r="6625">
          <cell r="E6625">
            <v>45.27</v>
          </cell>
          <cell r="Z6625" t="str">
            <v>Legacy</v>
          </cell>
          <cell r="AA6625" t="str">
            <v>$1K or Below</v>
          </cell>
          <cell r="AB6625" t="str">
            <v>2010 or before</v>
          </cell>
        </row>
        <row r="6626">
          <cell r="E6626">
            <v>45.25</v>
          </cell>
          <cell r="Z6626" t="str">
            <v>Legacy</v>
          </cell>
          <cell r="AA6626" t="str">
            <v>$1K or Below</v>
          </cell>
          <cell r="AB6626" t="str">
            <v>2010 or before</v>
          </cell>
        </row>
        <row r="6627">
          <cell r="E6627">
            <v>45</v>
          </cell>
          <cell r="Z6627" t="str">
            <v>Legacy</v>
          </cell>
          <cell r="AA6627" t="str">
            <v>$1K or Below</v>
          </cell>
          <cell r="AB6627">
            <v>2011</v>
          </cell>
        </row>
        <row r="6628">
          <cell r="E6628">
            <v>45</v>
          </cell>
          <cell r="Z6628" t="str">
            <v>Legacy</v>
          </cell>
          <cell r="AA6628" t="str">
            <v>$1K or Below</v>
          </cell>
          <cell r="AB6628" t="str">
            <v>2010 or before</v>
          </cell>
        </row>
        <row r="6629">
          <cell r="E6629">
            <v>45</v>
          </cell>
          <cell r="Z6629" t="str">
            <v>Legacy</v>
          </cell>
          <cell r="AA6629" t="str">
            <v>$1K or Below</v>
          </cell>
          <cell r="AB6629" t="str">
            <v>2010 or before</v>
          </cell>
        </row>
        <row r="6630">
          <cell r="E6630">
            <v>44.99</v>
          </cell>
          <cell r="Z6630" t="str">
            <v>Legacy</v>
          </cell>
          <cell r="AA6630" t="str">
            <v>$1K or Below</v>
          </cell>
          <cell r="AB6630" t="str">
            <v>2010 or before</v>
          </cell>
        </row>
        <row r="6631">
          <cell r="E6631">
            <v>44.99</v>
          </cell>
          <cell r="Z6631" t="str">
            <v>Legacy</v>
          </cell>
          <cell r="AA6631" t="str">
            <v>$1K or Below</v>
          </cell>
          <cell r="AB6631" t="str">
            <v>2010 or before</v>
          </cell>
        </row>
        <row r="6632">
          <cell r="E6632">
            <v>44.98</v>
          </cell>
          <cell r="Z6632" t="str">
            <v>Legacy</v>
          </cell>
          <cell r="AA6632" t="str">
            <v>$1K or Below</v>
          </cell>
          <cell r="AB6632" t="str">
            <v>2010 or before</v>
          </cell>
        </row>
        <row r="6633">
          <cell r="E6633">
            <v>44.98</v>
          </cell>
          <cell r="Z6633" t="str">
            <v>Legacy</v>
          </cell>
          <cell r="AA6633" t="str">
            <v>$1K or Below</v>
          </cell>
          <cell r="AB6633" t="str">
            <v>2010 or before</v>
          </cell>
        </row>
        <row r="6634">
          <cell r="E6634">
            <v>44.97</v>
          </cell>
          <cell r="Z6634" t="str">
            <v>Legacy</v>
          </cell>
          <cell r="AA6634" t="str">
            <v>$1K or Below</v>
          </cell>
          <cell r="AB6634" t="str">
            <v>2010 or before</v>
          </cell>
        </row>
        <row r="6635">
          <cell r="E6635">
            <v>44.96</v>
          </cell>
          <cell r="Z6635" t="str">
            <v>Legacy</v>
          </cell>
          <cell r="AA6635" t="str">
            <v>$1K or Below</v>
          </cell>
          <cell r="AB6635">
            <v>2012</v>
          </cell>
        </row>
        <row r="6636">
          <cell r="E6636">
            <v>44.96</v>
          </cell>
          <cell r="Z6636" t="str">
            <v>Ungating</v>
          </cell>
          <cell r="AA6636" t="str">
            <v>$1K or Below</v>
          </cell>
          <cell r="AB6636">
            <v>2012</v>
          </cell>
        </row>
        <row r="6637">
          <cell r="E6637">
            <v>44.94</v>
          </cell>
          <cell r="Z6637" t="str">
            <v>Legacy</v>
          </cell>
          <cell r="AA6637" t="str">
            <v>$1K or Below</v>
          </cell>
          <cell r="AB6637" t="str">
            <v>2010 or before</v>
          </cell>
        </row>
        <row r="6638">
          <cell r="E6638">
            <v>44.94</v>
          </cell>
          <cell r="Z6638" t="str">
            <v>Legacy</v>
          </cell>
          <cell r="AA6638" t="str">
            <v>$1K or Below</v>
          </cell>
          <cell r="AB6638" t="str">
            <v>2010 or before</v>
          </cell>
        </row>
        <row r="6639">
          <cell r="E6639">
            <v>44.9</v>
          </cell>
          <cell r="Z6639" t="str">
            <v>Legacy</v>
          </cell>
          <cell r="AA6639" t="str">
            <v>$1K or Below</v>
          </cell>
          <cell r="AB6639">
            <v>2012</v>
          </cell>
        </row>
        <row r="6640">
          <cell r="E6640">
            <v>44.88</v>
          </cell>
          <cell r="Z6640" t="str">
            <v>Ungating</v>
          </cell>
          <cell r="AA6640" t="str">
            <v>$1K or Below</v>
          </cell>
          <cell r="AB6640">
            <v>2012</v>
          </cell>
        </row>
        <row r="6641">
          <cell r="E6641">
            <v>44.88</v>
          </cell>
          <cell r="Z6641" t="str">
            <v>Legacy</v>
          </cell>
          <cell r="AA6641" t="str">
            <v>$1K or Below</v>
          </cell>
          <cell r="AB6641" t="str">
            <v>2010 or before</v>
          </cell>
        </row>
        <row r="6642">
          <cell r="E6642">
            <v>44.88</v>
          </cell>
          <cell r="Z6642" t="str">
            <v>Legacy</v>
          </cell>
          <cell r="AA6642" t="str">
            <v>$1K or Below</v>
          </cell>
          <cell r="AB6642" t="str">
            <v>2010 or before</v>
          </cell>
        </row>
        <row r="6643">
          <cell r="E6643">
            <v>44.86</v>
          </cell>
          <cell r="Z6643" t="str">
            <v>Legacy</v>
          </cell>
          <cell r="AA6643" t="str">
            <v>$1K or Below</v>
          </cell>
          <cell r="AB6643" t="str">
            <v>2010 or before</v>
          </cell>
        </row>
        <row r="6644">
          <cell r="E6644">
            <v>44.72</v>
          </cell>
          <cell r="Z6644" t="str">
            <v>Legacy</v>
          </cell>
          <cell r="AA6644" t="str">
            <v>$1K or Below</v>
          </cell>
          <cell r="AB6644" t="str">
            <v>2010 or before</v>
          </cell>
        </row>
        <row r="6645">
          <cell r="E6645">
            <v>44.71</v>
          </cell>
          <cell r="Z6645" t="str">
            <v>Legacy</v>
          </cell>
          <cell r="AA6645" t="str">
            <v>$1K or Below</v>
          </cell>
          <cell r="AB6645">
            <v>2011</v>
          </cell>
        </row>
        <row r="6646">
          <cell r="E6646">
            <v>44.55</v>
          </cell>
          <cell r="Z6646" t="str">
            <v>Legacy</v>
          </cell>
          <cell r="AA6646" t="str">
            <v>$1K or Below</v>
          </cell>
          <cell r="AB6646" t="str">
            <v>2010 or before</v>
          </cell>
        </row>
        <row r="6647">
          <cell r="E6647">
            <v>44.49</v>
          </cell>
          <cell r="Z6647" t="str">
            <v>Legacy</v>
          </cell>
          <cell r="AA6647" t="str">
            <v>$1K or Below</v>
          </cell>
          <cell r="AB6647" t="str">
            <v>2010 or before</v>
          </cell>
        </row>
        <row r="6648">
          <cell r="E6648">
            <v>44.48</v>
          </cell>
          <cell r="Z6648" t="str">
            <v>Legacy</v>
          </cell>
          <cell r="AA6648" t="str">
            <v>$1K or Below</v>
          </cell>
          <cell r="AB6648" t="str">
            <v>2010 or before</v>
          </cell>
        </row>
        <row r="6649">
          <cell r="E6649">
            <v>44.48</v>
          </cell>
          <cell r="Z6649" t="str">
            <v>Legacy</v>
          </cell>
          <cell r="AA6649" t="str">
            <v>$1K or Below</v>
          </cell>
          <cell r="AB6649" t="str">
            <v>2010 or before</v>
          </cell>
        </row>
        <row r="6650">
          <cell r="E6650">
            <v>44.44</v>
          </cell>
          <cell r="Z6650" t="str">
            <v>Legacy</v>
          </cell>
          <cell r="AA6650" t="str">
            <v>$1K or Below</v>
          </cell>
          <cell r="AB6650" t="str">
            <v>2010 or before</v>
          </cell>
        </row>
        <row r="6651">
          <cell r="E6651">
            <v>44.4</v>
          </cell>
          <cell r="Z6651" t="str">
            <v>Legacy</v>
          </cell>
          <cell r="AA6651" t="str">
            <v>$1K or Below</v>
          </cell>
          <cell r="AB6651" t="str">
            <v>2010 or before</v>
          </cell>
        </row>
        <row r="6652">
          <cell r="E6652">
            <v>44.22</v>
          </cell>
          <cell r="Z6652" t="str">
            <v>Legacy</v>
          </cell>
          <cell r="AA6652" t="str">
            <v>$1K or Below</v>
          </cell>
          <cell r="AB6652">
            <v>2011</v>
          </cell>
        </row>
        <row r="6653">
          <cell r="E6653">
            <v>44</v>
          </cell>
          <cell r="Z6653" t="str">
            <v>Legacy</v>
          </cell>
          <cell r="AA6653" t="str">
            <v>$1K or Below</v>
          </cell>
          <cell r="AB6653" t="str">
            <v>2010 or before</v>
          </cell>
        </row>
        <row r="6654">
          <cell r="E6654">
            <v>44</v>
          </cell>
          <cell r="Z6654" t="str">
            <v>Legacy</v>
          </cell>
          <cell r="AA6654" t="str">
            <v>$1K or Below</v>
          </cell>
          <cell r="AB6654">
            <v>2011</v>
          </cell>
        </row>
        <row r="6655">
          <cell r="E6655">
            <v>43.99</v>
          </cell>
          <cell r="Z6655" t="str">
            <v>Legacy</v>
          </cell>
          <cell r="AA6655" t="str">
            <v>$1K or Below</v>
          </cell>
          <cell r="AB6655" t="str">
            <v>2010 or before</v>
          </cell>
        </row>
        <row r="6656">
          <cell r="E6656">
            <v>43.99</v>
          </cell>
          <cell r="Z6656" t="str">
            <v>Legacy</v>
          </cell>
          <cell r="AA6656" t="str">
            <v>$1K or Below</v>
          </cell>
          <cell r="AB6656" t="str">
            <v>2010 or before</v>
          </cell>
        </row>
        <row r="6657">
          <cell r="E6657">
            <v>43.98</v>
          </cell>
          <cell r="Z6657" t="str">
            <v>Legacy</v>
          </cell>
          <cell r="AA6657" t="str">
            <v>$1K or Below</v>
          </cell>
          <cell r="AB6657" t="str">
            <v>2010 or before</v>
          </cell>
        </row>
        <row r="6658">
          <cell r="E6658">
            <v>43.96</v>
          </cell>
          <cell r="Z6658" t="str">
            <v>Legacy</v>
          </cell>
          <cell r="AA6658" t="str">
            <v>$1K or Below</v>
          </cell>
          <cell r="AB6658" t="str">
            <v>2010 or before</v>
          </cell>
        </row>
        <row r="6659">
          <cell r="E6659">
            <v>43.95</v>
          </cell>
          <cell r="Z6659" t="str">
            <v>Legacy</v>
          </cell>
          <cell r="AA6659" t="str">
            <v>$1K or Below</v>
          </cell>
          <cell r="AB6659" t="str">
            <v>2010 or before</v>
          </cell>
        </row>
        <row r="6660">
          <cell r="E6660">
            <v>43.92</v>
          </cell>
          <cell r="Z6660" t="str">
            <v>Legacy</v>
          </cell>
          <cell r="AA6660" t="str">
            <v>$1K or Below</v>
          </cell>
          <cell r="AB6660" t="str">
            <v>2010 or before</v>
          </cell>
        </row>
        <row r="6661">
          <cell r="E6661">
            <v>43.85</v>
          </cell>
          <cell r="Z6661" t="str">
            <v>Legacy</v>
          </cell>
          <cell r="AA6661" t="str">
            <v>$1K or Below</v>
          </cell>
          <cell r="AB6661" t="str">
            <v>2010 or before</v>
          </cell>
        </row>
        <row r="6662">
          <cell r="E6662">
            <v>43.75</v>
          </cell>
          <cell r="Z6662" t="str">
            <v>Legacy</v>
          </cell>
          <cell r="AA6662" t="str">
            <v>$1K or Below</v>
          </cell>
          <cell r="AB6662" t="str">
            <v>2010 or before</v>
          </cell>
        </row>
        <row r="6663">
          <cell r="E6663">
            <v>43.72</v>
          </cell>
          <cell r="Z6663" t="str">
            <v>Legacy</v>
          </cell>
          <cell r="AA6663" t="str">
            <v>$1K or Below</v>
          </cell>
          <cell r="AB6663" t="str">
            <v>2010 or before</v>
          </cell>
        </row>
        <row r="6664">
          <cell r="E6664">
            <v>43.49</v>
          </cell>
          <cell r="Z6664" t="str">
            <v>Legacy</v>
          </cell>
          <cell r="AA6664" t="str">
            <v>$1K or Below</v>
          </cell>
          <cell r="AB6664" t="str">
            <v>2010 or before</v>
          </cell>
        </row>
        <row r="6665">
          <cell r="E6665">
            <v>43.48</v>
          </cell>
          <cell r="Z6665" t="str">
            <v>Legacy</v>
          </cell>
          <cell r="AA6665" t="str">
            <v>$1K or Below</v>
          </cell>
          <cell r="AB6665" t="str">
            <v>2010 or before</v>
          </cell>
        </row>
        <row r="6666">
          <cell r="E6666">
            <v>43.47</v>
          </cell>
          <cell r="Z6666" t="str">
            <v>Legacy</v>
          </cell>
          <cell r="AA6666" t="str">
            <v>$1K or Below</v>
          </cell>
          <cell r="AB6666" t="str">
            <v>2010 or before</v>
          </cell>
        </row>
        <row r="6667">
          <cell r="E6667">
            <v>43.47</v>
          </cell>
          <cell r="Z6667" t="str">
            <v>Legacy</v>
          </cell>
          <cell r="AA6667" t="str">
            <v>$1K or Below</v>
          </cell>
          <cell r="AB6667" t="str">
            <v>2010 or before</v>
          </cell>
        </row>
        <row r="6668">
          <cell r="E6668">
            <v>43.36</v>
          </cell>
          <cell r="Z6668" t="str">
            <v>Legacy</v>
          </cell>
          <cell r="AA6668" t="str">
            <v>$1K or Below</v>
          </cell>
          <cell r="AB6668" t="str">
            <v>2010 or before</v>
          </cell>
        </row>
        <row r="6669">
          <cell r="E6669">
            <v>43.33</v>
          </cell>
          <cell r="Z6669" t="str">
            <v>Legacy</v>
          </cell>
          <cell r="AA6669" t="str">
            <v>$1K or Below</v>
          </cell>
          <cell r="AB6669" t="str">
            <v>2010 or before</v>
          </cell>
        </row>
        <row r="6670">
          <cell r="E6670">
            <v>43.14</v>
          </cell>
          <cell r="Z6670" t="str">
            <v>Legacy</v>
          </cell>
          <cell r="AA6670" t="str">
            <v>$1K or Below</v>
          </cell>
          <cell r="AB6670" t="str">
            <v>2010 or before</v>
          </cell>
        </row>
        <row r="6671">
          <cell r="E6671">
            <v>42.99</v>
          </cell>
          <cell r="Z6671" t="str">
            <v>Legacy</v>
          </cell>
          <cell r="AA6671" t="str">
            <v>$1K or Below</v>
          </cell>
          <cell r="AB6671" t="str">
            <v>2010 or before</v>
          </cell>
        </row>
        <row r="6672">
          <cell r="E6672">
            <v>42.98</v>
          </cell>
          <cell r="Z6672" t="str">
            <v>Legacy</v>
          </cell>
          <cell r="AA6672" t="str">
            <v>$1K or Below</v>
          </cell>
          <cell r="AB6672" t="str">
            <v>2010 or before</v>
          </cell>
        </row>
        <row r="6673">
          <cell r="E6673">
            <v>42.98</v>
          </cell>
          <cell r="Z6673" t="str">
            <v>Legacy</v>
          </cell>
          <cell r="AA6673" t="str">
            <v>$1K or Below</v>
          </cell>
          <cell r="AB6673" t="str">
            <v>2010 or before</v>
          </cell>
        </row>
        <row r="6674">
          <cell r="E6674">
            <v>42.98</v>
          </cell>
          <cell r="Z6674" t="str">
            <v>Legacy</v>
          </cell>
          <cell r="AA6674" t="str">
            <v>$1K or Below</v>
          </cell>
          <cell r="AB6674" t="str">
            <v>2010 or before</v>
          </cell>
        </row>
        <row r="6675">
          <cell r="E6675">
            <v>42.88</v>
          </cell>
          <cell r="Z6675" t="str">
            <v>Legacy</v>
          </cell>
          <cell r="AA6675" t="str">
            <v>$1K or Below</v>
          </cell>
          <cell r="AB6675">
            <v>2012</v>
          </cell>
        </row>
        <row r="6676">
          <cell r="E6676">
            <v>42.82</v>
          </cell>
          <cell r="Z6676" t="str">
            <v>Legacy</v>
          </cell>
          <cell r="AA6676" t="str">
            <v>$1K or Below</v>
          </cell>
          <cell r="AB6676" t="str">
            <v>2010 or before</v>
          </cell>
        </row>
        <row r="6677">
          <cell r="E6677">
            <v>42.78</v>
          </cell>
          <cell r="Z6677" t="str">
            <v>Legacy</v>
          </cell>
          <cell r="AA6677" t="str">
            <v>$1K or Below</v>
          </cell>
          <cell r="AB6677" t="str">
            <v>2010 or before</v>
          </cell>
        </row>
        <row r="6678">
          <cell r="E6678">
            <v>42.68</v>
          </cell>
          <cell r="Z6678" t="str">
            <v>Legacy</v>
          </cell>
          <cell r="AA6678" t="str">
            <v>$1K or Below</v>
          </cell>
          <cell r="AB6678" t="str">
            <v>2010 or before</v>
          </cell>
        </row>
        <row r="6679">
          <cell r="E6679">
            <v>42.66</v>
          </cell>
          <cell r="Z6679" t="str">
            <v>Legacy</v>
          </cell>
          <cell r="AA6679" t="str">
            <v>$1K or Below</v>
          </cell>
          <cell r="AB6679" t="str">
            <v>2010 or before</v>
          </cell>
        </row>
        <row r="6680">
          <cell r="E6680">
            <v>42.54</v>
          </cell>
          <cell r="Z6680" t="str">
            <v>Legacy</v>
          </cell>
          <cell r="AA6680" t="str">
            <v>$1K or Below</v>
          </cell>
          <cell r="AB6680" t="str">
            <v>2010 or before</v>
          </cell>
        </row>
        <row r="6681">
          <cell r="E6681">
            <v>42.49</v>
          </cell>
          <cell r="Z6681" t="str">
            <v>Legacy</v>
          </cell>
          <cell r="AA6681" t="str">
            <v>$1K or Below</v>
          </cell>
          <cell r="AB6681" t="str">
            <v>2010 or before</v>
          </cell>
        </row>
        <row r="6682">
          <cell r="E6682">
            <v>42.47</v>
          </cell>
          <cell r="Z6682" t="str">
            <v>Ungating</v>
          </cell>
          <cell r="AA6682" t="str">
            <v>$1K or Below</v>
          </cell>
          <cell r="AB6682">
            <v>2012</v>
          </cell>
        </row>
        <row r="6683">
          <cell r="E6683">
            <v>42.46</v>
          </cell>
          <cell r="Z6683" t="str">
            <v>Legacy</v>
          </cell>
          <cell r="AA6683" t="str">
            <v>$1K or Below</v>
          </cell>
          <cell r="AB6683" t="str">
            <v>2010 or before</v>
          </cell>
        </row>
        <row r="6684">
          <cell r="E6684">
            <v>42.3</v>
          </cell>
          <cell r="Z6684" t="str">
            <v>Legacy</v>
          </cell>
          <cell r="AA6684" t="str">
            <v>$1K or Below</v>
          </cell>
          <cell r="AB6684" t="str">
            <v>2010 or before</v>
          </cell>
        </row>
        <row r="6685">
          <cell r="E6685">
            <v>42.06</v>
          </cell>
          <cell r="Z6685" t="str">
            <v>Legacy</v>
          </cell>
          <cell r="AA6685" t="str">
            <v>$1K or Below</v>
          </cell>
          <cell r="AB6685" t="str">
            <v>2010 or before</v>
          </cell>
        </row>
        <row r="6686">
          <cell r="E6686">
            <v>42.05</v>
          </cell>
          <cell r="Z6686" t="str">
            <v>Legacy</v>
          </cell>
          <cell r="AA6686" t="str">
            <v>$1K or Below</v>
          </cell>
          <cell r="AB6686" t="str">
            <v>2010 or before</v>
          </cell>
        </row>
        <row r="6687">
          <cell r="E6687">
            <v>42.05</v>
          </cell>
          <cell r="Z6687" t="str">
            <v>Legacy</v>
          </cell>
          <cell r="AA6687" t="str">
            <v>$1K or Below</v>
          </cell>
          <cell r="AB6687" t="str">
            <v>2010 or before</v>
          </cell>
        </row>
        <row r="6688">
          <cell r="E6688">
            <v>41.99</v>
          </cell>
          <cell r="Z6688" t="str">
            <v>Legacy</v>
          </cell>
          <cell r="AA6688" t="str">
            <v>$1K or Below</v>
          </cell>
          <cell r="AB6688" t="str">
            <v>2010 or before</v>
          </cell>
        </row>
        <row r="6689">
          <cell r="E6689">
            <v>41.98</v>
          </cell>
          <cell r="Z6689" t="str">
            <v>Legacy</v>
          </cell>
          <cell r="AA6689" t="str">
            <v>$1K or Below</v>
          </cell>
          <cell r="AB6689" t="str">
            <v>2010 or before</v>
          </cell>
        </row>
        <row r="6690">
          <cell r="E6690">
            <v>41.97</v>
          </cell>
          <cell r="Z6690" t="str">
            <v>Legacy</v>
          </cell>
          <cell r="AA6690" t="str">
            <v>$1K or Below</v>
          </cell>
          <cell r="AB6690" t="str">
            <v>2010 or before</v>
          </cell>
        </row>
        <row r="6691">
          <cell r="E6691">
            <v>41.96</v>
          </cell>
          <cell r="Z6691" t="str">
            <v>Legacy</v>
          </cell>
          <cell r="AA6691" t="str">
            <v>$1K or Below</v>
          </cell>
          <cell r="AB6691" t="str">
            <v>2010 or before</v>
          </cell>
        </row>
        <row r="6692">
          <cell r="E6692">
            <v>41.93</v>
          </cell>
          <cell r="Z6692" t="str">
            <v>Legacy</v>
          </cell>
          <cell r="AA6692" t="str">
            <v>$1K or Below</v>
          </cell>
          <cell r="AB6692" t="str">
            <v>2010 or before</v>
          </cell>
        </row>
        <row r="6693">
          <cell r="E6693">
            <v>41.92</v>
          </cell>
          <cell r="Z6693" t="str">
            <v>Legacy</v>
          </cell>
          <cell r="AA6693" t="str">
            <v>$1K or Below</v>
          </cell>
          <cell r="AB6693" t="str">
            <v>2010 or before</v>
          </cell>
        </row>
        <row r="6694">
          <cell r="E6694">
            <v>41.82</v>
          </cell>
          <cell r="Z6694" t="str">
            <v>Legacy</v>
          </cell>
          <cell r="AA6694" t="str">
            <v>$1K or Below</v>
          </cell>
          <cell r="AB6694" t="str">
            <v>2010 or before</v>
          </cell>
        </row>
        <row r="6695">
          <cell r="E6695">
            <v>41.82</v>
          </cell>
          <cell r="Z6695" t="str">
            <v>Legacy</v>
          </cell>
          <cell r="AA6695" t="str">
            <v>$1K or Below</v>
          </cell>
          <cell r="AB6695" t="str">
            <v>2010 or before</v>
          </cell>
        </row>
        <row r="6696">
          <cell r="E6696">
            <v>41.67</v>
          </cell>
          <cell r="Z6696" t="str">
            <v>Legacy</v>
          </cell>
          <cell r="AA6696" t="str">
            <v>$1K or Below</v>
          </cell>
          <cell r="AB6696" t="str">
            <v>2010 or before</v>
          </cell>
        </row>
        <row r="6697">
          <cell r="E6697">
            <v>41.67</v>
          </cell>
          <cell r="Z6697" t="str">
            <v>Legacy</v>
          </cell>
          <cell r="AA6697" t="str">
            <v>$1K or Below</v>
          </cell>
          <cell r="AB6697" t="str">
            <v>2010 or before</v>
          </cell>
        </row>
        <row r="6698">
          <cell r="E6698">
            <v>41.49</v>
          </cell>
          <cell r="Z6698" t="str">
            <v>Legacy</v>
          </cell>
          <cell r="AA6698" t="str">
            <v>$1K or Below</v>
          </cell>
          <cell r="AB6698" t="str">
            <v>2010 or before</v>
          </cell>
        </row>
        <row r="6699">
          <cell r="E6699">
            <v>41.49</v>
          </cell>
          <cell r="Z6699" t="str">
            <v>Legacy</v>
          </cell>
          <cell r="AA6699" t="str">
            <v>$1K or Below</v>
          </cell>
          <cell r="AB6699">
            <v>2012</v>
          </cell>
        </row>
        <row r="6700">
          <cell r="E6700">
            <v>41.49</v>
          </cell>
          <cell r="Z6700" t="str">
            <v>Legacy</v>
          </cell>
          <cell r="AA6700" t="str">
            <v>$1K or Below</v>
          </cell>
          <cell r="AB6700" t="str">
            <v>2010 or before</v>
          </cell>
        </row>
        <row r="6701">
          <cell r="E6701">
            <v>41.49</v>
          </cell>
          <cell r="Z6701" t="str">
            <v>Legacy</v>
          </cell>
          <cell r="AA6701" t="str">
            <v>$1K or Below</v>
          </cell>
          <cell r="AB6701" t="str">
            <v>2010 or before</v>
          </cell>
        </row>
        <row r="6702">
          <cell r="E6702">
            <v>41.49</v>
          </cell>
          <cell r="Z6702" t="str">
            <v>Legacy</v>
          </cell>
          <cell r="AA6702" t="str">
            <v>$1K or Below</v>
          </cell>
          <cell r="AB6702" t="str">
            <v>2010 or before</v>
          </cell>
        </row>
        <row r="6703">
          <cell r="E6703">
            <v>41.49</v>
          </cell>
          <cell r="Z6703" t="str">
            <v>Legacy</v>
          </cell>
          <cell r="AA6703" t="str">
            <v>$1K or Below</v>
          </cell>
          <cell r="AB6703" t="str">
            <v>2010 or before</v>
          </cell>
        </row>
        <row r="6704">
          <cell r="E6704">
            <v>41.48</v>
          </cell>
          <cell r="Z6704" t="str">
            <v>Legacy</v>
          </cell>
          <cell r="AA6704" t="str">
            <v>$1K or Below</v>
          </cell>
          <cell r="AB6704" t="str">
            <v>2010 or before</v>
          </cell>
        </row>
        <row r="6705">
          <cell r="E6705">
            <v>41.47</v>
          </cell>
          <cell r="Z6705" t="str">
            <v>Legacy</v>
          </cell>
          <cell r="AA6705" t="str">
            <v>$1K or Below</v>
          </cell>
          <cell r="AB6705" t="str">
            <v>2010 or before</v>
          </cell>
        </row>
        <row r="6706">
          <cell r="E6706">
            <v>41.45</v>
          </cell>
          <cell r="Z6706" t="str">
            <v>Legacy</v>
          </cell>
          <cell r="AA6706" t="str">
            <v>$1K or Below</v>
          </cell>
          <cell r="AB6706" t="str">
            <v>2010 or before</v>
          </cell>
        </row>
        <row r="6707">
          <cell r="E6707">
            <v>41.35</v>
          </cell>
          <cell r="Z6707" t="str">
            <v>Legacy</v>
          </cell>
          <cell r="AA6707" t="str">
            <v>$1K or Below</v>
          </cell>
          <cell r="AB6707" t="str">
            <v>2010 or before</v>
          </cell>
        </row>
        <row r="6708">
          <cell r="E6708">
            <v>41.24</v>
          </cell>
          <cell r="Z6708" t="str">
            <v>Legacy</v>
          </cell>
          <cell r="AA6708" t="str">
            <v>$1K or Below</v>
          </cell>
          <cell r="AB6708" t="str">
            <v>2010 or before</v>
          </cell>
        </row>
        <row r="6709">
          <cell r="E6709">
            <v>41.16</v>
          </cell>
          <cell r="Z6709" t="str">
            <v>Legacy</v>
          </cell>
          <cell r="AA6709" t="str">
            <v>$1K or Below</v>
          </cell>
          <cell r="AB6709" t="str">
            <v>2010 or before</v>
          </cell>
        </row>
        <row r="6710">
          <cell r="E6710">
            <v>40.99</v>
          </cell>
          <cell r="Z6710" t="str">
            <v>Legacy</v>
          </cell>
          <cell r="AA6710" t="str">
            <v>$1K or Below</v>
          </cell>
          <cell r="AB6710" t="str">
            <v>2010 or before</v>
          </cell>
        </row>
        <row r="6711">
          <cell r="E6711">
            <v>40.99</v>
          </cell>
          <cell r="Z6711" t="str">
            <v>Legacy</v>
          </cell>
          <cell r="AA6711" t="str">
            <v>$1K or Below</v>
          </cell>
          <cell r="AB6711" t="str">
            <v>2010 or before</v>
          </cell>
        </row>
        <row r="6712">
          <cell r="E6712">
            <v>40.99</v>
          </cell>
          <cell r="Z6712" t="str">
            <v>Legacy</v>
          </cell>
          <cell r="AA6712" t="str">
            <v>$1K or Below</v>
          </cell>
          <cell r="AB6712" t="str">
            <v>2010 or before</v>
          </cell>
        </row>
        <row r="6713">
          <cell r="E6713">
            <v>40.99</v>
          </cell>
          <cell r="Z6713" t="str">
            <v>Legacy</v>
          </cell>
          <cell r="AA6713" t="str">
            <v>$1K or Below</v>
          </cell>
          <cell r="AB6713" t="str">
            <v>2010 or before</v>
          </cell>
        </row>
        <row r="6714">
          <cell r="E6714">
            <v>40.98</v>
          </cell>
          <cell r="Z6714" t="str">
            <v>Legacy</v>
          </cell>
          <cell r="AA6714" t="str">
            <v>$1K or Below</v>
          </cell>
          <cell r="AB6714" t="str">
            <v>2010 or before</v>
          </cell>
        </row>
        <row r="6715">
          <cell r="E6715">
            <v>40.98</v>
          </cell>
          <cell r="Z6715" t="str">
            <v>Legacy</v>
          </cell>
          <cell r="AA6715" t="str">
            <v>$1K or Below</v>
          </cell>
          <cell r="AB6715" t="str">
            <v>2010 or before</v>
          </cell>
        </row>
        <row r="6716">
          <cell r="E6716">
            <v>40.98</v>
          </cell>
          <cell r="Z6716" t="str">
            <v>Legacy</v>
          </cell>
          <cell r="AA6716" t="str">
            <v>$1K or Below</v>
          </cell>
          <cell r="AB6716">
            <v>2011</v>
          </cell>
        </row>
        <row r="6717">
          <cell r="E6717">
            <v>40.97</v>
          </cell>
          <cell r="Z6717" t="str">
            <v>Legacy</v>
          </cell>
          <cell r="AA6717" t="str">
            <v>$1K or Below</v>
          </cell>
          <cell r="AB6717" t="str">
            <v>2010 or before</v>
          </cell>
        </row>
        <row r="6718">
          <cell r="E6718">
            <v>40.96</v>
          </cell>
          <cell r="Z6718" t="str">
            <v>Legacy</v>
          </cell>
          <cell r="AA6718" t="str">
            <v>$1K or Below</v>
          </cell>
          <cell r="AB6718" t="str">
            <v>2010 or before</v>
          </cell>
        </row>
        <row r="6719">
          <cell r="E6719">
            <v>40.94</v>
          </cell>
          <cell r="Z6719" t="str">
            <v>Legacy</v>
          </cell>
          <cell r="AA6719" t="str">
            <v>$1K or Below</v>
          </cell>
          <cell r="AB6719" t="str">
            <v>2010 or before</v>
          </cell>
        </row>
        <row r="6720">
          <cell r="E6720">
            <v>40.92</v>
          </cell>
          <cell r="Z6720" t="str">
            <v>Legacy</v>
          </cell>
          <cell r="AA6720" t="str">
            <v>$1K or Below</v>
          </cell>
          <cell r="AB6720" t="str">
            <v>2010 or before</v>
          </cell>
        </row>
        <row r="6721">
          <cell r="E6721">
            <v>40.909999999999997</v>
          </cell>
          <cell r="Z6721" t="str">
            <v>Legacy</v>
          </cell>
          <cell r="AA6721" t="str">
            <v>$1K or Below</v>
          </cell>
          <cell r="AB6721" t="str">
            <v>2010 or before</v>
          </cell>
        </row>
        <row r="6722">
          <cell r="E6722">
            <v>40.89</v>
          </cell>
          <cell r="Z6722" t="str">
            <v>Legacy</v>
          </cell>
          <cell r="AA6722" t="str">
            <v>$1K or Below</v>
          </cell>
          <cell r="AB6722" t="str">
            <v>2010 or before</v>
          </cell>
        </row>
        <row r="6723">
          <cell r="E6723">
            <v>40.81</v>
          </cell>
          <cell r="Z6723" t="str">
            <v>Legacy</v>
          </cell>
          <cell r="AA6723" t="str">
            <v>$1K or Below</v>
          </cell>
          <cell r="AB6723" t="str">
            <v>2010 or before</v>
          </cell>
        </row>
        <row r="6724">
          <cell r="E6724">
            <v>40.76</v>
          </cell>
          <cell r="Z6724" t="str">
            <v>Legacy</v>
          </cell>
          <cell r="AA6724" t="str">
            <v>$1K or Below</v>
          </cell>
          <cell r="AB6724">
            <v>2011</v>
          </cell>
        </row>
        <row r="6725">
          <cell r="E6725">
            <v>40.68</v>
          </cell>
          <cell r="Z6725" t="str">
            <v>Legacy</v>
          </cell>
          <cell r="AA6725" t="str">
            <v>$1K or Below</v>
          </cell>
          <cell r="AB6725">
            <v>2012</v>
          </cell>
        </row>
        <row r="6726">
          <cell r="E6726">
            <v>40.56</v>
          </cell>
          <cell r="Z6726" t="str">
            <v>Legacy</v>
          </cell>
          <cell r="AA6726" t="str">
            <v>$1K or Below</v>
          </cell>
          <cell r="AB6726" t="str">
            <v>2010 or before</v>
          </cell>
        </row>
        <row r="6727">
          <cell r="E6727">
            <v>40.520000000000003</v>
          </cell>
          <cell r="Z6727" t="str">
            <v>Legacy</v>
          </cell>
          <cell r="AA6727" t="str">
            <v>$1K or Below</v>
          </cell>
          <cell r="AB6727" t="str">
            <v>2010 or before</v>
          </cell>
        </row>
        <row r="6728">
          <cell r="E6728">
            <v>40.479999999999997</v>
          </cell>
          <cell r="Z6728" t="str">
            <v>Legacy</v>
          </cell>
          <cell r="AA6728" t="str">
            <v>$1K or Below</v>
          </cell>
          <cell r="AB6728" t="str">
            <v>2010 or before</v>
          </cell>
        </row>
        <row r="6729">
          <cell r="E6729">
            <v>40.479999999999997</v>
          </cell>
          <cell r="Z6729" t="str">
            <v>Legacy</v>
          </cell>
          <cell r="AA6729" t="str">
            <v>$1K or Below</v>
          </cell>
          <cell r="AB6729" t="str">
            <v>2010 or before</v>
          </cell>
        </row>
        <row r="6730">
          <cell r="E6730">
            <v>40.44</v>
          </cell>
          <cell r="Z6730" t="str">
            <v>Legacy</v>
          </cell>
          <cell r="AA6730" t="str">
            <v>$1K or Below</v>
          </cell>
          <cell r="AB6730" t="str">
            <v>2010 or before</v>
          </cell>
        </row>
        <row r="6731">
          <cell r="E6731">
            <v>40.44</v>
          </cell>
          <cell r="Z6731" t="str">
            <v>Legacy</v>
          </cell>
          <cell r="AA6731" t="str">
            <v>$1K or Below</v>
          </cell>
          <cell r="AB6731" t="str">
            <v>2010 or before</v>
          </cell>
        </row>
        <row r="6732">
          <cell r="E6732">
            <v>40.43</v>
          </cell>
          <cell r="Z6732" t="str">
            <v>Legacy</v>
          </cell>
          <cell r="AA6732" t="str">
            <v>$1K or Below</v>
          </cell>
          <cell r="AB6732" t="str">
            <v>2010 or before</v>
          </cell>
        </row>
        <row r="6733">
          <cell r="E6733">
            <v>40.409999999999997</v>
          </cell>
          <cell r="Z6733" t="str">
            <v>Legacy</v>
          </cell>
          <cell r="AA6733" t="str">
            <v>$1K or Below</v>
          </cell>
          <cell r="AB6733" t="str">
            <v>2010 or before</v>
          </cell>
        </row>
        <row r="6734">
          <cell r="E6734">
            <v>40.369999999999997</v>
          </cell>
          <cell r="Z6734" t="str">
            <v>Legacy</v>
          </cell>
          <cell r="AA6734" t="str">
            <v>$1K or Below</v>
          </cell>
          <cell r="AB6734" t="str">
            <v>2010 or before</v>
          </cell>
        </row>
        <row r="6735">
          <cell r="E6735">
            <v>40</v>
          </cell>
          <cell r="Z6735" t="str">
            <v>Legacy</v>
          </cell>
          <cell r="AA6735" t="str">
            <v>$1K or Below</v>
          </cell>
          <cell r="AB6735" t="str">
            <v>2010 or before</v>
          </cell>
        </row>
        <row r="6736">
          <cell r="E6736">
            <v>40</v>
          </cell>
          <cell r="Z6736" t="str">
            <v>Legacy</v>
          </cell>
          <cell r="AA6736" t="str">
            <v>$1K or Below</v>
          </cell>
          <cell r="AB6736" t="str">
            <v>2010 or before</v>
          </cell>
        </row>
        <row r="6737">
          <cell r="E6737">
            <v>40</v>
          </cell>
          <cell r="Z6737" t="str">
            <v>Legacy</v>
          </cell>
          <cell r="AA6737" t="str">
            <v>$1K or Below</v>
          </cell>
          <cell r="AB6737" t="str">
            <v>2010 or before</v>
          </cell>
        </row>
        <row r="6738">
          <cell r="E6738">
            <v>39.99</v>
          </cell>
          <cell r="Z6738" t="str">
            <v>Legacy</v>
          </cell>
          <cell r="AA6738" t="str">
            <v>$1K or Below</v>
          </cell>
          <cell r="AB6738" t="str">
            <v>2010 or before</v>
          </cell>
        </row>
        <row r="6739">
          <cell r="E6739">
            <v>39.99</v>
          </cell>
          <cell r="Z6739" t="str">
            <v>Legacy</v>
          </cell>
          <cell r="AA6739" t="str">
            <v>$1K or Below</v>
          </cell>
          <cell r="AB6739" t="str">
            <v>2010 or before</v>
          </cell>
        </row>
        <row r="6740">
          <cell r="E6740">
            <v>39.979999999999997</v>
          </cell>
          <cell r="Z6740" t="str">
            <v>Legacy</v>
          </cell>
          <cell r="AA6740" t="str">
            <v>$1K or Below</v>
          </cell>
          <cell r="AB6740" t="str">
            <v>2010 or before</v>
          </cell>
        </row>
        <row r="6741">
          <cell r="E6741">
            <v>39.979999999999997</v>
          </cell>
          <cell r="Z6741" t="str">
            <v>Legacy</v>
          </cell>
          <cell r="AA6741" t="str">
            <v>$1K or Below</v>
          </cell>
          <cell r="AB6741" t="str">
            <v>2010 or before</v>
          </cell>
        </row>
        <row r="6742">
          <cell r="E6742">
            <v>39.94</v>
          </cell>
          <cell r="Z6742" t="str">
            <v>Outbound</v>
          </cell>
          <cell r="AA6742" t="str">
            <v>$1K or Below</v>
          </cell>
          <cell r="AB6742">
            <v>2011</v>
          </cell>
        </row>
        <row r="6743">
          <cell r="E6743">
            <v>39.9</v>
          </cell>
          <cell r="Z6743" t="str">
            <v>Legacy</v>
          </cell>
          <cell r="AA6743" t="str">
            <v>$1K or Below</v>
          </cell>
          <cell r="AB6743" t="str">
            <v>2010 or before</v>
          </cell>
        </row>
        <row r="6744">
          <cell r="E6744">
            <v>39.9</v>
          </cell>
          <cell r="Z6744" t="str">
            <v>Legacy</v>
          </cell>
          <cell r="AA6744" t="str">
            <v>$1K or Below</v>
          </cell>
          <cell r="AB6744">
            <v>2011</v>
          </cell>
        </row>
        <row r="6745">
          <cell r="E6745">
            <v>39.840000000000003</v>
          </cell>
          <cell r="Z6745" t="str">
            <v>Legacy</v>
          </cell>
          <cell r="AA6745" t="str">
            <v>$1K or Below</v>
          </cell>
          <cell r="AB6745" t="str">
            <v>2010 or before</v>
          </cell>
        </row>
        <row r="6746">
          <cell r="E6746">
            <v>39.79</v>
          </cell>
          <cell r="Z6746" t="str">
            <v>Legacy</v>
          </cell>
          <cell r="AA6746" t="str">
            <v>$1K or Below</v>
          </cell>
          <cell r="AB6746" t="str">
            <v>2010 or before</v>
          </cell>
        </row>
        <row r="6747">
          <cell r="E6747">
            <v>39.72</v>
          </cell>
          <cell r="Z6747" t="str">
            <v>Ungating</v>
          </cell>
          <cell r="AA6747" t="str">
            <v>$1K or Below</v>
          </cell>
          <cell r="AB6747">
            <v>2013</v>
          </cell>
        </row>
        <row r="6748">
          <cell r="E6748">
            <v>39.61</v>
          </cell>
          <cell r="Z6748" t="str">
            <v>Legacy</v>
          </cell>
          <cell r="AA6748" t="str">
            <v>$1K or Below</v>
          </cell>
          <cell r="AB6748" t="str">
            <v>2010 or before</v>
          </cell>
        </row>
        <row r="6749">
          <cell r="E6749">
            <v>39.49</v>
          </cell>
          <cell r="Z6749" t="str">
            <v>Legacy</v>
          </cell>
          <cell r="AA6749" t="str">
            <v>$1K or Below</v>
          </cell>
          <cell r="AB6749" t="str">
            <v>2010 or before</v>
          </cell>
        </row>
        <row r="6750">
          <cell r="E6750">
            <v>39.49</v>
          </cell>
          <cell r="Z6750" t="str">
            <v>Legacy</v>
          </cell>
          <cell r="AA6750" t="str">
            <v>$1K or Below</v>
          </cell>
          <cell r="AB6750" t="str">
            <v>2010 or before</v>
          </cell>
        </row>
        <row r="6751">
          <cell r="E6751">
            <v>39.49</v>
          </cell>
          <cell r="Z6751" t="str">
            <v>Ungating</v>
          </cell>
          <cell r="AA6751" t="str">
            <v>$1K or Below</v>
          </cell>
          <cell r="AB6751">
            <v>2012</v>
          </cell>
        </row>
        <row r="6752">
          <cell r="E6752">
            <v>39.479999999999997</v>
          </cell>
          <cell r="Z6752" t="str">
            <v>Legacy</v>
          </cell>
          <cell r="AA6752" t="str">
            <v>$1K or Below</v>
          </cell>
          <cell r="AB6752" t="str">
            <v>2010 or before</v>
          </cell>
        </row>
        <row r="6753">
          <cell r="E6753">
            <v>39.46</v>
          </cell>
          <cell r="Z6753" t="str">
            <v>Legacy</v>
          </cell>
          <cell r="AA6753" t="str">
            <v>$1K or Below</v>
          </cell>
          <cell r="AB6753" t="str">
            <v>2010 or before</v>
          </cell>
        </row>
        <row r="6754">
          <cell r="E6754">
            <v>39.46</v>
          </cell>
          <cell r="Z6754" t="str">
            <v>Legacy</v>
          </cell>
          <cell r="AA6754" t="str">
            <v>$1K or Below</v>
          </cell>
          <cell r="AB6754" t="str">
            <v>2010 or before</v>
          </cell>
        </row>
        <row r="6755">
          <cell r="E6755">
            <v>39.299999999999997</v>
          </cell>
          <cell r="Z6755" t="str">
            <v>Legacy</v>
          </cell>
          <cell r="AA6755" t="str">
            <v>$1K or Below</v>
          </cell>
          <cell r="AB6755" t="str">
            <v>2010 or before</v>
          </cell>
        </row>
        <row r="6756">
          <cell r="E6756">
            <v>39.04</v>
          </cell>
          <cell r="Z6756" t="str">
            <v>Legacy</v>
          </cell>
          <cell r="AA6756" t="str">
            <v>$1K or Below</v>
          </cell>
          <cell r="AB6756" t="str">
            <v>2010 or before</v>
          </cell>
        </row>
        <row r="6757">
          <cell r="E6757">
            <v>38.99</v>
          </cell>
          <cell r="Z6757" t="str">
            <v>Legacy</v>
          </cell>
          <cell r="AA6757" t="str">
            <v>$1K or Below</v>
          </cell>
          <cell r="AB6757" t="str">
            <v>2010 or before</v>
          </cell>
        </row>
        <row r="6758">
          <cell r="E6758">
            <v>38.99</v>
          </cell>
          <cell r="Z6758" t="str">
            <v>Legacy</v>
          </cell>
          <cell r="AA6758" t="str">
            <v>$1K or Below</v>
          </cell>
          <cell r="AB6758" t="str">
            <v>2010 or before</v>
          </cell>
        </row>
        <row r="6759">
          <cell r="E6759">
            <v>38.99</v>
          </cell>
          <cell r="Z6759" t="str">
            <v>Legacy</v>
          </cell>
          <cell r="AA6759" t="str">
            <v>$1K or Below</v>
          </cell>
          <cell r="AB6759" t="str">
            <v>2010 or before</v>
          </cell>
        </row>
        <row r="6760">
          <cell r="E6760">
            <v>38.979999999999997</v>
          </cell>
          <cell r="Z6760" t="str">
            <v>Legacy</v>
          </cell>
          <cell r="AA6760" t="str">
            <v>$1K or Below</v>
          </cell>
          <cell r="AB6760" t="str">
            <v>2010 or before</v>
          </cell>
        </row>
        <row r="6761">
          <cell r="E6761">
            <v>38.97</v>
          </cell>
          <cell r="Z6761" t="str">
            <v>Legacy</v>
          </cell>
          <cell r="AA6761" t="str">
            <v>$1K or Below</v>
          </cell>
          <cell r="AB6761" t="str">
            <v>2010 or before</v>
          </cell>
        </row>
        <row r="6762">
          <cell r="E6762">
            <v>38.950000000000003</v>
          </cell>
          <cell r="Z6762" t="str">
            <v>Legacy</v>
          </cell>
          <cell r="AA6762" t="str">
            <v>$1K or Below</v>
          </cell>
          <cell r="AB6762" t="str">
            <v>2010 or before</v>
          </cell>
        </row>
        <row r="6763">
          <cell r="E6763">
            <v>38.94</v>
          </cell>
          <cell r="Z6763" t="str">
            <v>Legacy</v>
          </cell>
          <cell r="AA6763" t="str">
            <v>$1K or Below</v>
          </cell>
          <cell r="AB6763">
            <v>2011</v>
          </cell>
        </row>
        <row r="6764">
          <cell r="E6764">
            <v>38.659999999999997</v>
          </cell>
          <cell r="Z6764" t="str">
            <v>Legacy</v>
          </cell>
          <cell r="AA6764" t="str">
            <v>$1K or Below</v>
          </cell>
          <cell r="AB6764" t="str">
            <v>2010 or before</v>
          </cell>
        </row>
        <row r="6765">
          <cell r="E6765">
            <v>38.49</v>
          </cell>
          <cell r="Z6765" t="str">
            <v>Legacy</v>
          </cell>
          <cell r="AA6765" t="str">
            <v>$1K or Below</v>
          </cell>
          <cell r="AB6765" t="str">
            <v>2010 or before</v>
          </cell>
        </row>
        <row r="6766">
          <cell r="E6766">
            <v>38.49</v>
          </cell>
          <cell r="Z6766" t="str">
            <v>Legacy</v>
          </cell>
          <cell r="AA6766" t="str">
            <v>$1K or Below</v>
          </cell>
          <cell r="AB6766" t="str">
            <v>2010 or before</v>
          </cell>
        </row>
        <row r="6767">
          <cell r="E6767">
            <v>38.47</v>
          </cell>
          <cell r="Z6767" t="str">
            <v>Legacy</v>
          </cell>
          <cell r="AA6767" t="str">
            <v>$1K or Below</v>
          </cell>
          <cell r="AB6767" t="str">
            <v>2010 or before</v>
          </cell>
        </row>
        <row r="6768">
          <cell r="E6768">
            <v>38.450000000000003</v>
          </cell>
          <cell r="Z6768" t="str">
            <v>Legacy</v>
          </cell>
          <cell r="AA6768" t="str">
            <v>$1K or Below</v>
          </cell>
          <cell r="AB6768" t="str">
            <v>2010 or before</v>
          </cell>
        </row>
        <row r="6769">
          <cell r="E6769">
            <v>38.44</v>
          </cell>
          <cell r="Z6769" t="str">
            <v>Legacy</v>
          </cell>
          <cell r="AA6769" t="str">
            <v>$1K or Below</v>
          </cell>
          <cell r="AB6769" t="str">
            <v>2010 or before</v>
          </cell>
        </row>
        <row r="6770">
          <cell r="E6770">
            <v>38.159999999999997</v>
          </cell>
          <cell r="Z6770" t="str">
            <v>Legacy</v>
          </cell>
          <cell r="AA6770" t="str">
            <v>$1K or Below</v>
          </cell>
          <cell r="AB6770" t="str">
            <v>2010 or before</v>
          </cell>
        </row>
        <row r="6771">
          <cell r="E6771">
            <v>38.090000000000003</v>
          </cell>
          <cell r="Z6771" t="str">
            <v>Legacy</v>
          </cell>
          <cell r="AA6771" t="str">
            <v>$1K or Below</v>
          </cell>
          <cell r="AB6771" t="str">
            <v>2010 or before</v>
          </cell>
        </row>
        <row r="6772">
          <cell r="E6772">
            <v>38.01</v>
          </cell>
          <cell r="Z6772" t="str">
            <v>Legacy</v>
          </cell>
          <cell r="AA6772" t="str">
            <v>$1K or Below</v>
          </cell>
          <cell r="AB6772" t="str">
            <v>2010 or before</v>
          </cell>
        </row>
        <row r="6773">
          <cell r="E6773">
            <v>38</v>
          </cell>
          <cell r="Z6773" t="str">
            <v>Inbound</v>
          </cell>
          <cell r="AA6773" t="str">
            <v>$1K or Below</v>
          </cell>
          <cell r="AB6773">
            <v>2013</v>
          </cell>
        </row>
        <row r="6774">
          <cell r="E6774">
            <v>37.99</v>
          </cell>
          <cell r="Z6774" t="str">
            <v>Legacy</v>
          </cell>
          <cell r="AA6774" t="str">
            <v>$1K or Below</v>
          </cell>
          <cell r="AB6774">
            <v>2012</v>
          </cell>
        </row>
        <row r="6775">
          <cell r="E6775">
            <v>37.979999999999997</v>
          </cell>
          <cell r="Z6775" t="str">
            <v>Legacy</v>
          </cell>
          <cell r="AA6775" t="str">
            <v>$1K or Below</v>
          </cell>
          <cell r="AB6775" t="str">
            <v>2010 or before</v>
          </cell>
        </row>
        <row r="6776">
          <cell r="E6776">
            <v>37.979999999999997</v>
          </cell>
          <cell r="Z6776" t="str">
            <v>Legacy</v>
          </cell>
          <cell r="AA6776" t="str">
            <v>$1K or Below</v>
          </cell>
          <cell r="AB6776" t="str">
            <v>2010 or before</v>
          </cell>
        </row>
        <row r="6777">
          <cell r="E6777">
            <v>37.979999999999997</v>
          </cell>
          <cell r="Z6777" t="str">
            <v>Legacy</v>
          </cell>
          <cell r="AA6777" t="str">
            <v>$1K or Below</v>
          </cell>
          <cell r="AB6777" t="str">
            <v>2010 or before</v>
          </cell>
        </row>
        <row r="6778">
          <cell r="E6778">
            <v>37.97</v>
          </cell>
          <cell r="Z6778" t="str">
            <v>Legacy</v>
          </cell>
          <cell r="AA6778" t="str">
            <v>$1K or Below</v>
          </cell>
          <cell r="AB6778" t="str">
            <v>2010 or before</v>
          </cell>
        </row>
        <row r="6779">
          <cell r="E6779">
            <v>37.78</v>
          </cell>
          <cell r="Z6779" t="str">
            <v>Legacy</v>
          </cell>
          <cell r="AA6779" t="str">
            <v>$1K or Below</v>
          </cell>
          <cell r="AB6779" t="str">
            <v>2010 or before</v>
          </cell>
        </row>
        <row r="6780">
          <cell r="E6780">
            <v>37.76</v>
          </cell>
          <cell r="Z6780" t="str">
            <v>Legacy</v>
          </cell>
          <cell r="AA6780" t="str">
            <v>$1K or Below</v>
          </cell>
          <cell r="AB6780" t="str">
            <v>2010 or before</v>
          </cell>
        </row>
        <row r="6781">
          <cell r="E6781">
            <v>37.74</v>
          </cell>
          <cell r="Z6781" t="str">
            <v>Legacy</v>
          </cell>
          <cell r="AA6781" t="str">
            <v>$1K or Below</v>
          </cell>
          <cell r="AB6781" t="str">
            <v>2010 or before</v>
          </cell>
        </row>
        <row r="6782">
          <cell r="E6782">
            <v>37.67</v>
          </cell>
          <cell r="Z6782" t="str">
            <v>Legacy</v>
          </cell>
          <cell r="AA6782" t="str">
            <v>$1K or Below</v>
          </cell>
          <cell r="AB6782" t="str">
            <v>2010 or before</v>
          </cell>
        </row>
        <row r="6783">
          <cell r="E6783">
            <v>37.630000000000003</v>
          </cell>
          <cell r="Z6783" t="str">
            <v>Legacy</v>
          </cell>
          <cell r="AA6783" t="str">
            <v>$1K or Below</v>
          </cell>
          <cell r="AB6783" t="str">
            <v>2010 or before</v>
          </cell>
        </row>
        <row r="6784">
          <cell r="E6784">
            <v>37.57</v>
          </cell>
          <cell r="Z6784" t="str">
            <v>Legacy</v>
          </cell>
          <cell r="AA6784" t="str">
            <v>$1K or Below</v>
          </cell>
          <cell r="AB6784" t="str">
            <v>2010 or before</v>
          </cell>
        </row>
        <row r="6785">
          <cell r="E6785">
            <v>37.54</v>
          </cell>
          <cell r="Z6785" t="str">
            <v>Legacy</v>
          </cell>
          <cell r="AA6785" t="str">
            <v>$1K or Below</v>
          </cell>
          <cell r="AB6785" t="str">
            <v>2010 or before</v>
          </cell>
        </row>
        <row r="6786">
          <cell r="E6786">
            <v>37.49</v>
          </cell>
          <cell r="Z6786" t="str">
            <v>Legacy</v>
          </cell>
          <cell r="AA6786" t="str">
            <v>$1K or Below</v>
          </cell>
          <cell r="AB6786" t="str">
            <v>2010 or before</v>
          </cell>
        </row>
        <row r="6787">
          <cell r="E6787">
            <v>37.479999999999997</v>
          </cell>
          <cell r="Z6787" t="str">
            <v>Legacy</v>
          </cell>
          <cell r="AA6787" t="str">
            <v>$1K or Below</v>
          </cell>
          <cell r="AB6787" t="str">
            <v>2010 or before</v>
          </cell>
        </row>
        <row r="6788">
          <cell r="E6788">
            <v>37.47</v>
          </cell>
          <cell r="Z6788" t="str">
            <v>Legacy</v>
          </cell>
          <cell r="AA6788" t="str">
            <v>$1K or Below</v>
          </cell>
          <cell r="AB6788" t="str">
            <v>2010 or before</v>
          </cell>
        </row>
        <row r="6789">
          <cell r="E6789">
            <v>37.340000000000003</v>
          </cell>
          <cell r="Z6789" t="str">
            <v>Legacy</v>
          </cell>
          <cell r="AA6789" t="str">
            <v>$1K or Below</v>
          </cell>
          <cell r="AB6789" t="str">
            <v>2010 or before</v>
          </cell>
        </row>
        <row r="6790">
          <cell r="E6790">
            <v>37.32</v>
          </cell>
          <cell r="Z6790" t="str">
            <v>Legacy</v>
          </cell>
          <cell r="AA6790" t="str">
            <v>$1K or Below</v>
          </cell>
          <cell r="AB6790" t="str">
            <v>2010 or before</v>
          </cell>
        </row>
        <row r="6791">
          <cell r="E6791">
            <v>37.29</v>
          </cell>
          <cell r="Z6791" t="str">
            <v>Legacy</v>
          </cell>
          <cell r="AA6791" t="str">
            <v>$1K or Below</v>
          </cell>
          <cell r="AB6791" t="str">
            <v>2010 or before</v>
          </cell>
        </row>
        <row r="6792">
          <cell r="E6792">
            <v>37.24</v>
          </cell>
          <cell r="Z6792" t="str">
            <v>Legacy</v>
          </cell>
          <cell r="AA6792" t="str">
            <v>$1K or Below</v>
          </cell>
          <cell r="AB6792" t="str">
            <v>2010 or before</v>
          </cell>
        </row>
        <row r="6793">
          <cell r="E6793">
            <v>37.24</v>
          </cell>
          <cell r="Z6793" t="str">
            <v>Legacy</v>
          </cell>
          <cell r="AA6793" t="str">
            <v>$1K or Below</v>
          </cell>
          <cell r="AB6793" t="str">
            <v>2010 or before</v>
          </cell>
        </row>
        <row r="6794">
          <cell r="E6794">
            <v>37.08</v>
          </cell>
          <cell r="Z6794" t="str">
            <v>Legacy</v>
          </cell>
          <cell r="AA6794" t="str">
            <v>$1K or Below</v>
          </cell>
          <cell r="AB6794" t="str">
            <v>2010 or before</v>
          </cell>
        </row>
        <row r="6795">
          <cell r="E6795">
            <v>36.99</v>
          </cell>
          <cell r="Z6795" t="str">
            <v>Legacy</v>
          </cell>
          <cell r="AA6795" t="str">
            <v>$1K or Below</v>
          </cell>
          <cell r="AB6795" t="str">
            <v>2010 or before</v>
          </cell>
        </row>
        <row r="6796">
          <cell r="E6796">
            <v>36.979999999999997</v>
          </cell>
          <cell r="Z6796" t="str">
            <v>Legacy</v>
          </cell>
          <cell r="AA6796" t="str">
            <v>$1K or Below</v>
          </cell>
          <cell r="AB6796">
            <v>2012</v>
          </cell>
        </row>
        <row r="6797">
          <cell r="E6797">
            <v>36.979999999999997</v>
          </cell>
          <cell r="Z6797" t="str">
            <v>Legacy</v>
          </cell>
          <cell r="AA6797" t="str">
            <v>$1K or Below</v>
          </cell>
          <cell r="AB6797" t="str">
            <v>2010 or before</v>
          </cell>
        </row>
        <row r="6798">
          <cell r="E6798">
            <v>36.96</v>
          </cell>
          <cell r="Z6798" t="str">
            <v>Ungating</v>
          </cell>
          <cell r="AA6798" t="str">
            <v>$1K or Below</v>
          </cell>
          <cell r="AB6798">
            <v>2012</v>
          </cell>
        </row>
        <row r="6799">
          <cell r="E6799">
            <v>36.96</v>
          </cell>
          <cell r="Z6799" t="str">
            <v>Legacy</v>
          </cell>
          <cell r="AA6799" t="str">
            <v>$1K or Below</v>
          </cell>
          <cell r="AB6799" t="str">
            <v>2010 or before</v>
          </cell>
        </row>
        <row r="6800">
          <cell r="E6800">
            <v>36.96</v>
          </cell>
          <cell r="Z6800" t="str">
            <v>Legacy</v>
          </cell>
          <cell r="AA6800" t="str">
            <v>$1K or Below</v>
          </cell>
          <cell r="AB6800" t="str">
            <v>2010 or before</v>
          </cell>
        </row>
        <row r="6801">
          <cell r="E6801">
            <v>36.94</v>
          </cell>
          <cell r="Z6801" t="str">
            <v>Legacy</v>
          </cell>
          <cell r="AA6801" t="str">
            <v>$1K or Below</v>
          </cell>
          <cell r="AB6801" t="str">
            <v>2010 or before</v>
          </cell>
        </row>
        <row r="6802">
          <cell r="E6802">
            <v>36.9</v>
          </cell>
          <cell r="Z6802" t="str">
            <v>Legacy</v>
          </cell>
          <cell r="AA6802" t="str">
            <v>$1K or Below</v>
          </cell>
          <cell r="AB6802">
            <v>2012</v>
          </cell>
        </row>
        <row r="6803">
          <cell r="E6803">
            <v>36.85</v>
          </cell>
          <cell r="Z6803" t="str">
            <v>Legacy</v>
          </cell>
          <cell r="AA6803" t="str">
            <v>$1K or Below</v>
          </cell>
          <cell r="AB6803" t="str">
            <v>2010 or before</v>
          </cell>
        </row>
        <row r="6804">
          <cell r="E6804">
            <v>36.840000000000003</v>
          </cell>
          <cell r="Z6804" t="str">
            <v>Legacy</v>
          </cell>
          <cell r="AA6804" t="str">
            <v>$1K or Below</v>
          </cell>
          <cell r="AB6804" t="str">
            <v>2010 or before</v>
          </cell>
        </row>
        <row r="6805">
          <cell r="E6805">
            <v>36.5</v>
          </cell>
          <cell r="Z6805" t="str">
            <v>Legacy</v>
          </cell>
          <cell r="AA6805" t="str">
            <v>$1K or Below</v>
          </cell>
          <cell r="AB6805" t="str">
            <v>2010 or before</v>
          </cell>
        </row>
        <row r="6806">
          <cell r="E6806">
            <v>36.47</v>
          </cell>
          <cell r="Z6806" t="str">
            <v>Legacy</v>
          </cell>
          <cell r="AA6806" t="str">
            <v>$1K or Below</v>
          </cell>
          <cell r="AB6806" t="str">
            <v>2010 or before</v>
          </cell>
        </row>
        <row r="6807">
          <cell r="E6807">
            <v>36.47</v>
          </cell>
          <cell r="Z6807" t="str">
            <v>Legacy</v>
          </cell>
          <cell r="AA6807" t="str">
            <v>$1K or Below</v>
          </cell>
          <cell r="AB6807" t="str">
            <v>2010 or before</v>
          </cell>
        </row>
        <row r="6808">
          <cell r="E6808">
            <v>36.409999999999997</v>
          </cell>
          <cell r="Z6808" t="str">
            <v>Legacy</v>
          </cell>
          <cell r="AA6808" t="str">
            <v>$1K or Below</v>
          </cell>
          <cell r="AB6808" t="str">
            <v>2010 or before</v>
          </cell>
        </row>
        <row r="6809">
          <cell r="E6809">
            <v>36.19</v>
          </cell>
          <cell r="Z6809" t="str">
            <v>Legacy</v>
          </cell>
          <cell r="AA6809" t="str">
            <v>$1K or Below</v>
          </cell>
          <cell r="AB6809" t="str">
            <v>2010 or before</v>
          </cell>
        </row>
        <row r="6810">
          <cell r="E6810">
            <v>36</v>
          </cell>
          <cell r="Z6810" t="str">
            <v>Legacy</v>
          </cell>
          <cell r="AA6810" t="str">
            <v>$1K or Below</v>
          </cell>
          <cell r="AB6810" t="str">
            <v>2010 or before</v>
          </cell>
        </row>
        <row r="6811">
          <cell r="E6811">
            <v>36</v>
          </cell>
          <cell r="Z6811" t="str">
            <v>Inbound</v>
          </cell>
          <cell r="AA6811" t="str">
            <v>$1K or Below</v>
          </cell>
          <cell r="AB6811">
            <v>2012</v>
          </cell>
        </row>
        <row r="6812">
          <cell r="E6812">
            <v>35.99</v>
          </cell>
          <cell r="Z6812" t="str">
            <v>Legacy</v>
          </cell>
          <cell r="AA6812" t="str">
            <v>$1K or Below</v>
          </cell>
          <cell r="AB6812" t="str">
            <v>2010 or before</v>
          </cell>
        </row>
        <row r="6813">
          <cell r="E6813">
            <v>35.979999999999997</v>
          </cell>
          <cell r="Z6813" t="str">
            <v>Legacy</v>
          </cell>
          <cell r="AA6813" t="str">
            <v>$1K or Below</v>
          </cell>
          <cell r="AB6813" t="str">
            <v>2010 or before</v>
          </cell>
        </row>
        <row r="6814">
          <cell r="E6814">
            <v>35.979999999999997</v>
          </cell>
          <cell r="Z6814" t="str">
            <v>Legacy</v>
          </cell>
          <cell r="AA6814" t="str">
            <v>$1K or Below</v>
          </cell>
          <cell r="AB6814" t="str">
            <v>2010 or before</v>
          </cell>
        </row>
        <row r="6815">
          <cell r="E6815">
            <v>35.979999999999997</v>
          </cell>
          <cell r="Z6815" t="str">
            <v>Legacy</v>
          </cell>
          <cell r="AA6815" t="str">
            <v>$1K or Below</v>
          </cell>
          <cell r="AB6815" t="str">
            <v>2010 or before</v>
          </cell>
        </row>
        <row r="6816">
          <cell r="E6816">
            <v>35.96</v>
          </cell>
          <cell r="Z6816" t="str">
            <v>Legacy</v>
          </cell>
          <cell r="AA6816" t="str">
            <v>$1K or Below</v>
          </cell>
          <cell r="AB6816" t="str">
            <v>2010 or before</v>
          </cell>
        </row>
        <row r="6817">
          <cell r="E6817">
            <v>35.96</v>
          </cell>
          <cell r="Z6817" t="str">
            <v>Legacy</v>
          </cell>
          <cell r="AA6817" t="str">
            <v>$1K or Below</v>
          </cell>
          <cell r="AB6817" t="str">
            <v>2010 or before</v>
          </cell>
        </row>
        <row r="6818">
          <cell r="E6818">
            <v>35.96</v>
          </cell>
          <cell r="Z6818" t="str">
            <v>Legacy</v>
          </cell>
          <cell r="AA6818" t="str">
            <v>$1K or Below</v>
          </cell>
          <cell r="AB6818">
            <v>2011</v>
          </cell>
        </row>
        <row r="6819">
          <cell r="E6819">
            <v>35.94</v>
          </cell>
          <cell r="Z6819" t="str">
            <v>Legacy</v>
          </cell>
          <cell r="AA6819" t="str">
            <v>$1K or Below</v>
          </cell>
          <cell r="AB6819" t="str">
            <v>2010 or before</v>
          </cell>
        </row>
        <row r="6820">
          <cell r="E6820">
            <v>35.880000000000003</v>
          </cell>
          <cell r="Z6820" t="str">
            <v>Legacy</v>
          </cell>
          <cell r="AA6820" t="str">
            <v>$1K or Below</v>
          </cell>
          <cell r="AB6820" t="str">
            <v>2010 or before</v>
          </cell>
        </row>
        <row r="6821">
          <cell r="E6821">
            <v>35.83</v>
          </cell>
          <cell r="Z6821" t="str">
            <v>Legacy</v>
          </cell>
          <cell r="AA6821" t="str">
            <v>$1K or Below</v>
          </cell>
          <cell r="AB6821" t="str">
            <v>2010 or before</v>
          </cell>
        </row>
        <row r="6822">
          <cell r="E6822">
            <v>35.82</v>
          </cell>
          <cell r="Z6822" t="str">
            <v>Legacy</v>
          </cell>
          <cell r="AA6822" t="str">
            <v>$1K or Below</v>
          </cell>
          <cell r="AB6822" t="str">
            <v>2010 or before</v>
          </cell>
        </row>
        <row r="6823">
          <cell r="E6823">
            <v>35.71</v>
          </cell>
          <cell r="Z6823" t="str">
            <v>Legacy</v>
          </cell>
          <cell r="AA6823" t="str">
            <v>$1K or Below</v>
          </cell>
          <cell r="AB6823" t="str">
            <v>2010 or before</v>
          </cell>
        </row>
        <row r="6824">
          <cell r="E6824">
            <v>35.700000000000003</v>
          </cell>
          <cell r="Z6824" t="str">
            <v>Legacy</v>
          </cell>
          <cell r="AA6824" t="str">
            <v>$1K or Below</v>
          </cell>
          <cell r="AB6824" t="str">
            <v>2010 or before</v>
          </cell>
        </row>
        <row r="6825">
          <cell r="E6825">
            <v>35.68</v>
          </cell>
          <cell r="Z6825" t="str">
            <v>Legacy</v>
          </cell>
          <cell r="AA6825" t="str">
            <v>$1K or Below</v>
          </cell>
          <cell r="AB6825" t="str">
            <v>2010 or before</v>
          </cell>
        </row>
        <row r="6826">
          <cell r="E6826">
            <v>35.49</v>
          </cell>
          <cell r="Z6826" t="str">
            <v>Legacy</v>
          </cell>
          <cell r="AA6826" t="str">
            <v>$1K or Below</v>
          </cell>
          <cell r="AB6826" t="str">
            <v>2010 or before</v>
          </cell>
        </row>
        <row r="6827">
          <cell r="E6827">
            <v>35.49</v>
          </cell>
          <cell r="Z6827" t="str">
            <v>Legacy</v>
          </cell>
          <cell r="AA6827" t="str">
            <v>$1K or Below</v>
          </cell>
          <cell r="AB6827">
            <v>2011</v>
          </cell>
        </row>
        <row r="6828">
          <cell r="E6828">
            <v>35.49</v>
          </cell>
          <cell r="Z6828" t="str">
            <v>Legacy</v>
          </cell>
          <cell r="AA6828" t="str">
            <v>$1K or Below</v>
          </cell>
          <cell r="AB6828" t="str">
            <v>2010 or before</v>
          </cell>
        </row>
        <row r="6829">
          <cell r="E6829">
            <v>35.49</v>
          </cell>
          <cell r="Z6829" t="str">
            <v>Legacy</v>
          </cell>
          <cell r="AA6829" t="str">
            <v>$1K or Below</v>
          </cell>
          <cell r="AB6829" t="str">
            <v>2010 or before</v>
          </cell>
        </row>
        <row r="6830">
          <cell r="E6830">
            <v>35.49</v>
          </cell>
          <cell r="Z6830" t="str">
            <v>Legacy</v>
          </cell>
          <cell r="AA6830" t="str">
            <v>$1K or Below</v>
          </cell>
          <cell r="AB6830" t="str">
            <v>2010 or before</v>
          </cell>
        </row>
        <row r="6831">
          <cell r="E6831">
            <v>35.479999999999997</v>
          </cell>
          <cell r="Z6831" t="str">
            <v>Legacy</v>
          </cell>
          <cell r="AA6831" t="str">
            <v>$1K or Below</v>
          </cell>
          <cell r="AB6831" t="str">
            <v>2010 or before</v>
          </cell>
        </row>
        <row r="6832">
          <cell r="E6832">
            <v>35.479999999999997</v>
          </cell>
          <cell r="Z6832" t="str">
            <v>Legacy</v>
          </cell>
          <cell r="AA6832" t="str">
            <v>$1K or Below</v>
          </cell>
          <cell r="AB6832" t="str">
            <v>2010 or before</v>
          </cell>
        </row>
        <row r="6833">
          <cell r="E6833">
            <v>35.479999999999997</v>
          </cell>
          <cell r="Z6833" t="str">
            <v>Legacy</v>
          </cell>
          <cell r="AA6833" t="str">
            <v>$1K or Below</v>
          </cell>
          <cell r="AB6833" t="str">
            <v>2010 or before</v>
          </cell>
        </row>
        <row r="6834">
          <cell r="E6834">
            <v>35.47</v>
          </cell>
          <cell r="Z6834" t="str">
            <v>Legacy</v>
          </cell>
          <cell r="AA6834" t="str">
            <v>$1K or Below</v>
          </cell>
          <cell r="AB6834" t="str">
            <v>2010 or before</v>
          </cell>
        </row>
        <row r="6835">
          <cell r="E6835">
            <v>35.47</v>
          </cell>
          <cell r="Z6835" t="str">
            <v>Legacy</v>
          </cell>
          <cell r="AA6835" t="str">
            <v>$1K or Below</v>
          </cell>
          <cell r="AB6835" t="str">
            <v>2010 or before</v>
          </cell>
        </row>
        <row r="6836">
          <cell r="E6836">
            <v>35.43</v>
          </cell>
          <cell r="Z6836" t="str">
            <v>Legacy</v>
          </cell>
          <cell r="AA6836" t="str">
            <v>$1K or Below</v>
          </cell>
          <cell r="AB6836" t="str">
            <v>2010 or before</v>
          </cell>
        </row>
        <row r="6837">
          <cell r="E6837">
            <v>35.33</v>
          </cell>
          <cell r="Z6837" t="str">
            <v>Legacy</v>
          </cell>
          <cell r="AA6837" t="str">
            <v>$1K or Below</v>
          </cell>
          <cell r="AB6837" t="str">
            <v>2010 or before</v>
          </cell>
        </row>
        <row r="6838">
          <cell r="E6838">
            <v>35.200000000000003</v>
          </cell>
          <cell r="Z6838" t="str">
            <v>Legacy</v>
          </cell>
          <cell r="AA6838" t="str">
            <v>$1K or Below</v>
          </cell>
          <cell r="AB6838" t="str">
            <v>2010 or before</v>
          </cell>
        </row>
        <row r="6839">
          <cell r="E6839">
            <v>35.08</v>
          </cell>
          <cell r="Z6839" t="str">
            <v>Legacy</v>
          </cell>
          <cell r="AA6839" t="str">
            <v>$1K or Below</v>
          </cell>
          <cell r="AB6839" t="str">
            <v>2010 or before</v>
          </cell>
        </row>
        <row r="6840">
          <cell r="E6840">
            <v>35</v>
          </cell>
          <cell r="Z6840" t="str">
            <v>Legacy</v>
          </cell>
          <cell r="AA6840" t="str">
            <v>$1K or Below</v>
          </cell>
          <cell r="AB6840" t="str">
            <v>2010 or before</v>
          </cell>
        </row>
        <row r="6841">
          <cell r="E6841">
            <v>34.99</v>
          </cell>
          <cell r="Z6841" t="str">
            <v>Legacy</v>
          </cell>
          <cell r="AA6841" t="str">
            <v>$1K or Below</v>
          </cell>
          <cell r="AB6841" t="str">
            <v>2010 or before</v>
          </cell>
        </row>
        <row r="6842">
          <cell r="E6842">
            <v>34.99</v>
          </cell>
          <cell r="Z6842" t="str">
            <v>Legacy</v>
          </cell>
          <cell r="AA6842" t="str">
            <v>$1K or Below</v>
          </cell>
          <cell r="AB6842" t="str">
            <v>2010 or before</v>
          </cell>
        </row>
        <row r="6843">
          <cell r="E6843">
            <v>34.99</v>
          </cell>
          <cell r="Z6843" t="str">
            <v>Legacy</v>
          </cell>
          <cell r="AA6843" t="str">
            <v>$1K or Below</v>
          </cell>
          <cell r="AB6843" t="str">
            <v>2010 or before</v>
          </cell>
        </row>
        <row r="6844">
          <cell r="E6844">
            <v>34.99</v>
          </cell>
          <cell r="Z6844" t="str">
            <v>Legacy</v>
          </cell>
          <cell r="AA6844" t="str">
            <v>$1K or Below</v>
          </cell>
          <cell r="AB6844" t="str">
            <v>2010 or before</v>
          </cell>
        </row>
        <row r="6845">
          <cell r="E6845">
            <v>34.99</v>
          </cell>
          <cell r="Z6845" t="str">
            <v>Legacy</v>
          </cell>
          <cell r="AA6845" t="str">
            <v>$1K or Below</v>
          </cell>
          <cell r="AB6845" t="str">
            <v>2010 or before</v>
          </cell>
        </row>
        <row r="6846">
          <cell r="E6846">
            <v>34.99</v>
          </cell>
          <cell r="Z6846" t="str">
            <v>Ungating</v>
          </cell>
          <cell r="AA6846" t="str">
            <v>$1K or Below</v>
          </cell>
          <cell r="AB6846">
            <v>2012</v>
          </cell>
        </row>
        <row r="6847">
          <cell r="E6847">
            <v>34.99</v>
          </cell>
          <cell r="Z6847" t="str">
            <v>Legacy</v>
          </cell>
          <cell r="AA6847" t="str">
            <v>$1K or Below</v>
          </cell>
          <cell r="AB6847" t="str">
            <v>2010 or before</v>
          </cell>
        </row>
        <row r="6848">
          <cell r="E6848">
            <v>34.99</v>
          </cell>
          <cell r="Z6848" t="str">
            <v>Legacy</v>
          </cell>
          <cell r="AA6848" t="str">
            <v>$1K or Below</v>
          </cell>
          <cell r="AB6848" t="str">
            <v>2010 or before</v>
          </cell>
        </row>
        <row r="6849">
          <cell r="E6849">
            <v>34.99</v>
          </cell>
          <cell r="Z6849" t="str">
            <v>Legacy</v>
          </cell>
          <cell r="AA6849" t="str">
            <v>$1K or Below</v>
          </cell>
          <cell r="AB6849" t="str">
            <v>2010 or before</v>
          </cell>
        </row>
        <row r="6850">
          <cell r="E6850">
            <v>34.979999999999997</v>
          </cell>
          <cell r="Z6850" t="str">
            <v>Legacy</v>
          </cell>
          <cell r="AA6850" t="str">
            <v>$1K or Below</v>
          </cell>
          <cell r="AB6850" t="str">
            <v>2010 or before</v>
          </cell>
        </row>
        <row r="6851">
          <cell r="E6851">
            <v>34.979999999999997</v>
          </cell>
          <cell r="Z6851" t="str">
            <v>Legacy</v>
          </cell>
          <cell r="AA6851" t="str">
            <v>$1K or Below</v>
          </cell>
          <cell r="AB6851" t="str">
            <v>2010 or before</v>
          </cell>
        </row>
        <row r="6852">
          <cell r="E6852">
            <v>34.979999999999997</v>
          </cell>
          <cell r="Z6852" t="str">
            <v>Legacy</v>
          </cell>
          <cell r="AA6852" t="str">
            <v>$1K or Below</v>
          </cell>
          <cell r="AB6852" t="str">
            <v>2010 or before</v>
          </cell>
        </row>
        <row r="6853">
          <cell r="E6853">
            <v>34.979999999999997</v>
          </cell>
          <cell r="Z6853" t="str">
            <v>Legacy</v>
          </cell>
          <cell r="AA6853" t="str">
            <v>$1K or Below</v>
          </cell>
          <cell r="AB6853" t="str">
            <v>2010 or before</v>
          </cell>
        </row>
        <row r="6854">
          <cell r="E6854">
            <v>34.97</v>
          </cell>
          <cell r="Z6854" t="str">
            <v>Legacy</v>
          </cell>
          <cell r="AA6854" t="str">
            <v>$1K or Below</v>
          </cell>
          <cell r="AB6854" t="str">
            <v>2010 or before</v>
          </cell>
        </row>
        <row r="6855">
          <cell r="E6855">
            <v>34.97</v>
          </cell>
          <cell r="Z6855" t="str">
            <v>Legacy</v>
          </cell>
          <cell r="AA6855" t="str">
            <v>$1K or Below</v>
          </cell>
          <cell r="AB6855" t="str">
            <v>2010 or before</v>
          </cell>
        </row>
        <row r="6856">
          <cell r="E6856">
            <v>34.96</v>
          </cell>
          <cell r="Z6856" t="str">
            <v>Legacy</v>
          </cell>
          <cell r="AA6856" t="str">
            <v>$1K or Below</v>
          </cell>
          <cell r="AB6856" t="str">
            <v>2010 or before</v>
          </cell>
        </row>
        <row r="6857">
          <cell r="E6857">
            <v>34.950000000000003</v>
          </cell>
          <cell r="Z6857" t="str">
            <v>Legacy</v>
          </cell>
          <cell r="AA6857" t="str">
            <v>$1K or Below</v>
          </cell>
          <cell r="AB6857" t="str">
            <v>2010 or before</v>
          </cell>
        </row>
        <row r="6858">
          <cell r="E6858">
            <v>34.94</v>
          </cell>
          <cell r="Z6858" t="str">
            <v>Legacy</v>
          </cell>
          <cell r="AA6858" t="str">
            <v>$1K or Below</v>
          </cell>
          <cell r="AB6858" t="str">
            <v>2010 or before</v>
          </cell>
        </row>
        <row r="6859">
          <cell r="E6859">
            <v>34.94</v>
          </cell>
          <cell r="Z6859" t="str">
            <v>Legacy</v>
          </cell>
          <cell r="AA6859" t="str">
            <v>$1K or Below</v>
          </cell>
          <cell r="AB6859" t="str">
            <v>2010 or before</v>
          </cell>
        </row>
        <row r="6860">
          <cell r="E6860">
            <v>34.880000000000003</v>
          </cell>
          <cell r="Z6860" t="str">
            <v>Legacy</v>
          </cell>
          <cell r="AA6860" t="str">
            <v>$1K or Below</v>
          </cell>
          <cell r="AB6860" t="str">
            <v>2010 or before</v>
          </cell>
        </row>
        <row r="6861">
          <cell r="E6861">
            <v>34.79</v>
          </cell>
          <cell r="Z6861" t="str">
            <v>Legacy</v>
          </cell>
          <cell r="AA6861" t="str">
            <v>$1K or Below</v>
          </cell>
          <cell r="AB6861" t="str">
            <v>2010 or before</v>
          </cell>
        </row>
        <row r="6862">
          <cell r="E6862">
            <v>34.74</v>
          </cell>
          <cell r="Z6862" t="str">
            <v>Legacy</v>
          </cell>
          <cell r="AA6862" t="str">
            <v>$1K or Below</v>
          </cell>
          <cell r="AB6862" t="str">
            <v>2010 or before</v>
          </cell>
        </row>
        <row r="6863">
          <cell r="E6863">
            <v>34.5</v>
          </cell>
          <cell r="Z6863" t="str">
            <v>Inbound</v>
          </cell>
          <cell r="AA6863" t="str">
            <v>$1K or Below</v>
          </cell>
          <cell r="AB6863">
            <v>2012</v>
          </cell>
        </row>
        <row r="6864">
          <cell r="E6864">
            <v>34.479999999999997</v>
          </cell>
          <cell r="Z6864" t="str">
            <v>Ungating</v>
          </cell>
          <cell r="AA6864" t="str">
            <v>$1K or Below</v>
          </cell>
          <cell r="AB6864">
            <v>2013</v>
          </cell>
        </row>
        <row r="6865">
          <cell r="E6865">
            <v>34.47</v>
          </cell>
          <cell r="Z6865" t="str">
            <v>Legacy</v>
          </cell>
          <cell r="AA6865" t="str">
            <v>$1K or Below</v>
          </cell>
          <cell r="AB6865" t="str">
            <v>2010 or before</v>
          </cell>
        </row>
        <row r="6866">
          <cell r="E6866">
            <v>34.46</v>
          </cell>
          <cell r="Z6866" t="str">
            <v>Legacy</v>
          </cell>
          <cell r="AA6866" t="str">
            <v>$1K or Below</v>
          </cell>
          <cell r="AB6866">
            <v>2011</v>
          </cell>
        </row>
        <row r="6867">
          <cell r="E6867">
            <v>34.46</v>
          </cell>
          <cell r="Z6867" t="str">
            <v>Legacy</v>
          </cell>
          <cell r="AA6867" t="str">
            <v>$1K or Below</v>
          </cell>
          <cell r="AB6867" t="str">
            <v>2010 or before</v>
          </cell>
        </row>
        <row r="6868">
          <cell r="E6868">
            <v>34.46</v>
          </cell>
          <cell r="Z6868" t="str">
            <v>Legacy</v>
          </cell>
          <cell r="AA6868" t="str">
            <v>$1K or Below</v>
          </cell>
          <cell r="AB6868" t="str">
            <v>2010 or before</v>
          </cell>
        </row>
        <row r="6869">
          <cell r="E6869">
            <v>34.450000000000003</v>
          </cell>
          <cell r="Z6869" t="str">
            <v>Legacy</v>
          </cell>
          <cell r="AA6869" t="str">
            <v>$1K or Below</v>
          </cell>
          <cell r="AB6869" t="str">
            <v>2010 or before</v>
          </cell>
        </row>
        <row r="6870">
          <cell r="E6870">
            <v>34.39</v>
          </cell>
          <cell r="Z6870" t="str">
            <v>Legacy</v>
          </cell>
          <cell r="AA6870" t="str">
            <v>$1K or Below</v>
          </cell>
          <cell r="AB6870" t="str">
            <v>2010 or before</v>
          </cell>
        </row>
        <row r="6871">
          <cell r="E6871">
            <v>34.369999999999997</v>
          </cell>
          <cell r="Z6871" t="str">
            <v>Legacy</v>
          </cell>
          <cell r="AA6871" t="str">
            <v>$1K or Below</v>
          </cell>
          <cell r="AB6871" t="str">
            <v>2010 or before</v>
          </cell>
        </row>
        <row r="6872">
          <cell r="E6872">
            <v>34.299999999999997</v>
          </cell>
          <cell r="Z6872" t="str">
            <v>Legacy</v>
          </cell>
          <cell r="AA6872" t="str">
            <v>$1K or Below</v>
          </cell>
          <cell r="AB6872" t="str">
            <v>2010 or before</v>
          </cell>
        </row>
        <row r="6873">
          <cell r="E6873">
            <v>34.14</v>
          </cell>
          <cell r="Z6873" t="str">
            <v>Legacy</v>
          </cell>
          <cell r="AA6873" t="str">
            <v>$1K or Below</v>
          </cell>
          <cell r="AB6873" t="str">
            <v>2010 or before</v>
          </cell>
        </row>
        <row r="6874">
          <cell r="E6874">
            <v>34</v>
          </cell>
          <cell r="Z6874" t="str">
            <v>Legacy</v>
          </cell>
          <cell r="AA6874" t="str">
            <v>$1K or Below</v>
          </cell>
          <cell r="AB6874" t="str">
            <v>2010 or before</v>
          </cell>
        </row>
        <row r="6875">
          <cell r="E6875">
            <v>34</v>
          </cell>
          <cell r="Z6875" t="str">
            <v>Legacy</v>
          </cell>
          <cell r="AA6875" t="str">
            <v>$1K or Below</v>
          </cell>
          <cell r="AB6875" t="str">
            <v>2010 or before</v>
          </cell>
        </row>
        <row r="6876">
          <cell r="E6876">
            <v>33.99</v>
          </cell>
          <cell r="Z6876" t="str">
            <v>Legacy</v>
          </cell>
          <cell r="AA6876" t="str">
            <v>$1K or Below</v>
          </cell>
          <cell r="AB6876" t="str">
            <v>2010 or before</v>
          </cell>
        </row>
        <row r="6877">
          <cell r="E6877">
            <v>33.979999999999997</v>
          </cell>
          <cell r="Z6877" t="str">
            <v>Legacy</v>
          </cell>
          <cell r="AA6877" t="str">
            <v>$1K or Below</v>
          </cell>
          <cell r="AB6877">
            <v>2012</v>
          </cell>
        </row>
        <row r="6878">
          <cell r="E6878">
            <v>33.979999999999997</v>
          </cell>
          <cell r="Z6878" t="str">
            <v>Legacy</v>
          </cell>
          <cell r="AA6878" t="str">
            <v>$1K or Below</v>
          </cell>
          <cell r="AB6878" t="str">
            <v>2010 or before</v>
          </cell>
        </row>
        <row r="6879">
          <cell r="E6879">
            <v>33.96</v>
          </cell>
          <cell r="Z6879" t="str">
            <v>Legacy</v>
          </cell>
          <cell r="AA6879" t="str">
            <v>$1K or Below</v>
          </cell>
          <cell r="AB6879" t="str">
            <v>2010 or before</v>
          </cell>
        </row>
        <row r="6880">
          <cell r="E6880">
            <v>33.94</v>
          </cell>
          <cell r="Z6880" t="str">
            <v>Legacy</v>
          </cell>
          <cell r="AA6880" t="str">
            <v>$1K or Below</v>
          </cell>
          <cell r="AB6880" t="str">
            <v>2010 or before</v>
          </cell>
        </row>
        <row r="6881">
          <cell r="E6881">
            <v>33.94</v>
          </cell>
          <cell r="Z6881" t="str">
            <v>Legacy</v>
          </cell>
          <cell r="AA6881" t="str">
            <v>$1K or Below</v>
          </cell>
          <cell r="AB6881">
            <v>2012</v>
          </cell>
        </row>
        <row r="6882">
          <cell r="E6882">
            <v>33.89</v>
          </cell>
          <cell r="Z6882" t="str">
            <v>Legacy</v>
          </cell>
          <cell r="AA6882" t="str">
            <v>$1K or Below</v>
          </cell>
          <cell r="AB6882" t="str">
            <v>2010 or before</v>
          </cell>
        </row>
        <row r="6883">
          <cell r="E6883">
            <v>33.880000000000003</v>
          </cell>
          <cell r="Z6883" t="str">
            <v>Legacy</v>
          </cell>
          <cell r="AA6883" t="str">
            <v>$1K or Below</v>
          </cell>
          <cell r="AB6883" t="str">
            <v>2010 or before</v>
          </cell>
        </row>
        <row r="6884">
          <cell r="E6884">
            <v>33.86</v>
          </cell>
          <cell r="Z6884" t="str">
            <v>Legacy</v>
          </cell>
          <cell r="AA6884" t="str">
            <v>$1K or Below</v>
          </cell>
          <cell r="AB6884" t="str">
            <v>2010 or before</v>
          </cell>
        </row>
        <row r="6885">
          <cell r="E6885">
            <v>33.82</v>
          </cell>
          <cell r="Z6885" t="str">
            <v>Legacy</v>
          </cell>
          <cell r="AA6885" t="str">
            <v>$1K or Below</v>
          </cell>
          <cell r="AB6885" t="str">
            <v>2010 or before</v>
          </cell>
        </row>
        <row r="6886">
          <cell r="E6886">
            <v>33.79</v>
          </cell>
          <cell r="Z6886" t="str">
            <v>Ungating</v>
          </cell>
          <cell r="AA6886" t="str">
            <v>$1K or Below</v>
          </cell>
          <cell r="AB6886">
            <v>2012</v>
          </cell>
        </row>
        <row r="6887">
          <cell r="E6887">
            <v>33.67</v>
          </cell>
          <cell r="Z6887" t="str">
            <v>Legacy</v>
          </cell>
          <cell r="AA6887" t="str">
            <v>$1K or Below</v>
          </cell>
          <cell r="AB6887" t="str">
            <v>2010 or before</v>
          </cell>
        </row>
        <row r="6888">
          <cell r="E6888">
            <v>33.659999999999997</v>
          </cell>
          <cell r="Z6888" t="str">
            <v>Legacy</v>
          </cell>
          <cell r="AA6888" t="str">
            <v>$1K or Below</v>
          </cell>
          <cell r="AB6888" t="str">
            <v>2010 or before</v>
          </cell>
        </row>
        <row r="6889">
          <cell r="E6889">
            <v>33.49</v>
          </cell>
          <cell r="Z6889" t="str">
            <v>Legacy</v>
          </cell>
          <cell r="AA6889" t="str">
            <v>$1K or Below</v>
          </cell>
          <cell r="AB6889" t="str">
            <v>2010 or before</v>
          </cell>
        </row>
        <row r="6890">
          <cell r="E6890">
            <v>33.479999999999997</v>
          </cell>
          <cell r="Z6890" t="str">
            <v>Legacy</v>
          </cell>
          <cell r="AA6890" t="str">
            <v>$1K or Below</v>
          </cell>
          <cell r="AB6890" t="str">
            <v>2010 or before</v>
          </cell>
        </row>
        <row r="6891">
          <cell r="E6891">
            <v>33.130000000000003</v>
          </cell>
          <cell r="Z6891" t="str">
            <v>Legacy</v>
          </cell>
          <cell r="AA6891" t="str">
            <v>$1K or Below</v>
          </cell>
          <cell r="AB6891" t="str">
            <v>2010 or before</v>
          </cell>
        </row>
        <row r="6892">
          <cell r="E6892">
            <v>33.1</v>
          </cell>
          <cell r="Z6892" t="str">
            <v>Legacy</v>
          </cell>
          <cell r="AA6892" t="str">
            <v>$1K or Below</v>
          </cell>
          <cell r="AB6892" t="str">
            <v>2010 or before</v>
          </cell>
        </row>
        <row r="6893">
          <cell r="E6893">
            <v>33</v>
          </cell>
          <cell r="Z6893" t="str">
            <v>Legacy</v>
          </cell>
          <cell r="AA6893" t="str">
            <v>$1K or Below</v>
          </cell>
          <cell r="AB6893" t="str">
            <v>2010 or before</v>
          </cell>
        </row>
        <row r="6894">
          <cell r="E6894">
            <v>33</v>
          </cell>
          <cell r="Z6894" t="str">
            <v>Legacy</v>
          </cell>
          <cell r="AA6894" t="str">
            <v>$1K or Below</v>
          </cell>
          <cell r="AB6894" t="str">
            <v>2010 or before</v>
          </cell>
        </row>
        <row r="6895">
          <cell r="E6895">
            <v>32.99</v>
          </cell>
          <cell r="Z6895" t="str">
            <v>Legacy</v>
          </cell>
          <cell r="AA6895" t="str">
            <v>$1K or Below</v>
          </cell>
          <cell r="AB6895" t="str">
            <v>2010 or before</v>
          </cell>
        </row>
        <row r="6896">
          <cell r="E6896">
            <v>32.99</v>
          </cell>
          <cell r="Z6896" t="str">
            <v>Legacy</v>
          </cell>
          <cell r="AA6896" t="str">
            <v>$1K or Below</v>
          </cell>
          <cell r="AB6896" t="str">
            <v>2010 or before</v>
          </cell>
        </row>
        <row r="6897">
          <cell r="E6897">
            <v>32.979999999999997</v>
          </cell>
          <cell r="Z6897" t="str">
            <v>Legacy</v>
          </cell>
          <cell r="AA6897" t="str">
            <v>$1K or Below</v>
          </cell>
          <cell r="AB6897" t="str">
            <v>2010 or before</v>
          </cell>
        </row>
        <row r="6898">
          <cell r="E6898">
            <v>32.950000000000003</v>
          </cell>
          <cell r="Z6898" t="str">
            <v>Legacy</v>
          </cell>
          <cell r="AA6898" t="str">
            <v>$1K or Below</v>
          </cell>
          <cell r="AB6898" t="str">
            <v>2010 or before</v>
          </cell>
        </row>
        <row r="6899">
          <cell r="E6899">
            <v>32.950000000000003</v>
          </cell>
          <cell r="Z6899" t="str">
            <v>Legacy</v>
          </cell>
          <cell r="AA6899" t="str">
            <v>$1K or Below</v>
          </cell>
          <cell r="AB6899" t="str">
            <v>2010 or before</v>
          </cell>
        </row>
        <row r="6900">
          <cell r="E6900">
            <v>32.94</v>
          </cell>
          <cell r="Z6900" t="str">
            <v>Legacy</v>
          </cell>
          <cell r="AA6900" t="str">
            <v>$1K or Below</v>
          </cell>
          <cell r="AB6900" t="str">
            <v>2010 or before</v>
          </cell>
        </row>
        <row r="6901">
          <cell r="E6901">
            <v>32.92</v>
          </cell>
          <cell r="Z6901" t="str">
            <v>Legacy</v>
          </cell>
          <cell r="AA6901" t="str">
            <v>$1K or Below</v>
          </cell>
          <cell r="AB6901" t="str">
            <v>2010 or before</v>
          </cell>
        </row>
        <row r="6902">
          <cell r="E6902">
            <v>32.9</v>
          </cell>
          <cell r="Z6902" t="str">
            <v>Legacy</v>
          </cell>
          <cell r="AA6902" t="str">
            <v>$1K or Below</v>
          </cell>
          <cell r="AB6902" t="str">
            <v>2010 or before</v>
          </cell>
        </row>
        <row r="6903">
          <cell r="E6903">
            <v>32.840000000000003</v>
          </cell>
          <cell r="Z6903" t="str">
            <v>Legacy</v>
          </cell>
          <cell r="AA6903" t="str">
            <v>$1K or Below</v>
          </cell>
          <cell r="AB6903" t="str">
            <v>2010 or before</v>
          </cell>
        </row>
        <row r="6904">
          <cell r="E6904">
            <v>32.74</v>
          </cell>
          <cell r="Z6904" t="str">
            <v>Legacy</v>
          </cell>
          <cell r="AA6904" t="str">
            <v>$1K or Below</v>
          </cell>
          <cell r="AB6904" t="str">
            <v>2010 or before</v>
          </cell>
        </row>
        <row r="6905">
          <cell r="E6905">
            <v>32.69</v>
          </cell>
          <cell r="Z6905" t="str">
            <v>Legacy</v>
          </cell>
          <cell r="AA6905" t="str">
            <v>$1K or Below</v>
          </cell>
          <cell r="AB6905" t="str">
            <v>2010 or before</v>
          </cell>
        </row>
        <row r="6906">
          <cell r="E6906">
            <v>32.630000000000003</v>
          </cell>
          <cell r="Z6906" t="str">
            <v>Legacy</v>
          </cell>
          <cell r="AA6906" t="str">
            <v>$1K or Below</v>
          </cell>
          <cell r="AB6906" t="str">
            <v>2010 or before</v>
          </cell>
        </row>
        <row r="6907">
          <cell r="E6907">
            <v>32.5</v>
          </cell>
          <cell r="Z6907" t="str">
            <v>Legacy</v>
          </cell>
          <cell r="AA6907" t="str">
            <v>$1K or Below</v>
          </cell>
          <cell r="AB6907">
            <v>2012</v>
          </cell>
        </row>
        <row r="6908">
          <cell r="E6908">
            <v>32.5</v>
          </cell>
          <cell r="Z6908" t="str">
            <v>Legacy</v>
          </cell>
          <cell r="AA6908" t="str">
            <v>$1K or Below</v>
          </cell>
          <cell r="AB6908" t="str">
            <v>2010 or before</v>
          </cell>
        </row>
        <row r="6909">
          <cell r="E6909">
            <v>32.479999999999997</v>
          </cell>
          <cell r="Z6909" t="str">
            <v>Legacy</v>
          </cell>
          <cell r="AA6909" t="str">
            <v>$1K or Below</v>
          </cell>
          <cell r="AB6909">
            <v>2011</v>
          </cell>
        </row>
        <row r="6910">
          <cell r="E6910">
            <v>32.479999999999997</v>
          </cell>
          <cell r="Z6910" t="str">
            <v>Legacy</v>
          </cell>
          <cell r="AA6910" t="str">
            <v>$1K or Below</v>
          </cell>
          <cell r="AB6910" t="str">
            <v>2010 or before</v>
          </cell>
        </row>
        <row r="6911">
          <cell r="E6911">
            <v>32.46</v>
          </cell>
          <cell r="Z6911" t="str">
            <v>Legacy</v>
          </cell>
          <cell r="AA6911" t="str">
            <v>$1K or Below</v>
          </cell>
          <cell r="AB6911" t="str">
            <v>2010 or before</v>
          </cell>
        </row>
        <row r="6912">
          <cell r="E6912">
            <v>32.43</v>
          </cell>
          <cell r="Z6912" t="str">
            <v>Legacy</v>
          </cell>
          <cell r="AA6912" t="str">
            <v>$1K or Below</v>
          </cell>
          <cell r="AB6912" t="str">
            <v>2010 or before</v>
          </cell>
        </row>
        <row r="6913">
          <cell r="E6913">
            <v>32.380000000000003</v>
          </cell>
          <cell r="Z6913" t="str">
            <v>Legacy</v>
          </cell>
          <cell r="AA6913" t="str">
            <v>$1K or Below</v>
          </cell>
          <cell r="AB6913" t="str">
            <v>2010 or before</v>
          </cell>
        </row>
        <row r="6914">
          <cell r="E6914">
            <v>32.29</v>
          </cell>
          <cell r="Z6914" t="str">
            <v>Legacy</v>
          </cell>
          <cell r="AA6914" t="str">
            <v>$1K or Below</v>
          </cell>
          <cell r="AB6914" t="str">
            <v>2010 or before</v>
          </cell>
        </row>
        <row r="6915">
          <cell r="E6915">
            <v>32.130000000000003</v>
          </cell>
          <cell r="Z6915" t="str">
            <v>Legacy</v>
          </cell>
          <cell r="AA6915" t="str">
            <v>$1K or Below</v>
          </cell>
          <cell r="AB6915" t="str">
            <v>2010 or before</v>
          </cell>
        </row>
        <row r="6916">
          <cell r="E6916">
            <v>31.99</v>
          </cell>
          <cell r="Z6916" t="str">
            <v>Legacy</v>
          </cell>
          <cell r="AA6916" t="str">
            <v>$1K or Below</v>
          </cell>
          <cell r="AB6916" t="str">
            <v>2010 or before</v>
          </cell>
        </row>
        <row r="6917">
          <cell r="E6917">
            <v>31.99</v>
          </cell>
          <cell r="Z6917" t="str">
            <v>Legacy</v>
          </cell>
          <cell r="AA6917" t="str">
            <v>$1K or Below</v>
          </cell>
          <cell r="AB6917" t="str">
            <v>2010 or before</v>
          </cell>
        </row>
        <row r="6918">
          <cell r="E6918">
            <v>31.99</v>
          </cell>
          <cell r="Z6918" t="str">
            <v>Legacy</v>
          </cell>
          <cell r="AA6918" t="str">
            <v>$1K or Below</v>
          </cell>
          <cell r="AB6918" t="str">
            <v>2010 or before</v>
          </cell>
        </row>
        <row r="6919">
          <cell r="E6919">
            <v>31.98</v>
          </cell>
          <cell r="Z6919" t="str">
            <v>Legacy</v>
          </cell>
          <cell r="AA6919" t="str">
            <v>$1K or Below</v>
          </cell>
          <cell r="AB6919" t="str">
            <v>2010 or before</v>
          </cell>
        </row>
        <row r="6920">
          <cell r="E6920">
            <v>31.98</v>
          </cell>
          <cell r="Z6920" t="str">
            <v>Inbound</v>
          </cell>
          <cell r="AA6920" t="str">
            <v>$1K or Below</v>
          </cell>
          <cell r="AB6920">
            <v>2013</v>
          </cell>
        </row>
        <row r="6921">
          <cell r="E6921">
            <v>31.98</v>
          </cell>
          <cell r="Z6921" t="str">
            <v>Legacy</v>
          </cell>
          <cell r="AA6921" t="str">
            <v>$1K or Below</v>
          </cell>
          <cell r="AB6921" t="str">
            <v>2010 or before</v>
          </cell>
        </row>
        <row r="6922">
          <cell r="E6922">
            <v>31.98</v>
          </cell>
          <cell r="Z6922" t="str">
            <v>Legacy</v>
          </cell>
          <cell r="AA6922" t="str">
            <v>$1K or Below</v>
          </cell>
          <cell r="AB6922" t="str">
            <v>2010 or before</v>
          </cell>
        </row>
        <row r="6923">
          <cell r="E6923">
            <v>31.96</v>
          </cell>
          <cell r="Z6923" t="str">
            <v>Legacy</v>
          </cell>
          <cell r="AA6923" t="str">
            <v>$1K or Below</v>
          </cell>
          <cell r="AB6923" t="str">
            <v>2010 or before</v>
          </cell>
        </row>
        <row r="6924">
          <cell r="E6924">
            <v>31.96</v>
          </cell>
          <cell r="Z6924" t="str">
            <v>Legacy</v>
          </cell>
          <cell r="AA6924" t="str">
            <v>$1K or Below</v>
          </cell>
          <cell r="AB6924" t="str">
            <v>2010 or before</v>
          </cell>
        </row>
        <row r="6925">
          <cell r="E6925">
            <v>31.9</v>
          </cell>
          <cell r="Z6925" t="str">
            <v>Legacy</v>
          </cell>
          <cell r="AA6925" t="str">
            <v>$1K or Below</v>
          </cell>
          <cell r="AB6925" t="str">
            <v>2010 or before</v>
          </cell>
        </row>
        <row r="6926">
          <cell r="E6926">
            <v>31.88</v>
          </cell>
          <cell r="Z6926" t="str">
            <v>Legacy</v>
          </cell>
          <cell r="AA6926" t="str">
            <v>$1K or Below</v>
          </cell>
          <cell r="AB6926" t="str">
            <v>2010 or before</v>
          </cell>
        </row>
        <row r="6927">
          <cell r="E6927">
            <v>31.86</v>
          </cell>
          <cell r="Z6927" t="str">
            <v>Legacy</v>
          </cell>
          <cell r="AA6927" t="str">
            <v>$1K or Below</v>
          </cell>
          <cell r="AB6927">
            <v>2011</v>
          </cell>
        </row>
        <row r="6928">
          <cell r="E6928">
            <v>31.84</v>
          </cell>
          <cell r="Z6928" t="str">
            <v>Legacy</v>
          </cell>
          <cell r="AA6928" t="str">
            <v>$1K or Below</v>
          </cell>
          <cell r="AB6928" t="str">
            <v>2010 or before</v>
          </cell>
        </row>
        <row r="6929">
          <cell r="E6929">
            <v>31.8</v>
          </cell>
          <cell r="Z6929" t="str">
            <v>Legacy</v>
          </cell>
          <cell r="AA6929" t="str">
            <v>$1K or Below</v>
          </cell>
          <cell r="AB6929" t="str">
            <v>2010 or before</v>
          </cell>
        </row>
        <row r="6930">
          <cell r="E6930">
            <v>31.66</v>
          </cell>
          <cell r="Z6930" t="str">
            <v>Legacy</v>
          </cell>
          <cell r="AA6930" t="str">
            <v>$1K or Below</v>
          </cell>
          <cell r="AB6930" t="str">
            <v>2010 or before</v>
          </cell>
        </row>
        <row r="6931">
          <cell r="E6931">
            <v>31.49</v>
          </cell>
          <cell r="Z6931" t="str">
            <v>Legacy</v>
          </cell>
          <cell r="AA6931" t="str">
            <v>$1K or Below</v>
          </cell>
          <cell r="AB6931" t="str">
            <v>2010 or before</v>
          </cell>
        </row>
        <row r="6932">
          <cell r="E6932">
            <v>31.48</v>
          </cell>
          <cell r="Z6932" t="str">
            <v>Legacy</v>
          </cell>
          <cell r="AA6932" t="str">
            <v>$1K or Below</v>
          </cell>
          <cell r="AB6932" t="str">
            <v>2010 or before</v>
          </cell>
        </row>
        <row r="6933">
          <cell r="E6933">
            <v>31.48</v>
          </cell>
          <cell r="Z6933" t="str">
            <v>Legacy</v>
          </cell>
          <cell r="AA6933" t="str">
            <v>$1K or Below</v>
          </cell>
          <cell r="AB6933" t="str">
            <v>2010 or before</v>
          </cell>
        </row>
        <row r="6934">
          <cell r="E6934">
            <v>31.48</v>
          </cell>
          <cell r="Z6934" t="str">
            <v>Legacy</v>
          </cell>
          <cell r="AA6934" t="str">
            <v>$1K or Below</v>
          </cell>
          <cell r="AB6934" t="str">
            <v>2010 or before</v>
          </cell>
        </row>
        <row r="6935">
          <cell r="E6935">
            <v>31.45</v>
          </cell>
          <cell r="Z6935" t="str">
            <v>Legacy</v>
          </cell>
          <cell r="AA6935" t="str">
            <v>$1K or Below</v>
          </cell>
          <cell r="AB6935" t="str">
            <v>2010 or before</v>
          </cell>
        </row>
        <row r="6936">
          <cell r="E6936">
            <v>31.41</v>
          </cell>
          <cell r="Z6936" t="str">
            <v>Legacy</v>
          </cell>
          <cell r="AA6936" t="str">
            <v>$1K or Below</v>
          </cell>
          <cell r="AB6936" t="str">
            <v>2010 or before</v>
          </cell>
        </row>
        <row r="6937">
          <cell r="E6937">
            <v>31.37</v>
          </cell>
          <cell r="Z6937" t="str">
            <v>Legacy</v>
          </cell>
          <cell r="AA6937" t="str">
            <v>$1K or Below</v>
          </cell>
          <cell r="AB6937" t="str">
            <v>2010 or before</v>
          </cell>
        </row>
        <row r="6938">
          <cell r="E6938">
            <v>31.3</v>
          </cell>
          <cell r="Z6938" t="str">
            <v>Legacy</v>
          </cell>
          <cell r="AA6938" t="str">
            <v>$1K or Below</v>
          </cell>
          <cell r="AB6938">
            <v>2012</v>
          </cell>
        </row>
        <row r="6939">
          <cell r="E6939">
            <v>31.23</v>
          </cell>
          <cell r="Z6939" t="str">
            <v>Legacy</v>
          </cell>
          <cell r="AA6939" t="str">
            <v>$1K or Below</v>
          </cell>
          <cell r="AB6939" t="str">
            <v>2010 or before</v>
          </cell>
        </row>
        <row r="6940">
          <cell r="E6940">
            <v>30.99</v>
          </cell>
          <cell r="Z6940" t="str">
            <v>Legacy</v>
          </cell>
          <cell r="AA6940" t="str">
            <v>$1K or Below</v>
          </cell>
          <cell r="AB6940" t="str">
            <v>2010 or before</v>
          </cell>
        </row>
        <row r="6941">
          <cell r="E6941">
            <v>30.98</v>
          </cell>
          <cell r="Z6941" t="str">
            <v>Legacy</v>
          </cell>
          <cell r="AA6941" t="str">
            <v>$1K or Below</v>
          </cell>
          <cell r="AB6941" t="str">
            <v>2010 or before</v>
          </cell>
        </row>
        <row r="6942">
          <cell r="E6942">
            <v>30.98</v>
          </cell>
          <cell r="Z6942" t="str">
            <v>Legacy</v>
          </cell>
          <cell r="AA6942" t="str">
            <v>$1K or Below</v>
          </cell>
          <cell r="AB6942" t="str">
            <v>2010 or before</v>
          </cell>
        </row>
        <row r="6943">
          <cell r="E6943">
            <v>30.96</v>
          </cell>
          <cell r="Z6943" t="str">
            <v>Legacy</v>
          </cell>
          <cell r="AA6943" t="str">
            <v>$1K or Below</v>
          </cell>
          <cell r="AB6943" t="str">
            <v>2010 or before</v>
          </cell>
        </row>
        <row r="6944">
          <cell r="E6944">
            <v>30.95</v>
          </cell>
          <cell r="Z6944" t="str">
            <v>Legacy</v>
          </cell>
          <cell r="AA6944" t="str">
            <v>$1K or Below</v>
          </cell>
          <cell r="AB6944" t="str">
            <v>2010 or before</v>
          </cell>
        </row>
        <row r="6945">
          <cell r="E6945">
            <v>30.93</v>
          </cell>
          <cell r="Z6945" t="str">
            <v>Legacy</v>
          </cell>
          <cell r="AA6945" t="str">
            <v>$1K or Below</v>
          </cell>
          <cell r="AB6945" t="str">
            <v>2010 or before</v>
          </cell>
        </row>
        <row r="6946">
          <cell r="E6946">
            <v>30.93</v>
          </cell>
          <cell r="Z6946" t="str">
            <v>Legacy</v>
          </cell>
          <cell r="AA6946" t="str">
            <v>$1K or Below</v>
          </cell>
          <cell r="AB6946" t="str">
            <v>2010 or before</v>
          </cell>
        </row>
        <row r="6947">
          <cell r="E6947">
            <v>30.9</v>
          </cell>
          <cell r="Z6947" t="str">
            <v>Legacy</v>
          </cell>
          <cell r="AA6947" t="str">
            <v>$1K or Below</v>
          </cell>
          <cell r="AB6947" t="str">
            <v>2010 or before</v>
          </cell>
        </row>
        <row r="6948">
          <cell r="E6948">
            <v>30.87</v>
          </cell>
          <cell r="Z6948" t="str">
            <v>Legacy</v>
          </cell>
          <cell r="AA6948" t="str">
            <v>$1K or Below</v>
          </cell>
          <cell r="AB6948" t="str">
            <v>2010 or before</v>
          </cell>
        </row>
        <row r="6949">
          <cell r="E6949">
            <v>30.69</v>
          </cell>
          <cell r="Z6949" t="str">
            <v>Legacy</v>
          </cell>
          <cell r="AA6949" t="str">
            <v>$1K or Below</v>
          </cell>
          <cell r="AB6949" t="str">
            <v>2010 or before</v>
          </cell>
        </row>
        <row r="6950">
          <cell r="E6950">
            <v>30.69</v>
          </cell>
          <cell r="Z6950" t="str">
            <v>Legacy</v>
          </cell>
          <cell r="AA6950" t="str">
            <v>$1K or Below</v>
          </cell>
          <cell r="AB6950" t="str">
            <v>2010 or before</v>
          </cell>
        </row>
        <row r="6951">
          <cell r="E6951">
            <v>30.66</v>
          </cell>
          <cell r="Z6951" t="str">
            <v>Legacy</v>
          </cell>
          <cell r="AA6951" t="str">
            <v>$1K or Below</v>
          </cell>
          <cell r="AB6951" t="str">
            <v>2010 or before</v>
          </cell>
        </row>
        <row r="6952">
          <cell r="E6952">
            <v>30.54</v>
          </cell>
          <cell r="Z6952" t="str">
            <v>Legacy</v>
          </cell>
          <cell r="AA6952" t="str">
            <v>$1K or Below</v>
          </cell>
          <cell r="AB6952" t="str">
            <v>2010 or before</v>
          </cell>
        </row>
        <row r="6953">
          <cell r="E6953">
            <v>30.49</v>
          </cell>
          <cell r="Z6953" t="str">
            <v>Legacy</v>
          </cell>
          <cell r="AA6953" t="str">
            <v>$1K or Below</v>
          </cell>
          <cell r="AB6953" t="str">
            <v>2010 or before</v>
          </cell>
        </row>
        <row r="6954">
          <cell r="E6954">
            <v>30.49</v>
          </cell>
          <cell r="Z6954" t="str">
            <v>Legacy</v>
          </cell>
          <cell r="AA6954" t="str">
            <v>$1K or Below</v>
          </cell>
          <cell r="AB6954">
            <v>2011</v>
          </cell>
        </row>
        <row r="6955">
          <cell r="E6955">
            <v>30.48</v>
          </cell>
          <cell r="Z6955" t="str">
            <v>Legacy</v>
          </cell>
          <cell r="AA6955" t="str">
            <v>$1K or Below</v>
          </cell>
          <cell r="AB6955" t="str">
            <v>2010 or before</v>
          </cell>
        </row>
        <row r="6956">
          <cell r="E6956">
            <v>30.46</v>
          </cell>
          <cell r="Z6956" t="str">
            <v>Legacy</v>
          </cell>
          <cell r="AA6956" t="str">
            <v>$1K or Below</v>
          </cell>
          <cell r="AB6956" t="str">
            <v>2010 or before</v>
          </cell>
        </row>
        <row r="6957">
          <cell r="E6957">
            <v>30.41</v>
          </cell>
          <cell r="Z6957" t="str">
            <v>Legacy</v>
          </cell>
          <cell r="AA6957" t="str">
            <v>$1K or Below</v>
          </cell>
          <cell r="AB6957" t="str">
            <v>2010 or before</v>
          </cell>
        </row>
        <row r="6958">
          <cell r="E6958">
            <v>30.25</v>
          </cell>
          <cell r="Z6958" t="str">
            <v>Legacy</v>
          </cell>
          <cell r="AA6958" t="str">
            <v>$1K or Below</v>
          </cell>
          <cell r="AB6958">
            <v>2011</v>
          </cell>
        </row>
        <row r="6959">
          <cell r="E6959">
            <v>30.2</v>
          </cell>
          <cell r="Z6959" t="str">
            <v>Legacy</v>
          </cell>
          <cell r="AA6959" t="str">
            <v>$1K or Below</v>
          </cell>
          <cell r="AB6959" t="str">
            <v>2010 or before</v>
          </cell>
        </row>
        <row r="6960">
          <cell r="E6960">
            <v>30.17</v>
          </cell>
          <cell r="Z6960" t="str">
            <v>Legacy</v>
          </cell>
          <cell r="AA6960" t="str">
            <v>$1K or Below</v>
          </cell>
          <cell r="AB6960" t="str">
            <v>2010 or before</v>
          </cell>
        </row>
        <row r="6961">
          <cell r="E6961">
            <v>30.12</v>
          </cell>
          <cell r="Z6961" t="str">
            <v>Legacy</v>
          </cell>
          <cell r="AA6961" t="str">
            <v>$1K or Below</v>
          </cell>
          <cell r="AB6961" t="str">
            <v>2010 or before</v>
          </cell>
        </row>
        <row r="6962">
          <cell r="E6962">
            <v>30.03</v>
          </cell>
          <cell r="Z6962" t="str">
            <v>Legacy</v>
          </cell>
          <cell r="AA6962" t="str">
            <v>$1K or Below</v>
          </cell>
          <cell r="AB6962" t="str">
            <v>2010 or before</v>
          </cell>
        </row>
        <row r="6963">
          <cell r="E6963">
            <v>30</v>
          </cell>
          <cell r="Z6963" t="str">
            <v>Inbound</v>
          </cell>
          <cell r="AA6963" t="str">
            <v>$1K or Below</v>
          </cell>
          <cell r="AB6963">
            <v>2012</v>
          </cell>
        </row>
        <row r="6964">
          <cell r="E6964">
            <v>29.99</v>
          </cell>
          <cell r="Z6964" t="str">
            <v>Legacy</v>
          </cell>
          <cell r="AA6964" t="str">
            <v>$1K or Below</v>
          </cell>
          <cell r="AB6964" t="str">
            <v>2010 or before</v>
          </cell>
        </row>
        <row r="6965">
          <cell r="E6965">
            <v>29.99</v>
          </cell>
          <cell r="Z6965" t="str">
            <v>Legacy</v>
          </cell>
          <cell r="AA6965" t="str">
            <v>$1K or Below</v>
          </cell>
          <cell r="AB6965" t="str">
            <v>2010 or before</v>
          </cell>
        </row>
        <row r="6966">
          <cell r="E6966">
            <v>29.99</v>
          </cell>
          <cell r="Z6966" t="str">
            <v>Legacy</v>
          </cell>
          <cell r="AA6966" t="str">
            <v>$1K or Below</v>
          </cell>
          <cell r="AB6966" t="str">
            <v>2010 or before</v>
          </cell>
        </row>
        <row r="6967">
          <cell r="E6967">
            <v>29.99</v>
          </cell>
          <cell r="Z6967" t="str">
            <v>Legacy</v>
          </cell>
          <cell r="AA6967" t="str">
            <v>$1K or Below</v>
          </cell>
          <cell r="AB6967" t="str">
            <v>2010 or before</v>
          </cell>
        </row>
        <row r="6968">
          <cell r="E6968">
            <v>29.99</v>
          </cell>
          <cell r="Z6968" t="str">
            <v>Inbound</v>
          </cell>
          <cell r="AA6968" t="str">
            <v>$1K or Below</v>
          </cell>
          <cell r="AB6968">
            <v>2012</v>
          </cell>
        </row>
        <row r="6969">
          <cell r="E6969">
            <v>29.99</v>
          </cell>
          <cell r="Z6969" t="str">
            <v>Legacy</v>
          </cell>
          <cell r="AA6969" t="str">
            <v>$1K or Below</v>
          </cell>
          <cell r="AB6969" t="str">
            <v>2010 or before</v>
          </cell>
        </row>
        <row r="6970">
          <cell r="E6970">
            <v>29.98</v>
          </cell>
          <cell r="Z6970" t="str">
            <v>Legacy</v>
          </cell>
          <cell r="AA6970" t="str">
            <v>$1K or Below</v>
          </cell>
          <cell r="AB6970" t="str">
            <v>2010 or before</v>
          </cell>
        </row>
        <row r="6971">
          <cell r="E6971">
            <v>29.96</v>
          </cell>
          <cell r="Z6971" t="str">
            <v>Legacy</v>
          </cell>
          <cell r="AA6971" t="str">
            <v>$1K or Below</v>
          </cell>
          <cell r="AB6971">
            <v>2011</v>
          </cell>
        </row>
        <row r="6972">
          <cell r="E6972">
            <v>29.95</v>
          </cell>
          <cell r="Z6972" t="str">
            <v>Legacy</v>
          </cell>
          <cell r="AA6972" t="str">
            <v>$1K or Below</v>
          </cell>
          <cell r="AB6972" t="str">
            <v>2010 or before</v>
          </cell>
        </row>
        <row r="6973">
          <cell r="E6973">
            <v>29.94</v>
          </cell>
          <cell r="Z6973" t="str">
            <v>Legacy</v>
          </cell>
          <cell r="AA6973" t="str">
            <v>$1K or Below</v>
          </cell>
          <cell r="AB6973" t="str">
            <v>2010 or before</v>
          </cell>
        </row>
        <row r="6974">
          <cell r="E6974">
            <v>29.94</v>
          </cell>
          <cell r="Z6974" t="str">
            <v>Legacy</v>
          </cell>
          <cell r="AA6974" t="str">
            <v>$1K or Below</v>
          </cell>
          <cell r="AB6974" t="str">
            <v>2010 or before</v>
          </cell>
        </row>
        <row r="6975">
          <cell r="E6975">
            <v>29.94</v>
          </cell>
          <cell r="Z6975" t="str">
            <v>Legacy</v>
          </cell>
          <cell r="AA6975" t="str">
            <v>$1K or Below</v>
          </cell>
          <cell r="AB6975">
            <v>2013</v>
          </cell>
        </row>
        <row r="6976">
          <cell r="E6976">
            <v>29.94</v>
          </cell>
          <cell r="Z6976" t="str">
            <v>Legacy</v>
          </cell>
          <cell r="AA6976" t="str">
            <v>$1K or Below</v>
          </cell>
          <cell r="AB6976" t="str">
            <v>2010 or before</v>
          </cell>
        </row>
        <row r="6977">
          <cell r="E6977">
            <v>29.92</v>
          </cell>
          <cell r="Z6977" t="str">
            <v>Legacy</v>
          </cell>
          <cell r="AA6977" t="str">
            <v>$1K or Below</v>
          </cell>
          <cell r="AB6977" t="str">
            <v>2010 or before</v>
          </cell>
        </row>
        <row r="6978">
          <cell r="E6978">
            <v>29.91</v>
          </cell>
          <cell r="Z6978" t="str">
            <v>Legacy</v>
          </cell>
          <cell r="AA6978" t="str">
            <v>$1K or Below</v>
          </cell>
          <cell r="AB6978" t="str">
            <v>2010 or before</v>
          </cell>
        </row>
        <row r="6979">
          <cell r="E6979">
            <v>29.9</v>
          </cell>
          <cell r="Z6979" t="str">
            <v>Ungating</v>
          </cell>
          <cell r="AA6979" t="str">
            <v>$1K or Below</v>
          </cell>
          <cell r="AB6979">
            <v>2011</v>
          </cell>
        </row>
        <row r="6980">
          <cell r="E6980">
            <v>29.88</v>
          </cell>
          <cell r="Z6980" t="str">
            <v>Legacy</v>
          </cell>
          <cell r="AA6980" t="str">
            <v>$1K or Below</v>
          </cell>
          <cell r="AB6980" t="str">
            <v>2010 or before</v>
          </cell>
        </row>
        <row r="6981">
          <cell r="E6981">
            <v>29.68</v>
          </cell>
          <cell r="Z6981" t="str">
            <v>Legacy</v>
          </cell>
          <cell r="AA6981" t="str">
            <v>$1K or Below</v>
          </cell>
          <cell r="AB6981" t="str">
            <v>2010 or before</v>
          </cell>
        </row>
        <row r="6982">
          <cell r="E6982">
            <v>29.61</v>
          </cell>
          <cell r="Z6982" t="str">
            <v>Legacy</v>
          </cell>
          <cell r="AA6982" t="str">
            <v>$1K or Below</v>
          </cell>
          <cell r="AB6982" t="str">
            <v>2010 or before</v>
          </cell>
        </row>
        <row r="6983">
          <cell r="E6983">
            <v>29.54</v>
          </cell>
          <cell r="Z6983" t="str">
            <v>Legacy</v>
          </cell>
          <cell r="AA6983" t="str">
            <v>$1K or Below</v>
          </cell>
          <cell r="AB6983" t="str">
            <v>2010 or before</v>
          </cell>
        </row>
        <row r="6984">
          <cell r="E6984">
            <v>29.49</v>
          </cell>
          <cell r="Z6984" t="str">
            <v>Legacy</v>
          </cell>
          <cell r="AA6984" t="str">
            <v>$1K or Below</v>
          </cell>
          <cell r="AB6984" t="str">
            <v>2010 or before</v>
          </cell>
        </row>
        <row r="6985">
          <cell r="E6985">
            <v>29.49</v>
          </cell>
          <cell r="Z6985" t="str">
            <v>Legacy</v>
          </cell>
          <cell r="AA6985" t="str">
            <v>$1K or Below</v>
          </cell>
          <cell r="AB6985">
            <v>2012</v>
          </cell>
        </row>
        <row r="6986">
          <cell r="E6986">
            <v>29.49</v>
          </cell>
          <cell r="Z6986" t="str">
            <v>Legacy</v>
          </cell>
          <cell r="AA6986" t="str">
            <v>$1K or Below</v>
          </cell>
          <cell r="AB6986" t="str">
            <v>2010 or before</v>
          </cell>
        </row>
        <row r="6987">
          <cell r="E6987">
            <v>29.49</v>
          </cell>
          <cell r="Z6987" t="str">
            <v>Legacy</v>
          </cell>
          <cell r="AA6987" t="str">
            <v>$1K or Below</v>
          </cell>
          <cell r="AB6987" t="str">
            <v>2010 or before</v>
          </cell>
        </row>
        <row r="6988">
          <cell r="E6988">
            <v>29.49</v>
          </cell>
          <cell r="Z6988" t="str">
            <v>Legacy</v>
          </cell>
          <cell r="AA6988" t="str">
            <v>$1K or Below</v>
          </cell>
          <cell r="AB6988" t="str">
            <v>2010 or before</v>
          </cell>
        </row>
        <row r="6989">
          <cell r="E6989">
            <v>29.49</v>
          </cell>
          <cell r="Z6989" t="str">
            <v>Legacy</v>
          </cell>
          <cell r="AA6989" t="str">
            <v>$1K or Below</v>
          </cell>
          <cell r="AB6989">
            <v>2011</v>
          </cell>
        </row>
        <row r="6990">
          <cell r="E6990">
            <v>29.49</v>
          </cell>
          <cell r="Z6990" t="str">
            <v>Legacy</v>
          </cell>
          <cell r="AA6990" t="str">
            <v>$1K or Below</v>
          </cell>
          <cell r="AB6990" t="str">
            <v>2010 or before</v>
          </cell>
        </row>
        <row r="6991">
          <cell r="E6991">
            <v>29.49</v>
          </cell>
          <cell r="Z6991" t="str">
            <v>Legacy</v>
          </cell>
          <cell r="AA6991" t="str">
            <v>$1K or Below</v>
          </cell>
          <cell r="AB6991" t="str">
            <v>2010 or before</v>
          </cell>
        </row>
        <row r="6992">
          <cell r="E6992">
            <v>29.49</v>
          </cell>
          <cell r="Z6992" t="str">
            <v>Legacy</v>
          </cell>
          <cell r="AA6992" t="str">
            <v>$1K or Below</v>
          </cell>
          <cell r="AB6992" t="str">
            <v>2010 or before</v>
          </cell>
        </row>
        <row r="6993">
          <cell r="E6993">
            <v>29.48</v>
          </cell>
          <cell r="Z6993" t="str">
            <v>Legacy</v>
          </cell>
          <cell r="AA6993" t="str">
            <v>$1K or Below</v>
          </cell>
          <cell r="AB6993" t="str">
            <v>2010 or before</v>
          </cell>
        </row>
        <row r="6994">
          <cell r="E6994">
            <v>29.48</v>
          </cell>
          <cell r="Z6994" t="str">
            <v>Legacy</v>
          </cell>
          <cell r="AA6994" t="str">
            <v>$1K or Below</v>
          </cell>
          <cell r="AB6994" t="str">
            <v>2010 or before</v>
          </cell>
        </row>
        <row r="6995">
          <cell r="E6995">
            <v>29.48</v>
          </cell>
          <cell r="Z6995" t="str">
            <v>Legacy</v>
          </cell>
          <cell r="AA6995" t="str">
            <v>$1K or Below</v>
          </cell>
          <cell r="AB6995" t="str">
            <v>2010 or before</v>
          </cell>
        </row>
        <row r="6996">
          <cell r="E6996">
            <v>29.48</v>
          </cell>
          <cell r="Z6996" t="str">
            <v>Legacy</v>
          </cell>
          <cell r="AA6996" t="str">
            <v>$1K or Below</v>
          </cell>
          <cell r="AB6996" t="str">
            <v>2010 or before</v>
          </cell>
        </row>
        <row r="6997">
          <cell r="E6997">
            <v>29.42</v>
          </cell>
          <cell r="Z6997" t="str">
            <v>Legacy</v>
          </cell>
          <cell r="AA6997" t="str">
            <v>$1K or Below</v>
          </cell>
          <cell r="AB6997" t="str">
            <v>2010 or before</v>
          </cell>
        </row>
        <row r="6998">
          <cell r="E6998">
            <v>29.39</v>
          </cell>
          <cell r="Z6998" t="str">
            <v>Legacy</v>
          </cell>
          <cell r="AA6998" t="str">
            <v>$1K or Below</v>
          </cell>
          <cell r="AB6998" t="str">
            <v>2010 or before</v>
          </cell>
        </row>
        <row r="6999">
          <cell r="E6999">
            <v>29.35</v>
          </cell>
          <cell r="Z6999" t="str">
            <v>Legacy</v>
          </cell>
          <cell r="AA6999" t="str">
            <v>$1K or Below</v>
          </cell>
          <cell r="AB6999" t="str">
            <v>2010 or before</v>
          </cell>
        </row>
        <row r="7000">
          <cell r="E7000">
            <v>29.21</v>
          </cell>
          <cell r="Z7000" t="str">
            <v>Legacy</v>
          </cell>
          <cell r="AA7000" t="str">
            <v>$1K or Below</v>
          </cell>
          <cell r="AB7000" t="str">
            <v>2010 or before</v>
          </cell>
        </row>
        <row r="7001">
          <cell r="E7001">
            <v>29.19</v>
          </cell>
          <cell r="Z7001" t="str">
            <v>Legacy</v>
          </cell>
          <cell r="AA7001" t="str">
            <v>$1K or Below</v>
          </cell>
          <cell r="AB7001" t="str">
            <v>2010 or before</v>
          </cell>
        </row>
        <row r="7002">
          <cell r="E7002">
            <v>29.14</v>
          </cell>
          <cell r="Z7002" t="str">
            <v>Legacy</v>
          </cell>
          <cell r="AA7002" t="str">
            <v>$1K or Below</v>
          </cell>
          <cell r="AB7002" t="str">
            <v>2010 or before</v>
          </cell>
        </row>
        <row r="7003">
          <cell r="E7003">
            <v>29.07</v>
          </cell>
          <cell r="Z7003" t="str">
            <v>Legacy</v>
          </cell>
          <cell r="AA7003" t="str">
            <v>$1K or Below</v>
          </cell>
          <cell r="AB7003" t="str">
            <v>2010 or before</v>
          </cell>
        </row>
        <row r="7004">
          <cell r="E7004">
            <v>29</v>
          </cell>
          <cell r="Z7004" t="str">
            <v>Legacy</v>
          </cell>
          <cell r="AA7004" t="str">
            <v>$1K or Below</v>
          </cell>
          <cell r="AB7004" t="str">
            <v>2010 or before</v>
          </cell>
        </row>
        <row r="7005">
          <cell r="E7005">
            <v>28.99</v>
          </cell>
          <cell r="Z7005" t="str">
            <v>Legacy</v>
          </cell>
          <cell r="AA7005" t="str">
            <v>$1K or Below</v>
          </cell>
          <cell r="AB7005" t="str">
            <v>2010 or before</v>
          </cell>
        </row>
        <row r="7006">
          <cell r="E7006">
            <v>28.98</v>
          </cell>
          <cell r="Z7006" t="str">
            <v>Legacy</v>
          </cell>
          <cell r="AA7006" t="str">
            <v>$1K or Below</v>
          </cell>
          <cell r="AB7006" t="str">
            <v>2010 or before</v>
          </cell>
        </row>
        <row r="7007">
          <cell r="E7007">
            <v>28.98</v>
          </cell>
          <cell r="Z7007" t="str">
            <v>Legacy</v>
          </cell>
          <cell r="AA7007" t="str">
            <v>$1K or Below</v>
          </cell>
          <cell r="AB7007" t="str">
            <v>2010 or before</v>
          </cell>
        </row>
        <row r="7008">
          <cell r="E7008">
            <v>28.97</v>
          </cell>
          <cell r="Z7008" t="str">
            <v>Legacy</v>
          </cell>
          <cell r="AA7008" t="str">
            <v>$1K or Below</v>
          </cell>
          <cell r="AB7008" t="str">
            <v>2010 or before</v>
          </cell>
        </row>
        <row r="7009">
          <cell r="E7009">
            <v>28.96</v>
          </cell>
          <cell r="Z7009" t="str">
            <v>Legacy</v>
          </cell>
          <cell r="AA7009" t="str">
            <v>$1K or Below</v>
          </cell>
          <cell r="AB7009" t="str">
            <v>2010 or before</v>
          </cell>
        </row>
        <row r="7010">
          <cell r="E7010">
            <v>28.93</v>
          </cell>
          <cell r="Z7010" t="str">
            <v>Legacy</v>
          </cell>
          <cell r="AA7010" t="str">
            <v>$1K or Below</v>
          </cell>
          <cell r="AB7010" t="str">
            <v>2010 or before</v>
          </cell>
        </row>
        <row r="7011">
          <cell r="E7011">
            <v>28.92</v>
          </cell>
          <cell r="Z7011" t="str">
            <v>Legacy</v>
          </cell>
          <cell r="AA7011" t="str">
            <v>$1K or Below</v>
          </cell>
          <cell r="AB7011" t="str">
            <v>2010 or before</v>
          </cell>
        </row>
        <row r="7012">
          <cell r="E7012">
            <v>28.89</v>
          </cell>
          <cell r="Z7012" t="str">
            <v>Legacy</v>
          </cell>
          <cell r="AA7012" t="str">
            <v>$1K or Below</v>
          </cell>
          <cell r="AB7012" t="str">
            <v>2010 or before</v>
          </cell>
        </row>
        <row r="7013">
          <cell r="E7013">
            <v>28.86</v>
          </cell>
          <cell r="Z7013" t="str">
            <v>Legacy</v>
          </cell>
          <cell r="AA7013" t="str">
            <v>$1K or Below</v>
          </cell>
          <cell r="AB7013" t="str">
            <v>2010 or before</v>
          </cell>
        </row>
        <row r="7014">
          <cell r="E7014">
            <v>28.69</v>
          </cell>
          <cell r="Z7014" t="str">
            <v>Legacy</v>
          </cell>
          <cell r="AA7014" t="str">
            <v>$1K or Below</v>
          </cell>
          <cell r="AB7014" t="str">
            <v>2010 or before</v>
          </cell>
        </row>
        <row r="7015">
          <cell r="E7015">
            <v>28.68</v>
          </cell>
          <cell r="Z7015" t="str">
            <v>Legacy</v>
          </cell>
          <cell r="AA7015" t="str">
            <v>$1K or Below</v>
          </cell>
          <cell r="AB7015">
            <v>2011</v>
          </cell>
        </row>
        <row r="7016">
          <cell r="E7016">
            <v>28.49</v>
          </cell>
          <cell r="Z7016" t="str">
            <v>Ungating</v>
          </cell>
          <cell r="AA7016" t="str">
            <v>$1K or Below</v>
          </cell>
          <cell r="AB7016">
            <v>2013</v>
          </cell>
        </row>
        <row r="7017">
          <cell r="E7017">
            <v>28.49</v>
          </cell>
          <cell r="Z7017" t="str">
            <v>Legacy</v>
          </cell>
          <cell r="AA7017" t="str">
            <v>$1K or Below</v>
          </cell>
          <cell r="AB7017" t="str">
            <v>2010 or before</v>
          </cell>
        </row>
        <row r="7018">
          <cell r="E7018">
            <v>28.49</v>
          </cell>
          <cell r="Z7018" t="str">
            <v>Legacy</v>
          </cell>
          <cell r="AA7018" t="str">
            <v>$1K or Below</v>
          </cell>
          <cell r="AB7018" t="str">
            <v>2010 or before</v>
          </cell>
        </row>
        <row r="7019">
          <cell r="E7019">
            <v>28.48</v>
          </cell>
          <cell r="Z7019" t="str">
            <v>Legacy</v>
          </cell>
          <cell r="AA7019" t="str">
            <v>$1K or Below</v>
          </cell>
          <cell r="AB7019" t="str">
            <v>2010 or before</v>
          </cell>
        </row>
        <row r="7020">
          <cell r="E7020">
            <v>28.47</v>
          </cell>
          <cell r="Z7020" t="str">
            <v>Legacy</v>
          </cell>
          <cell r="AA7020" t="str">
            <v>$1K or Below</v>
          </cell>
          <cell r="AB7020">
            <v>2012</v>
          </cell>
        </row>
        <row r="7021">
          <cell r="E7021">
            <v>28.45</v>
          </cell>
          <cell r="Z7021" t="str">
            <v>Legacy</v>
          </cell>
          <cell r="AA7021" t="str">
            <v>$1K or Below</v>
          </cell>
          <cell r="AB7021" t="str">
            <v>2010 or before</v>
          </cell>
        </row>
        <row r="7022">
          <cell r="E7022">
            <v>28.43</v>
          </cell>
          <cell r="Z7022" t="str">
            <v>Legacy</v>
          </cell>
          <cell r="AA7022" t="str">
            <v>$1K or Below</v>
          </cell>
          <cell r="AB7022">
            <v>2011</v>
          </cell>
        </row>
        <row r="7023">
          <cell r="E7023">
            <v>28.37</v>
          </cell>
          <cell r="Z7023" t="str">
            <v>Legacy</v>
          </cell>
          <cell r="AA7023" t="str">
            <v>$1K or Below</v>
          </cell>
          <cell r="AB7023">
            <v>2012</v>
          </cell>
        </row>
        <row r="7024">
          <cell r="E7024">
            <v>28.31</v>
          </cell>
          <cell r="Z7024" t="str">
            <v>Legacy</v>
          </cell>
          <cell r="AA7024" t="str">
            <v>$1K or Below</v>
          </cell>
          <cell r="AB7024" t="str">
            <v>2010 or before</v>
          </cell>
        </row>
        <row r="7025">
          <cell r="E7025">
            <v>28.23</v>
          </cell>
          <cell r="Z7025" t="str">
            <v>Legacy</v>
          </cell>
          <cell r="AA7025" t="str">
            <v>$1K or Below</v>
          </cell>
          <cell r="AB7025" t="str">
            <v>2010 or before</v>
          </cell>
        </row>
        <row r="7026">
          <cell r="E7026">
            <v>28.14</v>
          </cell>
          <cell r="Z7026" t="str">
            <v>Legacy</v>
          </cell>
          <cell r="AA7026" t="str">
            <v>$1K or Below</v>
          </cell>
          <cell r="AB7026">
            <v>2011</v>
          </cell>
        </row>
        <row r="7027">
          <cell r="E7027">
            <v>28.13</v>
          </cell>
          <cell r="Z7027" t="str">
            <v>Legacy</v>
          </cell>
          <cell r="AA7027" t="str">
            <v>$1K or Below</v>
          </cell>
          <cell r="AB7027" t="str">
            <v>2010 or before</v>
          </cell>
        </row>
        <row r="7028">
          <cell r="E7028">
            <v>28.09</v>
          </cell>
          <cell r="Z7028" t="str">
            <v>Legacy</v>
          </cell>
          <cell r="AA7028" t="str">
            <v>$1K or Below</v>
          </cell>
          <cell r="AB7028" t="str">
            <v>2010 or before</v>
          </cell>
        </row>
        <row r="7029">
          <cell r="E7029">
            <v>28.07</v>
          </cell>
          <cell r="Z7029" t="str">
            <v>Legacy</v>
          </cell>
          <cell r="AA7029" t="str">
            <v>$1K or Below</v>
          </cell>
          <cell r="AB7029" t="str">
            <v>2010 or before</v>
          </cell>
        </row>
        <row r="7030">
          <cell r="E7030">
            <v>28</v>
          </cell>
          <cell r="Z7030" t="str">
            <v>Legacy</v>
          </cell>
          <cell r="AA7030" t="str">
            <v>$1K or Below</v>
          </cell>
          <cell r="AB7030" t="str">
            <v>2010 or before</v>
          </cell>
        </row>
        <row r="7031">
          <cell r="E7031">
            <v>28</v>
          </cell>
          <cell r="Z7031" t="str">
            <v>Legacy</v>
          </cell>
          <cell r="AA7031" t="str">
            <v>$1K or Below</v>
          </cell>
          <cell r="AB7031" t="str">
            <v>2010 or before</v>
          </cell>
        </row>
        <row r="7032">
          <cell r="E7032">
            <v>28</v>
          </cell>
          <cell r="Z7032" t="str">
            <v>Legacy</v>
          </cell>
          <cell r="AA7032" t="str">
            <v>$1K or Below</v>
          </cell>
          <cell r="AB7032" t="str">
            <v>2010 or before</v>
          </cell>
        </row>
        <row r="7033">
          <cell r="E7033">
            <v>27.99</v>
          </cell>
          <cell r="Z7033" t="str">
            <v>Legacy</v>
          </cell>
          <cell r="AA7033" t="str">
            <v>$1K or Below</v>
          </cell>
          <cell r="AB7033" t="str">
            <v>2010 or before</v>
          </cell>
        </row>
        <row r="7034">
          <cell r="E7034">
            <v>27.99</v>
          </cell>
          <cell r="Z7034" t="str">
            <v>Legacy</v>
          </cell>
          <cell r="AA7034" t="str">
            <v>$1K or Below</v>
          </cell>
          <cell r="AB7034" t="str">
            <v>2010 or before</v>
          </cell>
        </row>
        <row r="7035">
          <cell r="E7035">
            <v>27.99</v>
          </cell>
          <cell r="Z7035" t="str">
            <v>Legacy</v>
          </cell>
          <cell r="AA7035" t="str">
            <v>$1K or Below</v>
          </cell>
          <cell r="AB7035" t="str">
            <v>2010 or before</v>
          </cell>
        </row>
        <row r="7036">
          <cell r="E7036">
            <v>27.99</v>
          </cell>
          <cell r="Z7036" t="str">
            <v>Legacy</v>
          </cell>
          <cell r="AA7036" t="str">
            <v>$1K or Below</v>
          </cell>
          <cell r="AB7036" t="str">
            <v>2010 or before</v>
          </cell>
        </row>
        <row r="7037">
          <cell r="E7037">
            <v>27.98</v>
          </cell>
          <cell r="Z7037" t="str">
            <v>Legacy</v>
          </cell>
          <cell r="AA7037" t="str">
            <v>$1K or Below</v>
          </cell>
          <cell r="AB7037" t="str">
            <v>2010 or before</v>
          </cell>
        </row>
        <row r="7038">
          <cell r="E7038">
            <v>27.98</v>
          </cell>
          <cell r="Z7038" t="str">
            <v>Legacy</v>
          </cell>
          <cell r="AA7038" t="str">
            <v>$1K or Below</v>
          </cell>
          <cell r="AB7038" t="str">
            <v>2010 or before</v>
          </cell>
        </row>
        <row r="7039">
          <cell r="E7039">
            <v>27.95</v>
          </cell>
          <cell r="Z7039" t="str">
            <v>Legacy</v>
          </cell>
          <cell r="AA7039" t="str">
            <v>$1K or Below</v>
          </cell>
          <cell r="AB7039" t="str">
            <v>2010 or before</v>
          </cell>
        </row>
        <row r="7040">
          <cell r="E7040">
            <v>27.88</v>
          </cell>
          <cell r="Z7040" t="str">
            <v>Legacy</v>
          </cell>
          <cell r="AA7040" t="str">
            <v>$1K or Below</v>
          </cell>
          <cell r="AB7040" t="str">
            <v>2010 or before</v>
          </cell>
        </row>
        <row r="7041">
          <cell r="E7041">
            <v>27.82</v>
          </cell>
          <cell r="Z7041" t="str">
            <v>Legacy</v>
          </cell>
          <cell r="AA7041" t="str">
            <v>$1K or Below</v>
          </cell>
          <cell r="AB7041">
            <v>2012</v>
          </cell>
        </row>
        <row r="7042">
          <cell r="E7042">
            <v>27.78</v>
          </cell>
          <cell r="Z7042" t="str">
            <v>Legacy</v>
          </cell>
          <cell r="AA7042" t="str">
            <v>$1K or Below</v>
          </cell>
          <cell r="AB7042" t="str">
            <v>2010 or before</v>
          </cell>
        </row>
        <row r="7043">
          <cell r="E7043">
            <v>27.76</v>
          </cell>
          <cell r="Z7043" t="str">
            <v>Legacy</v>
          </cell>
          <cell r="AA7043" t="str">
            <v>$1K or Below</v>
          </cell>
          <cell r="AB7043" t="str">
            <v>2010 or before</v>
          </cell>
        </row>
        <row r="7044">
          <cell r="E7044">
            <v>27.49</v>
          </cell>
          <cell r="Z7044" t="str">
            <v>Legacy</v>
          </cell>
          <cell r="AA7044" t="str">
            <v>$1K or Below</v>
          </cell>
          <cell r="AB7044" t="str">
            <v>2010 or before</v>
          </cell>
        </row>
        <row r="7045">
          <cell r="E7045">
            <v>27.49</v>
          </cell>
          <cell r="Z7045" t="str">
            <v>Legacy</v>
          </cell>
          <cell r="AA7045" t="str">
            <v>$1K or Below</v>
          </cell>
          <cell r="AB7045" t="str">
            <v>2010 or before</v>
          </cell>
        </row>
        <row r="7046">
          <cell r="E7046">
            <v>27.49</v>
          </cell>
          <cell r="Z7046" t="str">
            <v>Legacy</v>
          </cell>
          <cell r="AA7046" t="str">
            <v>$1K or Below</v>
          </cell>
          <cell r="AB7046" t="str">
            <v>2010 or before</v>
          </cell>
        </row>
        <row r="7047">
          <cell r="E7047">
            <v>27.45</v>
          </cell>
          <cell r="Z7047" t="str">
            <v>Legacy</v>
          </cell>
          <cell r="AA7047" t="str">
            <v>$1K or Below</v>
          </cell>
          <cell r="AB7047" t="str">
            <v>2010 or before</v>
          </cell>
        </row>
        <row r="7048">
          <cell r="E7048">
            <v>27.45</v>
          </cell>
          <cell r="Z7048" t="str">
            <v>Legacy</v>
          </cell>
          <cell r="AA7048" t="str">
            <v>$1K or Below</v>
          </cell>
          <cell r="AB7048" t="str">
            <v>2010 or before</v>
          </cell>
        </row>
        <row r="7049">
          <cell r="E7049">
            <v>27.44</v>
          </cell>
          <cell r="Z7049" t="str">
            <v>Legacy</v>
          </cell>
          <cell r="AA7049" t="str">
            <v>$1K or Below</v>
          </cell>
          <cell r="AB7049" t="str">
            <v>2010 or before</v>
          </cell>
        </row>
        <row r="7050">
          <cell r="E7050">
            <v>27.44</v>
          </cell>
          <cell r="Z7050" t="str">
            <v>Legacy</v>
          </cell>
          <cell r="AA7050" t="str">
            <v>$1K or Below</v>
          </cell>
          <cell r="AB7050" t="str">
            <v>2010 or before</v>
          </cell>
        </row>
        <row r="7051">
          <cell r="E7051">
            <v>27.44</v>
          </cell>
          <cell r="Z7051" t="str">
            <v>Legacy</v>
          </cell>
          <cell r="AA7051" t="str">
            <v>$1K or Below</v>
          </cell>
          <cell r="AB7051" t="str">
            <v>2010 or before</v>
          </cell>
        </row>
        <row r="7052">
          <cell r="E7052">
            <v>27.38</v>
          </cell>
          <cell r="Z7052" t="str">
            <v>Legacy</v>
          </cell>
          <cell r="AA7052" t="str">
            <v>$1K or Below</v>
          </cell>
          <cell r="AB7052" t="str">
            <v>2010 or before</v>
          </cell>
        </row>
        <row r="7053">
          <cell r="E7053">
            <v>27.37</v>
          </cell>
          <cell r="Z7053" t="str">
            <v>Legacy</v>
          </cell>
          <cell r="AA7053" t="str">
            <v>$1K or Below</v>
          </cell>
          <cell r="AB7053" t="str">
            <v>2010 or before</v>
          </cell>
        </row>
        <row r="7054">
          <cell r="E7054">
            <v>27.35</v>
          </cell>
          <cell r="Z7054" t="str">
            <v>Legacy</v>
          </cell>
          <cell r="AA7054" t="str">
            <v>$1K or Below</v>
          </cell>
          <cell r="AB7054" t="str">
            <v>2010 or before</v>
          </cell>
        </row>
        <row r="7055">
          <cell r="E7055">
            <v>27</v>
          </cell>
          <cell r="Z7055" t="str">
            <v>Legacy</v>
          </cell>
          <cell r="AA7055" t="str">
            <v>$1K or Below</v>
          </cell>
          <cell r="AB7055" t="str">
            <v>2010 or before</v>
          </cell>
        </row>
        <row r="7056">
          <cell r="E7056">
            <v>26.99</v>
          </cell>
          <cell r="Z7056" t="str">
            <v>Legacy</v>
          </cell>
          <cell r="AA7056" t="str">
            <v>$1K or Below</v>
          </cell>
          <cell r="AB7056" t="str">
            <v>2010 or before</v>
          </cell>
        </row>
        <row r="7057">
          <cell r="E7057">
            <v>26.99</v>
          </cell>
          <cell r="Z7057" t="str">
            <v>Legacy</v>
          </cell>
          <cell r="AA7057" t="str">
            <v>$1K or Below</v>
          </cell>
          <cell r="AB7057" t="str">
            <v>2010 or before</v>
          </cell>
        </row>
        <row r="7058">
          <cell r="E7058">
            <v>26.99</v>
          </cell>
          <cell r="Z7058" t="str">
            <v>Legacy</v>
          </cell>
          <cell r="AA7058" t="str">
            <v>$1K or Below</v>
          </cell>
          <cell r="AB7058">
            <v>2011</v>
          </cell>
        </row>
        <row r="7059">
          <cell r="E7059">
            <v>26.99</v>
          </cell>
          <cell r="Z7059" t="str">
            <v>Legacy</v>
          </cell>
          <cell r="AA7059" t="str">
            <v>$1K or Below</v>
          </cell>
          <cell r="AB7059" t="str">
            <v>2010 or before</v>
          </cell>
        </row>
        <row r="7060">
          <cell r="E7060">
            <v>26.99</v>
          </cell>
          <cell r="Z7060" t="str">
            <v>Legacy</v>
          </cell>
          <cell r="AA7060" t="str">
            <v>$1K or Below</v>
          </cell>
          <cell r="AB7060" t="str">
            <v>2010 or before</v>
          </cell>
        </row>
        <row r="7061">
          <cell r="E7061">
            <v>26.98</v>
          </cell>
          <cell r="Z7061" t="str">
            <v>Legacy</v>
          </cell>
          <cell r="AA7061" t="str">
            <v>$1K or Below</v>
          </cell>
          <cell r="AB7061">
            <v>2012</v>
          </cell>
        </row>
        <row r="7062">
          <cell r="E7062">
            <v>26.98</v>
          </cell>
          <cell r="Z7062" t="str">
            <v>Legacy</v>
          </cell>
          <cell r="AA7062" t="str">
            <v>$1K or Below</v>
          </cell>
          <cell r="AB7062" t="str">
            <v>2010 or before</v>
          </cell>
        </row>
        <row r="7063">
          <cell r="E7063">
            <v>26.97</v>
          </cell>
          <cell r="Z7063" t="str">
            <v>Legacy</v>
          </cell>
          <cell r="AA7063" t="str">
            <v>$1K or Below</v>
          </cell>
          <cell r="AB7063" t="str">
            <v>2010 or before</v>
          </cell>
        </row>
        <row r="7064">
          <cell r="E7064">
            <v>26.95</v>
          </cell>
          <cell r="Z7064" t="str">
            <v>Legacy</v>
          </cell>
          <cell r="AA7064" t="str">
            <v>$1K or Below</v>
          </cell>
          <cell r="AB7064" t="str">
            <v>2010 or before</v>
          </cell>
        </row>
        <row r="7065">
          <cell r="E7065">
            <v>26.94</v>
          </cell>
          <cell r="Z7065" t="str">
            <v>Legacy</v>
          </cell>
          <cell r="AA7065" t="str">
            <v>$1K or Below</v>
          </cell>
          <cell r="AB7065" t="str">
            <v>2010 or before</v>
          </cell>
        </row>
        <row r="7066">
          <cell r="E7066">
            <v>26.94</v>
          </cell>
          <cell r="Z7066" t="str">
            <v>Legacy</v>
          </cell>
          <cell r="AA7066" t="str">
            <v>$1K or Below</v>
          </cell>
          <cell r="AB7066" t="str">
            <v>2010 or before</v>
          </cell>
        </row>
        <row r="7067">
          <cell r="E7067">
            <v>26.91</v>
          </cell>
          <cell r="Z7067" t="str">
            <v>Legacy</v>
          </cell>
          <cell r="AA7067" t="str">
            <v>$1K or Below</v>
          </cell>
          <cell r="AB7067" t="str">
            <v>2010 or before</v>
          </cell>
        </row>
        <row r="7068">
          <cell r="E7068">
            <v>26.87</v>
          </cell>
          <cell r="Z7068" t="str">
            <v>Legacy</v>
          </cell>
          <cell r="AA7068" t="str">
            <v>$1K or Below</v>
          </cell>
          <cell r="AB7068" t="str">
            <v>2010 or before</v>
          </cell>
        </row>
        <row r="7069">
          <cell r="E7069">
            <v>26.87</v>
          </cell>
          <cell r="Z7069" t="str">
            <v>Legacy</v>
          </cell>
          <cell r="AA7069" t="str">
            <v>$1K or Below</v>
          </cell>
          <cell r="AB7069" t="str">
            <v>2010 or before</v>
          </cell>
        </row>
        <row r="7070">
          <cell r="E7070">
            <v>26.85</v>
          </cell>
          <cell r="Z7070" t="str">
            <v>Legacy</v>
          </cell>
          <cell r="AA7070" t="str">
            <v>$1K or Below</v>
          </cell>
          <cell r="AB7070" t="str">
            <v>2010 or before</v>
          </cell>
        </row>
        <row r="7071">
          <cell r="E7071">
            <v>26.79</v>
          </cell>
          <cell r="Z7071" t="str">
            <v>Legacy</v>
          </cell>
          <cell r="AA7071" t="str">
            <v>$1K or Below</v>
          </cell>
          <cell r="AB7071" t="str">
            <v>2010 or before</v>
          </cell>
        </row>
        <row r="7072">
          <cell r="E7072">
            <v>26.78</v>
          </cell>
          <cell r="Z7072" t="str">
            <v>Legacy</v>
          </cell>
          <cell r="AA7072" t="str">
            <v>$1K or Below</v>
          </cell>
          <cell r="AB7072" t="str">
            <v>2010 or before</v>
          </cell>
        </row>
        <row r="7073">
          <cell r="E7073">
            <v>26.55</v>
          </cell>
          <cell r="Z7073" t="str">
            <v>Legacy</v>
          </cell>
          <cell r="AA7073" t="str">
            <v>$1K or Below</v>
          </cell>
          <cell r="AB7073" t="str">
            <v>2010 or before</v>
          </cell>
        </row>
        <row r="7074">
          <cell r="E7074">
            <v>26.51</v>
          </cell>
          <cell r="Z7074" t="str">
            <v>Legacy</v>
          </cell>
          <cell r="AA7074" t="str">
            <v>$1K or Below</v>
          </cell>
          <cell r="AB7074" t="str">
            <v>2010 or before</v>
          </cell>
        </row>
        <row r="7075">
          <cell r="E7075">
            <v>26.5</v>
          </cell>
          <cell r="Z7075" t="str">
            <v>Legacy</v>
          </cell>
          <cell r="AA7075" t="str">
            <v>$1K or Below</v>
          </cell>
          <cell r="AB7075" t="str">
            <v>2010 or before</v>
          </cell>
        </row>
        <row r="7076">
          <cell r="E7076">
            <v>26.48</v>
          </cell>
          <cell r="Z7076" t="str">
            <v>Legacy</v>
          </cell>
          <cell r="AA7076" t="str">
            <v>$1K or Below</v>
          </cell>
          <cell r="AB7076" t="str">
            <v>2010 or before</v>
          </cell>
        </row>
        <row r="7077">
          <cell r="E7077">
            <v>26.48</v>
          </cell>
          <cell r="Z7077" t="str">
            <v>Legacy</v>
          </cell>
          <cell r="AA7077" t="str">
            <v>$1K or Below</v>
          </cell>
          <cell r="AB7077" t="str">
            <v>2010 or before</v>
          </cell>
        </row>
        <row r="7078">
          <cell r="E7078">
            <v>26.39</v>
          </cell>
          <cell r="Z7078" t="str">
            <v>Legacy</v>
          </cell>
          <cell r="AA7078" t="str">
            <v>$1K or Below</v>
          </cell>
          <cell r="AB7078">
            <v>2011</v>
          </cell>
        </row>
        <row r="7079">
          <cell r="E7079">
            <v>26.16</v>
          </cell>
          <cell r="Z7079" t="str">
            <v>Legacy</v>
          </cell>
          <cell r="AA7079" t="str">
            <v>$1K or Below</v>
          </cell>
          <cell r="AB7079">
            <v>2011</v>
          </cell>
        </row>
        <row r="7080">
          <cell r="E7080">
            <v>25.99</v>
          </cell>
          <cell r="Z7080" t="str">
            <v>Legacy</v>
          </cell>
          <cell r="AA7080" t="str">
            <v>$1K or Below</v>
          </cell>
          <cell r="AB7080" t="str">
            <v>2010 or before</v>
          </cell>
        </row>
        <row r="7081">
          <cell r="E7081">
            <v>25.99</v>
          </cell>
          <cell r="Z7081" t="str">
            <v>Legacy</v>
          </cell>
          <cell r="AA7081" t="str">
            <v>$1K or Below</v>
          </cell>
          <cell r="AB7081" t="str">
            <v>2010 or before</v>
          </cell>
        </row>
        <row r="7082">
          <cell r="E7082">
            <v>25.99</v>
          </cell>
          <cell r="Z7082" t="str">
            <v>Legacy</v>
          </cell>
          <cell r="AA7082" t="str">
            <v>$1K or Below</v>
          </cell>
          <cell r="AB7082" t="str">
            <v>2010 or before</v>
          </cell>
        </row>
        <row r="7083">
          <cell r="E7083">
            <v>25.98</v>
          </cell>
          <cell r="Z7083" t="str">
            <v>Legacy</v>
          </cell>
          <cell r="AA7083" t="str">
            <v>$1K or Below</v>
          </cell>
          <cell r="AB7083" t="str">
            <v>2010 or before</v>
          </cell>
        </row>
        <row r="7084">
          <cell r="E7084">
            <v>25.98</v>
          </cell>
          <cell r="Z7084" t="str">
            <v>Legacy</v>
          </cell>
          <cell r="AA7084" t="str">
            <v>$1K or Below</v>
          </cell>
          <cell r="AB7084" t="str">
            <v>2010 or before</v>
          </cell>
        </row>
        <row r="7085">
          <cell r="E7085">
            <v>25.96</v>
          </cell>
          <cell r="Z7085" t="str">
            <v>Legacy</v>
          </cell>
          <cell r="AA7085" t="str">
            <v>$1K or Below</v>
          </cell>
          <cell r="AB7085" t="str">
            <v>2010 or before</v>
          </cell>
        </row>
        <row r="7086">
          <cell r="E7086">
            <v>25.96</v>
          </cell>
          <cell r="Z7086" t="str">
            <v>Legacy</v>
          </cell>
          <cell r="AA7086" t="str">
            <v>$1K or Below</v>
          </cell>
          <cell r="AB7086" t="str">
            <v>2010 or before</v>
          </cell>
        </row>
        <row r="7087">
          <cell r="E7087">
            <v>25.96</v>
          </cell>
          <cell r="Z7087" t="str">
            <v>Legacy</v>
          </cell>
          <cell r="AA7087" t="str">
            <v>$1K or Below</v>
          </cell>
          <cell r="AB7087" t="str">
            <v>2010 or before</v>
          </cell>
        </row>
        <row r="7088">
          <cell r="E7088">
            <v>25.94</v>
          </cell>
          <cell r="Z7088" t="str">
            <v>Legacy</v>
          </cell>
          <cell r="AA7088" t="str">
            <v>$1K or Below</v>
          </cell>
          <cell r="AB7088" t="str">
            <v>2010 or before</v>
          </cell>
        </row>
        <row r="7089">
          <cell r="E7089">
            <v>25.9</v>
          </cell>
          <cell r="Z7089" t="str">
            <v>Legacy</v>
          </cell>
          <cell r="AA7089" t="str">
            <v>$1K or Below</v>
          </cell>
          <cell r="AB7089" t="str">
            <v>2010 or before</v>
          </cell>
        </row>
        <row r="7090">
          <cell r="E7090">
            <v>25.88</v>
          </cell>
          <cell r="Z7090" t="str">
            <v>Legacy</v>
          </cell>
          <cell r="AA7090" t="str">
            <v>$1K or Below</v>
          </cell>
          <cell r="AB7090">
            <v>2012</v>
          </cell>
        </row>
        <row r="7091">
          <cell r="E7091">
            <v>25.8</v>
          </cell>
          <cell r="Z7091" t="str">
            <v>Legacy</v>
          </cell>
          <cell r="AA7091" t="str">
            <v>$1K or Below</v>
          </cell>
          <cell r="AB7091" t="str">
            <v>2010 or before</v>
          </cell>
        </row>
        <row r="7092">
          <cell r="E7092">
            <v>25.78</v>
          </cell>
          <cell r="Z7092" t="str">
            <v>Legacy</v>
          </cell>
          <cell r="AA7092" t="str">
            <v>$1K or Below</v>
          </cell>
          <cell r="AB7092" t="str">
            <v>2010 or before</v>
          </cell>
        </row>
        <row r="7093">
          <cell r="E7093">
            <v>25.65</v>
          </cell>
          <cell r="Z7093" t="str">
            <v>Legacy</v>
          </cell>
          <cell r="AA7093" t="str">
            <v>$1K or Below</v>
          </cell>
          <cell r="AB7093" t="str">
            <v>2010 or before</v>
          </cell>
        </row>
        <row r="7094">
          <cell r="E7094">
            <v>25.57</v>
          </cell>
          <cell r="Z7094" t="str">
            <v>Legacy</v>
          </cell>
          <cell r="AA7094" t="str">
            <v>$1K or Below</v>
          </cell>
          <cell r="AB7094" t="str">
            <v>2010 or before</v>
          </cell>
        </row>
        <row r="7095">
          <cell r="E7095">
            <v>25.49</v>
          </cell>
          <cell r="Z7095" t="str">
            <v>Legacy</v>
          </cell>
          <cell r="AA7095" t="str">
            <v>$1K or Below</v>
          </cell>
          <cell r="AB7095" t="str">
            <v>2010 or before</v>
          </cell>
        </row>
        <row r="7096">
          <cell r="E7096">
            <v>25.49</v>
          </cell>
          <cell r="Z7096" t="str">
            <v>Legacy</v>
          </cell>
          <cell r="AA7096" t="str">
            <v>$1K or Below</v>
          </cell>
          <cell r="AB7096" t="str">
            <v>2010 or before</v>
          </cell>
        </row>
        <row r="7097">
          <cell r="E7097">
            <v>25.49</v>
          </cell>
          <cell r="Z7097" t="str">
            <v>Legacy</v>
          </cell>
          <cell r="AA7097" t="str">
            <v>$1K or Below</v>
          </cell>
          <cell r="AB7097" t="str">
            <v>2010 or before</v>
          </cell>
        </row>
        <row r="7098">
          <cell r="E7098">
            <v>25.49</v>
          </cell>
          <cell r="Z7098" t="str">
            <v>Legacy</v>
          </cell>
          <cell r="AA7098" t="str">
            <v>$1K or Below</v>
          </cell>
          <cell r="AB7098" t="str">
            <v>2010 or before</v>
          </cell>
        </row>
        <row r="7099">
          <cell r="E7099">
            <v>25.48</v>
          </cell>
          <cell r="Z7099" t="str">
            <v>Legacy</v>
          </cell>
          <cell r="AA7099" t="str">
            <v>$1K or Below</v>
          </cell>
          <cell r="AB7099" t="str">
            <v>2010 or before</v>
          </cell>
        </row>
        <row r="7100">
          <cell r="E7100">
            <v>25.48</v>
          </cell>
          <cell r="Z7100" t="str">
            <v>Legacy</v>
          </cell>
          <cell r="AA7100" t="str">
            <v>$1K or Below</v>
          </cell>
          <cell r="AB7100" t="str">
            <v>2010 or before</v>
          </cell>
        </row>
        <row r="7101">
          <cell r="E7101">
            <v>25.48</v>
          </cell>
          <cell r="Z7101" t="str">
            <v>Legacy</v>
          </cell>
          <cell r="AA7101" t="str">
            <v>$1K or Below</v>
          </cell>
          <cell r="AB7101" t="str">
            <v>2010 or before</v>
          </cell>
        </row>
        <row r="7102">
          <cell r="E7102">
            <v>25.48</v>
          </cell>
          <cell r="Z7102" t="str">
            <v>Legacy</v>
          </cell>
          <cell r="AA7102" t="str">
            <v>$1K or Below</v>
          </cell>
          <cell r="AB7102" t="str">
            <v>2010 or before</v>
          </cell>
        </row>
        <row r="7103">
          <cell r="E7103">
            <v>25.48</v>
          </cell>
          <cell r="Z7103" t="str">
            <v>Legacy</v>
          </cell>
          <cell r="AA7103" t="str">
            <v>$1K or Below</v>
          </cell>
          <cell r="AB7103" t="str">
            <v>2010 or before</v>
          </cell>
        </row>
        <row r="7104">
          <cell r="E7104">
            <v>25.47</v>
          </cell>
          <cell r="Z7104" t="str">
            <v>Legacy</v>
          </cell>
          <cell r="AA7104" t="str">
            <v>$1K or Below</v>
          </cell>
          <cell r="AB7104" t="str">
            <v>2010 or before</v>
          </cell>
        </row>
        <row r="7105">
          <cell r="E7105">
            <v>25.46</v>
          </cell>
          <cell r="Z7105" t="str">
            <v>Legacy</v>
          </cell>
          <cell r="AA7105" t="str">
            <v>$1K or Below</v>
          </cell>
          <cell r="AB7105" t="str">
            <v>2010 or before</v>
          </cell>
        </row>
        <row r="7106">
          <cell r="E7106">
            <v>25.44</v>
          </cell>
          <cell r="Z7106" t="str">
            <v>Legacy</v>
          </cell>
          <cell r="AA7106" t="str">
            <v>$1K or Below</v>
          </cell>
          <cell r="AB7106" t="str">
            <v>2010 or before</v>
          </cell>
        </row>
        <row r="7107">
          <cell r="E7107">
            <v>25.44</v>
          </cell>
          <cell r="Z7107" t="str">
            <v>Legacy</v>
          </cell>
          <cell r="AA7107" t="str">
            <v>$1K or Below</v>
          </cell>
          <cell r="AB7107" t="str">
            <v>2010 or before</v>
          </cell>
        </row>
        <row r="7108">
          <cell r="E7108">
            <v>25.44</v>
          </cell>
          <cell r="Z7108" t="str">
            <v>Legacy</v>
          </cell>
          <cell r="AA7108" t="str">
            <v>$1K or Below</v>
          </cell>
          <cell r="AB7108" t="str">
            <v>2010 or before</v>
          </cell>
        </row>
        <row r="7109">
          <cell r="E7109">
            <v>25.33</v>
          </cell>
          <cell r="Z7109" t="str">
            <v>Legacy</v>
          </cell>
          <cell r="AA7109" t="str">
            <v>$1K or Below</v>
          </cell>
          <cell r="AB7109" t="str">
            <v>2010 or before</v>
          </cell>
        </row>
        <row r="7110">
          <cell r="E7110">
            <v>25.25</v>
          </cell>
          <cell r="Z7110" t="str">
            <v>Legacy</v>
          </cell>
          <cell r="AA7110" t="str">
            <v>$1K or Below</v>
          </cell>
          <cell r="AB7110" t="str">
            <v>2010 or before</v>
          </cell>
        </row>
        <row r="7111">
          <cell r="E7111">
            <v>25.23</v>
          </cell>
          <cell r="Z7111" t="str">
            <v>Legacy</v>
          </cell>
          <cell r="AA7111" t="str">
            <v>$1K or Below</v>
          </cell>
          <cell r="AB7111" t="str">
            <v>2010 or before</v>
          </cell>
        </row>
        <row r="7112">
          <cell r="E7112">
            <v>25.22</v>
          </cell>
          <cell r="Z7112" t="str">
            <v>Legacy</v>
          </cell>
          <cell r="AA7112" t="str">
            <v>$1K or Below</v>
          </cell>
          <cell r="AB7112">
            <v>2012</v>
          </cell>
        </row>
        <row r="7113">
          <cell r="E7113">
            <v>25.16</v>
          </cell>
          <cell r="Z7113" t="str">
            <v>Legacy</v>
          </cell>
          <cell r="AA7113" t="str">
            <v>$1K or Below</v>
          </cell>
          <cell r="AB7113" t="str">
            <v>2010 or before</v>
          </cell>
        </row>
        <row r="7114">
          <cell r="E7114">
            <v>25</v>
          </cell>
          <cell r="Z7114" t="str">
            <v>Legacy</v>
          </cell>
          <cell r="AA7114" t="str">
            <v>$1K or Below</v>
          </cell>
          <cell r="AB7114" t="str">
            <v>2010 or before</v>
          </cell>
        </row>
        <row r="7115">
          <cell r="E7115">
            <v>25</v>
          </cell>
          <cell r="Z7115" t="str">
            <v>Legacy</v>
          </cell>
          <cell r="AA7115" t="str">
            <v>$1K or Below</v>
          </cell>
          <cell r="AB7115">
            <v>2011</v>
          </cell>
        </row>
        <row r="7116">
          <cell r="E7116">
            <v>25</v>
          </cell>
          <cell r="Z7116" t="str">
            <v>Legacy</v>
          </cell>
          <cell r="AA7116" t="str">
            <v>$1K or Below</v>
          </cell>
          <cell r="AB7116" t="str">
            <v>2010 or before</v>
          </cell>
        </row>
        <row r="7117">
          <cell r="E7117">
            <v>25</v>
          </cell>
          <cell r="Z7117" t="str">
            <v>Legacy</v>
          </cell>
          <cell r="AA7117" t="str">
            <v>$1K or Below</v>
          </cell>
          <cell r="AB7117" t="str">
            <v>2010 or before</v>
          </cell>
        </row>
        <row r="7118">
          <cell r="E7118">
            <v>25</v>
          </cell>
          <cell r="Z7118" t="str">
            <v>Legacy</v>
          </cell>
          <cell r="AA7118" t="str">
            <v>$1K or Below</v>
          </cell>
          <cell r="AB7118" t="str">
            <v>2010 or before</v>
          </cell>
        </row>
        <row r="7119">
          <cell r="E7119">
            <v>25</v>
          </cell>
          <cell r="Z7119" t="str">
            <v>Legacy</v>
          </cell>
          <cell r="AA7119" t="str">
            <v>$1K or Below</v>
          </cell>
          <cell r="AB7119" t="str">
            <v>2010 or before</v>
          </cell>
        </row>
        <row r="7120">
          <cell r="E7120">
            <v>24.99</v>
          </cell>
          <cell r="Z7120" t="str">
            <v>Legacy</v>
          </cell>
          <cell r="AA7120" t="str">
            <v>$1K or Below</v>
          </cell>
          <cell r="AB7120" t="str">
            <v>2010 or before</v>
          </cell>
        </row>
        <row r="7121">
          <cell r="E7121">
            <v>24.99</v>
          </cell>
          <cell r="Z7121" t="str">
            <v>Legacy</v>
          </cell>
          <cell r="AA7121" t="str">
            <v>$1K or Below</v>
          </cell>
          <cell r="AB7121" t="str">
            <v>2010 or before</v>
          </cell>
        </row>
        <row r="7122">
          <cell r="E7122">
            <v>24.99</v>
          </cell>
          <cell r="Z7122" t="str">
            <v>Legacy</v>
          </cell>
          <cell r="AA7122" t="str">
            <v>$1K or Below</v>
          </cell>
          <cell r="AB7122" t="str">
            <v>2010 or before</v>
          </cell>
        </row>
        <row r="7123">
          <cell r="E7123">
            <v>24.99</v>
          </cell>
          <cell r="Z7123" t="str">
            <v>Legacy</v>
          </cell>
          <cell r="AA7123" t="str">
            <v>$1K or Below</v>
          </cell>
          <cell r="AB7123" t="str">
            <v>2010 or before</v>
          </cell>
        </row>
        <row r="7124">
          <cell r="E7124">
            <v>24.99</v>
          </cell>
          <cell r="Z7124" t="str">
            <v>Legacy</v>
          </cell>
          <cell r="AA7124" t="str">
            <v>$1K or Below</v>
          </cell>
          <cell r="AB7124" t="str">
            <v>2010 or before</v>
          </cell>
        </row>
        <row r="7125">
          <cell r="E7125">
            <v>24.99</v>
          </cell>
          <cell r="Z7125" t="str">
            <v>Legacy</v>
          </cell>
          <cell r="AA7125" t="str">
            <v>$1K or Below</v>
          </cell>
          <cell r="AB7125" t="str">
            <v>2010 or before</v>
          </cell>
        </row>
        <row r="7126">
          <cell r="E7126">
            <v>24.99</v>
          </cell>
          <cell r="Z7126" t="str">
            <v>Legacy</v>
          </cell>
          <cell r="AA7126" t="str">
            <v>$1K or Below</v>
          </cell>
          <cell r="AB7126" t="str">
            <v>2010 or before</v>
          </cell>
        </row>
        <row r="7127">
          <cell r="E7127">
            <v>24.99</v>
          </cell>
          <cell r="Z7127" t="str">
            <v>Legacy</v>
          </cell>
          <cell r="AA7127" t="str">
            <v>$1K or Below</v>
          </cell>
          <cell r="AB7127" t="str">
            <v>2010 or before</v>
          </cell>
        </row>
        <row r="7128">
          <cell r="E7128">
            <v>24.99</v>
          </cell>
          <cell r="Z7128" t="str">
            <v>Legacy</v>
          </cell>
          <cell r="AA7128" t="str">
            <v>$1K or Below</v>
          </cell>
          <cell r="AB7128" t="str">
            <v>2010 or before</v>
          </cell>
        </row>
        <row r="7129">
          <cell r="E7129">
            <v>24.99</v>
          </cell>
          <cell r="Z7129" t="str">
            <v>Legacy</v>
          </cell>
          <cell r="AA7129" t="str">
            <v>$1K or Below</v>
          </cell>
          <cell r="AB7129" t="str">
            <v>2010 or before</v>
          </cell>
        </row>
        <row r="7130">
          <cell r="E7130">
            <v>24.99</v>
          </cell>
          <cell r="Z7130" t="str">
            <v>Legacy</v>
          </cell>
          <cell r="AA7130" t="str">
            <v>$1K or Below</v>
          </cell>
          <cell r="AB7130" t="str">
            <v>2010 or before</v>
          </cell>
        </row>
        <row r="7131">
          <cell r="E7131">
            <v>24.98</v>
          </cell>
          <cell r="Z7131" t="str">
            <v>Legacy</v>
          </cell>
          <cell r="AA7131" t="str">
            <v>$1K or Below</v>
          </cell>
          <cell r="AB7131" t="str">
            <v>2010 or before</v>
          </cell>
        </row>
        <row r="7132">
          <cell r="E7132">
            <v>24.98</v>
          </cell>
          <cell r="Z7132" t="str">
            <v>Legacy</v>
          </cell>
          <cell r="AA7132" t="str">
            <v>$1K or Below</v>
          </cell>
          <cell r="AB7132" t="str">
            <v>2010 or before</v>
          </cell>
        </row>
        <row r="7133">
          <cell r="E7133">
            <v>24.98</v>
          </cell>
          <cell r="Z7133" t="str">
            <v>Legacy</v>
          </cell>
          <cell r="AA7133" t="str">
            <v>$1K or Below</v>
          </cell>
          <cell r="AB7133" t="str">
            <v>2010 or before</v>
          </cell>
        </row>
        <row r="7134">
          <cell r="E7134">
            <v>24.98</v>
          </cell>
          <cell r="Z7134" t="str">
            <v>Legacy</v>
          </cell>
          <cell r="AA7134" t="str">
            <v>$1K or Below</v>
          </cell>
          <cell r="AB7134" t="str">
            <v>2010 or before</v>
          </cell>
        </row>
        <row r="7135">
          <cell r="E7135">
            <v>24.98</v>
          </cell>
          <cell r="Z7135" t="str">
            <v>Legacy</v>
          </cell>
          <cell r="AA7135" t="str">
            <v>$1K or Below</v>
          </cell>
          <cell r="AB7135" t="str">
            <v>2010 or before</v>
          </cell>
        </row>
        <row r="7136">
          <cell r="E7136">
            <v>24.98</v>
          </cell>
          <cell r="Z7136" t="str">
            <v>Legacy</v>
          </cell>
          <cell r="AA7136" t="str">
            <v>$1K or Below</v>
          </cell>
          <cell r="AB7136" t="str">
            <v>2010 or before</v>
          </cell>
        </row>
        <row r="7137">
          <cell r="E7137">
            <v>24.98</v>
          </cell>
          <cell r="Z7137" t="str">
            <v>Legacy</v>
          </cell>
          <cell r="AA7137" t="str">
            <v>$1K or Below</v>
          </cell>
          <cell r="AB7137" t="str">
            <v>2010 or before</v>
          </cell>
        </row>
        <row r="7138">
          <cell r="E7138">
            <v>24.98</v>
          </cell>
          <cell r="Z7138" t="str">
            <v>Legacy</v>
          </cell>
          <cell r="AA7138" t="str">
            <v>$1K or Below</v>
          </cell>
          <cell r="AB7138" t="str">
            <v>2010 or before</v>
          </cell>
        </row>
        <row r="7139">
          <cell r="E7139">
            <v>24.96</v>
          </cell>
          <cell r="Z7139" t="str">
            <v>Legacy</v>
          </cell>
          <cell r="AA7139" t="str">
            <v>$1K or Below</v>
          </cell>
          <cell r="AB7139" t="str">
            <v>2010 or before</v>
          </cell>
        </row>
        <row r="7140">
          <cell r="E7140">
            <v>24.96</v>
          </cell>
          <cell r="Z7140" t="str">
            <v>Legacy</v>
          </cell>
          <cell r="AA7140" t="str">
            <v>$1K or Below</v>
          </cell>
          <cell r="AB7140" t="str">
            <v>2010 or before</v>
          </cell>
        </row>
        <row r="7141">
          <cell r="E7141">
            <v>24.96</v>
          </cell>
          <cell r="Z7141" t="str">
            <v>Legacy</v>
          </cell>
          <cell r="AA7141" t="str">
            <v>$1K or Below</v>
          </cell>
          <cell r="AB7141" t="str">
            <v>2010 or before</v>
          </cell>
        </row>
        <row r="7142">
          <cell r="E7142">
            <v>24.95</v>
          </cell>
          <cell r="Z7142" t="str">
            <v>Ungating</v>
          </cell>
          <cell r="AA7142" t="str">
            <v>$1K or Below</v>
          </cell>
          <cell r="AB7142">
            <v>2012</v>
          </cell>
        </row>
        <row r="7143">
          <cell r="E7143">
            <v>24.95</v>
          </cell>
          <cell r="Z7143" t="str">
            <v>Legacy</v>
          </cell>
          <cell r="AA7143" t="str">
            <v>$1K or Below</v>
          </cell>
          <cell r="AB7143" t="str">
            <v>2010 or before</v>
          </cell>
        </row>
        <row r="7144">
          <cell r="E7144">
            <v>24.95</v>
          </cell>
          <cell r="Z7144" t="str">
            <v>Legacy</v>
          </cell>
          <cell r="AA7144" t="str">
            <v>$1K or Below</v>
          </cell>
          <cell r="AB7144" t="str">
            <v>2010 or before</v>
          </cell>
        </row>
        <row r="7145">
          <cell r="E7145">
            <v>24.95</v>
          </cell>
          <cell r="Z7145" t="str">
            <v>Legacy</v>
          </cell>
          <cell r="AA7145" t="str">
            <v>$1K or Below</v>
          </cell>
          <cell r="AB7145" t="str">
            <v>2010 or before</v>
          </cell>
        </row>
        <row r="7146">
          <cell r="E7146">
            <v>24.95</v>
          </cell>
          <cell r="Z7146" t="str">
            <v>Legacy</v>
          </cell>
          <cell r="AA7146" t="str">
            <v>$1K or Below</v>
          </cell>
          <cell r="AB7146" t="str">
            <v>2010 or before</v>
          </cell>
        </row>
        <row r="7147">
          <cell r="E7147">
            <v>24.94</v>
          </cell>
          <cell r="Z7147" t="str">
            <v>Legacy</v>
          </cell>
          <cell r="AA7147" t="str">
            <v>$1K or Below</v>
          </cell>
          <cell r="AB7147" t="str">
            <v>2010 or before</v>
          </cell>
        </row>
        <row r="7148">
          <cell r="E7148">
            <v>24.94</v>
          </cell>
          <cell r="Z7148" t="str">
            <v>Legacy</v>
          </cell>
          <cell r="AA7148" t="str">
            <v>$1K or Below</v>
          </cell>
          <cell r="AB7148" t="str">
            <v>2010 or before</v>
          </cell>
        </row>
        <row r="7149">
          <cell r="E7149">
            <v>24.94</v>
          </cell>
          <cell r="Z7149" t="str">
            <v>Legacy</v>
          </cell>
          <cell r="AA7149" t="str">
            <v>$1K or Below</v>
          </cell>
          <cell r="AB7149" t="str">
            <v>2010 or before</v>
          </cell>
        </row>
        <row r="7150">
          <cell r="E7150">
            <v>24.94</v>
          </cell>
          <cell r="Z7150" t="str">
            <v>Legacy</v>
          </cell>
          <cell r="AA7150" t="str">
            <v>$1K or Below</v>
          </cell>
          <cell r="AB7150" t="str">
            <v>2010 or before</v>
          </cell>
        </row>
        <row r="7151">
          <cell r="E7151">
            <v>24.81</v>
          </cell>
          <cell r="Z7151" t="str">
            <v>Legacy</v>
          </cell>
          <cell r="AA7151" t="str">
            <v>$1K or Below</v>
          </cell>
          <cell r="AB7151" t="str">
            <v>2010 or before</v>
          </cell>
        </row>
        <row r="7152">
          <cell r="E7152">
            <v>24.8</v>
          </cell>
          <cell r="Z7152" t="str">
            <v>Legacy</v>
          </cell>
          <cell r="AA7152" t="str">
            <v>$1K or Below</v>
          </cell>
          <cell r="AB7152" t="str">
            <v>2010 or before</v>
          </cell>
        </row>
        <row r="7153">
          <cell r="E7153">
            <v>24.8</v>
          </cell>
          <cell r="Z7153" t="str">
            <v>Legacy</v>
          </cell>
          <cell r="AA7153" t="str">
            <v>$1K or Below</v>
          </cell>
          <cell r="AB7153" t="str">
            <v>2010 or before</v>
          </cell>
        </row>
        <row r="7154">
          <cell r="E7154">
            <v>24.74</v>
          </cell>
          <cell r="Z7154" t="str">
            <v>Legacy</v>
          </cell>
          <cell r="AA7154" t="str">
            <v>$1K or Below</v>
          </cell>
          <cell r="AB7154" t="str">
            <v>2010 or before</v>
          </cell>
        </row>
        <row r="7155">
          <cell r="E7155">
            <v>24.74</v>
          </cell>
          <cell r="Z7155" t="str">
            <v>Legacy</v>
          </cell>
          <cell r="AA7155" t="str">
            <v>$1K or Below</v>
          </cell>
          <cell r="AB7155" t="str">
            <v>2010 or before</v>
          </cell>
        </row>
        <row r="7156">
          <cell r="E7156">
            <v>24.64</v>
          </cell>
          <cell r="Z7156" t="str">
            <v>Legacy</v>
          </cell>
          <cell r="AA7156" t="str">
            <v>$1K or Below</v>
          </cell>
          <cell r="AB7156" t="str">
            <v>2010 or before</v>
          </cell>
        </row>
        <row r="7157">
          <cell r="E7157">
            <v>24.56</v>
          </cell>
          <cell r="Z7157" t="str">
            <v>Legacy</v>
          </cell>
          <cell r="AA7157" t="str">
            <v>$1K or Below</v>
          </cell>
          <cell r="AB7157" t="str">
            <v>2010 or before</v>
          </cell>
        </row>
        <row r="7158">
          <cell r="E7158">
            <v>24.49</v>
          </cell>
          <cell r="Z7158" t="str">
            <v>Legacy</v>
          </cell>
          <cell r="AA7158" t="str">
            <v>$1K or Below</v>
          </cell>
          <cell r="AB7158" t="str">
            <v>2010 or before</v>
          </cell>
        </row>
        <row r="7159">
          <cell r="E7159">
            <v>24.49</v>
          </cell>
          <cell r="Z7159" t="str">
            <v>Legacy</v>
          </cell>
          <cell r="AA7159" t="str">
            <v>$1K or Below</v>
          </cell>
          <cell r="AB7159" t="str">
            <v>2010 or before</v>
          </cell>
        </row>
        <row r="7160">
          <cell r="E7160">
            <v>24.49</v>
          </cell>
          <cell r="Z7160" t="str">
            <v>Legacy</v>
          </cell>
          <cell r="AA7160" t="str">
            <v>$1K or Below</v>
          </cell>
          <cell r="AB7160" t="str">
            <v>2010 or before</v>
          </cell>
        </row>
        <row r="7161">
          <cell r="E7161">
            <v>24.49</v>
          </cell>
          <cell r="Z7161" t="str">
            <v>Legacy</v>
          </cell>
          <cell r="AA7161" t="str">
            <v>$1K or Below</v>
          </cell>
          <cell r="AB7161" t="str">
            <v>2010 or before</v>
          </cell>
        </row>
        <row r="7162">
          <cell r="E7162">
            <v>24.49</v>
          </cell>
          <cell r="Z7162" t="str">
            <v>Legacy</v>
          </cell>
          <cell r="AA7162" t="str">
            <v>$1K or Below</v>
          </cell>
          <cell r="AB7162" t="str">
            <v>2010 or before</v>
          </cell>
        </row>
        <row r="7163">
          <cell r="E7163">
            <v>24.48</v>
          </cell>
          <cell r="Z7163" t="str">
            <v>Legacy</v>
          </cell>
          <cell r="AA7163" t="str">
            <v>$1K or Below</v>
          </cell>
          <cell r="AB7163" t="str">
            <v>2010 or before</v>
          </cell>
        </row>
        <row r="7164">
          <cell r="E7164">
            <v>24.48</v>
          </cell>
          <cell r="Z7164" t="str">
            <v>Legacy</v>
          </cell>
          <cell r="AA7164" t="str">
            <v>$1K or Below</v>
          </cell>
          <cell r="AB7164" t="str">
            <v>2010 or before</v>
          </cell>
        </row>
        <row r="7165">
          <cell r="E7165">
            <v>24.48</v>
          </cell>
          <cell r="Z7165" t="str">
            <v>Legacy</v>
          </cell>
          <cell r="AA7165" t="str">
            <v>$1K or Below</v>
          </cell>
          <cell r="AB7165" t="str">
            <v>2010 or before</v>
          </cell>
        </row>
        <row r="7166">
          <cell r="E7166">
            <v>24.48</v>
          </cell>
          <cell r="Z7166" t="str">
            <v>Legacy</v>
          </cell>
          <cell r="AA7166" t="str">
            <v>$1K or Below</v>
          </cell>
          <cell r="AB7166" t="str">
            <v>2010 or before</v>
          </cell>
        </row>
        <row r="7167">
          <cell r="E7167">
            <v>24.48</v>
          </cell>
          <cell r="Z7167" t="str">
            <v>Legacy</v>
          </cell>
          <cell r="AA7167" t="str">
            <v>$1K or Below</v>
          </cell>
          <cell r="AB7167">
            <v>2011</v>
          </cell>
        </row>
        <row r="7168">
          <cell r="E7168">
            <v>24.48</v>
          </cell>
          <cell r="Z7168" t="str">
            <v>Legacy</v>
          </cell>
          <cell r="AA7168" t="str">
            <v>$1K or Below</v>
          </cell>
          <cell r="AB7168" t="str">
            <v>2010 or before</v>
          </cell>
        </row>
        <row r="7169">
          <cell r="E7169">
            <v>24.48</v>
          </cell>
          <cell r="Z7169" t="str">
            <v>Inbound</v>
          </cell>
          <cell r="AA7169" t="str">
            <v>$1K or Below</v>
          </cell>
          <cell r="AB7169">
            <v>2012</v>
          </cell>
        </row>
        <row r="7170">
          <cell r="E7170">
            <v>24.48</v>
          </cell>
          <cell r="Z7170" t="str">
            <v>Legacy</v>
          </cell>
          <cell r="AA7170" t="str">
            <v>$1K or Below</v>
          </cell>
          <cell r="AB7170" t="str">
            <v>2010 or before</v>
          </cell>
        </row>
        <row r="7171">
          <cell r="E7171">
            <v>24.48</v>
          </cell>
          <cell r="Z7171" t="str">
            <v>Legacy</v>
          </cell>
          <cell r="AA7171" t="str">
            <v>$1K or Below</v>
          </cell>
          <cell r="AB7171" t="str">
            <v>2010 or before</v>
          </cell>
        </row>
        <row r="7172">
          <cell r="E7172">
            <v>24.48</v>
          </cell>
          <cell r="Z7172" t="str">
            <v>Legacy</v>
          </cell>
          <cell r="AA7172" t="str">
            <v>$1K or Below</v>
          </cell>
          <cell r="AB7172" t="str">
            <v>2010 or before</v>
          </cell>
        </row>
        <row r="7173">
          <cell r="E7173">
            <v>24.48</v>
          </cell>
          <cell r="Z7173" t="str">
            <v>Legacy</v>
          </cell>
          <cell r="AA7173" t="str">
            <v>$1K or Below</v>
          </cell>
          <cell r="AB7173" t="str">
            <v>2010 or before</v>
          </cell>
        </row>
        <row r="7174">
          <cell r="E7174">
            <v>24.47</v>
          </cell>
          <cell r="Z7174" t="str">
            <v>Legacy</v>
          </cell>
          <cell r="AA7174" t="str">
            <v>$1K or Below</v>
          </cell>
          <cell r="AB7174" t="str">
            <v>2010 or before</v>
          </cell>
        </row>
        <row r="7175">
          <cell r="E7175">
            <v>24.47</v>
          </cell>
          <cell r="Z7175" t="str">
            <v>Legacy</v>
          </cell>
          <cell r="AA7175" t="str">
            <v>$1K or Below</v>
          </cell>
          <cell r="AB7175" t="str">
            <v>2010 or before</v>
          </cell>
        </row>
        <row r="7176">
          <cell r="E7176">
            <v>24.44</v>
          </cell>
          <cell r="Z7176" t="str">
            <v>Legacy</v>
          </cell>
          <cell r="AA7176" t="str">
            <v>$1K or Below</v>
          </cell>
          <cell r="AB7176" t="str">
            <v>2010 or before</v>
          </cell>
        </row>
        <row r="7177">
          <cell r="E7177">
            <v>24.43</v>
          </cell>
          <cell r="Z7177" t="str">
            <v>Legacy</v>
          </cell>
          <cell r="AA7177" t="str">
            <v>$1K or Below</v>
          </cell>
          <cell r="AB7177">
            <v>2012</v>
          </cell>
        </row>
        <row r="7178">
          <cell r="E7178">
            <v>24.4</v>
          </cell>
          <cell r="Z7178" t="str">
            <v>Legacy</v>
          </cell>
          <cell r="AA7178" t="str">
            <v>$1K or Below</v>
          </cell>
          <cell r="AB7178" t="str">
            <v>2010 or before</v>
          </cell>
        </row>
        <row r="7179">
          <cell r="E7179">
            <v>24.23</v>
          </cell>
          <cell r="Z7179" t="str">
            <v>Legacy</v>
          </cell>
          <cell r="AA7179" t="str">
            <v>$1K or Below</v>
          </cell>
          <cell r="AB7179" t="str">
            <v>2010 or before</v>
          </cell>
        </row>
        <row r="7180">
          <cell r="E7180">
            <v>24.18</v>
          </cell>
          <cell r="Z7180" t="str">
            <v>Legacy</v>
          </cell>
          <cell r="AA7180" t="str">
            <v>$1K or Below</v>
          </cell>
          <cell r="AB7180" t="str">
            <v>2010 or before</v>
          </cell>
        </row>
        <row r="7181">
          <cell r="E7181">
            <v>23.99</v>
          </cell>
          <cell r="Z7181" t="str">
            <v>Legacy</v>
          </cell>
          <cell r="AA7181" t="str">
            <v>$1K or Below</v>
          </cell>
          <cell r="AB7181" t="str">
            <v>2010 or before</v>
          </cell>
        </row>
        <row r="7182">
          <cell r="E7182">
            <v>23.99</v>
          </cell>
          <cell r="Z7182" t="str">
            <v>Legacy</v>
          </cell>
          <cell r="AA7182" t="str">
            <v>$1K or Below</v>
          </cell>
          <cell r="AB7182">
            <v>2012</v>
          </cell>
        </row>
        <row r="7183">
          <cell r="E7183">
            <v>23.99</v>
          </cell>
          <cell r="Z7183" t="str">
            <v>Legacy</v>
          </cell>
          <cell r="AA7183" t="str">
            <v>$1K or Below</v>
          </cell>
          <cell r="AB7183">
            <v>2011</v>
          </cell>
        </row>
        <row r="7184">
          <cell r="E7184">
            <v>23.99</v>
          </cell>
          <cell r="Z7184" t="str">
            <v>Legacy</v>
          </cell>
          <cell r="AA7184" t="str">
            <v>$1K or Below</v>
          </cell>
          <cell r="AB7184" t="str">
            <v>2010 or before</v>
          </cell>
        </row>
        <row r="7185">
          <cell r="E7185">
            <v>23.98</v>
          </cell>
          <cell r="Z7185" t="str">
            <v>Legacy</v>
          </cell>
          <cell r="AA7185" t="str">
            <v>$1K or Below</v>
          </cell>
          <cell r="AB7185" t="str">
            <v>2010 or before</v>
          </cell>
        </row>
        <row r="7186">
          <cell r="E7186">
            <v>23.98</v>
          </cell>
          <cell r="Z7186" t="str">
            <v>Legacy</v>
          </cell>
          <cell r="AA7186" t="str">
            <v>$1K or Below</v>
          </cell>
          <cell r="AB7186" t="str">
            <v>2010 or before</v>
          </cell>
        </row>
        <row r="7187">
          <cell r="E7187">
            <v>23.98</v>
          </cell>
          <cell r="Z7187" t="str">
            <v>Legacy</v>
          </cell>
          <cell r="AA7187" t="str">
            <v>$1K or Below</v>
          </cell>
          <cell r="AB7187" t="str">
            <v>2010 or before</v>
          </cell>
        </row>
        <row r="7188">
          <cell r="E7188">
            <v>23.95</v>
          </cell>
          <cell r="Z7188" t="str">
            <v>Legacy</v>
          </cell>
          <cell r="AA7188" t="str">
            <v>$1K or Below</v>
          </cell>
          <cell r="AB7188" t="str">
            <v>2010 or before</v>
          </cell>
        </row>
        <row r="7189">
          <cell r="E7189">
            <v>23.94</v>
          </cell>
          <cell r="Z7189" t="str">
            <v>Legacy</v>
          </cell>
          <cell r="AA7189" t="str">
            <v>$1K or Below</v>
          </cell>
          <cell r="AB7189" t="str">
            <v>2010 or before</v>
          </cell>
        </row>
        <row r="7190">
          <cell r="E7190">
            <v>23.94</v>
          </cell>
          <cell r="Z7190" t="str">
            <v>Legacy</v>
          </cell>
          <cell r="AA7190" t="str">
            <v>$1K or Below</v>
          </cell>
          <cell r="AB7190" t="str">
            <v>2010 or before</v>
          </cell>
        </row>
        <row r="7191">
          <cell r="E7191">
            <v>23.94</v>
          </cell>
          <cell r="Z7191" t="str">
            <v>Legacy</v>
          </cell>
          <cell r="AA7191" t="str">
            <v>$1K or Below</v>
          </cell>
          <cell r="AB7191" t="str">
            <v>2010 or before</v>
          </cell>
        </row>
        <row r="7192">
          <cell r="E7192">
            <v>23.94</v>
          </cell>
          <cell r="Z7192" t="str">
            <v>Legacy</v>
          </cell>
          <cell r="AA7192" t="str">
            <v>$1K or Below</v>
          </cell>
          <cell r="AB7192" t="str">
            <v>2010 or before</v>
          </cell>
        </row>
        <row r="7193">
          <cell r="E7193">
            <v>23.92</v>
          </cell>
          <cell r="Z7193" t="str">
            <v>Legacy</v>
          </cell>
          <cell r="AA7193" t="str">
            <v>$1K or Below</v>
          </cell>
          <cell r="AB7193" t="str">
            <v>2010 or before</v>
          </cell>
        </row>
        <row r="7194">
          <cell r="E7194">
            <v>23.92</v>
          </cell>
          <cell r="Z7194" t="str">
            <v>Legacy</v>
          </cell>
          <cell r="AA7194" t="str">
            <v>$1K or Below</v>
          </cell>
          <cell r="AB7194" t="str">
            <v>2010 or before</v>
          </cell>
        </row>
        <row r="7195">
          <cell r="E7195">
            <v>23.92</v>
          </cell>
          <cell r="Z7195" t="str">
            <v>Legacy</v>
          </cell>
          <cell r="AA7195" t="str">
            <v>$1K or Below</v>
          </cell>
          <cell r="AB7195" t="str">
            <v>2010 or before</v>
          </cell>
        </row>
        <row r="7196">
          <cell r="E7196">
            <v>23.9</v>
          </cell>
          <cell r="Z7196" t="str">
            <v>Legacy</v>
          </cell>
          <cell r="AA7196" t="str">
            <v>$1K or Below</v>
          </cell>
          <cell r="AB7196" t="str">
            <v>2010 or before</v>
          </cell>
        </row>
        <row r="7197">
          <cell r="E7197">
            <v>23.89</v>
          </cell>
          <cell r="Z7197" t="str">
            <v>Legacy</v>
          </cell>
          <cell r="AA7197" t="str">
            <v>$1K or Below</v>
          </cell>
          <cell r="AB7197" t="str">
            <v>2010 or before</v>
          </cell>
        </row>
        <row r="7198">
          <cell r="E7198">
            <v>23.89</v>
          </cell>
          <cell r="Z7198" t="str">
            <v>Legacy</v>
          </cell>
          <cell r="AA7198" t="str">
            <v>$1K or Below</v>
          </cell>
          <cell r="AB7198" t="str">
            <v>2010 or before</v>
          </cell>
        </row>
        <row r="7199">
          <cell r="E7199">
            <v>23.86</v>
          </cell>
          <cell r="Z7199" t="str">
            <v>Legacy</v>
          </cell>
          <cell r="AA7199" t="str">
            <v>$1K or Below</v>
          </cell>
          <cell r="AB7199">
            <v>2012</v>
          </cell>
        </row>
        <row r="7200">
          <cell r="E7200">
            <v>23.8</v>
          </cell>
          <cell r="Z7200" t="str">
            <v>Legacy</v>
          </cell>
          <cell r="AA7200" t="str">
            <v>$1K or Below</v>
          </cell>
          <cell r="AB7200" t="str">
            <v>2010 or before</v>
          </cell>
        </row>
        <row r="7201">
          <cell r="E7201">
            <v>23.76</v>
          </cell>
          <cell r="Z7201" t="str">
            <v>Legacy</v>
          </cell>
          <cell r="AA7201" t="str">
            <v>$1K or Below</v>
          </cell>
          <cell r="AB7201" t="str">
            <v>2010 or before</v>
          </cell>
        </row>
        <row r="7202">
          <cell r="E7202">
            <v>23.74</v>
          </cell>
          <cell r="Z7202" t="str">
            <v>Legacy</v>
          </cell>
          <cell r="AA7202" t="str">
            <v>$1K or Below</v>
          </cell>
          <cell r="AB7202" t="str">
            <v>2010 or before</v>
          </cell>
        </row>
        <row r="7203">
          <cell r="E7203">
            <v>23.69</v>
          </cell>
          <cell r="Z7203" t="str">
            <v>Ungating</v>
          </cell>
          <cell r="AA7203" t="str">
            <v>$1K or Below</v>
          </cell>
          <cell r="AB7203">
            <v>2012</v>
          </cell>
        </row>
        <row r="7204">
          <cell r="E7204">
            <v>23.69</v>
          </cell>
          <cell r="Z7204" t="str">
            <v>Legacy</v>
          </cell>
          <cell r="AA7204" t="str">
            <v>$1K or Below</v>
          </cell>
          <cell r="AB7204" t="str">
            <v>2010 or before</v>
          </cell>
        </row>
        <row r="7205">
          <cell r="E7205">
            <v>23.68</v>
          </cell>
          <cell r="Z7205" t="str">
            <v>Legacy</v>
          </cell>
          <cell r="AA7205" t="str">
            <v>$1K or Below</v>
          </cell>
          <cell r="AB7205">
            <v>2012</v>
          </cell>
        </row>
        <row r="7206">
          <cell r="E7206">
            <v>23.67</v>
          </cell>
          <cell r="Z7206" t="str">
            <v>Legacy</v>
          </cell>
          <cell r="AA7206" t="str">
            <v>$1K or Below</v>
          </cell>
          <cell r="AB7206" t="str">
            <v>2010 or before</v>
          </cell>
        </row>
        <row r="7207">
          <cell r="E7207">
            <v>23.66</v>
          </cell>
          <cell r="Z7207" t="str">
            <v>Legacy</v>
          </cell>
          <cell r="AA7207" t="str">
            <v>$1K or Below</v>
          </cell>
          <cell r="AB7207" t="str">
            <v>2010 or before</v>
          </cell>
        </row>
        <row r="7208">
          <cell r="E7208">
            <v>23.66</v>
          </cell>
          <cell r="Z7208" t="str">
            <v>Legacy</v>
          </cell>
          <cell r="AA7208" t="str">
            <v>$1K or Below</v>
          </cell>
          <cell r="AB7208" t="str">
            <v>2010 or before</v>
          </cell>
        </row>
        <row r="7209">
          <cell r="E7209">
            <v>23.49</v>
          </cell>
          <cell r="Z7209" t="str">
            <v>Legacy</v>
          </cell>
          <cell r="AA7209" t="str">
            <v>$1K or Below</v>
          </cell>
          <cell r="AB7209" t="str">
            <v>2010 or before</v>
          </cell>
        </row>
        <row r="7210">
          <cell r="E7210">
            <v>23.49</v>
          </cell>
          <cell r="Z7210" t="str">
            <v>Legacy</v>
          </cell>
          <cell r="AA7210" t="str">
            <v>$1K or Below</v>
          </cell>
          <cell r="AB7210" t="str">
            <v>2010 or before</v>
          </cell>
        </row>
        <row r="7211">
          <cell r="E7211">
            <v>23.49</v>
          </cell>
          <cell r="Z7211" t="str">
            <v>Legacy</v>
          </cell>
          <cell r="AA7211" t="str">
            <v>$1K or Below</v>
          </cell>
          <cell r="AB7211" t="str">
            <v>2010 or before</v>
          </cell>
        </row>
        <row r="7212">
          <cell r="E7212">
            <v>23.48</v>
          </cell>
          <cell r="Z7212" t="str">
            <v>Legacy</v>
          </cell>
          <cell r="AA7212" t="str">
            <v>$1K or Below</v>
          </cell>
          <cell r="AB7212" t="str">
            <v>2010 or before</v>
          </cell>
        </row>
        <row r="7213">
          <cell r="E7213">
            <v>23.48</v>
          </cell>
          <cell r="Z7213" t="str">
            <v>Legacy</v>
          </cell>
          <cell r="AA7213" t="str">
            <v>$1K or Below</v>
          </cell>
          <cell r="AB7213" t="str">
            <v>2010 or before</v>
          </cell>
        </row>
        <row r="7214">
          <cell r="E7214">
            <v>23.46</v>
          </cell>
          <cell r="Z7214" t="str">
            <v>Legacy</v>
          </cell>
          <cell r="AA7214" t="str">
            <v>$1K or Below</v>
          </cell>
          <cell r="AB7214" t="str">
            <v>2010 or before</v>
          </cell>
        </row>
        <row r="7215">
          <cell r="E7215">
            <v>23.36</v>
          </cell>
          <cell r="Z7215" t="str">
            <v>Legacy</v>
          </cell>
          <cell r="AA7215" t="str">
            <v>$1K or Below</v>
          </cell>
          <cell r="AB7215" t="str">
            <v>2010 or before</v>
          </cell>
        </row>
        <row r="7216">
          <cell r="E7216">
            <v>23.34</v>
          </cell>
          <cell r="Z7216" t="str">
            <v>Legacy</v>
          </cell>
          <cell r="AA7216" t="str">
            <v>$1K or Below</v>
          </cell>
          <cell r="AB7216">
            <v>2011</v>
          </cell>
        </row>
        <row r="7217">
          <cell r="E7217">
            <v>23.31</v>
          </cell>
          <cell r="Z7217" t="str">
            <v>Legacy</v>
          </cell>
          <cell r="AA7217" t="str">
            <v>$1K or Below</v>
          </cell>
          <cell r="AB7217" t="str">
            <v>2010 or before</v>
          </cell>
        </row>
        <row r="7218">
          <cell r="E7218">
            <v>23.29</v>
          </cell>
          <cell r="Z7218" t="str">
            <v>Legacy</v>
          </cell>
          <cell r="AA7218" t="str">
            <v>$1K or Below</v>
          </cell>
          <cell r="AB7218" t="str">
            <v>2010 or before</v>
          </cell>
        </row>
        <row r="7219">
          <cell r="E7219">
            <v>23.21</v>
          </cell>
          <cell r="Z7219" t="str">
            <v>Legacy</v>
          </cell>
          <cell r="AA7219" t="str">
            <v>$1K or Below</v>
          </cell>
          <cell r="AB7219" t="str">
            <v>2010 or before</v>
          </cell>
        </row>
        <row r="7220">
          <cell r="E7220">
            <v>23.09</v>
          </cell>
          <cell r="Z7220" t="str">
            <v>Legacy</v>
          </cell>
          <cell r="AA7220" t="str">
            <v>$1K or Below</v>
          </cell>
          <cell r="AB7220" t="str">
            <v>2010 or before</v>
          </cell>
        </row>
        <row r="7221">
          <cell r="E7221">
            <v>23.03</v>
          </cell>
          <cell r="Z7221" t="str">
            <v>Legacy</v>
          </cell>
          <cell r="AA7221" t="str">
            <v>$1K or Below</v>
          </cell>
          <cell r="AB7221" t="str">
            <v>2010 or before</v>
          </cell>
        </row>
        <row r="7222">
          <cell r="E7222">
            <v>22.99</v>
          </cell>
          <cell r="Z7222" t="str">
            <v>Legacy</v>
          </cell>
          <cell r="AA7222" t="str">
            <v>$1K or Below</v>
          </cell>
          <cell r="AB7222">
            <v>2012</v>
          </cell>
        </row>
        <row r="7223">
          <cell r="E7223">
            <v>22.99</v>
          </cell>
          <cell r="Z7223" t="str">
            <v>Legacy</v>
          </cell>
          <cell r="AA7223" t="str">
            <v>$1K or Below</v>
          </cell>
          <cell r="AB7223" t="str">
            <v>2010 or before</v>
          </cell>
        </row>
        <row r="7224">
          <cell r="E7224">
            <v>22.99</v>
          </cell>
          <cell r="Z7224" t="str">
            <v>Legacy</v>
          </cell>
          <cell r="AA7224" t="str">
            <v>$1K or Below</v>
          </cell>
          <cell r="AB7224" t="str">
            <v>2010 or before</v>
          </cell>
        </row>
        <row r="7225">
          <cell r="E7225">
            <v>22.99</v>
          </cell>
          <cell r="Z7225" t="str">
            <v>Legacy</v>
          </cell>
          <cell r="AA7225" t="str">
            <v>$1K or Below</v>
          </cell>
          <cell r="AB7225" t="str">
            <v>2010 or before</v>
          </cell>
        </row>
        <row r="7226">
          <cell r="E7226">
            <v>22.99</v>
          </cell>
          <cell r="Z7226" t="str">
            <v>Legacy</v>
          </cell>
          <cell r="AA7226" t="str">
            <v>$1K or Below</v>
          </cell>
          <cell r="AB7226" t="str">
            <v>2010 or before</v>
          </cell>
        </row>
        <row r="7227">
          <cell r="E7227">
            <v>22.99</v>
          </cell>
          <cell r="Z7227" t="str">
            <v>Legacy</v>
          </cell>
          <cell r="AA7227" t="str">
            <v>$1K or Below</v>
          </cell>
          <cell r="AB7227" t="str">
            <v>2010 or before</v>
          </cell>
        </row>
        <row r="7228">
          <cell r="E7228">
            <v>22.99</v>
          </cell>
          <cell r="Z7228" t="str">
            <v>Legacy</v>
          </cell>
          <cell r="AA7228" t="str">
            <v>$1K or Below</v>
          </cell>
          <cell r="AB7228" t="str">
            <v>2010 or before</v>
          </cell>
        </row>
        <row r="7229">
          <cell r="E7229">
            <v>22.99</v>
          </cell>
          <cell r="Z7229" t="str">
            <v>Legacy</v>
          </cell>
          <cell r="AA7229" t="str">
            <v>$1K or Below</v>
          </cell>
          <cell r="AB7229" t="str">
            <v>2010 or before</v>
          </cell>
        </row>
        <row r="7230">
          <cell r="E7230">
            <v>22.99</v>
          </cell>
          <cell r="Z7230" t="str">
            <v>Legacy</v>
          </cell>
          <cell r="AA7230" t="str">
            <v>$1K or Below</v>
          </cell>
          <cell r="AB7230" t="str">
            <v>2010 or before</v>
          </cell>
        </row>
        <row r="7231">
          <cell r="E7231">
            <v>22.98</v>
          </cell>
          <cell r="Z7231" t="str">
            <v>Inbound</v>
          </cell>
          <cell r="AA7231" t="str">
            <v>$1K or Below</v>
          </cell>
          <cell r="AB7231">
            <v>2012</v>
          </cell>
        </row>
        <row r="7232">
          <cell r="E7232">
            <v>22.98</v>
          </cell>
          <cell r="Z7232" t="str">
            <v>Legacy</v>
          </cell>
          <cell r="AA7232" t="str">
            <v>$1K or Below</v>
          </cell>
          <cell r="AB7232" t="str">
            <v>2010 or before</v>
          </cell>
        </row>
        <row r="7233">
          <cell r="E7233">
            <v>22.98</v>
          </cell>
          <cell r="Z7233" t="str">
            <v>Legacy</v>
          </cell>
          <cell r="AA7233" t="str">
            <v>$1K or Below</v>
          </cell>
          <cell r="AB7233" t="str">
            <v>2010 or before</v>
          </cell>
        </row>
        <row r="7234">
          <cell r="E7234">
            <v>22.98</v>
          </cell>
          <cell r="Z7234" t="str">
            <v>Legacy</v>
          </cell>
          <cell r="AA7234" t="str">
            <v>$1K or Below</v>
          </cell>
          <cell r="AB7234">
            <v>2012</v>
          </cell>
        </row>
        <row r="7235">
          <cell r="E7235">
            <v>22.98</v>
          </cell>
          <cell r="Z7235" t="str">
            <v>Legacy</v>
          </cell>
          <cell r="AA7235" t="str">
            <v>$1K or Below</v>
          </cell>
          <cell r="AB7235" t="str">
            <v>2010 or before</v>
          </cell>
        </row>
        <row r="7236">
          <cell r="E7236">
            <v>22.94</v>
          </cell>
          <cell r="Z7236" t="str">
            <v>Legacy</v>
          </cell>
          <cell r="AA7236" t="str">
            <v>$1K or Below</v>
          </cell>
          <cell r="AB7236" t="str">
            <v>2010 or before</v>
          </cell>
        </row>
        <row r="7237">
          <cell r="E7237">
            <v>22.94</v>
          </cell>
          <cell r="Z7237" t="str">
            <v>Legacy</v>
          </cell>
          <cell r="AA7237" t="str">
            <v>$1K or Below</v>
          </cell>
          <cell r="AB7237" t="str">
            <v>2010 or before</v>
          </cell>
        </row>
        <row r="7238">
          <cell r="E7238">
            <v>22.92</v>
          </cell>
          <cell r="Z7238" t="str">
            <v>Legacy</v>
          </cell>
          <cell r="AA7238" t="str">
            <v>$1K or Below</v>
          </cell>
          <cell r="AB7238" t="str">
            <v>2010 or before</v>
          </cell>
        </row>
        <row r="7239">
          <cell r="E7239">
            <v>22.9</v>
          </cell>
          <cell r="Z7239" t="str">
            <v>Legacy</v>
          </cell>
          <cell r="AA7239" t="str">
            <v>$1K or Below</v>
          </cell>
          <cell r="AB7239" t="str">
            <v>2010 or before</v>
          </cell>
        </row>
        <row r="7240">
          <cell r="E7240">
            <v>22.76</v>
          </cell>
          <cell r="Z7240" t="str">
            <v>Legacy</v>
          </cell>
          <cell r="AA7240" t="str">
            <v>$1K or Below</v>
          </cell>
          <cell r="AB7240" t="str">
            <v>2010 or before</v>
          </cell>
        </row>
        <row r="7241">
          <cell r="E7241">
            <v>22.74</v>
          </cell>
          <cell r="Z7241" t="str">
            <v>Legacy</v>
          </cell>
          <cell r="AA7241" t="str">
            <v>$1K or Below</v>
          </cell>
          <cell r="AB7241" t="str">
            <v>2010 or before</v>
          </cell>
        </row>
        <row r="7242">
          <cell r="E7242">
            <v>22.74</v>
          </cell>
          <cell r="Z7242" t="str">
            <v>Legacy</v>
          </cell>
          <cell r="AA7242" t="str">
            <v>$1K or Below</v>
          </cell>
          <cell r="AB7242">
            <v>2012</v>
          </cell>
        </row>
        <row r="7243">
          <cell r="E7243">
            <v>22.73</v>
          </cell>
          <cell r="Z7243" t="str">
            <v>Legacy</v>
          </cell>
          <cell r="AA7243" t="str">
            <v>$1K or Below</v>
          </cell>
          <cell r="AB7243" t="str">
            <v>2010 or before</v>
          </cell>
        </row>
        <row r="7244">
          <cell r="E7244">
            <v>22.68</v>
          </cell>
          <cell r="Z7244" t="str">
            <v>Legacy</v>
          </cell>
          <cell r="AA7244" t="str">
            <v>$1K or Below</v>
          </cell>
          <cell r="AB7244" t="str">
            <v>2010 or before</v>
          </cell>
        </row>
        <row r="7245">
          <cell r="E7245">
            <v>22.68</v>
          </cell>
          <cell r="Z7245" t="str">
            <v>Legacy</v>
          </cell>
          <cell r="AA7245" t="str">
            <v>$1K or Below</v>
          </cell>
          <cell r="AB7245" t="str">
            <v>2010 or before</v>
          </cell>
        </row>
        <row r="7246">
          <cell r="E7246">
            <v>22.66</v>
          </cell>
          <cell r="Z7246" t="str">
            <v>Legacy</v>
          </cell>
          <cell r="AA7246" t="str">
            <v>$1K or Below</v>
          </cell>
          <cell r="AB7246" t="str">
            <v>2010 or before</v>
          </cell>
        </row>
        <row r="7247">
          <cell r="E7247">
            <v>22.5</v>
          </cell>
          <cell r="Z7247" t="str">
            <v>Legacy</v>
          </cell>
          <cell r="AA7247" t="str">
            <v>$1K or Below</v>
          </cell>
          <cell r="AB7247" t="str">
            <v>2010 or before</v>
          </cell>
        </row>
        <row r="7248">
          <cell r="E7248">
            <v>22.5</v>
          </cell>
          <cell r="Z7248" t="str">
            <v>Legacy</v>
          </cell>
          <cell r="AA7248" t="str">
            <v>$1K or Below</v>
          </cell>
          <cell r="AB7248">
            <v>2012</v>
          </cell>
        </row>
        <row r="7249">
          <cell r="E7249">
            <v>22.49</v>
          </cell>
          <cell r="Z7249" t="str">
            <v>Legacy</v>
          </cell>
          <cell r="AA7249" t="str">
            <v>$1K or Below</v>
          </cell>
          <cell r="AB7249" t="str">
            <v>2010 or before</v>
          </cell>
        </row>
        <row r="7250">
          <cell r="E7250">
            <v>22.49</v>
          </cell>
          <cell r="Z7250" t="str">
            <v>Legacy</v>
          </cell>
          <cell r="AA7250" t="str">
            <v>$1K or Below</v>
          </cell>
          <cell r="AB7250" t="str">
            <v>2010 or before</v>
          </cell>
        </row>
        <row r="7251">
          <cell r="E7251">
            <v>22.47</v>
          </cell>
          <cell r="Z7251" t="str">
            <v>Legacy</v>
          </cell>
          <cell r="AA7251" t="str">
            <v>$1K or Below</v>
          </cell>
          <cell r="AB7251" t="str">
            <v>2010 or before</v>
          </cell>
        </row>
        <row r="7252">
          <cell r="E7252">
            <v>22.47</v>
          </cell>
          <cell r="Z7252" t="str">
            <v>Legacy</v>
          </cell>
          <cell r="AA7252" t="str">
            <v>$1K or Below</v>
          </cell>
          <cell r="AB7252" t="str">
            <v>2010 or before</v>
          </cell>
        </row>
        <row r="7253">
          <cell r="E7253">
            <v>22.46</v>
          </cell>
          <cell r="Z7253" t="str">
            <v>Legacy</v>
          </cell>
          <cell r="AA7253" t="str">
            <v>$1K or Below</v>
          </cell>
          <cell r="AB7253" t="str">
            <v>2010 or before</v>
          </cell>
        </row>
        <row r="7254">
          <cell r="E7254">
            <v>22.43</v>
          </cell>
          <cell r="Z7254" t="str">
            <v>Legacy</v>
          </cell>
          <cell r="AA7254" t="str">
            <v>$1K or Below</v>
          </cell>
          <cell r="AB7254" t="str">
            <v>2010 or before</v>
          </cell>
        </row>
        <row r="7255">
          <cell r="E7255">
            <v>22.4</v>
          </cell>
          <cell r="Z7255" t="str">
            <v>Legacy</v>
          </cell>
          <cell r="AA7255" t="str">
            <v>$1K or Below</v>
          </cell>
          <cell r="AB7255" t="str">
            <v>2010 or before</v>
          </cell>
        </row>
        <row r="7256">
          <cell r="E7256">
            <v>22.37</v>
          </cell>
          <cell r="Z7256" t="str">
            <v>Legacy</v>
          </cell>
          <cell r="AA7256" t="str">
            <v>$1K or Below</v>
          </cell>
          <cell r="AB7256" t="str">
            <v>2010 or before</v>
          </cell>
        </row>
        <row r="7257">
          <cell r="E7257">
            <v>22.34</v>
          </cell>
          <cell r="Z7257" t="str">
            <v>Legacy</v>
          </cell>
          <cell r="AA7257" t="str">
            <v>$1K or Below</v>
          </cell>
          <cell r="AB7257" t="str">
            <v>2010 or before</v>
          </cell>
        </row>
        <row r="7258">
          <cell r="E7258">
            <v>22.3</v>
          </cell>
          <cell r="Z7258" t="str">
            <v>Legacy</v>
          </cell>
          <cell r="AA7258" t="str">
            <v>$1K or Below</v>
          </cell>
          <cell r="AB7258">
            <v>2012</v>
          </cell>
        </row>
        <row r="7259">
          <cell r="E7259">
            <v>22.28</v>
          </cell>
          <cell r="Z7259" t="str">
            <v>Legacy</v>
          </cell>
          <cell r="AA7259" t="str">
            <v>$1K or Below</v>
          </cell>
          <cell r="AB7259" t="str">
            <v>2010 or before</v>
          </cell>
        </row>
        <row r="7260">
          <cell r="E7260">
            <v>22.26</v>
          </cell>
          <cell r="Z7260" t="str">
            <v>Legacy</v>
          </cell>
          <cell r="AA7260" t="str">
            <v>$1K or Below</v>
          </cell>
          <cell r="AB7260" t="str">
            <v>2010 or before</v>
          </cell>
        </row>
        <row r="7261">
          <cell r="E7261">
            <v>22.19</v>
          </cell>
          <cell r="Z7261" t="str">
            <v>Legacy</v>
          </cell>
          <cell r="AA7261" t="str">
            <v>$1K or Below</v>
          </cell>
          <cell r="AB7261" t="str">
            <v>2010 or before</v>
          </cell>
        </row>
        <row r="7262">
          <cell r="E7262">
            <v>22.14</v>
          </cell>
          <cell r="Z7262" t="str">
            <v>Legacy</v>
          </cell>
          <cell r="AA7262" t="str">
            <v>$1K or Below</v>
          </cell>
          <cell r="AB7262" t="str">
            <v>2010 or before</v>
          </cell>
        </row>
        <row r="7263">
          <cell r="E7263">
            <v>22</v>
          </cell>
          <cell r="Z7263" t="str">
            <v>Legacy</v>
          </cell>
          <cell r="AA7263" t="str">
            <v>$1K or Below</v>
          </cell>
          <cell r="AB7263" t="str">
            <v>2010 or before</v>
          </cell>
        </row>
        <row r="7264">
          <cell r="E7264">
            <v>22</v>
          </cell>
          <cell r="Z7264" t="str">
            <v>Legacy</v>
          </cell>
          <cell r="AA7264" t="str">
            <v>$1K or Below</v>
          </cell>
          <cell r="AB7264" t="str">
            <v>2010 or before</v>
          </cell>
        </row>
        <row r="7265">
          <cell r="E7265">
            <v>21.99</v>
          </cell>
          <cell r="Z7265" t="str">
            <v>Legacy</v>
          </cell>
          <cell r="AA7265" t="str">
            <v>$1K or Below</v>
          </cell>
          <cell r="AB7265" t="str">
            <v>2010 or before</v>
          </cell>
        </row>
        <row r="7266">
          <cell r="E7266">
            <v>21.98</v>
          </cell>
          <cell r="Z7266" t="str">
            <v>Legacy</v>
          </cell>
          <cell r="AA7266" t="str">
            <v>$1K or Below</v>
          </cell>
          <cell r="AB7266" t="str">
            <v>2010 or before</v>
          </cell>
        </row>
        <row r="7267">
          <cell r="E7267">
            <v>21.98</v>
          </cell>
          <cell r="Z7267" t="str">
            <v>Legacy</v>
          </cell>
          <cell r="AA7267" t="str">
            <v>$1K or Below</v>
          </cell>
          <cell r="AB7267" t="str">
            <v>2010 or before</v>
          </cell>
        </row>
        <row r="7268">
          <cell r="E7268">
            <v>21.97</v>
          </cell>
          <cell r="Z7268" t="str">
            <v>Legacy</v>
          </cell>
          <cell r="AA7268" t="str">
            <v>$1K or Below</v>
          </cell>
          <cell r="AB7268" t="str">
            <v>2010 or before</v>
          </cell>
        </row>
        <row r="7269">
          <cell r="E7269">
            <v>21.97</v>
          </cell>
          <cell r="Z7269" t="str">
            <v>Legacy</v>
          </cell>
          <cell r="AA7269" t="str">
            <v>$1K or Below</v>
          </cell>
          <cell r="AB7269" t="str">
            <v>2010 or before</v>
          </cell>
        </row>
        <row r="7270">
          <cell r="E7270">
            <v>21.97</v>
          </cell>
          <cell r="Z7270" t="str">
            <v>Legacy</v>
          </cell>
          <cell r="AA7270" t="str">
            <v>$1K or Below</v>
          </cell>
          <cell r="AB7270" t="str">
            <v>2010 or before</v>
          </cell>
        </row>
        <row r="7271">
          <cell r="E7271">
            <v>21.97</v>
          </cell>
          <cell r="Z7271" t="str">
            <v>Legacy</v>
          </cell>
          <cell r="AA7271" t="str">
            <v>$1K or Below</v>
          </cell>
          <cell r="AB7271" t="str">
            <v>2010 or before</v>
          </cell>
        </row>
        <row r="7272">
          <cell r="E7272">
            <v>21.96</v>
          </cell>
          <cell r="Z7272" t="str">
            <v>Legacy</v>
          </cell>
          <cell r="AA7272" t="str">
            <v>$1K or Below</v>
          </cell>
          <cell r="AB7272" t="str">
            <v>2010 or before</v>
          </cell>
        </row>
        <row r="7273">
          <cell r="E7273">
            <v>21.96</v>
          </cell>
          <cell r="Z7273" t="str">
            <v>Legacy</v>
          </cell>
          <cell r="AA7273" t="str">
            <v>$1K or Below</v>
          </cell>
          <cell r="AB7273" t="str">
            <v>2010 or before</v>
          </cell>
        </row>
        <row r="7274">
          <cell r="E7274">
            <v>21.95</v>
          </cell>
          <cell r="Z7274" t="str">
            <v>Legacy</v>
          </cell>
          <cell r="AA7274" t="str">
            <v>$1K or Below</v>
          </cell>
          <cell r="AB7274">
            <v>2011</v>
          </cell>
        </row>
        <row r="7275">
          <cell r="E7275">
            <v>21.9</v>
          </cell>
          <cell r="Z7275" t="str">
            <v>Legacy</v>
          </cell>
          <cell r="AA7275" t="str">
            <v>$1K or Below</v>
          </cell>
          <cell r="AB7275" t="str">
            <v>2010 or before</v>
          </cell>
        </row>
        <row r="7276">
          <cell r="E7276">
            <v>21.89</v>
          </cell>
          <cell r="Z7276" t="str">
            <v>Legacy</v>
          </cell>
          <cell r="AA7276" t="str">
            <v>$1K or Below</v>
          </cell>
          <cell r="AB7276" t="str">
            <v>2010 or before</v>
          </cell>
        </row>
        <row r="7277">
          <cell r="E7277">
            <v>21.89</v>
          </cell>
          <cell r="Z7277" t="str">
            <v>Legacy</v>
          </cell>
          <cell r="AA7277" t="str">
            <v>$1K or Below</v>
          </cell>
          <cell r="AB7277" t="str">
            <v>2010 or before</v>
          </cell>
        </row>
        <row r="7278">
          <cell r="E7278">
            <v>21.8</v>
          </cell>
          <cell r="Z7278" t="str">
            <v>Legacy</v>
          </cell>
          <cell r="AA7278" t="str">
            <v>$1K or Below</v>
          </cell>
          <cell r="AB7278">
            <v>2011</v>
          </cell>
        </row>
        <row r="7279">
          <cell r="E7279">
            <v>21.75</v>
          </cell>
          <cell r="Z7279" t="str">
            <v>Legacy</v>
          </cell>
          <cell r="AA7279" t="str">
            <v>$1K or Below</v>
          </cell>
          <cell r="AB7279" t="str">
            <v>2010 or before</v>
          </cell>
        </row>
        <row r="7280">
          <cell r="E7280">
            <v>21.72</v>
          </cell>
          <cell r="Z7280" t="str">
            <v>Legacy</v>
          </cell>
          <cell r="AA7280" t="str">
            <v>$1K or Below</v>
          </cell>
          <cell r="AB7280" t="str">
            <v>2010 or before</v>
          </cell>
        </row>
        <row r="7281">
          <cell r="E7281">
            <v>21.5</v>
          </cell>
          <cell r="Z7281" t="str">
            <v>Legacy</v>
          </cell>
          <cell r="AA7281" t="str">
            <v>$1K or Below</v>
          </cell>
          <cell r="AB7281" t="str">
            <v>2010 or before</v>
          </cell>
        </row>
        <row r="7282">
          <cell r="E7282">
            <v>21.49</v>
          </cell>
          <cell r="Z7282" t="str">
            <v>Legacy</v>
          </cell>
          <cell r="AA7282" t="str">
            <v>$1K or Below</v>
          </cell>
          <cell r="AB7282" t="str">
            <v>2010 or before</v>
          </cell>
        </row>
        <row r="7283">
          <cell r="E7283">
            <v>21.49</v>
          </cell>
          <cell r="Z7283" t="str">
            <v>Legacy</v>
          </cell>
          <cell r="AA7283" t="str">
            <v>$1K or Below</v>
          </cell>
          <cell r="AB7283" t="str">
            <v>2010 or before</v>
          </cell>
        </row>
        <row r="7284">
          <cell r="E7284">
            <v>21.49</v>
          </cell>
          <cell r="Z7284" t="str">
            <v>Legacy</v>
          </cell>
          <cell r="AA7284" t="str">
            <v>$1K or Below</v>
          </cell>
          <cell r="AB7284" t="str">
            <v>2010 or before</v>
          </cell>
        </row>
        <row r="7285">
          <cell r="E7285">
            <v>21.38</v>
          </cell>
          <cell r="Z7285" t="str">
            <v>Legacy</v>
          </cell>
          <cell r="AA7285" t="str">
            <v>$1K or Below</v>
          </cell>
          <cell r="AB7285" t="str">
            <v>2010 or before</v>
          </cell>
        </row>
        <row r="7286">
          <cell r="E7286">
            <v>21.34</v>
          </cell>
          <cell r="Z7286" t="str">
            <v>Legacy</v>
          </cell>
          <cell r="AA7286" t="str">
            <v>$1K or Below</v>
          </cell>
          <cell r="AB7286">
            <v>2012</v>
          </cell>
        </row>
        <row r="7287">
          <cell r="E7287">
            <v>21.25</v>
          </cell>
          <cell r="Z7287" t="str">
            <v>Legacy</v>
          </cell>
          <cell r="AA7287" t="str">
            <v>$1K or Below</v>
          </cell>
          <cell r="AB7287">
            <v>2011</v>
          </cell>
        </row>
        <row r="7288">
          <cell r="E7288">
            <v>21.14</v>
          </cell>
          <cell r="Z7288" t="str">
            <v>Legacy</v>
          </cell>
          <cell r="AA7288" t="str">
            <v>$1K or Below</v>
          </cell>
          <cell r="AB7288" t="str">
            <v>2010 or before</v>
          </cell>
        </row>
        <row r="7289">
          <cell r="E7289">
            <v>21.03</v>
          </cell>
          <cell r="Z7289" t="str">
            <v>Legacy</v>
          </cell>
          <cell r="AA7289" t="str">
            <v>$1K or Below</v>
          </cell>
          <cell r="AB7289">
            <v>2011</v>
          </cell>
        </row>
        <row r="7290">
          <cell r="E7290">
            <v>21</v>
          </cell>
          <cell r="Z7290" t="str">
            <v>Legacy</v>
          </cell>
          <cell r="AA7290" t="str">
            <v>$1K or Below</v>
          </cell>
          <cell r="AB7290" t="str">
            <v>2010 or before</v>
          </cell>
        </row>
        <row r="7291">
          <cell r="E7291">
            <v>20.99</v>
          </cell>
          <cell r="Z7291" t="str">
            <v>Legacy</v>
          </cell>
          <cell r="AA7291" t="str">
            <v>$1K or Below</v>
          </cell>
          <cell r="AB7291" t="str">
            <v>2010 or before</v>
          </cell>
        </row>
        <row r="7292">
          <cell r="E7292">
            <v>20.99</v>
          </cell>
          <cell r="Z7292" t="str">
            <v>Legacy</v>
          </cell>
          <cell r="AA7292" t="str">
            <v>$1K or Below</v>
          </cell>
          <cell r="AB7292" t="str">
            <v>2010 or before</v>
          </cell>
        </row>
        <row r="7293">
          <cell r="E7293">
            <v>20.99</v>
          </cell>
          <cell r="Z7293" t="str">
            <v>Legacy</v>
          </cell>
          <cell r="AA7293" t="str">
            <v>$1K or Below</v>
          </cell>
          <cell r="AB7293" t="str">
            <v>2010 or before</v>
          </cell>
        </row>
        <row r="7294">
          <cell r="E7294">
            <v>20.99</v>
          </cell>
          <cell r="Z7294" t="str">
            <v>Legacy</v>
          </cell>
          <cell r="AA7294" t="str">
            <v>$1K or Below</v>
          </cell>
          <cell r="AB7294" t="str">
            <v>2010 or before</v>
          </cell>
        </row>
        <row r="7295">
          <cell r="E7295">
            <v>20.99</v>
          </cell>
          <cell r="Z7295" t="str">
            <v>Legacy</v>
          </cell>
          <cell r="AA7295" t="str">
            <v>$1K or Below</v>
          </cell>
          <cell r="AB7295" t="str">
            <v>2010 or before</v>
          </cell>
        </row>
        <row r="7296">
          <cell r="E7296">
            <v>20.99</v>
          </cell>
          <cell r="Z7296" t="str">
            <v>Legacy</v>
          </cell>
          <cell r="AA7296" t="str">
            <v>$1K or Below</v>
          </cell>
          <cell r="AB7296" t="str">
            <v>2010 or before</v>
          </cell>
        </row>
        <row r="7297">
          <cell r="E7297">
            <v>20.98</v>
          </cell>
          <cell r="Z7297" t="str">
            <v>Legacy</v>
          </cell>
          <cell r="AA7297" t="str">
            <v>$1K or Below</v>
          </cell>
          <cell r="AB7297" t="str">
            <v>2010 or before</v>
          </cell>
        </row>
        <row r="7298">
          <cell r="E7298">
            <v>20.98</v>
          </cell>
          <cell r="Z7298" t="str">
            <v>Legacy</v>
          </cell>
          <cell r="AA7298" t="str">
            <v>$1K or Below</v>
          </cell>
          <cell r="AB7298" t="str">
            <v>2010 or before</v>
          </cell>
        </row>
        <row r="7299">
          <cell r="E7299">
            <v>20.98</v>
          </cell>
          <cell r="Z7299" t="str">
            <v>Legacy</v>
          </cell>
          <cell r="AA7299" t="str">
            <v>$1K or Below</v>
          </cell>
          <cell r="AB7299" t="str">
            <v>2010 or before</v>
          </cell>
        </row>
        <row r="7300">
          <cell r="E7300">
            <v>20.98</v>
          </cell>
          <cell r="Z7300" t="str">
            <v>Legacy</v>
          </cell>
          <cell r="AA7300" t="str">
            <v>$1K or Below</v>
          </cell>
          <cell r="AB7300" t="str">
            <v>2010 or before</v>
          </cell>
        </row>
        <row r="7301">
          <cell r="E7301">
            <v>20.97</v>
          </cell>
          <cell r="Z7301" t="str">
            <v>Legacy</v>
          </cell>
          <cell r="AA7301" t="str">
            <v>$1K or Below</v>
          </cell>
          <cell r="AB7301" t="str">
            <v>2010 or before</v>
          </cell>
        </row>
        <row r="7302">
          <cell r="E7302">
            <v>20.97</v>
          </cell>
          <cell r="Z7302" t="str">
            <v>Legacy</v>
          </cell>
          <cell r="AA7302" t="str">
            <v>$1K or Below</v>
          </cell>
          <cell r="AB7302" t="str">
            <v>2010 or before</v>
          </cell>
        </row>
        <row r="7303">
          <cell r="E7303">
            <v>20.96</v>
          </cell>
          <cell r="Z7303" t="str">
            <v>Legacy</v>
          </cell>
          <cell r="AA7303" t="str">
            <v>$1K or Below</v>
          </cell>
          <cell r="AB7303" t="str">
            <v>2010 or before</v>
          </cell>
        </row>
        <row r="7304">
          <cell r="E7304">
            <v>20.94</v>
          </cell>
          <cell r="Z7304" t="str">
            <v>Legacy</v>
          </cell>
          <cell r="AA7304" t="str">
            <v>$1K or Below</v>
          </cell>
          <cell r="AB7304" t="str">
            <v>2010 or before</v>
          </cell>
        </row>
        <row r="7305">
          <cell r="E7305">
            <v>20.94</v>
          </cell>
          <cell r="Z7305" t="str">
            <v>Legacy</v>
          </cell>
          <cell r="AA7305" t="str">
            <v>$1K or Below</v>
          </cell>
          <cell r="AB7305" t="str">
            <v>2010 or before</v>
          </cell>
        </row>
        <row r="7306">
          <cell r="E7306">
            <v>20.94</v>
          </cell>
          <cell r="Z7306" t="str">
            <v>Legacy</v>
          </cell>
          <cell r="AA7306" t="str">
            <v>$1K or Below</v>
          </cell>
          <cell r="AB7306" t="str">
            <v>2010 or before</v>
          </cell>
        </row>
        <row r="7307">
          <cell r="E7307">
            <v>20.94</v>
          </cell>
          <cell r="Z7307" t="str">
            <v>Legacy</v>
          </cell>
          <cell r="AA7307" t="str">
            <v>$1K or Below</v>
          </cell>
          <cell r="AB7307" t="str">
            <v>2010 or before</v>
          </cell>
        </row>
        <row r="7308">
          <cell r="E7308">
            <v>20.87</v>
          </cell>
          <cell r="Z7308" t="str">
            <v>Legacy</v>
          </cell>
          <cell r="AA7308" t="str">
            <v>$1K or Below</v>
          </cell>
          <cell r="AB7308" t="str">
            <v>2010 or before</v>
          </cell>
        </row>
        <row r="7309">
          <cell r="E7309">
            <v>20.7</v>
          </cell>
          <cell r="Z7309" t="str">
            <v>Legacy</v>
          </cell>
          <cell r="AA7309" t="str">
            <v>$1K or Below</v>
          </cell>
          <cell r="AB7309" t="str">
            <v>2010 or before</v>
          </cell>
        </row>
        <row r="7310">
          <cell r="E7310">
            <v>20.57</v>
          </cell>
          <cell r="Z7310" t="str">
            <v>Legacy</v>
          </cell>
          <cell r="AA7310" t="str">
            <v>$1K or Below</v>
          </cell>
          <cell r="AB7310" t="str">
            <v>2010 or before</v>
          </cell>
        </row>
        <row r="7311">
          <cell r="E7311">
            <v>20.54</v>
          </cell>
          <cell r="Z7311" t="str">
            <v>Legacy</v>
          </cell>
          <cell r="AA7311" t="str">
            <v>$1K or Below</v>
          </cell>
          <cell r="AB7311" t="str">
            <v>2010 or before</v>
          </cell>
        </row>
        <row r="7312">
          <cell r="E7312">
            <v>20.5</v>
          </cell>
          <cell r="Z7312" t="str">
            <v>Legacy</v>
          </cell>
          <cell r="AA7312" t="str">
            <v>$1K or Below</v>
          </cell>
          <cell r="AB7312" t="str">
            <v>2010 or before</v>
          </cell>
        </row>
        <row r="7313">
          <cell r="E7313">
            <v>20.5</v>
          </cell>
          <cell r="Z7313" t="str">
            <v>Legacy</v>
          </cell>
          <cell r="AA7313" t="str">
            <v>$1K or Below</v>
          </cell>
          <cell r="AB7313" t="str">
            <v>2010 or before</v>
          </cell>
        </row>
        <row r="7314">
          <cell r="E7314">
            <v>20.49</v>
          </cell>
          <cell r="Z7314" t="str">
            <v>Legacy</v>
          </cell>
          <cell r="AA7314" t="str">
            <v>$1K or Below</v>
          </cell>
          <cell r="AB7314" t="str">
            <v>2010 or before</v>
          </cell>
        </row>
        <row r="7315">
          <cell r="E7315">
            <v>20.49</v>
          </cell>
          <cell r="Z7315" t="str">
            <v>Legacy</v>
          </cell>
          <cell r="AA7315" t="str">
            <v>$1K or Below</v>
          </cell>
          <cell r="AB7315" t="str">
            <v>2010 or before</v>
          </cell>
        </row>
        <row r="7316">
          <cell r="E7316">
            <v>20.49</v>
          </cell>
          <cell r="Z7316" t="str">
            <v>Legacy</v>
          </cell>
          <cell r="AA7316" t="str">
            <v>$1K or Below</v>
          </cell>
          <cell r="AB7316" t="str">
            <v>2010 or before</v>
          </cell>
        </row>
        <row r="7317">
          <cell r="E7317">
            <v>20.49</v>
          </cell>
          <cell r="Z7317" t="str">
            <v>Legacy</v>
          </cell>
          <cell r="AA7317" t="str">
            <v>$1K or Below</v>
          </cell>
          <cell r="AB7317" t="str">
            <v>2010 or before</v>
          </cell>
        </row>
        <row r="7318">
          <cell r="E7318">
            <v>20.49</v>
          </cell>
          <cell r="Z7318" t="str">
            <v>Legacy</v>
          </cell>
          <cell r="AA7318" t="str">
            <v>$1K or Below</v>
          </cell>
          <cell r="AB7318" t="str">
            <v>2010 or before</v>
          </cell>
        </row>
        <row r="7319">
          <cell r="E7319">
            <v>20.49</v>
          </cell>
          <cell r="Z7319" t="str">
            <v>Legacy</v>
          </cell>
          <cell r="AA7319" t="str">
            <v>$1K or Below</v>
          </cell>
          <cell r="AB7319" t="str">
            <v>2010 or before</v>
          </cell>
        </row>
        <row r="7320">
          <cell r="E7320">
            <v>20.48</v>
          </cell>
          <cell r="Z7320" t="str">
            <v>Legacy</v>
          </cell>
          <cell r="AA7320" t="str">
            <v>$1K or Below</v>
          </cell>
          <cell r="AB7320">
            <v>2012</v>
          </cell>
        </row>
        <row r="7321">
          <cell r="E7321">
            <v>20.48</v>
          </cell>
          <cell r="Z7321" t="str">
            <v>Legacy</v>
          </cell>
          <cell r="AA7321" t="str">
            <v>$1K or Below</v>
          </cell>
          <cell r="AB7321" t="str">
            <v>2010 or before</v>
          </cell>
        </row>
        <row r="7322">
          <cell r="E7322">
            <v>20.48</v>
          </cell>
          <cell r="Z7322" t="str">
            <v>Legacy</v>
          </cell>
          <cell r="AA7322" t="str">
            <v>$1K or Below</v>
          </cell>
          <cell r="AB7322" t="str">
            <v>2010 or before</v>
          </cell>
        </row>
        <row r="7323">
          <cell r="E7323">
            <v>20.48</v>
          </cell>
          <cell r="Z7323" t="str">
            <v>Legacy</v>
          </cell>
          <cell r="AA7323" t="str">
            <v>$1K or Below</v>
          </cell>
          <cell r="AB7323" t="str">
            <v>2010 or before</v>
          </cell>
        </row>
        <row r="7324">
          <cell r="E7324">
            <v>20.47</v>
          </cell>
          <cell r="Z7324" t="str">
            <v>Legacy</v>
          </cell>
          <cell r="AA7324" t="str">
            <v>$1K or Below</v>
          </cell>
          <cell r="AB7324" t="str">
            <v>2010 or before</v>
          </cell>
        </row>
        <row r="7325">
          <cell r="E7325">
            <v>20.47</v>
          </cell>
          <cell r="Z7325" t="str">
            <v>Legacy</v>
          </cell>
          <cell r="AA7325" t="str">
            <v>$1K or Below</v>
          </cell>
          <cell r="AB7325" t="str">
            <v>2010 or before</v>
          </cell>
        </row>
        <row r="7326">
          <cell r="E7326">
            <v>20.45</v>
          </cell>
          <cell r="Z7326" t="str">
            <v>Legacy</v>
          </cell>
          <cell r="AA7326" t="str">
            <v>$1K or Below</v>
          </cell>
          <cell r="AB7326" t="str">
            <v>2010 or before</v>
          </cell>
        </row>
        <row r="7327">
          <cell r="E7327">
            <v>20.39</v>
          </cell>
          <cell r="Z7327" t="str">
            <v>Legacy</v>
          </cell>
          <cell r="AA7327" t="str">
            <v>$1K or Below</v>
          </cell>
          <cell r="AB7327" t="str">
            <v>2010 or before</v>
          </cell>
        </row>
        <row r="7328">
          <cell r="E7328">
            <v>20.37</v>
          </cell>
          <cell r="Z7328" t="str">
            <v>Legacy</v>
          </cell>
          <cell r="AA7328" t="str">
            <v>$1K or Below</v>
          </cell>
          <cell r="AB7328" t="str">
            <v>2010 or before</v>
          </cell>
        </row>
        <row r="7329">
          <cell r="E7329">
            <v>20.32</v>
          </cell>
          <cell r="Z7329" t="str">
            <v>Legacy</v>
          </cell>
          <cell r="AA7329" t="str">
            <v>$1K or Below</v>
          </cell>
          <cell r="AB7329" t="str">
            <v>2010 or before</v>
          </cell>
        </row>
        <row r="7330">
          <cell r="E7330">
            <v>20.239999999999998</v>
          </cell>
          <cell r="Z7330" t="str">
            <v>Legacy</v>
          </cell>
          <cell r="AA7330" t="str">
            <v>$1K or Below</v>
          </cell>
          <cell r="AB7330" t="str">
            <v>2010 or before</v>
          </cell>
        </row>
        <row r="7331">
          <cell r="E7331">
            <v>20.21</v>
          </cell>
          <cell r="Z7331" t="str">
            <v>Legacy</v>
          </cell>
          <cell r="AA7331" t="str">
            <v>$1K or Below</v>
          </cell>
          <cell r="AB7331" t="str">
            <v>2010 or before</v>
          </cell>
        </row>
        <row r="7332">
          <cell r="E7332">
            <v>20</v>
          </cell>
          <cell r="Z7332" t="str">
            <v>Legacy</v>
          </cell>
          <cell r="AA7332" t="str">
            <v>$1K or Below</v>
          </cell>
          <cell r="AB7332" t="str">
            <v>2010 or before</v>
          </cell>
        </row>
        <row r="7333">
          <cell r="E7333">
            <v>20</v>
          </cell>
          <cell r="Z7333" t="str">
            <v>Inbound</v>
          </cell>
          <cell r="AA7333" t="str">
            <v>$1K or Below</v>
          </cell>
          <cell r="AB7333">
            <v>2012</v>
          </cell>
        </row>
        <row r="7334">
          <cell r="E7334">
            <v>19.989999999999998</v>
          </cell>
          <cell r="Z7334" t="str">
            <v>Legacy</v>
          </cell>
          <cell r="AA7334" t="str">
            <v>$1K or Below</v>
          </cell>
          <cell r="AB7334" t="str">
            <v>2010 or before</v>
          </cell>
        </row>
        <row r="7335">
          <cell r="E7335">
            <v>19.989999999999998</v>
          </cell>
          <cell r="Z7335" t="str">
            <v>Legacy</v>
          </cell>
          <cell r="AA7335" t="str">
            <v>$1K or Below</v>
          </cell>
          <cell r="AB7335" t="str">
            <v>2010 or before</v>
          </cell>
        </row>
        <row r="7336">
          <cell r="E7336">
            <v>19.989999999999998</v>
          </cell>
          <cell r="Z7336" t="str">
            <v>Legacy</v>
          </cell>
          <cell r="AA7336" t="str">
            <v>$1K or Below</v>
          </cell>
          <cell r="AB7336" t="str">
            <v>2010 or before</v>
          </cell>
        </row>
        <row r="7337">
          <cell r="E7337">
            <v>19.989999999999998</v>
          </cell>
          <cell r="Z7337" t="str">
            <v>Legacy</v>
          </cell>
          <cell r="AA7337" t="str">
            <v>$1K or Below</v>
          </cell>
          <cell r="AB7337" t="str">
            <v>2010 or before</v>
          </cell>
        </row>
        <row r="7338">
          <cell r="E7338">
            <v>19.989999999999998</v>
          </cell>
          <cell r="Z7338" t="str">
            <v>Legacy</v>
          </cell>
          <cell r="AA7338" t="str">
            <v>$1K or Below</v>
          </cell>
          <cell r="AB7338" t="str">
            <v>2010 or before</v>
          </cell>
        </row>
        <row r="7339">
          <cell r="E7339">
            <v>19.989999999999998</v>
          </cell>
          <cell r="Z7339" t="str">
            <v>Legacy</v>
          </cell>
          <cell r="AA7339" t="str">
            <v>$1K or Below</v>
          </cell>
          <cell r="AB7339" t="str">
            <v>2010 or before</v>
          </cell>
        </row>
        <row r="7340">
          <cell r="E7340">
            <v>19.989999999999998</v>
          </cell>
          <cell r="Z7340" t="str">
            <v>Legacy</v>
          </cell>
          <cell r="AA7340" t="str">
            <v>$1K or Below</v>
          </cell>
          <cell r="AB7340" t="str">
            <v>2010 or before</v>
          </cell>
        </row>
        <row r="7341">
          <cell r="E7341">
            <v>19.989999999999998</v>
          </cell>
          <cell r="Z7341" t="str">
            <v>Legacy</v>
          </cell>
          <cell r="AA7341" t="str">
            <v>$1K or Below</v>
          </cell>
          <cell r="AB7341" t="str">
            <v>2010 or before</v>
          </cell>
        </row>
        <row r="7342">
          <cell r="E7342">
            <v>19.989999999999998</v>
          </cell>
          <cell r="Z7342" t="str">
            <v>Legacy</v>
          </cell>
          <cell r="AA7342" t="str">
            <v>$1K or Below</v>
          </cell>
          <cell r="AB7342" t="str">
            <v>2010 or before</v>
          </cell>
        </row>
        <row r="7343">
          <cell r="E7343">
            <v>19.989999999999998</v>
          </cell>
          <cell r="Z7343" t="str">
            <v>Legacy</v>
          </cell>
          <cell r="AA7343" t="str">
            <v>$1K or Below</v>
          </cell>
          <cell r="AB7343" t="str">
            <v>2010 or before</v>
          </cell>
        </row>
        <row r="7344">
          <cell r="E7344">
            <v>19.989999999999998</v>
          </cell>
          <cell r="Z7344" t="str">
            <v>Legacy</v>
          </cell>
          <cell r="AA7344" t="str">
            <v>$1K or Below</v>
          </cell>
          <cell r="AB7344" t="str">
            <v>2010 or before</v>
          </cell>
        </row>
        <row r="7345">
          <cell r="E7345">
            <v>19.989999999999998</v>
          </cell>
          <cell r="Z7345" t="str">
            <v>Legacy</v>
          </cell>
          <cell r="AA7345" t="str">
            <v>$1K or Below</v>
          </cell>
          <cell r="AB7345" t="str">
            <v>2010 or before</v>
          </cell>
        </row>
        <row r="7346">
          <cell r="E7346">
            <v>19.98</v>
          </cell>
          <cell r="Z7346" t="str">
            <v>Legacy</v>
          </cell>
          <cell r="AA7346" t="str">
            <v>$1K or Below</v>
          </cell>
          <cell r="AB7346" t="str">
            <v>2010 or before</v>
          </cell>
        </row>
        <row r="7347">
          <cell r="E7347">
            <v>19.98</v>
          </cell>
          <cell r="Z7347" t="str">
            <v>Legacy</v>
          </cell>
          <cell r="AA7347" t="str">
            <v>$1K or Below</v>
          </cell>
          <cell r="AB7347" t="str">
            <v>2010 or before</v>
          </cell>
        </row>
        <row r="7348">
          <cell r="E7348">
            <v>19.98</v>
          </cell>
          <cell r="Z7348" t="str">
            <v>Legacy</v>
          </cell>
          <cell r="AA7348" t="str">
            <v>$1K or Below</v>
          </cell>
          <cell r="AB7348" t="str">
            <v>2010 or before</v>
          </cell>
        </row>
        <row r="7349">
          <cell r="E7349">
            <v>19.98</v>
          </cell>
          <cell r="Z7349" t="str">
            <v>Legacy</v>
          </cell>
          <cell r="AA7349" t="str">
            <v>$1K or Below</v>
          </cell>
          <cell r="AB7349" t="str">
            <v>2010 or before</v>
          </cell>
        </row>
        <row r="7350">
          <cell r="E7350">
            <v>19.98</v>
          </cell>
          <cell r="Z7350" t="str">
            <v>Legacy</v>
          </cell>
          <cell r="AA7350" t="str">
            <v>$1K or Below</v>
          </cell>
          <cell r="AB7350" t="str">
            <v>2010 or before</v>
          </cell>
        </row>
        <row r="7351">
          <cell r="E7351">
            <v>19.98</v>
          </cell>
          <cell r="Z7351" t="str">
            <v>Legacy</v>
          </cell>
          <cell r="AA7351" t="str">
            <v>$1K or Below</v>
          </cell>
          <cell r="AB7351" t="str">
            <v>2010 or before</v>
          </cell>
        </row>
        <row r="7352">
          <cell r="E7352">
            <v>19.98</v>
          </cell>
          <cell r="Z7352" t="str">
            <v>Legacy</v>
          </cell>
          <cell r="AA7352" t="str">
            <v>$1K or Below</v>
          </cell>
          <cell r="AB7352" t="str">
            <v>2010 or before</v>
          </cell>
        </row>
        <row r="7353">
          <cell r="E7353">
            <v>19.98</v>
          </cell>
          <cell r="Z7353" t="str">
            <v>Legacy</v>
          </cell>
          <cell r="AA7353" t="str">
            <v>$1K or Below</v>
          </cell>
          <cell r="AB7353" t="str">
            <v>2010 or before</v>
          </cell>
        </row>
        <row r="7354">
          <cell r="E7354">
            <v>19.97</v>
          </cell>
          <cell r="Z7354" t="str">
            <v>Legacy</v>
          </cell>
          <cell r="AA7354" t="str">
            <v>$1K or Below</v>
          </cell>
          <cell r="AB7354" t="str">
            <v>2010 or before</v>
          </cell>
        </row>
        <row r="7355">
          <cell r="E7355">
            <v>19.96</v>
          </cell>
          <cell r="Z7355" t="str">
            <v>Legacy</v>
          </cell>
          <cell r="AA7355" t="str">
            <v>$1K or Below</v>
          </cell>
          <cell r="AB7355" t="str">
            <v>2010 or before</v>
          </cell>
        </row>
        <row r="7356">
          <cell r="E7356">
            <v>19.96</v>
          </cell>
          <cell r="Z7356" t="str">
            <v>Legacy</v>
          </cell>
          <cell r="AA7356" t="str">
            <v>$1K or Below</v>
          </cell>
          <cell r="AB7356" t="str">
            <v>2010 or before</v>
          </cell>
        </row>
        <row r="7357">
          <cell r="E7357">
            <v>19.95</v>
          </cell>
          <cell r="Z7357" t="str">
            <v>Outbound</v>
          </cell>
          <cell r="AA7357" t="str">
            <v>$1K or Below</v>
          </cell>
          <cell r="AB7357">
            <v>2013</v>
          </cell>
        </row>
        <row r="7358">
          <cell r="E7358">
            <v>19.940000000000001</v>
          </cell>
          <cell r="Z7358" t="str">
            <v>Legacy</v>
          </cell>
          <cell r="AA7358" t="str">
            <v>$1K or Below</v>
          </cell>
          <cell r="AB7358" t="str">
            <v>2010 or before</v>
          </cell>
        </row>
        <row r="7359">
          <cell r="E7359">
            <v>19.940000000000001</v>
          </cell>
          <cell r="Z7359" t="str">
            <v>Legacy</v>
          </cell>
          <cell r="AA7359" t="str">
            <v>$1K or Below</v>
          </cell>
          <cell r="AB7359" t="str">
            <v>2010 or before</v>
          </cell>
        </row>
        <row r="7360">
          <cell r="E7360">
            <v>19.940000000000001</v>
          </cell>
          <cell r="Z7360" t="str">
            <v>Legacy</v>
          </cell>
          <cell r="AA7360" t="str">
            <v>$1K or Below</v>
          </cell>
          <cell r="AB7360" t="str">
            <v>2010 or before</v>
          </cell>
        </row>
        <row r="7361">
          <cell r="E7361">
            <v>19.940000000000001</v>
          </cell>
          <cell r="Z7361" t="str">
            <v>Legacy</v>
          </cell>
          <cell r="AA7361" t="str">
            <v>$1K or Below</v>
          </cell>
          <cell r="AB7361" t="str">
            <v>2010 or before</v>
          </cell>
        </row>
        <row r="7362">
          <cell r="E7362">
            <v>19.940000000000001</v>
          </cell>
          <cell r="Z7362" t="str">
            <v>Legacy</v>
          </cell>
          <cell r="AA7362" t="str">
            <v>$1K or Below</v>
          </cell>
          <cell r="AB7362" t="str">
            <v>2010 or before</v>
          </cell>
        </row>
        <row r="7363">
          <cell r="E7363">
            <v>19.91</v>
          </cell>
          <cell r="Z7363" t="str">
            <v>Legacy</v>
          </cell>
          <cell r="AA7363" t="str">
            <v>$1K or Below</v>
          </cell>
          <cell r="AB7363" t="str">
            <v>2010 or before</v>
          </cell>
        </row>
        <row r="7364">
          <cell r="E7364">
            <v>19.91</v>
          </cell>
          <cell r="Z7364" t="str">
            <v>Legacy</v>
          </cell>
          <cell r="AA7364" t="str">
            <v>$1K or Below</v>
          </cell>
          <cell r="AB7364" t="str">
            <v>2010 or before</v>
          </cell>
        </row>
        <row r="7365">
          <cell r="E7365">
            <v>19.89</v>
          </cell>
          <cell r="Z7365" t="str">
            <v>Legacy</v>
          </cell>
          <cell r="AA7365" t="str">
            <v>$1K or Below</v>
          </cell>
          <cell r="AB7365" t="str">
            <v>2010 or before</v>
          </cell>
        </row>
        <row r="7366">
          <cell r="E7366">
            <v>19.7</v>
          </cell>
          <cell r="Z7366" t="str">
            <v>Legacy</v>
          </cell>
          <cell r="AA7366" t="str">
            <v>$1K or Below</v>
          </cell>
          <cell r="AB7366" t="str">
            <v>2010 or before</v>
          </cell>
        </row>
        <row r="7367">
          <cell r="E7367">
            <v>19.690000000000001</v>
          </cell>
          <cell r="Z7367" t="str">
            <v>Legacy</v>
          </cell>
          <cell r="AA7367" t="str">
            <v>$1K or Below</v>
          </cell>
          <cell r="AB7367" t="str">
            <v>2010 or before</v>
          </cell>
        </row>
        <row r="7368">
          <cell r="E7368">
            <v>19.649999999999999</v>
          </cell>
          <cell r="Z7368" t="str">
            <v>Legacy</v>
          </cell>
          <cell r="AA7368" t="str">
            <v>$1K or Below</v>
          </cell>
          <cell r="AB7368" t="str">
            <v>2010 or before</v>
          </cell>
        </row>
        <row r="7369">
          <cell r="E7369">
            <v>19.62</v>
          </cell>
          <cell r="Z7369" t="str">
            <v>Legacy</v>
          </cell>
          <cell r="AA7369" t="str">
            <v>$1K or Below</v>
          </cell>
          <cell r="AB7369" t="str">
            <v>2010 or before</v>
          </cell>
        </row>
        <row r="7370">
          <cell r="E7370">
            <v>19.5</v>
          </cell>
          <cell r="Z7370" t="str">
            <v>Legacy</v>
          </cell>
          <cell r="AA7370" t="str">
            <v>$1K or Below</v>
          </cell>
          <cell r="AB7370" t="str">
            <v>2010 or before</v>
          </cell>
        </row>
        <row r="7371">
          <cell r="E7371">
            <v>19.489999999999998</v>
          </cell>
          <cell r="Z7371" t="str">
            <v>Legacy</v>
          </cell>
          <cell r="AA7371" t="str">
            <v>$1K or Below</v>
          </cell>
          <cell r="AB7371" t="str">
            <v>2010 or before</v>
          </cell>
        </row>
        <row r="7372">
          <cell r="E7372">
            <v>19.48</v>
          </cell>
          <cell r="Z7372" t="str">
            <v>Legacy</v>
          </cell>
          <cell r="AA7372" t="str">
            <v>$1K or Below</v>
          </cell>
          <cell r="AB7372" t="str">
            <v>2010 or before</v>
          </cell>
        </row>
        <row r="7373">
          <cell r="E7373">
            <v>19.48</v>
          </cell>
          <cell r="Z7373" t="str">
            <v>Legacy</v>
          </cell>
          <cell r="AA7373" t="str">
            <v>$1K or Below</v>
          </cell>
          <cell r="AB7373" t="str">
            <v>2010 or before</v>
          </cell>
        </row>
        <row r="7374">
          <cell r="E7374">
            <v>19.48</v>
          </cell>
          <cell r="Z7374" t="str">
            <v>Legacy</v>
          </cell>
          <cell r="AA7374" t="str">
            <v>$1K or Below</v>
          </cell>
          <cell r="AB7374" t="str">
            <v>2010 or before</v>
          </cell>
        </row>
        <row r="7375">
          <cell r="E7375">
            <v>19.48</v>
          </cell>
          <cell r="Z7375" t="str">
            <v>Ungating</v>
          </cell>
          <cell r="AA7375" t="str">
            <v>$1K or Below</v>
          </cell>
          <cell r="AB7375">
            <v>2013</v>
          </cell>
        </row>
        <row r="7376">
          <cell r="E7376">
            <v>19.48</v>
          </cell>
          <cell r="Z7376" t="str">
            <v>Legacy</v>
          </cell>
          <cell r="AA7376" t="str">
            <v>$1K or Below</v>
          </cell>
          <cell r="AB7376" t="str">
            <v>2010 or before</v>
          </cell>
        </row>
        <row r="7377">
          <cell r="E7377">
            <v>19.48</v>
          </cell>
          <cell r="Z7377" t="str">
            <v>Legacy</v>
          </cell>
          <cell r="AA7377" t="str">
            <v>$1K or Below</v>
          </cell>
          <cell r="AB7377" t="str">
            <v>2010 or before</v>
          </cell>
        </row>
        <row r="7378">
          <cell r="E7378">
            <v>19.47</v>
          </cell>
          <cell r="Z7378" t="str">
            <v>Legacy</v>
          </cell>
          <cell r="AA7378" t="str">
            <v>$1K or Below</v>
          </cell>
          <cell r="AB7378" t="str">
            <v>2010 or before</v>
          </cell>
        </row>
        <row r="7379">
          <cell r="E7379">
            <v>19.46</v>
          </cell>
          <cell r="Z7379" t="str">
            <v>Legacy</v>
          </cell>
          <cell r="AA7379" t="str">
            <v>$1K or Below</v>
          </cell>
          <cell r="AB7379" t="str">
            <v>2010 or before</v>
          </cell>
        </row>
        <row r="7380">
          <cell r="E7380">
            <v>19.45</v>
          </cell>
          <cell r="Z7380" t="str">
            <v>Legacy</v>
          </cell>
          <cell r="AA7380" t="str">
            <v>$1K or Below</v>
          </cell>
          <cell r="AB7380" t="str">
            <v>2010 or before</v>
          </cell>
        </row>
        <row r="7381">
          <cell r="E7381">
            <v>19.45</v>
          </cell>
          <cell r="Z7381" t="str">
            <v>Legacy</v>
          </cell>
          <cell r="AA7381" t="str">
            <v>$1K or Below</v>
          </cell>
          <cell r="AB7381" t="str">
            <v>2010 or before</v>
          </cell>
        </row>
        <row r="7382">
          <cell r="E7382">
            <v>19.420000000000002</v>
          </cell>
          <cell r="Z7382" t="str">
            <v>Legacy</v>
          </cell>
          <cell r="AA7382" t="str">
            <v>$1K or Below</v>
          </cell>
          <cell r="AB7382" t="str">
            <v>2010 or before</v>
          </cell>
        </row>
        <row r="7383">
          <cell r="E7383">
            <v>19.420000000000002</v>
          </cell>
          <cell r="Z7383" t="str">
            <v>Legacy</v>
          </cell>
          <cell r="AA7383" t="str">
            <v>$1K or Below</v>
          </cell>
          <cell r="AB7383" t="str">
            <v>2010 or before</v>
          </cell>
        </row>
        <row r="7384">
          <cell r="E7384">
            <v>19.399999999999999</v>
          </cell>
          <cell r="Z7384" t="str">
            <v>Legacy</v>
          </cell>
          <cell r="AA7384" t="str">
            <v>$1K or Below</v>
          </cell>
          <cell r="AB7384" t="str">
            <v>2010 or before</v>
          </cell>
        </row>
        <row r="7385">
          <cell r="E7385">
            <v>19.3</v>
          </cell>
          <cell r="Z7385" t="str">
            <v>Legacy</v>
          </cell>
          <cell r="AA7385" t="str">
            <v>$1K or Below</v>
          </cell>
          <cell r="AB7385" t="str">
            <v>2010 or before</v>
          </cell>
        </row>
        <row r="7386">
          <cell r="E7386">
            <v>19.29</v>
          </cell>
          <cell r="Z7386" t="str">
            <v>Legacy</v>
          </cell>
          <cell r="AA7386" t="str">
            <v>$1K or Below</v>
          </cell>
          <cell r="AB7386" t="str">
            <v>2010 or before</v>
          </cell>
        </row>
        <row r="7387">
          <cell r="E7387">
            <v>19.28</v>
          </cell>
          <cell r="Z7387" t="str">
            <v>Legacy</v>
          </cell>
          <cell r="AA7387" t="str">
            <v>$1K or Below</v>
          </cell>
          <cell r="AB7387" t="str">
            <v>2010 or before</v>
          </cell>
        </row>
        <row r="7388">
          <cell r="E7388">
            <v>19.239999999999998</v>
          </cell>
          <cell r="Z7388" t="str">
            <v>Legacy</v>
          </cell>
          <cell r="AA7388" t="str">
            <v>$1K or Below</v>
          </cell>
          <cell r="AB7388" t="str">
            <v>2010 or before</v>
          </cell>
        </row>
        <row r="7389">
          <cell r="E7389">
            <v>19.14</v>
          </cell>
          <cell r="Z7389" t="str">
            <v>Legacy</v>
          </cell>
          <cell r="AA7389" t="str">
            <v>$1K or Below</v>
          </cell>
          <cell r="AB7389" t="str">
            <v>2010 or before</v>
          </cell>
        </row>
        <row r="7390">
          <cell r="E7390">
            <v>19.11</v>
          </cell>
          <cell r="Z7390" t="str">
            <v>Legacy</v>
          </cell>
          <cell r="AA7390" t="str">
            <v>$1K or Below</v>
          </cell>
          <cell r="AB7390" t="str">
            <v>2010 or before</v>
          </cell>
        </row>
        <row r="7391">
          <cell r="E7391">
            <v>18.989999999999998</v>
          </cell>
          <cell r="Z7391" t="str">
            <v>Legacy</v>
          </cell>
          <cell r="AA7391" t="str">
            <v>$1K or Below</v>
          </cell>
          <cell r="AB7391" t="str">
            <v>2010 or before</v>
          </cell>
        </row>
        <row r="7392">
          <cell r="E7392">
            <v>18.989999999999998</v>
          </cell>
          <cell r="Z7392" t="str">
            <v>Legacy</v>
          </cell>
          <cell r="AA7392" t="str">
            <v>$1K or Below</v>
          </cell>
          <cell r="AB7392" t="str">
            <v>2010 or before</v>
          </cell>
        </row>
        <row r="7393">
          <cell r="E7393">
            <v>18.989999999999998</v>
          </cell>
          <cell r="Z7393" t="str">
            <v>Legacy</v>
          </cell>
          <cell r="AA7393" t="str">
            <v>$1K or Below</v>
          </cell>
          <cell r="AB7393">
            <v>2011</v>
          </cell>
        </row>
        <row r="7394">
          <cell r="E7394">
            <v>18.989999999999998</v>
          </cell>
          <cell r="Z7394" t="str">
            <v>Legacy</v>
          </cell>
          <cell r="AA7394" t="str">
            <v>$1K or Below</v>
          </cell>
          <cell r="AB7394" t="str">
            <v>2010 or before</v>
          </cell>
        </row>
        <row r="7395">
          <cell r="E7395">
            <v>18.989999999999998</v>
          </cell>
          <cell r="Z7395" t="str">
            <v>Legacy</v>
          </cell>
          <cell r="AA7395" t="str">
            <v>$1K or Below</v>
          </cell>
          <cell r="AB7395" t="str">
            <v>2010 or before</v>
          </cell>
        </row>
        <row r="7396">
          <cell r="E7396">
            <v>18.98</v>
          </cell>
          <cell r="Z7396" t="str">
            <v>Legacy</v>
          </cell>
          <cell r="AA7396" t="str">
            <v>$1K or Below</v>
          </cell>
          <cell r="AB7396" t="str">
            <v>2010 or before</v>
          </cell>
        </row>
        <row r="7397">
          <cell r="E7397">
            <v>18.98</v>
          </cell>
          <cell r="Z7397" t="str">
            <v>Legacy</v>
          </cell>
          <cell r="AA7397" t="str">
            <v>$1K or Below</v>
          </cell>
          <cell r="AB7397" t="str">
            <v>2010 or before</v>
          </cell>
        </row>
        <row r="7398">
          <cell r="E7398">
            <v>18.98</v>
          </cell>
          <cell r="Z7398" t="str">
            <v>Legacy</v>
          </cell>
          <cell r="AA7398" t="str">
            <v>$1K or Below</v>
          </cell>
          <cell r="AB7398" t="str">
            <v>2010 or before</v>
          </cell>
        </row>
        <row r="7399">
          <cell r="E7399">
            <v>18.98</v>
          </cell>
          <cell r="Z7399" t="str">
            <v>Legacy</v>
          </cell>
          <cell r="AA7399" t="str">
            <v>$1K or Below</v>
          </cell>
          <cell r="AB7399" t="str">
            <v>2010 or before</v>
          </cell>
        </row>
        <row r="7400">
          <cell r="E7400">
            <v>18.96</v>
          </cell>
          <cell r="Z7400" t="str">
            <v>Legacy</v>
          </cell>
          <cell r="AA7400" t="str">
            <v>$1K or Below</v>
          </cell>
          <cell r="AB7400">
            <v>2011</v>
          </cell>
        </row>
        <row r="7401">
          <cell r="E7401">
            <v>18.96</v>
          </cell>
          <cell r="Z7401" t="str">
            <v>Legacy</v>
          </cell>
          <cell r="AA7401" t="str">
            <v>$1K or Below</v>
          </cell>
          <cell r="AB7401" t="str">
            <v>2010 or before</v>
          </cell>
        </row>
        <row r="7402">
          <cell r="E7402">
            <v>18.95</v>
          </cell>
          <cell r="Z7402" t="str">
            <v>Legacy</v>
          </cell>
          <cell r="AA7402" t="str">
            <v>$1K or Below</v>
          </cell>
          <cell r="AB7402">
            <v>2011</v>
          </cell>
        </row>
        <row r="7403">
          <cell r="E7403">
            <v>18.940000000000001</v>
          </cell>
          <cell r="Z7403" t="str">
            <v>Legacy</v>
          </cell>
          <cell r="AA7403" t="str">
            <v>$1K or Below</v>
          </cell>
          <cell r="AB7403" t="str">
            <v>2010 or before</v>
          </cell>
        </row>
        <row r="7404">
          <cell r="E7404">
            <v>18.850000000000001</v>
          </cell>
          <cell r="Z7404" t="str">
            <v>Legacy</v>
          </cell>
          <cell r="AA7404" t="str">
            <v>$1K or Below</v>
          </cell>
          <cell r="AB7404" t="str">
            <v>2010 or before</v>
          </cell>
        </row>
        <row r="7405">
          <cell r="E7405">
            <v>18.8</v>
          </cell>
          <cell r="Z7405" t="str">
            <v>Legacy</v>
          </cell>
          <cell r="AA7405" t="str">
            <v>$1K or Below</v>
          </cell>
          <cell r="AB7405" t="str">
            <v>2010 or before</v>
          </cell>
        </row>
        <row r="7406">
          <cell r="E7406">
            <v>18.78</v>
          </cell>
          <cell r="Z7406" t="str">
            <v>Legacy</v>
          </cell>
          <cell r="AA7406" t="str">
            <v>$1K or Below</v>
          </cell>
          <cell r="AB7406" t="str">
            <v>2010 or before</v>
          </cell>
        </row>
        <row r="7407">
          <cell r="E7407">
            <v>18.73</v>
          </cell>
          <cell r="Z7407" t="str">
            <v>Legacy</v>
          </cell>
          <cell r="AA7407" t="str">
            <v>$1K or Below</v>
          </cell>
          <cell r="AB7407" t="str">
            <v>2010 or before</v>
          </cell>
        </row>
        <row r="7408">
          <cell r="E7408">
            <v>18.64</v>
          </cell>
          <cell r="Z7408" t="str">
            <v>Legacy</v>
          </cell>
          <cell r="AA7408" t="str">
            <v>$1K or Below</v>
          </cell>
          <cell r="AB7408" t="str">
            <v>2010 or before</v>
          </cell>
        </row>
        <row r="7409">
          <cell r="E7409">
            <v>18.579999999999998</v>
          </cell>
          <cell r="Z7409" t="str">
            <v>Legacy</v>
          </cell>
          <cell r="AA7409" t="str">
            <v>$1K or Below</v>
          </cell>
          <cell r="AB7409" t="str">
            <v>2010 or before</v>
          </cell>
        </row>
        <row r="7410">
          <cell r="E7410">
            <v>18.54</v>
          </cell>
          <cell r="Z7410" t="str">
            <v>Legacy</v>
          </cell>
          <cell r="AA7410" t="str">
            <v>$1K or Below</v>
          </cell>
          <cell r="AB7410" t="str">
            <v>2010 or before</v>
          </cell>
        </row>
        <row r="7411">
          <cell r="E7411">
            <v>18.489999999999998</v>
          </cell>
          <cell r="Z7411" t="str">
            <v>Legacy</v>
          </cell>
          <cell r="AA7411" t="str">
            <v>$1K or Below</v>
          </cell>
          <cell r="AB7411" t="str">
            <v>2010 or before</v>
          </cell>
        </row>
        <row r="7412">
          <cell r="E7412">
            <v>18.489999999999998</v>
          </cell>
          <cell r="Z7412" t="str">
            <v>Legacy</v>
          </cell>
          <cell r="AA7412" t="str">
            <v>$1K or Below</v>
          </cell>
          <cell r="AB7412" t="str">
            <v>2010 or before</v>
          </cell>
        </row>
        <row r="7413">
          <cell r="E7413">
            <v>18.489999999999998</v>
          </cell>
          <cell r="Z7413" t="str">
            <v>Legacy</v>
          </cell>
          <cell r="AA7413" t="str">
            <v>$1K or Below</v>
          </cell>
          <cell r="AB7413" t="str">
            <v>2010 or before</v>
          </cell>
        </row>
        <row r="7414">
          <cell r="E7414">
            <v>18.489999999999998</v>
          </cell>
          <cell r="Z7414" t="str">
            <v>Legacy</v>
          </cell>
          <cell r="AA7414" t="str">
            <v>$1K or Below</v>
          </cell>
          <cell r="AB7414" t="str">
            <v>2010 or before</v>
          </cell>
        </row>
        <row r="7415">
          <cell r="E7415">
            <v>18.48</v>
          </cell>
          <cell r="Z7415" t="str">
            <v>Legacy</v>
          </cell>
          <cell r="AA7415" t="str">
            <v>$1K or Below</v>
          </cell>
          <cell r="AB7415" t="str">
            <v>2010 or before</v>
          </cell>
        </row>
        <row r="7416">
          <cell r="E7416">
            <v>18.48</v>
          </cell>
          <cell r="Z7416" t="str">
            <v>Legacy</v>
          </cell>
          <cell r="AA7416" t="str">
            <v>$1K or Below</v>
          </cell>
          <cell r="AB7416" t="str">
            <v>2010 or before</v>
          </cell>
        </row>
        <row r="7417">
          <cell r="E7417">
            <v>18.23</v>
          </cell>
          <cell r="Z7417" t="str">
            <v>Legacy</v>
          </cell>
          <cell r="AA7417" t="str">
            <v>$1K or Below</v>
          </cell>
          <cell r="AB7417" t="str">
            <v>2010 or before</v>
          </cell>
        </row>
        <row r="7418">
          <cell r="E7418">
            <v>18.22</v>
          </cell>
          <cell r="Z7418" t="str">
            <v>Legacy</v>
          </cell>
          <cell r="AA7418" t="str">
            <v>$1K or Below</v>
          </cell>
          <cell r="AB7418" t="str">
            <v>2010 or before</v>
          </cell>
        </row>
        <row r="7419">
          <cell r="E7419">
            <v>18.16</v>
          </cell>
          <cell r="Z7419" t="str">
            <v>Legacy</v>
          </cell>
          <cell r="AA7419" t="str">
            <v>$1K or Below</v>
          </cell>
          <cell r="AB7419" t="str">
            <v>2010 or before</v>
          </cell>
        </row>
        <row r="7420">
          <cell r="E7420">
            <v>18</v>
          </cell>
          <cell r="Z7420" t="str">
            <v>Legacy</v>
          </cell>
          <cell r="AA7420" t="str">
            <v>$1K or Below</v>
          </cell>
          <cell r="AB7420" t="str">
            <v>2010 or before</v>
          </cell>
        </row>
        <row r="7421">
          <cell r="E7421">
            <v>18</v>
          </cell>
          <cell r="Z7421" t="str">
            <v>Legacy</v>
          </cell>
          <cell r="AA7421" t="str">
            <v>$1K or Below</v>
          </cell>
          <cell r="AB7421" t="str">
            <v>2010 or before</v>
          </cell>
        </row>
        <row r="7422">
          <cell r="E7422">
            <v>18</v>
          </cell>
          <cell r="Z7422" t="str">
            <v>Legacy</v>
          </cell>
          <cell r="AA7422" t="str">
            <v>$1K or Below</v>
          </cell>
          <cell r="AB7422" t="str">
            <v>2010 or before</v>
          </cell>
        </row>
        <row r="7423">
          <cell r="E7423">
            <v>17.989999999999998</v>
          </cell>
          <cell r="Z7423" t="str">
            <v>Legacy</v>
          </cell>
          <cell r="AA7423" t="str">
            <v>$1K or Below</v>
          </cell>
          <cell r="AB7423" t="str">
            <v>2010 or before</v>
          </cell>
        </row>
        <row r="7424">
          <cell r="E7424">
            <v>17.989999999999998</v>
          </cell>
          <cell r="Z7424" t="str">
            <v>Legacy</v>
          </cell>
          <cell r="AA7424" t="str">
            <v>$1K or Below</v>
          </cell>
          <cell r="AB7424" t="str">
            <v>2010 or before</v>
          </cell>
        </row>
        <row r="7425">
          <cell r="E7425">
            <v>17.989999999999998</v>
          </cell>
          <cell r="Z7425" t="str">
            <v>Legacy</v>
          </cell>
          <cell r="AA7425" t="str">
            <v>$1K or Below</v>
          </cell>
          <cell r="AB7425" t="str">
            <v>2010 or before</v>
          </cell>
        </row>
        <row r="7426">
          <cell r="E7426">
            <v>17.989999999999998</v>
          </cell>
          <cell r="Z7426" t="str">
            <v>Legacy</v>
          </cell>
          <cell r="AA7426" t="str">
            <v>$1K or Below</v>
          </cell>
          <cell r="AB7426" t="str">
            <v>2010 or before</v>
          </cell>
        </row>
        <row r="7427">
          <cell r="E7427">
            <v>17.98</v>
          </cell>
          <cell r="Z7427" t="str">
            <v>Legacy</v>
          </cell>
          <cell r="AA7427" t="str">
            <v>$1K or Below</v>
          </cell>
          <cell r="AB7427" t="str">
            <v>2010 or before</v>
          </cell>
        </row>
        <row r="7428">
          <cell r="E7428">
            <v>17.98</v>
          </cell>
          <cell r="Z7428" t="str">
            <v>Legacy</v>
          </cell>
          <cell r="AA7428" t="str">
            <v>$1K or Below</v>
          </cell>
          <cell r="AB7428" t="str">
            <v>2010 or before</v>
          </cell>
        </row>
        <row r="7429">
          <cell r="E7429">
            <v>17.98</v>
          </cell>
          <cell r="Z7429" t="str">
            <v>Legacy</v>
          </cell>
          <cell r="AA7429" t="str">
            <v>$1K or Below</v>
          </cell>
          <cell r="AB7429" t="str">
            <v>2010 or before</v>
          </cell>
        </row>
        <row r="7430">
          <cell r="E7430">
            <v>17.98</v>
          </cell>
          <cell r="Z7430" t="str">
            <v>Legacy</v>
          </cell>
          <cell r="AA7430" t="str">
            <v>$1K or Below</v>
          </cell>
          <cell r="AB7430" t="str">
            <v>2010 or before</v>
          </cell>
        </row>
        <row r="7431">
          <cell r="E7431">
            <v>17.98</v>
          </cell>
          <cell r="Z7431" t="str">
            <v>Legacy</v>
          </cell>
          <cell r="AA7431" t="str">
            <v>$1K or Below</v>
          </cell>
          <cell r="AB7431" t="str">
            <v>2010 or before</v>
          </cell>
        </row>
        <row r="7432">
          <cell r="E7432">
            <v>17.98</v>
          </cell>
          <cell r="Z7432" t="str">
            <v>Legacy</v>
          </cell>
          <cell r="AA7432" t="str">
            <v>$1K or Below</v>
          </cell>
          <cell r="AB7432">
            <v>2011</v>
          </cell>
        </row>
        <row r="7433">
          <cell r="E7433">
            <v>17.96</v>
          </cell>
          <cell r="Z7433" t="str">
            <v>Ungating</v>
          </cell>
          <cell r="AA7433" t="str">
            <v>$1K or Below</v>
          </cell>
          <cell r="AB7433">
            <v>2012</v>
          </cell>
        </row>
        <row r="7434">
          <cell r="E7434">
            <v>17.96</v>
          </cell>
          <cell r="Z7434" t="str">
            <v>Legacy</v>
          </cell>
          <cell r="AA7434" t="str">
            <v>$1K or Below</v>
          </cell>
          <cell r="AB7434" t="str">
            <v>2010 or before</v>
          </cell>
        </row>
        <row r="7435">
          <cell r="E7435">
            <v>17.940000000000001</v>
          </cell>
          <cell r="Z7435" t="str">
            <v>Legacy</v>
          </cell>
          <cell r="AA7435" t="str">
            <v>$1K or Below</v>
          </cell>
          <cell r="AB7435" t="str">
            <v>2010 or before</v>
          </cell>
        </row>
        <row r="7436">
          <cell r="E7436">
            <v>17.940000000000001</v>
          </cell>
          <cell r="Z7436" t="str">
            <v>Legacy</v>
          </cell>
          <cell r="AA7436" t="str">
            <v>$1K or Below</v>
          </cell>
          <cell r="AB7436" t="str">
            <v>2010 or before</v>
          </cell>
        </row>
        <row r="7437">
          <cell r="E7437">
            <v>17.940000000000001</v>
          </cell>
          <cell r="Z7437" t="str">
            <v>Legacy</v>
          </cell>
          <cell r="AA7437" t="str">
            <v>$1K or Below</v>
          </cell>
          <cell r="AB7437" t="str">
            <v>2010 or before</v>
          </cell>
        </row>
        <row r="7438">
          <cell r="E7438">
            <v>17.940000000000001</v>
          </cell>
          <cell r="Z7438" t="str">
            <v>Legacy</v>
          </cell>
          <cell r="AA7438" t="str">
            <v>$1K or Below</v>
          </cell>
          <cell r="AB7438" t="str">
            <v>2010 or before</v>
          </cell>
        </row>
        <row r="7439">
          <cell r="E7439">
            <v>17.920000000000002</v>
          </cell>
          <cell r="Z7439" t="str">
            <v>Legacy</v>
          </cell>
          <cell r="AA7439" t="str">
            <v>$1K or Below</v>
          </cell>
          <cell r="AB7439">
            <v>2012</v>
          </cell>
        </row>
        <row r="7440">
          <cell r="E7440">
            <v>17.89</v>
          </cell>
          <cell r="Z7440" t="str">
            <v>Legacy</v>
          </cell>
          <cell r="AA7440" t="str">
            <v>$1K or Below</v>
          </cell>
          <cell r="AB7440" t="str">
            <v>2010 or before</v>
          </cell>
        </row>
        <row r="7441">
          <cell r="E7441">
            <v>17.89</v>
          </cell>
          <cell r="Z7441" t="str">
            <v>Legacy</v>
          </cell>
          <cell r="AA7441" t="str">
            <v>$1K or Below</v>
          </cell>
          <cell r="AB7441" t="str">
            <v>2010 or before</v>
          </cell>
        </row>
        <row r="7442">
          <cell r="E7442">
            <v>17.89</v>
          </cell>
          <cell r="Z7442" t="str">
            <v>Legacy</v>
          </cell>
          <cell r="AA7442" t="str">
            <v>$1K or Below</v>
          </cell>
          <cell r="AB7442" t="str">
            <v>2010 or before</v>
          </cell>
        </row>
        <row r="7443">
          <cell r="E7443">
            <v>17.89</v>
          </cell>
          <cell r="Z7443" t="str">
            <v>Legacy</v>
          </cell>
          <cell r="AA7443" t="str">
            <v>$1K or Below</v>
          </cell>
          <cell r="AB7443" t="str">
            <v>2010 or before</v>
          </cell>
        </row>
        <row r="7444">
          <cell r="E7444">
            <v>17.88</v>
          </cell>
          <cell r="Z7444" t="str">
            <v>Legacy</v>
          </cell>
          <cell r="AA7444" t="str">
            <v>$1K or Below</v>
          </cell>
          <cell r="AB7444" t="str">
            <v>2010 or before</v>
          </cell>
        </row>
        <row r="7445">
          <cell r="E7445">
            <v>17.88</v>
          </cell>
          <cell r="Z7445" t="str">
            <v>Legacy</v>
          </cell>
          <cell r="AA7445" t="str">
            <v>$1K or Below</v>
          </cell>
          <cell r="AB7445" t="str">
            <v>2010 or before</v>
          </cell>
        </row>
        <row r="7446">
          <cell r="E7446">
            <v>17.82</v>
          </cell>
          <cell r="Z7446" t="str">
            <v>Legacy</v>
          </cell>
          <cell r="AA7446" t="str">
            <v>$1K or Below</v>
          </cell>
          <cell r="AB7446" t="str">
            <v>2010 or before</v>
          </cell>
        </row>
        <row r="7447">
          <cell r="E7447">
            <v>17.75</v>
          </cell>
          <cell r="Z7447" t="str">
            <v>Legacy</v>
          </cell>
          <cell r="AA7447" t="str">
            <v>$1K or Below</v>
          </cell>
          <cell r="AB7447">
            <v>2012</v>
          </cell>
        </row>
        <row r="7448">
          <cell r="E7448">
            <v>17.71</v>
          </cell>
          <cell r="Z7448" t="str">
            <v>Legacy</v>
          </cell>
          <cell r="AA7448" t="str">
            <v>$1K or Below</v>
          </cell>
          <cell r="AB7448" t="str">
            <v>2010 or before</v>
          </cell>
        </row>
        <row r="7449">
          <cell r="E7449">
            <v>17.600000000000001</v>
          </cell>
          <cell r="Z7449" t="str">
            <v>Legacy</v>
          </cell>
          <cell r="AA7449" t="str">
            <v>$1K or Below</v>
          </cell>
          <cell r="AB7449" t="str">
            <v>2010 or before</v>
          </cell>
        </row>
        <row r="7450">
          <cell r="E7450">
            <v>17.57</v>
          </cell>
          <cell r="Z7450" t="str">
            <v>Legacy</v>
          </cell>
          <cell r="AA7450" t="str">
            <v>$1K or Below</v>
          </cell>
          <cell r="AB7450" t="str">
            <v>2010 or before</v>
          </cell>
        </row>
        <row r="7451">
          <cell r="E7451">
            <v>17.5</v>
          </cell>
          <cell r="Z7451" t="str">
            <v>Ungating</v>
          </cell>
          <cell r="AA7451" t="str">
            <v>$1K or Below</v>
          </cell>
          <cell r="AB7451">
            <v>2012</v>
          </cell>
        </row>
        <row r="7452">
          <cell r="E7452">
            <v>17.489999999999998</v>
          </cell>
          <cell r="Z7452" t="str">
            <v>Legacy</v>
          </cell>
          <cell r="AA7452" t="str">
            <v>$1K or Below</v>
          </cell>
          <cell r="AB7452" t="str">
            <v>2010 or before</v>
          </cell>
        </row>
        <row r="7453">
          <cell r="E7453">
            <v>17.489999999999998</v>
          </cell>
          <cell r="Z7453" t="str">
            <v>Legacy</v>
          </cell>
          <cell r="AA7453" t="str">
            <v>$1K or Below</v>
          </cell>
          <cell r="AB7453" t="str">
            <v>2010 or before</v>
          </cell>
        </row>
        <row r="7454">
          <cell r="E7454">
            <v>17.489999999999998</v>
          </cell>
          <cell r="Z7454" t="str">
            <v>Legacy</v>
          </cell>
          <cell r="AA7454" t="str">
            <v>$1K or Below</v>
          </cell>
          <cell r="AB7454" t="str">
            <v>2010 or before</v>
          </cell>
        </row>
        <row r="7455">
          <cell r="E7455">
            <v>17.489999999999998</v>
          </cell>
          <cell r="Z7455" t="str">
            <v>Legacy</v>
          </cell>
          <cell r="AA7455" t="str">
            <v>$1K or Below</v>
          </cell>
          <cell r="AB7455" t="str">
            <v>2010 or before</v>
          </cell>
        </row>
        <row r="7456">
          <cell r="E7456">
            <v>17.489999999999998</v>
          </cell>
          <cell r="Z7456" t="str">
            <v>Legacy</v>
          </cell>
          <cell r="AA7456" t="str">
            <v>$1K or Below</v>
          </cell>
          <cell r="AB7456" t="str">
            <v>2010 or before</v>
          </cell>
        </row>
        <row r="7457">
          <cell r="E7457">
            <v>17.489999999999998</v>
          </cell>
          <cell r="Z7457" t="str">
            <v>Legacy</v>
          </cell>
          <cell r="AA7457" t="str">
            <v>$1K or Below</v>
          </cell>
          <cell r="AB7457" t="str">
            <v>2010 or before</v>
          </cell>
        </row>
        <row r="7458">
          <cell r="E7458">
            <v>17.489999999999998</v>
          </cell>
          <cell r="Z7458" t="str">
            <v>Legacy</v>
          </cell>
          <cell r="AA7458" t="str">
            <v>$1K or Below</v>
          </cell>
          <cell r="AB7458" t="str">
            <v>2010 or before</v>
          </cell>
        </row>
        <row r="7459">
          <cell r="E7459">
            <v>17.489999999999998</v>
          </cell>
          <cell r="Z7459" t="str">
            <v>Legacy</v>
          </cell>
          <cell r="AA7459" t="str">
            <v>$1K or Below</v>
          </cell>
          <cell r="AB7459" t="str">
            <v>2010 or before</v>
          </cell>
        </row>
        <row r="7460">
          <cell r="E7460">
            <v>17.48</v>
          </cell>
          <cell r="Z7460" t="str">
            <v>Legacy</v>
          </cell>
          <cell r="AA7460" t="str">
            <v>$1K or Below</v>
          </cell>
          <cell r="AB7460" t="str">
            <v>2010 or before</v>
          </cell>
        </row>
        <row r="7461">
          <cell r="E7461">
            <v>17.48</v>
          </cell>
          <cell r="Z7461" t="str">
            <v>Legacy</v>
          </cell>
          <cell r="AA7461" t="str">
            <v>$1K or Below</v>
          </cell>
          <cell r="AB7461" t="str">
            <v>2010 or before</v>
          </cell>
        </row>
        <row r="7462">
          <cell r="E7462">
            <v>17.48</v>
          </cell>
          <cell r="Z7462" t="str">
            <v>Legacy</v>
          </cell>
          <cell r="AA7462" t="str">
            <v>$1K or Below</v>
          </cell>
          <cell r="AB7462" t="str">
            <v>2010 or before</v>
          </cell>
        </row>
        <row r="7463">
          <cell r="E7463">
            <v>17.48</v>
          </cell>
          <cell r="Z7463" t="str">
            <v>Legacy</v>
          </cell>
          <cell r="AA7463" t="str">
            <v>$1K or Below</v>
          </cell>
          <cell r="AB7463" t="str">
            <v>2010 or before</v>
          </cell>
        </row>
        <row r="7464">
          <cell r="E7464">
            <v>17.48</v>
          </cell>
          <cell r="Z7464" t="str">
            <v>Legacy</v>
          </cell>
          <cell r="AA7464" t="str">
            <v>$1K or Below</v>
          </cell>
          <cell r="AB7464" t="str">
            <v>2010 or before</v>
          </cell>
        </row>
        <row r="7465">
          <cell r="E7465">
            <v>17.48</v>
          </cell>
          <cell r="Z7465" t="str">
            <v>Legacy</v>
          </cell>
          <cell r="AA7465" t="str">
            <v>$1K or Below</v>
          </cell>
          <cell r="AB7465" t="str">
            <v>2010 or before</v>
          </cell>
        </row>
        <row r="7466">
          <cell r="E7466">
            <v>17.48</v>
          </cell>
          <cell r="Z7466" t="str">
            <v>Legacy</v>
          </cell>
          <cell r="AA7466" t="str">
            <v>$1K or Below</v>
          </cell>
          <cell r="AB7466" t="str">
            <v>2010 or before</v>
          </cell>
        </row>
        <row r="7467">
          <cell r="E7467">
            <v>17.48</v>
          </cell>
          <cell r="Z7467" t="str">
            <v>Legacy</v>
          </cell>
          <cell r="AA7467" t="str">
            <v>$1K or Below</v>
          </cell>
          <cell r="AB7467" t="str">
            <v>2010 or before</v>
          </cell>
        </row>
        <row r="7468">
          <cell r="E7468">
            <v>17.48</v>
          </cell>
          <cell r="Z7468" t="str">
            <v>Legacy</v>
          </cell>
          <cell r="AA7468" t="str">
            <v>$1K or Below</v>
          </cell>
          <cell r="AB7468" t="str">
            <v>2010 or before</v>
          </cell>
        </row>
        <row r="7469">
          <cell r="E7469">
            <v>17.48</v>
          </cell>
          <cell r="Z7469" t="str">
            <v>Legacy</v>
          </cell>
          <cell r="AA7469" t="str">
            <v>$1K or Below</v>
          </cell>
          <cell r="AB7469">
            <v>2012</v>
          </cell>
        </row>
        <row r="7470">
          <cell r="E7470">
            <v>17.48</v>
          </cell>
          <cell r="Z7470" t="str">
            <v>Legacy</v>
          </cell>
          <cell r="AA7470" t="str">
            <v>$1K or Below</v>
          </cell>
          <cell r="AB7470">
            <v>2011</v>
          </cell>
        </row>
        <row r="7471">
          <cell r="E7471">
            <v>17.47</v>
          </cell>
          <cell r="Z7471" t="str">
            <v>Legacy</v>
          </cell>
          <cell r="AA7471" t="str">
            <v>$1K or Below</v>
          </cell>
          <cell r="AB7471" t="str">
            <v>2010 or before</v>
          </cell>
        </row>
        <row r="7472">
          <cell r="E7472">
            <v>17.47</v>
          </cell>
          <cell r="Z7472" t="str">
            <v>Legacy</v>
          </cell>
          <cell r="AA7472" t="str">
            <v>$1K or Below</v>
          </cell>
          <cell r="AB7472" t="str">
            <v>2010 or before</v>
          </cell>
        </row>
        <row r="7473">
          <cell r="E7473">
            <v>17.440000000000001</v>
          </cell>
          <cell r="Z7473" t="str">
            <v>Legacy</v>
          </cell>
          <cell r="AA7473" t="str">
            <v>$1K or Below</v>
          </cell>
          <cell r="AB7473" t="str">
            <v>2010 or before</v>
          </cell>
        </row>
        <row r="7474">
          <cell r="E7474">
            <v>17.39</v>
          </cell>
          <cell r="Z7474" t="str">
            <v>Global</v>
          </cell>
          <cell r="AA7474" t="str">
            <v>$1K or Below</v>
          </cell>
          <cell r="AB7474">
            <v>2012</v>
          </cell>
        </row>
        <row r="7475">
          <cell r="E7475">
            <v>17.39</v>
          </cell>
          <cell r="Z7475" t="str">
            <v>Legacy</v>
          </cell>
          <cell r="AA7475" t="str">
            <v>$1K or Below</v>
          </cell>
          <cell r="AB7475" t="str">
            <v>2010 or before</v>
          </cell>
        </row>
        <row r="7476">
          <cell r="E7476">
            <v>17.38</v>
          </cell>
          <cell r="Z7476" t="str">
            <v>Legacy</v>
          </cell>
          <cell r="AA7476" t="str">
            <v>$1K or Below</v>
          </cell>
          <cell r="AB7476" t="str">
            <v>2010 or before</v>
          </cell>
        </row>
        <row r="7477">
          <cell r="E7477">
            <v>17.3</v>
          </cell>
          <cell r="Z7477" t="str">
            <v>Legacy</v>
          </cell>
          <cell r="AA7477" t="str">
            <v>$1K or Below</v>
          </cell>
          <cell r="AB7477" t="str">
            <v>2010 or before</v>
          </cell>
        </row>
        <row r="7478">
          <cell r="E7478">
            <v>17.28</v>
          </cell>
          <cell r="Z7478" t="str">
            <v>Legacy</v>
          </cell>
          <cell r="AA7478" t="str">
            <v>$1K or Below</v>
          </cell>
          <cell r="AB7478" t="str">
            <v>2010 or before</v>
          </cell>
        </row>
        <row r="7479">
          <cell r="E7479">
            <v>17.28</v>
          </cell>
          <cell r="Z7479" t="str">
            <v>Legacy</v>
          </cell>
          <cell r="AA7479" t="str">
            <v>$1K or Below</v>
          </cell>
          <cell r="AB7479" t="str">
            <v>2010 or before</v>
          </cell>
        </row>
        <row r="7480">
          <cell r="E7480">
            <v>17.28</v>
          </cell>
          <cell r="Z7480" t="str">
            <v>Legacy</v>
          </cell>
          <cell r="AA7480" t="str">
            <v>$1K or Below</v>
          </cell>
          <cell r="AB7480" t="str">
            <v>2010 or before</v>
          </cell>
        </row>
        <row r="7481">
          <cell r="E7481">
            <v>17.27</v>
          </cell>
          <cell r="Z7481" t="str">
            <v>Legacy</v>
          </cell>
          <cell r="AA7481" t="str">
            <v>$1K or Below</v>
          </cell>
          <cell r="AB7481" t="str">
            <v>2010 or before</v>
          </cell>
        </row>
        <row r="7482">
          <cell r="E7482">
            <v>17.25</v>
          </cell>
          <cell r="Z7482" t="str">
            <v>Legacy</v>
          </cell>
          <cell r="AA7482" t="str">
            <v>$1K or Below</v>
          </cell>
          <cell r="AB7482" t="str">
            <v>2010 or before</v>
          </cell>
        </row>
        <row r="7483">
          <cell r="E7483">
            <v>17.23</v>
          </cell>
          <cell r="Z7483" t="str">
            <v>Legacy</v>
          </cell>
          <cell r="AA7483" t="str">
            <v>$1K or Below</v>
          </cell>
          <cell r="AB7483" t="str">
            <v>2010 or before</v>
          </cell>
        </row>
        <row r="7484">
          <cell r="E7484">
            <v>17.22</v>
          </cell>
          <cell r="Z7484" t="str">
            <v>Legacy</v>
          </cell>
          <cell r="AA7484" t="str">
            <v>$1K or Below</v>
          </cell>
          <cell r="AB7484" t="str">
            <v>2010 or before</v>
          </cell>
        </row>
        <row r="7485">
          <cell r="E7485">
            <v>17.190000000000001</v>
          </cell>
          <cell r="Z7485" t="str">
            <v>Legacy</v>
          </cell>
          <cell r="AA7485" t="str">
            <v>$1K or Below</v>
          </cell>
          <cell r="AB7485" t="str">
            <v>2010 or before</v>
          </cell>
        </row>
        <row r="7486">
          <cell r="E7486">
            <v>17</v>
          </cell>
          <cell r="Z7486" t="str">
            <v>Legacy</v>
          </cell>
          <cell r="AA7486" t="str">
            <v>$1K or Below</v>
          </cell>
          <cell r="AB7486" t="str">
            <v>2010 or before</v>
          </cell>
        </row>
        <row r="7487">
          <cell r="E7487">
            <v>16.989999999999998</v>
          </cell>
          <cell r="Z7487" t="str">
            <v>Legacy</v>
          </cell>
          <cell r="AA7487" t="str">
            <v>$1K or Below</v>
          </cell>
          <cell r="AB7487" t="str">
            <v>2010 or before</v>
          </cell>
        </row>
        <row r="7488">
          <cell r="E7488">
            <v>16.989999999999998</v>
          </cell>
          <cell r="Z7488" t="str">
            <v>Legacy</v>
          </cell>
          <cell r="AA7488" t="str">
            <v>$1K or Below</v>
          </cell>
          <cell r="AB7488" t="str">
            <v>2010 or before</v>
          </cell>
        </row>
        <row r="7489">
          <cell r="E7489">
            <v>16.989999999999998</v>
          </cell>
          <cell r="Z7489" t="str">
            <v>Legacy</v>
          </cell>
          <cell r="AA7489" t="str">
            <v>$1K or Below</v>
          </cell>
          <cell r="AB7489" t="str">
            <v>2010 or before</v>
          </cell>
        </row>
        <row r="7490">
          <cell r="E7490">
            <v>16.989999999999998</v>
          </cell>
          <cell r="Z7490" t="str">
            <v>Legacy</v>
          </cell>
          <cell r="AA7490" t="str">
            <v>$1K or Below</v>
          </cell>
          <cell r="AB7490" t="str">
            <v>2010 or before</v>
          </cell>
        </row>
        <row r="7491">
          <cell r="E7491">
            <v>16.989999999999998</v>
          </cell>
          <cell r="Z7491" t="str">
            <v>Legacy</v>
          </cell>
          <cell r="AA7491" t="str">
            <v>$1K or Below</v>
          </cell>
          <cell r="AB7491" t="str">
            <v>2010 or before</v>
          </cell>
        </row>
        <row r="7492">
          <cell r="E7492">
            <v>16.989999999999998</v>
          </cell>
          <cell r="Z7492" t="str">
            <v>Legacy</v>
          </cell>
          <cell r="AA7492" t="str">
            <v>$1K or Below</v>
          </cell>
          <cell r="AB7492" t="str">
            <v>2010 or before</v>
          </cell>
        </row>
        <row r="7493">
          <cell r="E7493">
            <v>16.989999999999998</v>
          </cell>
          <cell r="Z7493" t="str">
            <v>Legacy</v>
          </cell>
          <cell r="AA7493" t="str">
            <v>$1K or Below</v>
          </cell>
          <cell r="AB7493">
            <v>2012</v>
          </cell>
        </row>
        <row r="7494">
          <cell r="E7494">
            <v>16.95</v>
          </cell>
          <cell r="Z7494" t="str">
            <v>Legacy</v>
          </cell>
          <cell r="AA7494" t="str">
            <v>$1K or Below</v>
          </cell>
          <cell r="AB7494" t="str">
            <v>2010 or before</v>
          </cell>
        </row>
        <row r="7495">
          <cell r="E7495">
            <v>16.940000000000001</v>
          </cell>
          <cell r="Z7495" t="str">
            <v>Legacy</v>
          </cell>
          <cell r="AA7495" t="str">
            <v>$1K or Below</v>
          </cell>
          <cell r="AB7495" t="str">
            <v>2010 or before</v>
          </cell>
        </row>
        <row r="7496">
          <cell r="E7496">
            <v>16.940000000000001</v>
          </cell>
          <cell r="Z7496" t="str">
            <v>Legacy</v>
          </cell>
          <cell r="AA7496" t="str">
            <v>$1K or Below</v>
          </cell>
          <cell r="AB7496" t="str">
            <v>2010 or before</v>
          </cell>
        </row>
        <row r="7497">
          <cell r="E7497">
            <v>16.940000000000001</v>
          </cell>
          <cell r="Z7497" t="str">
            <v>Legacy</v>
          </cell>
          <cell r="AA7497" t="str">
            <v>$1K or Below</v>
          </cell>
          <cell r="AB7497" t="str">
            <v>2010 or before</v>
          </cell>
        </row>
        <row r="7498">
          <cell r="E7498">
            <v>16.91</v>
          </cell>
          <cell r="Z7498" t="str">
            <v>Legacy</v>
          </cell>
          <cell r="AA7498" t="str">
            <v>$1K or Below</v>
          </cell>
          <cell r="AB7498" t="str">
            <v>2010 or before</v>
          </cell>
        </row>
        <row r="7499">
          <cell r="E7499">
            <v>16.88</v>
          </cell>
          <cell r="Z7499" t="str">
            <v>Legacy</v>
          </cell>
          <cell r="AA7499" t="str">
            <v>$1K or Below</v>
          </cell>
          <cell r="AB7499" t="str">
            <v>2010 or before</v>
          </cell>
        </row>
        <row r="7500">
          <cell r="E7500">
            <v>16.78</v>
          </cell>
          <cell r="Z7500" t="str">
            <v>Legacy</v>
          </cell>
          <cell r="AA7500" t="str">
            <v>$1K or Below</v>
          </cell>
          <cell r="AB7500" t="str">
            <v>2010 or before</v>
          </cell>
        </row>
        <row r="7501">
          <cell r="E7501">
            <v>16.64</v>
          </cell>
          <cell r="Z7501" t="str">
            <v>Legacy</v>
          </cell>
          <cell r="AA7501" t="str">
            <v>$1K or Below</v>
          </cell>
          <cell r="AB7501" t="str">
            <v>2010 or before</v>
          </cell>
        </row>
        <row r="7502">
          <cell r="E7502">
            <v>16.5</v>
          </cell>
          <cell r="Z7502" t="str">
            <v>Legacy</v>
          </cell>
          <cell r="AA7502" t="str">
            <v>$1K or Below</v>
          </cell>
          <cell r="AB7502" t="str">
            <v>2010 or before</v>
          </cell>
        </row>
        <row r="7503">
          <cell r="E7503">
            <v>16.489999999999998</v>
          </cell>
          <cell r="Z7503" t="str">
            <v>Legacy</v>
          </cell>
          <cell r="AA7503" t="str">
            <v>$1K or Below</v>
          </cell>
          <cell r="AB7503" t="str">
            <v>2010 or before</v>
          </cell>
        </row>
        <row r="7504">
          <cell r="E7504">
            <v>16.48</v>
          </cell>
          <cell r="Z7504" t="str">
            <v>Legacy</v>
          </cell>
          <cell r="AA7504" t="str">
            <v>$1K or Below</v>
          </cell>
          <cell r="AB7504" t="str">
            <v>2010 or before</v>
          </cell>
        </row>
        <row r="7505">
          <cell r="E7505">
            <v>16.48</v>
          </cell>
          <cell r="Z7505" t="str">
            <v>Legacy</v>
          </cell>
          <cell r="AA7505" t="str">
            <v>$1K or Below</v>
          </cell>
          <cell r="AB7505" t="str">
            <v>2010 or before</v>
          </cell>
        </row>
        <row r="7506">
          <cell r="E7506">
            <v>16.47</v>
          </cell>
          <cell r="Z7506" t="str">
            <v>Legacy</v>
          </cell>
          <cell r="AA7506" t="str">
            <v>$1K or Below</v>
          </cell>
          <cell r="AB7506" t="str">
            <v>2010 or before</v>
          </cell>
        </row>
        <row r="7507">
          <cell r="E7507">
            <v>16.28</v>
          </cell>
          <cell r="Z7507" t="str">
            <v>Legacy</v>
          </cell>
          <cell r="AA7507" t="str">
            <v>$1K or Below</v>
          </cell>
          <cell r="AB7507" t="str">
            <v>2010 or before</v>
          </cell>
        </row>
        <row r="7508">
          <cell r="E7508">
            <v>16.14</v>
          </cell>
          <cell r="Z7508" t="str">
            <v>Legacy</v>
          </cell>
          <cell r="AA7508" t="str">
            <v>$1K or Below</v>
          </cell>
          <cell r="AB7508" t="str">
            <v>2010 or before</v>
          </cell>
        </row>
        <row r="7509">
          <cell r="E7509">
            <v>16</v>
          </cell>
          <cell r="Z7509" t="str">
            <v>Legacy</v>
          </cell>
          <cell r="AA7509" t="str">
            <v>$1K or Below</v>
          </cell>
          <cell r="AB7509" t="str">
            <v>2010 or before</v>
          </cell>
        </row>
        <row r="7510">
          <cell r="E7510">
            <v>15.99</v>
          </cell>
          <cell r="Z7510" t="str">
            <v>Legacy</v>
          </cell>
          <cell r="AA7510" t="str">
            <v>$1K or Below</v>
          </cell>
          <cell r="AB7510" t="str">
            <v>2010 or before</v>
          </cell>
        </row>
        <row r="7511">
          <cell r="E7511">
            <v>15.99</v>
          </cell>
          <cell r="Z7511" t="str">
            <v>Legacy</v>
          </cell>
          <cell r="AA7511" t="str">
            <v>$1K or Below</v>
          </cell>
          <cell r="AB7511">
            <v>2012</v>
          </cell>
        </row>
        <row r="7512">
          <cell r="E7512">
            <v>15.99</v>
          </cell>
          <cell r="Z7512" t="str">
            <v>Legacy</v>
          </cell>
          <cell r="AA7512" t="str">
            <v>$1K or Below</v>
          </cell>
          <cell r="AB7512" t="str">
            <v>2010 or before</v>
          </cell>
        </row>
        <row r="7513">
          <cell r="E7513">
            <v>15.99</v>
          </cell>
          <cell r="Z7513" t="str">
            <v>Legacy</v>
          </cell>
          <cell r="AA7513" t="str">
            <v>$1K or Below</v>
          </cell>
          <cell r="AB7513" t="str">
            <v>2010 or before</v>
          </cell>
        </row>
        <row r="7514">
          <cell r="E7514">
            <v>15.99</v>
          </cell>
          <cell r="Z7514" t="str">
            <v>Legacy</v>
          </cell>
          <cell r="AA7514" t="str">
            <v>$1K or Below</v>
          </cell>
          <cell r="AB7514" t="str">
            <v>2010 or before</v>
          </cell>
        </row>
        <row r="7515">
          <cell r="E7515">
            <v>15.98</v>
          </cell>
          <cell r="Z7515" t="str">
            <v>Legacy</v>
          </cell>
          <cell r="AA7515" t="str">
            <v>$1K or Below</v>
          </cell>
          <cell r="AB7515" t="str">
            <v>2010 or before</v>
          </cell>
        </row>
        <row r="7516">
          <cell r="E7516">
            <v>15.98</v>
          </cell>
          <cell r="Z7516" t="str">
            <v>Inbound</v>
          </cell>
          <cell r="AA7516" t="str">
            <v>$1K or Below</v>
          </cell>
          <cell r="AB7516">
            <v>2012</v>
          </cell>
        </row>
        <row r="7517">
          <cell r="E7517">
            <v>15.98</v>
          </cell>
          <cell r="Z7517" t="str">
            <v>Legacy</v>
          </cell>
          <cell r="AA7517" t="str">
            <v>$1K or Below</v>
          </cell>
          <cell r="AB7517" t="str">
            <v>2010 or before</v>
          </cell>
        </row>
        <row r="7518">
          <cell r="E7518">
            <v>15.96</v>
          </cell>
          <cell r="Z7518" t="str">
            <v>Legacy</v>
          </cell>
          <cell r="AA7518" t="str">
            <v>$1K or Below</v>
          </cell>
          <cell r="AB7518">
            <v>2011</v>
          </cell>
        </row>
        <row r="7519">
          <cell r="E7519">
            <v>15.95</v>
          </cell>
          <cell r="Z7519" t="str">
            <v>Legacy</v>
          </cell>
          <cell r="AA7519" t="str">
            <v>$1K or Below</v>
          </cell>
          <cell r="AB7519" t="str">
            <v>2010 or before</v>
          </cell>
        </row>
        <row r="7520">
          <cell r="E7520">
            <v>15.94</v>
          </cell>
          <cell r="Z7520" t="str">
            <v>Legacy</v>
          </cell>
          <cell r="AA7520" t="str">
            <v>$1K or Below</v>
          </cell>
          <cell r="AB7520" t="str">
            <v>2010 or before</v>
          </cell>
        </row>
        <row r="7521">
          <cell r="E7521">
            <v>15.93</v>
          </cell>
          <cell r="Z7521" t="str">
            <v>Legacy</v>
          </cell>
          <cell r="AA7521" t="str">
            <v>$1K or Below</v>
          </cell>
          <cell r="AB7521" t="str">
            <v>2010 or before</v>
          </cell>
        </row>
        <row r="7522">
          <cell r="E7522">
            <v>15.93</v>
          </cell>
          <cell r="Z7522" t="str">
            <v>Legacy</v>
          </cell>
          <cell r="AA7522" t="str">
            <v>$1K or Below</v>
          </cell>
          <cell r="AB7522" t="str">
            <v>2010 or before</v>
          </cell>
        </row>
        <row r="7523">
          <cell r="E7523">
            <v>15.88</v>
          </cell>
          <cell r="Z7523" t="str">
            <v>Legacy</v>
          </cell>
          <cell r="AA7523" t="str">
            <v>$1K or Below</v>
          </cell>
          <cell r="AB7523" t="str">
            <v>2010 or before</v>
          </cell>
        </row>
        <row r="7524">
          <cell r="E7524">
            <v>15.85</v>
          </cell>
          <cell r="Z7524" t="str">
            <v>Legacy</v>
          </cell>
          <cell r="AA7524" t="str">
            <v>$1K or Below</v>
          </cell>
          <cell r="AB7524" t="str">
            <v>2010 or before</v>
          </cell>
        </row>
        <row r="7525">
          <cell r="E7525">
            <v>15.84</v>
          </cell>
          <cell r="Z7525" t="str">
            <v>Legacy</v>
          </cell>
          <cell r="AA7525" t="str">
            <v>$1K or Below</v>
          </cell>
          <cell r="AB7525" t="str">
            <v>2010 or before</v>
          </cell>
        </row>
        <row r="7526">
          <cell r="E7526">
            <v>15.82</v>
          </cell>
          <cell r="Z7526" t="str">
            <v>Legacy</v>
          </cell>
          <cell r="AA7526" t="str">
            <v>$1K or Below</v>
          </cell>
          <cell r="AB7526" t="str">
            <v>2010 or before</v>
          </cell>
        </row>
        <row r="7527">
          <cell r="E7527">
            <v>15.69</v>
          </cell>
          <cell r="Z7527" t="str">
            <v>Legacy</v>
          </cell>
          <cell r="AA7527" t="str">
            <v>$1K or Below</v>
          </cell>
          <cell r="AB7527">
            <v>2011</v>
          </cell>
        </row>
        <row r="7528">
          <cell r="E7528">
            <v>15.68</v>
          </cell>
          <cell r="Z7528" t="str">
            <v>Legacy</v>
          </cell>
          <cell r="AA7528" t="str">
            <v>$1K or Below</v>
          </cell>
          <cell r="AB7528" t="str">
            <v>2010 or before</v>
          </cell>
        </row>
        <row r="7529">
          <cell r="E7529">
            <v>15.65</v>
          </cell>
          <cell r="Z7529" t="str">
            <v>Legacy</v>
          </cell>
          <cell r="AA7529" t="str">
            <v>$1K or Below</v>
          </cell>
          <cell r="AB7529" t="str">
            <v>2010 or before</v>
          </cell>
        </row>
        <row r="7530">
          <cell r="E7530">
            <v>15.49</v>
          </cell>
          <cell r="Z7530" t="str">
            <v>Legacy</v>
          </cell>
          <cell r="AA7530" t="str">
            <v>$1K or Below</v>
          </cell>
          <cell r="AB7530" t="str">
            <v>2010 or before</v>
          </cell>
        </row>
        <row r="7531">
          <cell r="E7531">
            <v>15.48</v>
          </cell>
          <cell r="Z7531" t="str">
            <v>Legacy</v>
          </cell>
          <cell r="AA7531" t="str">
            <v>$1K or Below</v>
          </cell>
          <cell r="AB7531" t="str">
            <v>2010 or before</v>
          </cell>
        </row>
        <row r="7532">
          <cell r="E7532">
            <v>15.48</v>
          </cell>
          <cell r="Z7532" t="str">
            <v>Legacy</v>
          </cell>
          <cell r="AA7532" t="str">
            <v>$1K or Below</v>
          </cell>
          <cell r="AB7532" t="str">
            <v>2010 or before</v>
          </cell>
        </row>
        <row r="7533">
          <cell r="E7533">
            <v>15.48</v>
          </cell>
          <cell r="Z7533" t="str">
            <v>Legacy</v>
          </cell>
          <cell r="AA7533" t="str">
            <v>$1K or Below</v>
          </cell>
          <cell r="AB7533" t="str">
            <v>2010 or before</v>
          </cell>
        </row>
        <row r="7534">
          <cell r="E7534">
            <v>15.44</v>
          </cell>
          <cell r="Z7534" t="str">
            <v>Legacy</v>
          </cell>
          <cell r="AA7534" t="str">
            <v>$1K or Below</v>
          </cell>
          <cell r="AB7534" t="str">
            <v>2010 or before</v>
          </cell>
        </row>
        <row r="7535">
          <cell r="E7535">
            <v>15.36</v>
          </cell>
          <cell r="Z7535" t="str">
            <v>Legacy</v>
          </cell>
          <cell r="AA7535" t="str">
            <v>$1K or Below</v>
          </cell>
          <cell r="AB7535" t="str">
            <v>2010 or before</v>
          </cell>
        </row>
        <row r="7536">
          <cell r="E7536">
            <v>15.34</v>
          </cell>
          <cell r="Z7536" t="str">
            <v>Legacy</v>
          </cell>
          <cell r="AA7536" t="str">
            <v>$1K or Below</v>
          </cell>
          <cell r="AB7536" t="str">
            <v>2010 or before</v>
          </cell>
        </row>
        <row r="7537">
          <cell r="E7537">
            <v>15.23</v>
          </cell>
          <cell r="Z7537" t="str">
            <v>Legacy</v>
          </cell>
          <cell r="AA7537" t="str">
            <v>$1K or Below</v>
          </cell>
          <cell r="AB7537" t="str">
            <v>2010 or before</v>
          </cell>
        </row>
        <row r="7538">
          <cell r="E7538">
            <v>15</v>
          </cell>
          <cell r="Z7538" t="str">
            <v>Legacy</v>
          </cell>
          <cell r="AA7538" t="str">
            <v>$1K or Below</v>
          </cell>
          <cell r="AB7538" t="str">
            <v>2010 or before</v>
          </cell>
        </row>
        <row r="7539">
          <cell r="E7539">
            <v>14.99</v>
          </cell>
          <cell r="Z7539" t="str">
            <v>Legacy</v>
          </cell>
          <cell r="AA7539" t="str">
            <v>$1K or Below</v>
          </cell>
          <cell r="AB7539" t="str">
            <v>2010 or before</v>
          </cell>
        </row>
        <row r="7540">
          <cell r="E7540">
            <v>14.99</v>
          </cell>
          <cell r="Z7540" t="str">
            <v>Legacy</v>
          </cell>
          <cell r="AA7540" t="str">
            <v>$1K or Below</v>
          </cell>
          <cell r="AB7540">
            <v>2012</v>
          </cell>
        </row>
        <row r="7541">
          <cell r="E7541">
            <v>14.99</v>
          </cell>
          <cell r="Z7541" t="str">
            <v>Legacy</v>
          </cell>
          <cell r="AA7541" t="str">
            <v>$1K or Below</v>
          </cell>
          <cell r="AB7541" t="str">
            <v>2010 or before</v>
          </cell>
        </row>
        <row r="7542">
          <cell r="E7542">
            <v>14.99</v>
          </cell>
          <cell r="Z7542" t="str">
            <v>Legacy</v>
          </cell>
          <cell r="AA7542" t="str">
            <v>$1K or Below</v>
          </cell>
          <cell r="AB7542" t="str">
            <v>2010 or before</v>
          </cell>
        </row>
        <row r="7543">
          <cell r="E7543">
            <v>14.99</v>
          </cell>
          <cell r="Z7543" t="str">
            <v>Legacy</v>
          </cell>
          <cell r="AA7543" t="str">
            <v>$1K or Below</v>
          </cell>
          <cell r="AB7543" t="str">
            <v>2010 or before</v>
          </cell>
        </row>
        <row r="7544">
          <cell r="E7544">
            <v>14.99</v>
          </cell>
          <cell r="Z7544" t="str">
            <v>Legacy</v>
          </cell>
          <cell r="AA7544" t="str">
            <v>$1K or Below</v>
          </cell>
          <cell r="AB7544" t="str">
            <v>2010 or before</v>
          </cell>
        </row>
        <row r="7545">
          <cell r="E7545">
            <v>14.99</v>
          </cell>
          <cell r="Z7545" t="str">
            <v>Legacy</v>
          </cell>
          <cell r="AA7545" t="str">
            <v>$1K or Below</v>
          </cell>
          <cell r="AB7545" t="str">
            <v>2010 or before</v>
          </cell>
        </row>
        <row r="7546">
          <cell r="E7546">
            <v>14.99</v>
          </cell>
          <cell r="Z7546" t="str">
            <v>Legacy</v>
          </cell>
          <cell r="AA7546" t="str">
            <v>$1K or Below</v>
          </cell>
          <cell r="AB7546" t="str">
            <v>2010 or before</v>
          </cell>
        </row>
        <row r="7547">
          <cell r="E7547">
            <v>14.99</v>
          </cell>
          <cell r="Z7547" t="str">
            <v>Legacy</v>
          </cell>
          <cell r="AA7547" t="str">
            <v>$1K or Below</v>
          </cell>
          <cell r="AB7547" t="str">
            <v>2010 or before</v>
          </cell>
        </row>
        <row r="7548">
          <cell r="E7548">
            <v>14.99</v>
          </cell>
          <cell r="Z7548" t="str">
            <v>Legacy</v>
          </cell>
          <cell r="AA7548" t="str">
            <v>$1K or Below</v>
          </cell>
          <cell r="AB7548" t="str">
            <v>2010 or before</v>
          </cell>
        </row>
        <row r="7549">
          <cell r="E7549">
            <v>14.99</v>
          </cell>
          <cell r="Z7549" t="str">
            <v>Legacy</v>
          </cell>
          <cell r="AA7549" t="str">
            <v>$1K or Below</v>
          </cell>
          <cell r="AB7549" t="str">
            <v>2010 or before</v>
          </cell>
        </row>
        <row r="7550">
          <cell r="E7550">
            <v>14.98</v>
          </cell>
          <cell r="Z7550" t="str">
            <v>Legacy</v>
          </cell>
          <cell r="AA7550" t="str">
            <v>$1K or Below</v>
          </cell>
          <cell r="AB7550" t="str">
            <v>2010 or before</v>
          </cell>
        </row>
        <row r="7551">
          <cell r="E7551">
            <v>14.98</v>
          </cell>
          <cell r="Z7551" t="str">
            <v>Legacy</v>
          </cell>
          <cell r="AA7551" t="str">
            <v>$1K or Below</v>
          </cell>
          <cell r="AB7551" t="str">
            <v>2010 or before</v>
          </cell>
        </row>
        <row r="7552">
          <cell r="E7552">
            <v>14.98</v>
          </cell>
          <cell r="Z7552" t="str">
            <v>Legacy</v>
          </cell>
          <cell r="AA7552" t="str">
            <v>$1K or Below</v>
          </cell>
          <cell r="AB7552">
            <v>2012</v>
          </cell>
        </row>
        <row r="7553">
          <cell r="E7553">
            <v>14.98</v>
          </cell>
          <cell r="Z7553" t="str">
            <v>Legacy</v>
          </cell>
          <cell r="AA7553" t="str">
            <v>$1K or Below</v>
          </cell>
          <cell r="AB7553" t="str">
            <v>2010 or before</v>
          </cell>
        </row>
        <row r="7554">
          <cell r="E7554">
            <v>14.98</v>
          </cell>
          <cell r="Z7554" t="str">
            <v>Legacy</v>
          </cell>
          <cell r="AA7554" t="str">
            <v>$1K or Below</v>
          </cell>
          <cell r="AB7554" t="str">
            <v>2010 or before</v>
          </cell>
        </row>
        <row r="7555">
          <cell r="E7555">
            <v>14.98</v>
          </cell>
          <cell r="Z7555" t="str">
            <v>Legacy</v>
          </cell>
          <cell r="AA7555" t="str">
            <v>$1K or Below</v>
          </cell>
          <cell r="AB7555" t="str">
            <v>2010 or before</v>
          </cell>
        </row>
        <row r="7556">
          <cell r="E7556">
            <v>14.98</v>
          </cell>
          <cell r="Z7556" t="str">
            <v>Legacy</v>
          </cell>
          <cell r="AA7556" t="str">
            <v>$1K or Below</v>
          </cell>
          <cell r="AB7556" t="str">
            <v>2010 or before</v>
          </cell>
        </row>
        <row r="7557">
          <cell r="E7557">
            <v>14.98</v>
          </cell>
          <cell r="Z7557" t="str">
            <v>Legacy</v>
          </cell>
          <cell r="AA7557" t="str">
            <v>$1K or Below</v>
          </cell>
          <cell r="AB7557" t="str">
            <v>2010 or before</v>
          </cell>
        </row>
        <row r="7558">
          <cell r="E7558">
            <v>14.98</v>
          </cell>
          <cell r="Z7558" t="str">
            <v>Legacy</v>
          </cell>
          <cell r="AA7558" t="str">
            <v>$1K or Below</v>
          </cell>
          <cell r="AB7558" t="str">
            <v>2010 or before</v>
          </cell>
        </row>
        <row r="7559">
          <cell r="E7559">
            <v>14.98</v>
          </cell>
          <cell r="Z7559" t="str">
            <v>Legacy</v>
          </cell>
          <cell r="AA7559" t="str">
            <v>$1K or Below</v>
          </cell>
          <cell r="AB7559" t="str">
            <v>2010 or before</v>
          </cell>
        </row>
        <row r="7560">
          <cell r="E7560">
            <v>14.95</v>
          </cell>
          <cell r="Z7560" t="str">
            <v>Legacy</v>
          </cell>
          <cell r="AA7560" t="str">
            <v>$1K or Below</v>
          </cell>
          <cell r="AB7560" t="str">
            <v>2010 or before</v>
          </cell>
        </row>
        <row r="7561">
          <cell r="E7561">
            <v>14.95</v>
          </cell>
          <cell r="Z7561" t="str">
            <v>Legacy</v>
          </cell>
          <cell r="AA7561" t="str">
            <v>$1K or Below</v>
          </cell>
          <cell r="AB7561" t="str">
            <v>2010 or before</v>
          </cell>
        </row>
        <row r="7562">
          <cell r="E7562">
            <v>14.94</v>
          </cell>
          <cell r="Z7562" t="str">
            <v>Legacy</v>
          </cell>
          <cell r="AA7562" t="str">
            <v>$1K or Below</v>
          </cell>
          <cell r="AB7562" t="str">
            <v>2010 or before</v>
          </cell>
        </row>
        <row r="7563">
          <cell r="E7563">
            <v>14.94</v>
          </cell>
          <cell r="Z7563" t="str">
            <v>Legacy</v>
          </cell>
          <cell r="AA7563" t="str">
            <v>$1K or Below</v>
          </cell>
          <cell r="AB7563" t="str">
            <v>2010 or before</v>
          </cell>
        </row>
        <row r="7564">
          <cell r="E7564">
            <v>14.94</v>
          </cell>
          <cell r="Z7564" t="str">
            <v>Legacy</v>
          </cell>
          <cell r="AA7564" t="str">
            <v>$1K or Below</v>
          </cell>
          <cell r="AB7564">
            <v>2012</v>
          </cell>
        </row>
        <row r="7565">
          <cell r="E7565">
            <v>14.94</v>
          </cell>
          <cell r="Z7565" t="str">
            <v>Legacy</v>
          </cell>
          <cell r="AA7565" t="str">
            <v>$1K or Below</v>
          </cell>
          <cell r="AB7565" t="str">
            <v>2010 or before</v>
          </cell>
        </row>
        <row r="7566">
          <cell r="E7566">
            <v>14.94</v>
          </cell>
          <cell r="Z7566" t="str">
            <v>Legacy</v>
          </cell>
          <cell r="AA7566" t="str">
            <v>$1K or Below</v>
          </cell>
          <cell r="AB7566" t="str">
            <v>2010 or before</v>
          </cell>
        </row>
        <row r="7567">
          <cell r="E7567">
            <v>14.9</v>
          </cell>
          <cell r="Z7567" t="str">
            <v>Legacy</v>
          </cell>
          <cell r="AA7567" t="str">
            <v>$1K or Below</v>
          </cell>
          <cell r="AB7567" t="str">
            <v>2010 or before</v>
          </cell>
        </row>
        <row r="7568">
          <cell r="E7568">
            <v>14.89</v>
          </cell>
          <cell r="Z7568" t="str">
            <v>Legacy</v>
          </cell>
          <cell r="AA7568" t="str">
            <v>$1K or Below</v>
          </cell>
          <cell r="AB7568" t="str">
            <v>2010 or before</v>
          </cell>
        </row>
        <row r="7569">
          <cell r="E7569">
            <v>14.88</v>
          </cell>
          <cell r="Z7569" t="str">
            <v>Ungating</v>
          </cell>
          <cell r="AA7569" t="str">
            <v>$1K or Below</v>
          </cell>
          <cell r="AB7569">
            <v>2013</v>
          </cell>
        </row>
        <row r="7570">
          <cell r="E7570">
            <v>14.85</v>
          </cell>
          <cell r="Z7570" t="str">
            <v>Legacy</v>
          </cell>
          <cell r="AA7570" t="str">
            <v>$1K or Below</v>
          </cell>
          <cell r="AB7570" t="str">
            <v>2010 or before</v>
          </cell>
        </row>
        <row r="7571">
          <cell r="E7571">
            <v>14.85</v>
          </cell>
          <cell r="Z7571" t="str">
            <v>Legacy</v>
          </cell>
          <cell r="AA7571" t="str">
            <v>$1K or Below</v>
          </cell>
          <cell r="AB7571" t="str">
            <v>2010 or before</v>
          </cell>
        </row>
        <row r="7572">
          <cell r="E7572">
            <v>14.83</v>
          </cell>
          <cell r="Z7572" t="str">
            <v>Legacy</v>
          </cell>
          <cell r="AA7572" t="str">
            <v>$1K or Below</v>
          </cell>
          <cell r="AB7572" t="str">
            <v>2010 or before</v>
          </cell>
        </row>
        <row r="7573">
          <cell r="E7573">
            <v>14.78</v>
          </cell>
          <cell r="Z7573" t="str">
            <v>Legacy</v>
          </cell>
          <cell r="AA7573" t="str">
            <v>$1K or Below</v>
          </cell>
          <cell r="AB7573" t="str">
            <v>2010 or before</v>
          </cell>
        </row>
        <row r="7574">
          <cell r="E7574">
            <v>14.76</v>
          </cell>
          <cell r="Z7574" t="str">
            <v>Legacy</v>
          </cell>
          <cell r="AA7574" t="str">
            <v>$1K or Below</v>
          </cell>
          <cell r="AB7574" t="str">
            <v>2010 or before</v>
          </cell>
        </row>
        <row r="7575">
          <cell r="E7575">
            <v>14.75</v>
          </cell>
          <cell r="Z7575" t="str">
            <v>Legacy</v>
          </cell>
          <cell r="AA7575" t="str">
            <v>$1K or Below</v>
          </cell>
          <cell r="AB7575" t="str">
            <v>2010 or before</v>
          </cell>
        </row>
        <row r="7576">
          <cell r="E7576">
            <v>14.68</v>
          </cell>
          <cell r="Z7576" t="str">
            <v>Legacy</v>
          </cell>
          <cell r="AA7576" t="str">
            <v>$1K or Below</v>
          </cell>
          <cell r="AB7576" t="str">
            <v>2010 or before</v>
          </cell>
        </row>
        <row r="7577">
          <cell r="E7577">
            <v>14.56</v>
          </cell>
          <cell r="Z7577" t="str">
            <v>Legacy</v>
          </cell>
          <cell r="AA7577" t="str">
            <v>$1K or Below</v>
          </cell>
          <cell r="AB7577" t="str">
            <v>2010 or before</v>
          </cell>
        </row>
        <row r="7578">
          <cell r="E7578">
            <v>14.5</v>
          </cell>
          <cell r="Z7578" t="str">
            <v>Legacy</v>
          </cell>
          <cell r="AA7578" t="str">
            <v>$1K or Below</v>
          </cell>
          <cell r="AB7578" t="str">
            <v>2010 or before</v>
          </cell>
        </row>
        <row r="7579">
          <cell r="E7579">
            <v>14.49</v>
          </cell>
          <cell r="Z7579" t="str">
            <v>Legacy</v>
          </cell>
          <cell r="AA7579" t="str">
            <v>$1K or Below</v>
          </cell>
          <cell r="AB7579" t="str">
            <v>2010 or before</v>
          </cell>
        </row>
        <row r="7580">
          <cell r="E7580">
            <v>14.48</v>
          </cell>
          <cell r="Z7580" t="str">
            <v>Legacy</v>
          </cell>
          <cell r="AA7580" t="str">
            <v>$1K or Below</v>
          </cell>
          <cell r="AB7580" t="str">
            <v>2010 or before</v>
          </cell>
        </row>
        <row r="7581">
          <cell r="E7581">
            <v>14.48</v>
          </cell>
          <cell r="Z7581" t="str">
            <v>Legacy</v>
          </cell>
          <cell r="AA7581" t="str">
            <v>$1K or Below</v>
          </cell>
          <cell r="AB7581">
            <v>2012</v>
          </cell>
        </row>
        <row r="7582">
          <cell r="E7582">
            <v>14.47</v>
          </cell>
          <cell r="Z7582" t="str">
            <v>Legacy</v>
          </cell>
          <cell r="AA7582" t="str">
            <v>$1K or Below</v>
          </cell>
          <cell r="AB7582" t="str">
            <v>2010 or before</v>
          </cell>
        </row>
        <row r="7583">
          <cell r="E7583">
            <v>14.44</v>
          </cell>
          <cell r="Z7583" t="str">
            <v>Legacy</v>
          </cell>
          <cell r="AA7583" t="str">
            <v>$1K or Below</v>
          </cell>
          <cell r="AB7583" t="str">
            <v>2010 or before</v>
          </cell>
        </row>
        <row r="7584">
          <cell r="E7584">
            <v>14.36</v>
          </cell>
          <cell r="Z7584" t="str">
            <v>Legacy</v>
          </cell>
          <cell r="AA7584" t="str">
            <v>$1K or Below</v>
          </cell>
          <cell r="AB7584" t="str">
            <v>2010 or before</v>
          </cell>
        </row>
        <row r="7585">
          <cell r="E7585">
            <v>14.13</v>
          </cell>
          <cell r="Z7585" t="str">
            <v>Legacy</v>
          </cell>
          <cell r="AA7585" t="str">
            <v>$1K or Below</v>
          </cell>
          <cell r="AB7585" t="str">
            <v>2010 or before</v>
          </cell>
        </row>
        <row r="7586">
          <cell r="E7586">
            <v>14</v>
          </cell>
          <cell r="Z7586" t="str">
            <v>Legacy</v>
          </cell>
          <cell r="AA7586" t="str">
            <v>$1K or Below</v>
          </cell>
          <cell r="AB7586" t="str">
            <v>2010 or before</v>
          </cell>
        </row>
        <row r="7587">
          <cell r="E7587">
            <v>13.99</v>
          </cell>
          <cell r="Z7587" t="str">
            <v>Legacy</v>
          </cell>
          <cell r="AA7587" t="str">
            <v>$1K or Below</v>
          </cell>
          <cell r="AB7587" t="str">
            <v>2010 or before</v>
          </cell>
        </row>
        <row r="7588">
          <cell r="E7588">
            <v>13.99</v>
          </cell>
          <cell r="Z7588" t="str">
            <v>Legacy</v>
          </cell>
          <cell r="AA7588" t="str">
            <v>$1K or Below</v>
          </cell>
          <cell r="AB7588" t="str">
            <v>2010 or before</v>
          </cell>
        </row>
        <row r="7589">
          <cell r="E7589">
            <v>13.99</v>
          </cell>
          <cell r="Z7589" t="str">
            <v>Legacy</v>
          </cell>
          <cell r="AA7589" t="str">
            <v>$1K or Below</v>
          </cell>
          <cell r="AB7589" t="str">
            <v>2010 or before</v>
          </cell>
        </row>
        <row r="7590">
          <cell r="E7590">
            <v>13.99</v>
          </cell>
          <cell r="Z7590" t="str">
            <v>Legacy</v>
          </cell>
          <cell r="AA7590" t="str">
            <v>$1K or Below</v>
          </cell>
          <cell r="AB7590" t="str">
            <v>2010 or before</v>
          </cell>
        </row>
        <row r="7591">
          <cell r="E7591">
            <v>13.98</v>
          </cell>
          <cell r="Z7591" t="str">
            <v>Legacy</v>
          </cell>
          <cell r="AA7591" t="str">
            <v>$1K or Below</v>
          </cell>
          <cell r="AB7591" t="str">
            <v>2010 or before</v>
          </cell>
        </row>
        <row r="7592">
          <cell r="E7592">
            <v>13.98</v>
          </cell>
          <cell r="Z7592" t="str">
            <v>Legacy</v>
          </cell>
          <cell r="AA7592" t="str">
            <v>$1K or Below</v>
          </cell>
          <cell r="AB7592" t="str">
            <v>2010 or before</v>
          </cell>
        </row>
        <row r="7593">
          <cell r="E7593">
            <v>13.98</v>
          </cell>
          <cell r="Z7593" t="str">
            <v>Legacy</v>
          </cell>
          <cell r="AA7593" t="str">
            <v>$1K or Below</v>
          </cell>
          <cell r="AB7593" t="str">
            <v>2010 or before</v>
          </cell>
        </row>
        <row r="7594">
          <cell r="E7594">
            <v>13.98</v>
          </cell>
          <cell r="Z7594" t="str">
            <v>Legacy</v>
          </cell>
          <cell r="AA7594" t="str">
            <v>$1K or Below</v>
          </cell>
          <cell r="AB7594" t="str">
            <v>2010 or before</v>
          </cell>
        </row>
        <row r="7595">
          <cell r="E7595">
            <v>13.97</v>
          </cell>
          <cell r="Z7595" t="str">
            <v>Legacy</v>
          </cell>
          <cell r="AA7595" t="str">
            <v>$1K or Below</v>
          </cell>
          <cell r="AB7595" t="str">
            <v>2010 or before</v>
          </cell>
        </row>
        <row r="7596">
          <cell r="E7596">
            <v>13.96</v>
          </cell>
          <cell r="Z7596" t="str">
            <v>Legacy</v>
          </cell>
          <cell r="AA7596" t="str">
            <v>$1K or Below</v>
          </cell>
          <cell r="AB7596" t="str">
            <v>2010 or before</v>
          </cell>
        </row>
        <row r="7597">
          <cell r="E7597">
            <v>13.96</v>
          </cell>
          <cell r="Z7597" t="str">
            <v>Legacy</v>
          </cell>
          <cell r="AA7597" t="str">
            <v>$1K or Below</v>
          </cell>
          <cell r="AB7597" t="str">
            <v>2010 or before</v>
          </cell>
        </row>
        <row r="7598">
          <cell r="E7598">
            <v>13.96</v>
          </cell>
          <cell r="Z7598" t="str">
            <v>Legacy</v>
          </cell>
          <cell r="AA7598" t="str">
            <v>$1K or Below</v>
          </cell>
          <cell r="AB7598" t="str">
            <v>2010 or before</v>
          </cell>
        </row>
        <row r="7599">
          <cell r="E7599">
            <v>13.94</v>
          </cell>
          <cell r="Z7599" t="str">
            <v>Legacy</v>
          </cell>
          <cell r="AA7599" t="str">
            <v>$1K or Below</v>
          </cell>
          <cell r="AB7599" t="str">
            <v>2010 or before</v>
          </cell>
        </row>
        <row r="7600">
          <cell r="E7600">
            <v>13.89</v>
          </cell>
          <cell r="Z7600" t="str">
            <v>Legacy</v>
          </cell>
          <cell r="AA7600" t="str">
            <v>$1K or Below</v>
          </cell>
          <cell r="AB7600" t="str">
            <v>2010 or before</v>
          </cell>
        </row>
        <row r="7601">
          <cell r="E7601">
            <v>13.88</v>
          </cell>
          <cell r="Z7601" t="str">
            <v>Legacy</v>
          </cell>
          <cell r="AA7601" t="str">
            <v>$1K or Below</v>
          </cell>
          <cell r="AB7601" t="str">
            <v>2010 or before</v>
          </cell>
        </row>
        <row r="7602">
          <cell r="E7602">
            <v>13.87</v>
          </cell>
          <cell r="Z7602" t="str">
            <v>Legacy</v>
          </cell>
          <cell r="AA7602" t="str">
            <v>$1K or Below</v>
          </cell>
          <cell r="AB7602" t="str">
            <v>2010 or before</v>
          </cell>
        </row>
        <row r="7603">
          <cell r="E7603">
            <v>13.86</v>
          </cell>
          <cell r="Z7603" t="str">
            <v>Legacy</v>
          </cell>
          <cell r="AA7603" t="str">
            <v>$1K or Below</v>
          </cell>
          <cell r="AB7603" t="str">
            <v>2010 or before</v>
          </cell>
        </row>
        <row r="7604">
          <cell r="E7604">
            <v>13.8</v>
          </cell>
          <cell r="Z7604" t="str">
            <v>Legacy</v>
          </cell>
          <cell r="AA7604" t="str">
            <v>$1K or Below</v>
          </cell>
          <cell r="AB7604" t="str">
            <v>2010 or before</v>
          </cell>
        </row>
        <row r="7605">
          <cell r="E7605">
            <v>13.78</v>
          </cell>
          <cell r="Z7605" t="str">
            <v>Legacy</v>
          </cell>
          <cell r="AA7605" t="str">
            <v>$1K or Below</v>
          </cell>
          <cell r="AB7605" t="str">
            <v>2010 or before</v>
          </cell>
        </row>
        <row r="7606">
          <cell r="E7606">
            <v>13.76</v>
          </cell>
          <cell r="Z7606" t="str">
            <v>Legacy</v>
          </cell>
          <cell r="AA7606" t="str">
            <v>$1K or Below</v>
          </cell>
          <cell r="AB7606" t="str">
            <v>2010 or before</v>
          </cell>
        </row>
        <row r="7607">
          <cell r="E7607">
            <v>13.61</v>
          </cell>
          <cell r="Z7607" t="str">
            <v>Legacy</v>
          </cell>
          <cell r="AA7607" t="str">
            <v>$1K or Below</v>
          </cell>
          <cell r="AB7607" t="str">
            <v>2010 or before</v>
          </cell>
        </row>
        <row r="7608">
          <cell r="E7608">
            <v>13.57</v>
          </cell>
          <cell r="Z7608" t="str">
            <v>Legacy</v>
          </cell>
          <cell r="AA7608" t="str">
            <v>$1K or Below</v>
          </cell>
          <cell r="AB7608" t="str">
            <v>2010 or before</v>
          </cell>
        </row>
        <row r="7609">
          <cell r="E7609">
            <v>13.5</v>
          </cell>
          <cell r="Z7609" t="str">
            <v>Inbound</v>
          </cell>
          <cell r="AA7609" t="str">
            <v>$1K or Below</v>
          </cell>
          <cell r="AB7609">
            <v>2013</v>
          </cell>
        </row>
        <row r="7610">
          <cell r="E7610">
            <v>13.49</v>
          </cell>
          <cell r="Z7610" t="str">
            <v>Legacy</v>
          </cell>
          <cell r="AA7610" t="str">
            <v>$1K or Below</v>
          </cell>
          <cell r="AB7610" t="str">
            <v>2010 or before</v>
          </cell>
        </row>
        <row r="7611">
          <cell r="E7611">
            <v>13.49</v>
          </cell>
          <cell r="Z7611" t="str">
            <v>Legacy</v>
          </cell>
          <cell r="AA7611" t="str">
            <v>$1K or Below</v>
          </cell>
          <cell r="AB7611" t="str">
            <v>2010 or before</v>
          </cell>
        </row>
        <row r="7612">
          <cell r="E7612">
            <v>13.48</v>
          </cell>
          <cell r="Z7612" t="str">
            <v>Legacy</v>
          </cell>
          <cell r="AA7612" t="str">
            <v>$1K or Below</v>
          </cell>
          <cell r="AB7612" t="str">
            <v>2010 or before</v>
          </cell>
        </row>
        <row r="7613">
          <cell r="E7613">
            <v>13.48</v>
          </cell>
          <cell r="Z7613" t="str">
            <v>Legacy</v>
          </cell>
          <cell r="AA7613" t="str">
            <v>$1K or Below</v>
          </cell>
          <cell r="AB7613" t="str">
            <v>2010 or before</v>
          </cell>
        </row>
        <row r="7614">
          <cell r="E7614">
            <v>13.48</v>
          </cell>
          <cell r="Z7614" t="str">
            <v>Legacy</v>
          </cell>
          <cell r="AA7614" t="str">
            <v>$1K or Below</v>
          </cell>
          <cell r="AB7614" t="str">
            <v>2010 or before</v>
          </cell>
        </row>
        <row r="7615">
          <cell r="E7615">
            <v>13.48</v>
          </cell>
          <cell r="Z7615" t="str">
            <v>Legacy</v>
          </cell>
          <cell r="AA7615" t="str">
            <v>$1K or Below</v>
          </cell>
          <cell r="AB7615" t="str">
            <v>2010 or before</v>
          </cell>
        </row>
        <row r="7616">
          <cell r="E7616">
            <v>13.32</v>
          </cell>
          <cell r="Z7616" t="str">
            <v>Legacy</v>
          </cell>
          <cell r="AA7616" t="str">
            <v>$1K or Below</v>
          </cell>
          <cell r="AB7616" t="str">
            <v>2010 or before</v>
          </cell>
        </row>
        <row r="7617">
          <cell r="E7617">
            <v>13.25</v>
          </cell>
          <cell r="Z7617" t="str">
            <v>Legacy</v>
          </cell>
          <cell r="AA7617" t="str">
            <v>$1K or Below</v>
          </cell>
          <cell r="AB7617" t="str">
            <v>2010 or before</v>
          </cell>
        </row>
        <row r="7618">
          <cell r="E7618">
            <v>13.06</v>
          </cell>
          <cell r="Z7618" t="str">
            <v>Legacy</v>
          </cell>
          <cell r="AA7618" t="str">
            <v>$1K or Below</v>
          </cell>
          <cell r="AB7618" t="str">
            <v>2010 or before</v>
          </cell>
        </row>
        <row r="7619">
          <cell r="E7619">
            <v>12.99</v>
          </cell>
          <cell r="Z7619" t="str">
            <v>Legacy</v>
          </cell>
          <cell r="AA7619" t="str">
            <v>$1K or Below</v>
          </cell>
          <cell r="AB7619" t="str">
            <v>2010 or before</v>
          </cell>
        </row>
        <row r="7620">
          <cell r="E7620">
            <v>12.99</v>
          </cell>
          <cell r="Z7620" t="str">
            <v>Legacy</v>
          </cell>
          <cell r="AA7620" t="str">
            <v>$1K or Below</v>
          </cell>
          <cell r="AB7620">
            <v>2012</v>
          </cell>
        </row>
        <row r="7621">
          <cell r="E7621">
            <v>12.99</v>
          </cell>
          <cell r="Z7621" t="str">
            <v>Legacy</v>
          </cell>
          <cell r="AA7621" t="str">
            <v>$1K or Below</v>
          </cell>
          <cell r="AB7621" t="str">
            <v>2010 or before</v>
          </cell>
        </row>
        <row r="7622">
          <cell r="E7622">
            <v>12.99</v>
          </cell>
          <cell r="Z7622" t="str">
            <v>Legacy</v>
          </cell>
          <cell r="AA7622" t="str">
            <v>$1K or Below</v>
          </cell>
          <cell r="AB7622" t="str">
            <v>2010 or before</v>
          </cell>
        </row>
        <row r="7623">
          <cell r="E7623">
            <v>12.99</v>
          </cell>
          <cell r="Z7623" t="str">
            <v>Legacy</v>
          </cell>
          <cell r="AA7623" t="str">
            <v>$1K or Below</v>
          </cell>
          <cell r="AB7623" t="str">
            <v>2010 or before</v>
          </cell>
        </row>
        <row r="7624">
          <cell r="E7624">
            <v>12.99</v>
          </cell>
          <cell r="Z7624" t="str">
            <v>Legacy</v>
          </cell>
          <cell r="AA7624" t="str">
            <v>$1K or Below</v>
          </cell>
          <cell r="AB7624" t="str">
            <v>2010 or before</v>
          </cell>
        </row>
        <row r="7625">
          <cell r="E7625">
            <v>12.99</v>
          </cell>
          <cell r="Z7625" t="str">
            <v>Legacy</v>
          </cell>
          <cell r="AA7625" t="str">
            <v>$1K or Below</v>
          </cell>
          <cell r="AB7625" t="str">
            <v>2010 or before</v>
          </cell>
        </row>
        <row r="7626">
          <cell r="E7626">
            <v>12.99</v>
          </cell>
          <cell r="Z7626" t="str">
            <v>Legacy</v>
          </cell>
          <cell r="AA7626" t="str">
            <v>$1K or Below</v>
          </cell>
          <cell r="AB7626" t="str">
            <v>2010 or before</v>
          </cell>
        </row>
        <row r="7627">
          <cell r="E7627">
            <v>12.99</v>
          </cell>
          <cell r="Z7627" t="str">
            <v>Legacy</v>
          </cell>
          <cell r="AA7627" t="str">
            <v>$1K or Below</v>
          </cell>
          <cell r="AB7627" t="str">
            <v>2010 or before</v>
          </cell>
        </row>
        <row r="7628">
          <cell r="E7628">
            <v>12.99</v>
          </cell>
          <cell r="Z7628" t="str">
            <v>Legacy</v>
          </cell>
          <cell r="AA7628" t="str">
            <v>$1K or Below</v>
          </cell>
          <cell r="AB7628" t="str">
            <v>2010 or before</v>
          </cell>
        </row>
        <row r="7629">
          <cell r="E7629">
            <v>12.99</v>
          </cell>
          <cell r="Z7629" t="str">
            <v>Legacy</v>
          </cell>
          <cell r="AA7629" t="str">
            <v>$1K or Below</v>
          </cell>
          <cell r="AB7629" t="str">
            <v>2010 or before</v>
          </cell>
        </row>
        <row r="7630">
          <cell r="E7630">
            <v>12.98</v>
          </cell>
          <cell r="Z7630" t="str">
            <v>Legacy</v>
          </cell>
          <cell r="AA7630" t="str">
            <v>$1K or Below</v>
          </cell>
          <cell r="AB7630" t="str">
            <v>2010 or before</v>
          </cell>
        </row>
        <row r="7631">
          <cell r="E7631">
            <v>12.98</v>
          </cell>
          <cell r="Z7631" t="str">
            <v>Legacy</v>
          </cell>
          <cell r="AA7631" t="str">
            <v>$1K or Below</v>
          </cell>
          <cell r="AB7631">
            <v>2012</v>
          </cell>
        </row>
        <row r="7632">
          <cell r="E7632">
            <v>12.98</v>
          </cell>
          <cell r="Z7632" t="str">
            <v>Legacy</v>
          </cell>
          <cell r="AA7632" t="str">
            <v>$1K or Below</v>
          </cell>
          <cell r="AB7632" t="str">
            <v>2010 or before</v>
          </cell>
        </row>
        <row r="7633">
          <cell r="E7633">
            <v>12.98</v>
          </cell>
          <cell r="Z7633" t="str">
            <v>Legacy</v>
          </cell>
          <cell r="AA7633" t="str">
            <v>$1K or Below</v>
          </cell>
          <cell r="AB7633" t="str">
            <v>2010 or before</v>
          </cell>
        </row>
        <row r="7634">
          <cell r="E7634">
            <v>12.98</v>
          </cell>
          <cell r="Z7634" t="str">
            <v>Legacy</v>
          </cell>
          <cell r="AA7634" t="str">
            <v>$1K or Below</v>
          </cell>
          <cell r="AB7634" t="str">
            <v>2010 or before</v>
          </cell>
        </row>
        <row r="7635">
          <cell r="E7635">
            <v>12.98</v>
          </cell>
          <cell r="Z7635" t="str">
            <v>Legacy</v>
          </cell>
          <cell r="AA7635" t="str">
            <v>$1K or Below</v>
          </cell>
          <cell r="AB7635" t="str">
            <v>2010 or before</v>
          </cell>
        </row>
        <row r="7636">
          <cell r="E7636">
            <v>12.98</v>
          </cell>
          <cell r="Z7636" t="str">
            <v>Legacy</v>
          </cell>
          <cell r="AA7636" t="str">
            <v>$1K or Below</v>
          </cell>
          <cell r="AB7636" t="str">
            <v>2010 or before</v>
          </cell>
        </row>
        <row r="7637">
          <cell r="E7637">
            <v>12.98</v>
          </cell>
          <cell r="Z7637" t="str">
            <v>Legacy</v>
          </cell>
          <cell r="AA7637" t="str">
            <v>$1K or Below</v>
          </cell>
          <cell r="AB7637" t="str">
            <v>2010 or before</v>
          </cell>
        </row>
        <row r="7638">
          <cell r="E7638">
            <v>12.97</v>
          </cell>
          <cell r="Z7638" t="str">
            <v>Legacy</v>
          </cell>
          <cell r="AA7638" t="str">
            <v>$1K or Below</v>
          </cell>
          <cell r="AB7638" t="str">
            <v>2010 or before</v>
          </cell>
        </row>
        <row r="7639">
          <cell r="E7639">
            <v>12.96</v>
          </cell>
          <cell r="Z7639" t="str">
            <v>Legacy</v>
          </cell>
          <cell r="AA7639" t="str">
            <v>$1K or Below</v>
          </cell>
          <cell r="AB7639" t="str">
            <v>2010 or before</v>
          </cell>
        </row>
        <row r="7640">
          <cell r="E7640">
            <v>12.95</v>
          </cell>
          <cell r="Z7640" t="str">
            <v>Legacy</v>
          </cell>
          <cell r="AA7640" t="str">
            <v>$1K or Below</v>
          </cell>
          <cell r="AB7640" t="str">
            <v>2010 or before</v>
          </cell>
        </row>
        <row r="7641">
          <cell r="E7641">
            <v>12.94</v>
          </cell>
          <cell r="Z7641" t="str">
            <v>Legacy</v>
          </cell>
          <cell r="AA7641" t="str">
            <v>$1K or Below</v>
          </cell>
          <cell r="AB7641" t="str">
            <v>2010 or before</v>
          </cell>
        </row>
        <row r="7642">
          <cell r="E7642">
            <v>12.94</v>
          </cell>
          <cell r="Z7642" t="str">
            <v>Legacy</v>
          </cell>
          <cell r="AA7642" t="str">
            <v>$1K or Below</v>
          </cell>
          <cell r="AB7642" t="str">
            <v>2010 or before</v>
          </cell>
        </row>
        <row r="7643">
          <cell r="E7643">
            <v>12.91</v>
          </cell>
          <cell r="Z7643" t="str">
            <v>Legacy</v>
          </cell>
          <cell r="AA7643" t="str">
            <v>$1K or Below</v>
          </cell>
          <cell r="AB7643">
            <v>2012</v>
          </cell>
        </row>
        <row r="7644">
          <cell r="E7644">
            <v>12.9</v>
          </cell>
          <cell r="Z7644" t="str">
            <v>Legacy</v>
          </cell>
          <cell r="AA7644" t="str">
            <v>$1K or Below</v>
          </cell>
          <cell r="AB7644" t="str">
            <v>2010 or before</v>
          </cell>
        </row>
        <row r="7645">
          <cell r="E7645">
            <v>12.79</v>
          </cell>
          <cell r="Z7645" t="str">
            <v>Legacy</v>
          </cell>
          <cell r="AA7645" t="str">
            <v>$1K or Below</v>
          </cell>
          <cell r="AB7645" t="str">
            <v>2010 or before</v>
          </cell>
        </row>
        <row r="7646">
          <cell r="E7646">
            <v>12.75</v>
          </cell>
          <cell r="Z7646" t="str">
            <v>Legacy</v>
          </cell>
          <cell r="AA7646" t="str">
            <v>$1K or Below</v>
          </cell>
          <cell r="AB7646" t="str">
            <v>2010 or before</v>
          </cell>
        </row>
        <row r="7647">
          <cell r="E7647">
            <v>12.74</v>
          </cell>
          <cell r="Z7647" t="str">
            <v>Legacy</v>
          </cell>
          <cell r="AA7647" t="str">
            <v>$1K or Below</v>
          </cell>
          <cell r="AB7647" t="str">
            <v>2010 or before</v>
          </cell>
        </row>
        <row r="7648">
          <cell r="E7648">
            <v>12.71</v>
          </cell>
          <cell r="Z7648" t="str">
            <v>Legacy</v>
          </cell>
          <cell r="AA7648" t="str">
            <v>$1K or Below</v>
          </cell>
          <cell r="AB7648" t="str">
            <v>2010 or before</v>
          </cell>
        </row>
        <row r="7649">
          <cell r="E7649">
            <v>12.71</v>
          </cell>
          <cell r="Z7649" t="str">
            <v>Legacy</v>
          </cell>
          <cell r="AA7649" t="str">
            <v>$1K or Below</v>
          </cell>
          <cell r="AB7649" t="str">
            <v>2010 or before</v>
          </cell>
        </row>
        <row r="7650">
          <cell r="E7650">
            <v>12.61</v>
          </cell>
          <cell r="Z7650" t="str">
            <v>Legacy</v>
          </cell>
          <cell r="AA7650" t="str">
            <v>$1K or Below</v>
          </cell>
          <cell r="AB7650" t="str">
            <v>2010 or before</v>
          </cell>
        </row>
        <row r="7651">
          <cell r="E7651">
            <v>12.55</v>
          </cell>
          <cell r="Z7651" t="str">
            <v>Legacy</v>
          </cell>
          <cell r="AA7651" t="str">
            <v>$1K or Below</v>
          </cell>
          <cell r="AB7651" t="str">
            <v>2010 or before</v>
          </cell>
        </row>
        <row r="7652">
          <cell r="E7652">
            <v>12.54</v>
          </cell>
          <cell r="Z7652" t="str">
            <v>Legacy</v>
          </cell>
          <cell r="AA7652" t="str">
            <v>$1K or Below</v>
          </cell>
          <cell r="AB7652" t="str">
            <v>2010 or before</v>
          </cell>
        </row>
        <row r="7653">
          <cell r="E7653">
            <v>12.49</v>
          </cell>
          <cell r="Z7653" t="str">
            <v>Legacy</v>
          </cell>
          <cell r="AA7653" t="str">
            <v>$1K or Below</v>
          </cell>
          <cell r="AB7653" t="str">
            <v>2010 or before</v>
          </cell>
        </row>
        <row r="7654">
          <cell r="E7654">
            <v>12.49</v>
          </cell>
          <cell r="Z7654" t="str">
            <v>Legacy</v>
          </cell>
          <cell r="AA7654" t="str">
            <v>$1K or Below</v>
          </cell>
          <cell r="AB7654" t="str">
            <v>2010 or before</v>
          </cell>
        </row>
        <row r="7655">
          <cell r="E7655">
            <v>12.49</v>
          </cell>
          <cell r="Z7655" t="str">
            <v>Legacy</v>
          </cell>
          <cell r="AA7655" t="str">
            <v>$1K or Below</v>
          </cell>
          <cell r="AB7655" t="str">
            <v>2010 or before</v>
          </cell>
        </row>
        <row r="7656">
          <cell r="E7656">
            <v>12.49</v>
          </cell>
          <cell r="Z7656" t="str">
            <v>Legacy</v>
          </cell>
          <cell r="AA7656" t="str">
            <v>$1K or Below</v>
          </cell>
          <cell r="AB7656" t="str">
            <v>2010 or before</v>
          </cell>
        </row>
        <row r="7657">
          <cell r="E7657">
            <v>12.48</v>
          </cell>
          <cell r="Z7657" t="str">
            <v>Legacy</v>
          </cell>
          <cell r="AA7657" t="str">
            <v>$1K or Below</v>
          </cell>
          <cell r="AB7657" t="str">
            <v>2010 or before</v>
          </cell>
        </row>
        <row r="7658">
          <cell r="E7658">
            <v>12.48</v>
          </cell>
          <cell r="Z7658" t="str">
            <v>Legacy</v>
          </cell>
          <cell r="AA7658" t="str">
            <v>$1K or Below</v>
          </cell>
          <cell r="AB7658" t="str">
            <v>2010 or before</v>
          </cell>
        </row>
        <row r="7659">
          <cell r="E7659">
            <v>12.48</v>
          </cell>
          <cell r="Z7659" t="str">
            <v>Legacy</v>
          </cell>
          <cell r="AA7659" t="str">
            <v>$1K or Below</v>
          </cell>
          <cell r="AB7659" t="str">
            <v>2010 or before</v>
          </cell>
        </row>
        <row r="7660">
          <cell r="E7660">
            <v>12.48</v>
          </cell>
          <cell r="Z7660" t="str">
            <v>Legacy</v>
          </cell>
          <cell r="AA7660" t="str">
            <v>$1K or Below</v>
          </cell>
          <cell r="AB7660" t="str">
            <v>2010 or before</v>
          </cell>
        </row>
        <row r="7661">
          <cell r="E7661">
            <v>12.48</v>
          </cell>
          <cell r="Z7661" t="str">
            <v>Legacy</v>
          </cell>
          <cell r="AA7661" t="str">
            <v>$1K or Below</v>
          </cell>
          <cell r="AB7661" t="str">
            <v>2010 or before</v>
          </cell>
        </row>
        <row r="7662">
          <cell r="E7662">
            <v>12.48</v>
          </cell>
          <cell r="Z7662" t="str">
            <v>Legacy</v>
          </cell>
          <cell r="AA7662" t="str">
            <v>$1K or Below</v>
          </cell>
          <cell r="AB7662" t="str">
            <v>2010 or before</v>
          </cell>
        </row>
        <row r="7663">
          <cell r="E7663">
            <v>12.45</v>
          </cell>
          <cell r="Z7663" t="str">
            <v>Legacy</v>
          </cell>
          <cell r="AA7663" t="str">
            <v>$1K or Below</v>
          </cell>
          <cell r="AB7663" t="str">
            <v>2010 or before</v>
          </cell>
        </row>
        <row r="7664">
          <cell r="E7664">
            <v>12.39</v>
          </cell>
          <cell r="Z7664" t="str">
            <v>Legacy</v>
          </cell>
          <cell r="AA7664" t="str">
            <v>$1K or Below</v>
          </cell>
          <cell r="AB7664" t="str">
            <v>2010 or before</v>
          </cell>
        </row>
        <row r="7665">
          <cell r="E7665">
            <v>12.35</v>
          </cell>
          <cell r="Z7665" t="str">
            <v>Legacy</v>
          </cell>
          <cell r="AA7665" t="str">
            <v>$1K or Below</v>
          </cell>
          <cell r="AB7665" t="str">
            <v>2010 or before</v>
          </cell>
        </row>
        <row r="7666">
          <cell r="E7666">
            <v>12.33</v>
          </cell>
          <cell r="Z7666" t="str">
            <v>Legacy</v>
          </cell>
          <cell r="AA7666" t="str">
            <v>$1K or Below</v>
          </cell>
          <cell r="AB7666" t="str">
            <v>2010 or before</v>
          </cell>
        </row>
        <row r="7667">
          <cell r="E7667">
            <v>12.22</v>
          </cell>
          <cell r="Z7667" t="str">
            <v>Legacy</v>
          </cell>
          <cell r="AA7667" t="str">
            <v>$1K or Below</v>
          </cell>
          <cell r="AB7667" t="str">
            <v>2010 or before</v>
          </cell>
        </row>
        <row r="7668">
          <cell r="E7668">
            <v>12.2</v>
          </cell>
          <cell r="Z7668" t="str">
            <v>Legacy</v>
          </cell>
          <cell r="AA7668" t="str">
            <v>$1K or Below</v>
          </cell>
          <cell r="AB7668" t="str">
            <v>2010 or before</v>
          </cell>
        </row>
        <row r="7669">
          <cell r="E7669">
            <v>12.2</v>
          </cell>
          <cell r="Z7669" t="str">
            <v>Legacy</v>
          </cell>
          <cell r="AA7669" t="str">
            <v>$1K or Below</v>
          </cell>
          <cell r="AB7669" t="str">
            <v>2010 or before</v>
          </cell>
        </row>
        <row r="7670">
          <cell r="E7670">
            <v>12.19</v>
          </cell>
          <cell r="Z7670" t="str">
            <v>Legacy</v>
          </cell>
          <cell r="AA7670" t="str">
            <v>$1K or Below</v>
          </cell>
          <cell r="AB7670" t="str">
            <v>2010 or before</v>
          </cell>
        </row>
        <row r="7671">
          <cell r="E7671">
            <v>12.18</v>
          </cell>
          <cell r="Z7671" t="str">
            <v>Legacy</v>
          </cell>
          <cell r="AA7671" t="str">
            <v>$1K or Below</v>
          </cell>
          <cell r="AB7671" t="str">
            <v>2010 or before</v>
          </cell>
        </row>
        <row r="7672">
          <cell r="E7672">
            <v>12.18</v>
          </cell>
          <cell r="Z7672" t="str">
            <v>Legacy</v>
          </cell>
          <cell r="AA7672" t="str">
            <v>$1K or Below</v>
          </cell>
          <cell r="AB7672" t="str">
            <v>2010 or before</v>
          </cell>
        </row>
        <row r="7673">
          <cell r="E7673">
            <v>12.06</v>
          </cell>
          <cell r="Z7673" t="str">
            <v>Legacy</v>
          </cell>
          <cell r="AA7673" t="str">
            <v>$1K or Below</v>
          </cell>
          <cell r="AB7673" t="str">
            <v>2010 or before</v>
          </cell>
        </row>
        <row r="7674">
          <cell r="E7674">
            <v>12.03</v>
          </cell>
          <cell r="Z7674" t="str">
            <v>Legacy</v>
          </cell>
          <cell r="AA7674" t="str">
            <v>$1K or Below</v>
          </cell>
          <cell r="AB7674" t="str">
            <v>2010 or before</v>
          </cell>
        </row>
        <row r="7675">
          <cell r="E7675">
            <v>11.99</v>
          </cell>
          <cell r="Z7675" t="str">
            <v>Legacy</v>
          </cell>
          <cell r="AA7675" t="str">
            <v>$1K or Below</v>
          </cell>
          <cell r="AB7675" t="str">
            <v>2010 or before</v>
          </cell>
        </row>
        <row r="7676">
          <cell r="E7676">
            <v>11.98</v>
          </cell>
          <cell r="Z7676" t="str">
            <v>Legacy</v>
          </cell>
          <cell r="AA7676" t="str">
            <v>$1K or Below</v>
          </cell>
          <cell r="AB7676" t="str">
            <v>2010 or before</v>
          </cell>
        </row>
        <row r="7677">
          <cell r="E7677">
            <v>11.98</v>
          </cell>
          <cell r="Z7677" t="str">
            <v>Legacy</v>
          </cell>
          <cell r="AA7677" t="str">
            <v>$1K or Below</v>
          </cell>
          <cell r="AB7677" t="str">
            <v>2010 or before</v>
          </cell>
        </row>
        <row r="7678">
          <cell r="E7678">
            <v>11.98</v>
          </cell>
          <cell r="Z7678" t="str">
            <v>Legacy</v>
          </cell>
          <cell r="AA7678" t="str">
            <v>$1K or Below</v>
          </cell>
          <cell r="AB7678" t="str">
            <v>2010 or before</v>
          </cell>
        </row>
        <row r="7679">
          <cell r="E7679">
            <v>11.98</v>
          </cell>
          <cell r="Z7679" t="str">
            <v>Legacy</v>
          </cell>
          <cell r="AA7679" t="str">
            <v>$1K or Below</v>
          </cell>
          <cell r="AB7679" t="str">
            <v>2010 or before</v>
          </cell>
        </row>
        <row r="7680">
          <cell r="E7680">
            <v>11.98</v>
          </cell>
          <cell r="Z7680" t="str">
            <v>Legacy</v>
          </cell>
          <cell r="AA7680" t="str">
            <v>$1K or Below</v>
          </cell>
          <cell r="AB7680" t="str">
            <v>2010 or before</v>
          </cell>
        </row>
        <row r="7681">
          <cell r="E7681">
            <v>11.97</v>
          </cell>
          <cell r="Z7681" t="str">
            <v>Legacy</v>
          </cell>
          <cell r="AA7681" t="str">
            <v>$1K or Below</v>
          </cell>
          <cell r="AB7681" t="str">
            <v>2010 or before</v>
          </cell>
        </row>
        <row r="7682">
          <cell r="E7682">
            <v>11.97</v>
          </cell>
          <cell r="Z7682" t="str">
            <v>Legacy</v>
          </cell>
          <cell r="AA7682" t="str">
            <v>$1K or Below</v>
          </cell>
          <cell r="AB7682">
            <v>2011</v>
          </cell>
        </row>
        <row r="7683">
          <cell r="E7683">
            <v>11.96</v>
          </cell>
          <cell r="Z7683" t="str">
            <v>Legacy</v>
          </cell>
          <cell r="AA7683" t="str">
            <v>$1K or Below</v>
          </cell>
          <cell r="AB7683" t="str">
            <v>2010 or before</v>
          </cell>
        </row>
        <row r="7684">
          <cell r="E7684">
            <v>11.95</v>
          </cell>
          <cell r="Z7684" t="str">
            <v>Legacy</v>
          </cell>
          <cell r="AA7684" t="str">
            <v>$1K or Below</v>
          </cell>
          <cell r="AB7684" t="str">
            <v>2010 or before</v>
          </cell>
        </row>
        <row r="7685">
          <cell r="E7685">
            <v>11.94</v>
          </cell>
          <cell r="Z7685" t="str">
            <v>Legacy</v>
          </cell>
          <cell r="AA7685" t="str">
            <v>$1K or Below</v>
          </cell>
          <cell r="AB7685" t="str">
            <v>2010 or before</v>
          </cell>
        </row>
        <row r="7686">
          <cell r="E7686">
            <v>11.94</v>
          </cell>
          <cell r="Z7686" t="str">
            <v>Legacy</v>
          </cell>
          <cell r="AA7686" t="str">
            <v>$1K or Below</v>
          </cell>
          <cell r="AB7686" t="str">
            <v>2010 or before</v>
          </cell>
        </row>
        <row r="7687">
          <cell r="E7687">
            <v>11.89</v>
          </cell>
          <cell r="Z7687" t="str">
            <v>Legacy</v>
          </cell>
          <cell r="AA7687" t="str">
            <v>$1K or Below</v>
          </cell>
          <cell r="AB7687" t="str">
            <v>2010 or before</v>
          </cell>
        </row>
        <row r="7688">
          <cell r="E7688">
            <v>11.86</v>
          </cell>
          <cell r="Z7688" t="str">
            <v>Legacy</v>
          </cell>
          <cell r="AA7688" t="str">
            <v>$1K or Below</v>
          </cell>
          <cell r="AB7688" t="str">
            <v>2010 or before</v>
          </cell>
        </row>
        <row r="7689">
          <cell r="E7689">
            <v>11.72</v>
          </cell>
          <cell r="Z7689" t="str">
            <v>Legacy</v>
          </cell>
          <cell r="AA7689" t="str">
            <v>$1K or Below</v>
          </cell>
          <cell r="AB7689" t="str">
            <v>2010 or before</v>
          </cell>
        </row>
        <row r="7690">
          <cell r="E7690">
            <v>11.7</v>
          </cell>
          <cell r="Z7690" t="str">
            <v>Legacy</v>
          </cell>
          <cell r="AA7690" t="str">
            <v>$1K or Below</v>
          </cell>
          <cell r="AB7690" t="str">
            <v>2010 or before</v>
          </cell>
        </row>
        <row r="7691">
          <cell r="E7691">
            <v>11.68</v>
          </cell>
          <cell r="Z7691" t="str">
            <v>Legacy</v>
          </cell>
          <cell r="AA7691" t="str">
            <v>$1K or Below</v>
          </cell>
          <cell r="AB7691" t="str">
            <v>2010 or before</v>
          </cell>
        </row>
        <row r="7692">
          <cell r="E7692">
            <v>11.65</v>
          </cell>
          <cell r="Z7692" t="str">
            <v>Legacy</v>
          </cell>
          <cell r="AA7692" t="str">
            <v>$1K or Below</v>
          </cell>
          <cell r="AB7692" t="str">
            <v>2010 or before</v>
          </cell>
        </row>
        <row r="7693">
          <cell r="E7693">
            <v>11.65</v>
          </cell>
          <cell r="Z7693" t="str">
            <v>Legacy</v>
          </cell>
          <cell r="AA7693" t="str">
            <v>$1K or Below</v>
          </cell>
          <cell r="AB7693" t="str">
            <v>2010 or before</v>
          </cell>
        </row>
        <row r="7694">
          <cell r="E7694">
            <v>11.64</v>
          </cell>
          <cell r="Z7694" t="str">
            <v>Legacy</v>
          </cell>
          <cell r="AA7694" t="str">
            <v>$1K or Below</v>
          </cell>
          <cell r="AB7694" t="str">
            <v>2010 or before</v>
          </cell>
        </row>
        <row r="7695">
          <cell r="E7695">
            <v>11.53</v>
          </cell>
          <cell r="Z7695" t="str">
            <v>Legacy</v>
          </cell>
          <cell r="AA7695" t="str">
            <v>$1K or Below</v>
          </cell>
          <cell r="AB7695" t="str">
            <v>2010 or before</v>
          </cell>
        </row>
        <row r="7696">
          <cell r="E7696">
            <v>11.49</v>
          </cell>
          <cell r="Z7696" t="str">
            <v>Legacy</v>
          </cell>
          <cell r="AA7696" t="str">
            <v>$1K or Below</v>
          </cell>
          <cell r="AB7696" t="str">
            <v>2010 or before</v>
          </cell>
        </row>
        <row r="7697">
          <cell r="E7697">
            <v>11.49</v>
          </cell>
          <cell r="Z7697" t="str">
            <v>Legacy</v>
          </cell>
          <cell r="AA7697" t="str">
            <v>$1K or Below</v>
          </cell>
          <cell r="AB7697" t="str">
            <v>2010 or before</v>
          </cell>
        </row>
        <row r="7698">
          <cell r="E7698">
            <v>11.41</v>
          </cell>
          <cell r="Z7698" t="str">
            <v>Legacy</v>
          </cell>
          <cell r="AA7698" t="str">
            <v>$1K or Below</v>
          </cell>
          <cell r="AB7698" t="str">
            <v>2010 or before</v>
          </cell>
        </row>
        <row r="7699">
          <cell r="E7699">
            <v>11.35</v>
          </cell>
          <cell r="Z7699" t="str">
            <v>Legacy</v>
          </cell>
          <cell r="AA7699" t="str">
            <v>$1K or Below</v>
          </cell>
          <cell r="AB7699" t="str">
            <v>2010 or before</v>
          </cell>
        </row>
        <row r="7700">
          <cell r="E7700">
            <v>11.33</v>
          </cell>
          <cell r="Z7700" t="str">
            <v>Legacy</v>
          </cell>
          <cell r="AA7700" t="str">
            <v>$1K or Below</v>
          </cell>
          <cell r="AB7700" t="str">
            <v>2010 or before</v>
          </cell>
        </row>
        <row r="7701">
          <cell r="E7701">
            <v>11.31</v>
          </cell>
          <cell r="Z7701" t="str">
            <v>Legacy</v>
          </cell>
          <cell r="AA7701" t="str">
            <v>$1K or Below</v>
          </cell>
          <cell r="AB7701" t="str">
            <v>2010 or before</v>
          </cell>
        </row>
        <row r="7702">
          <cell r="E7702">
            <v>11.2</v>
          </cell>
          <cell r="Z7702" t="str">
            <v>Legacy</v>
          </cell>
          <cell r="AA7702" t="str">
            <v>$1K or Below</v>
          </cell>
          <cell r="AB7702" t="str">
            <v>2010 or before</v>
          </cell>
        </row>
        <row r="7703">
          <cell r="E7703">
            <v>11</v>
          </cell>
          <cell r="Z7703" t="str">
            <v>Legacy</v>
          </cell>
          <cell r="AA7703" t="str">
            <v>$1K or Below</v>
          </cell>
          <cell r="AB7703" t="str">
            <v>2010 or before</v>
          </cell>
        </row>
        <row r="7704">
          <cell r="E7704">
            <v>10.99</v>
          </cell>
          <cell r="Z7704" t="str">
            <v>Legacy</v>
          </cell>
          <cell r="AA7704" t="str">
            <v>$1K or Below</v>
          </cell>
          <cell r="AB7704" t="str">
            <v>2010 or before</v>
          </cell>
        </row>
        <row r="7705">
          <cell r="E7705">
            <v>10.98</v>
          </cell>
          <cell r="Z7705" t="str">
            <v>Legacy</v>
          </cell>
          <cell r="AA7705" t="str">
            <v>$1K or Below</v>
          </cell>
          <cell r="AB7705" t="str">
            <v>2010 or before</v>
          </cell>
        </row>
        <row r="7706">
          <cell r="E7706">
            <v>10.98</v>
          </cell>
          <cell r="Z7706" t="str">
            <v>Legacy</v>
          </cell>
          <cell r="AA7706" t="str">
            <v>$1K or Below</v>
          </cell>
          <cell r="AB7706" t="str">
            <v>2010 or before</v>
          </cell>
        </row>
        <row r="7707">
          <cell r="E7707">
            <v>10.98</v>
          </cell>
          <cell r="Z7707" t="str">
            <v>Legacy</v>
          </cell>
          <cell r="AA7707" t="str">
            <v>$1K or Below</v>
          </cell>
          <cell r="AB7707" t="str">
            <v>2010 or before</v>
          </cell>
        </row>
        <row r="7708">
          <cell r="E7708">
            <v>10.98</v>
          </cell>
          <cell r="Z7708" t="str">
            <v>Legacy</v>
          </cell>
          <cell r="AA7708" t="str">
            <v>$1K or Below</v>
          </cell>
          <cell r="AB7708" t="str">
            <v>2010 or before</v>
          </cell>
        </row>
        <row r="7709">
          <cell r="E7709">
            <v>10.98</v>
          </cell>
          <cell r="Z7709" t="str">
            <v>Legacy</v>
          </cell>
          <cell r="AA7709" t="str">
            <v>$1K or Below</v>
          </cell>
          <cell r="AB7709" t="str">
            <v>2010 or before</v>
          </cell>
        </row>
        <row r="7710">
          <cell r="E7710">
            <v>10.98</v>
          </cell>
          <cell r="Z7710" t="str">
            <v>Legacy</v>
          </cell>
          <cell r="AA7710" t="str">
            <v>$1K or Below</v>
          </cell>
          <cell r="AB7710" t="str">
            <v>2010 or before</v>
          </cell>
        </row>
        <row r="7711">
          <cell r="E7711">
            <v>10.98</v>
          </cell>
          <cell r="Z7711" t="str">
            <v>Legacy</v>
          </cell>
          <cell r="AA7711" t="str">
            <v>$1K or Below</v>
          </cell>
          <cell r="AB7711" t="str">
            <v>2010 or before</v>
          </cell>
        </row>
        <row r="7712">
          <cell r="E7712">
            <v>10.97</v>
          </cell>
          <cell r="Z7712" t="str">
            <v>Legacy</v>
          </cell>
          <cell r="AA7712" t="str">
            <v>$1K or Below</v>
          </cell>
          <cell r="AB7712" t="str">
            <v>2010 or before</v>
          </cell>
        </row>
        <row r="7713">
          <cell r="E7713">
            <v>10.96</v>
          </cell>
          <cell r="Z7713" t="str">
            <v>Legacy</v>
          </cell>
          <cell r="AA7713" t="str">
            <v>$1K or Below</v>
          </cell>
          <cell r="AB7713" t="str">
            <v>2010 or before</v>
          </cell>
        </row>
        <row r="7714">
          <cell r="E7714">
            <v>10.95</v>
          </cell>
          <cell r="Z7714" t="str">
            <v>Legacy</v>
          </cell>
          <cell r="AA7714" t="str">
            <v>$1K or Below</v>
          </cell>
          <cell r="AB7714">
            <v>2012</v>
          </cell>
        </row>
        <row r="7715">
          <cell r="E7715">
            <v>10.94</v>
          </cell>
          <cell r="Z7715" t="str">
            <v>Legacy</v>
          </cell>
          <cell r="AA7715" t="str">
            <v>$1K or Below</v>
          </cell>
          <cell r="AB7715" t="str">
            <v>2010 or before</v>
          </cell>
        </row>
        <row r="7716">
          <cell r="E7716">
            <v>10.94</v>
          </cell>
          <cell r="Z7716" t="str">
            <v>Legacy</v>
          </cell>
          <cell r="AA7716" t="str">
            <v>$1K or Below</v>
          </cell>
          <cell r="AB7716" t="str">
            <v>2010 or before</v>
          </cell>
        </row>
        <row r="7717">
          <cell r="E7717">
            <v>10.92</v>
          </cell>
          <cell r="Z7717" t="str">
            <v>Legacy</v>
          </cell>
          <cell r="AA7717" t="str">
            <v>$1K or Below</v>
          </cell>
          <cell r="AB7717" t="str">
            <v>2010 or before</v>
          </cell>
        </row>
        <row r="7718">
          <cell r="E7718">
            <v>10.89</v>
          </cell>
          <cell r="Z7718" t="str">
            <v>Legacy</v>
          </cell>
          <cell r="AA7718" t="str">
            <v>$1K or Below</v>
          </cell>
          <cell r="AB7718">
            <v>2012</v>
          </cell>
        </row>
        <row r="7719">
          <cell r="E7719">
            <v>10.89</v>
          </cell>
          <cell r="Z7719" t="str">
            <v>Legacy</v>
          </cell>
          <cell r="AA7719" t="str">
            <v>$1K or Below</v>
          </cell>
          <cell r="AB7719" t="str">
            <v>2010 or before</v>
          </cell>
        </row>
        <row r="7720">
          <cell r="E7720">
            <v>10.89</v>
          </cell>
          <cell r="Z7720" t="str">
            <v>Legacy</v>
          </cell>
          <cell r="AA7720" t="str">
            <v>$1K or Below</v>
          </cell>
          <cell r="AB7720" t="str">
            <v>2010 or before</v>
          </cell>
        </row>
        <row r="7721">
          <cell r="E7721">
            <v>10.88</v>
          </cell>
          <cell r="Z7721" t="str">
            <v>Legacy</v>
          </cell>
          <cell r="AA7721" t="str">
            <v>$1K or Below</v>
          </cell>
          <cell r="AB7721" t="str">
            <v>2010 or before</v>
          </cell>
        </row>
        <row r="7722">
          <cell r="E7722">
            <v>10.58</v>
          </cell>
          <cell r="Z7722" t="str">
            <v>Legacy</v>
          </cell>
          <cell r="AA7722" t="str">
            <v>$1K or Below</v>
          </cell>
          <cell r="AB7722">
            <v>2012</v>
          </cell>
        </row>
        <row r="7723">
          <cell r="E7723">
            <v>10.53</v>
          </cell>
          <cell r="Z7723" t="str">
            <v>Legacy</v>
          </cell>
          <cell r="AA7723" t="str">
            <v>$1K or Below</v>
          </cell>
          <cell r="AB7723" t="str">
            <v>2010 or before</v>
          </cell>
        </row>
        <row r="7724">
          <cell r="E7724">
            <v>10.49</v>
          </cell>
          <cell r="Z7724" t="str">
            <v>Legacy</v>
          </cell>
          <cell r="AA7724" t="str">
            <v>$1K or Below</v>
          </cell>
          <cell r="AB7724" t="str">
            <v>2010 or before</v>
          </cell>
        </row>
        <row r="7725">
          <cell r="E7725">
            <v>10.48</v>
          </cell>
          <cell r="Z7725" t="str">
            <v>Legacy</v>
          </cell>
          <cell r="AA7725" t="str">
            <v>$1K or Below</v>
          </cell>
          <cell r="AB7725" t="str">
            <v>2010 or before</v>
          </cell>
        </row>
        <row r="7726">
          <cell r="E7726">
            <v>10.48</v>
          </cell>
          <cell r="Z7726" t="str">
            <v>Legacy</v>
          </cell>
          <cell r="AA7726" t="str">
            <v>$1K or Below</v>
          </cell>
          <cell r="AB7726" t="str">
            <v>2010 or before</v>
          </cell>
        </row>
        <row r="7727">
          <cell r="E7727">
            <v>10.48</v>
          </cell>
          <cell r="Z7727" t="str">
            <v>Legacy</v>
          </cell>
          <cell r="AA7727" t="str">
            <v>$1K or Below</v>
          </cell>
          <cell r="AB7727" t="str">
            <v>2010 or before</v>
          </cell>
        </row>
        <row r="7728">
          <cell r="E7728">
            <v>10.46</v>
          </cell>
          <cell r="Z7728" t="str">
            <v>Legacy</v>
          </cell>
          <cell r="AA7728" t="str">
            <v>$1K or Below</v>
          </cell>
          <cell r="AB7728" t="str">
            <v>2010 or before</v>
          </cell>
        </row>
        <row r="7729">
          <cell r="E7729">
            <v>10.45</v>
          </cell>
          <cell r="Z7729" t="str">
            <v>Legacy</v>
          </cell>
          <cell r="AA7729" t="str">
            <v>$1K or Below</v>
          </cell>
          <cell r="AB7729" t="str">
            <v>2010 or before</v>
          </cell>
        </row>
        <row r="7730">
          <cell r="E7730">
            <v>10.44</v>
          </cell>
          <cell r="Z7730" t="str">
            <v>Legacy</v>
          </cell>
          <cell r="AA7730" t="str">
            <v>$1K or Below</v>
          </cell>
          <cell r="AB7730" t="str">
            <v>2010 or before</v>
          </cell>
        </row>
        <row r="7731">
          <cell r="E7731">
            <v>10.44</v>
          </cell>
          <cell r="Z7731" t="str">
            <v>Legacy</v>
          </cell>
          <cell r="AA7731" t="str">
            <v>$1K or Below</v>
          </cell>
          <cell r="AB7731" t="str">
            <v>2010 or before</v>
          </cell>
        </row>
        <row r="7732">
          <cell r="E7732">
            <v>10.43</v>
          </cell>
          <cell r="Z7732" t="str">
            <v>Legacy</v>
          </cell>
          <cell r="AA7732" t="str">
            <v>$1K or Below</v>
          </cell>
          <cell r="AB7732" t="str">
            <v>2010 or before</v>
          </cell>
        </row>
        <row r="7733">
          <cell r="E7733">
            <v>10.43</v>
          </cell>
          <cell r="Z7733" t="str">
            <v>Legacy</v>
          </cell>
          <cell r="AA7733" t="str">
            <v>$1K or Below</v>
          </cell>
          <cell r="AB7733" t="str">
            <v>2010 or before</v>
          </cell>
        </row>
        <row r="7734">
          <cell r="E7734">
            <v>10.4</v>
          </cell>
          <cell r="Z7734" t="str">
            <v>Legacy</v>
          </cell>
          <cell r="AA7734" t="str">
            <v>$1K or Below</v>
          </cell>
          <cell r="AB7734">
            <v>2012</v>
          </cell>
        </row>
        <row r="7735">
          <cell r="E7735">
            <v>10.38</v>
          </cell>
          <cell r="Z7735" t="str">
            <v>Legacy</v>
          </cell>
          <cell r="AA7735" t="str">
            <v>$1K or Below</v>
          </cell>
          <cell r="AB7735" t="str">
            <v>2010 or before</v>
          </cell>
        </row>
        <row r="7736">
          <cell r="E7736">
            <v>10.38</v>
          </cell>
          <cell r="Z7736" t="str">
            <v>Legacy</v>
          </cell>
          <cell r="AA7736" t="str">
            <v>$1K or Below</v>
          </cell>
          <cell r="AB7736" t="str">
            <v>2010 or before</v>
          </cell>
        </row>
        <row r="7737">
          <cell r="E7737">
            <v>10.36</v>
          </cell>
          <cell r="Z7737" t="str">
            <v>Legacy</v>
          </cell>
          <cell r="AA7737" t="str">
            <v>$1K or Below</v>
          </cell>
          <cell r="AB7737" t="str">
            <v>2010 or before</v>
          </cell>
        </row>
        <row r="7738">
          <cell r="E7738">
            <v>10.3</v>
          </cell>
          <cell r="Z7738" t="str">
            <v>Legacy</v>
          </cell>
          <cell r="AA7738" t="str">
            <v>$1K or Below</v>
          </cell>
          <cell r="AB7738" t="str">
            <v>2010 or before</v>
          </cell>
        </row>
        <row r="7739">
          <cell r="E7739">
            <v>10.29</v>
          </cell>
          <cell r="Z7739" t="str">
            <v>Legacy</v>
          </cell>
          <cell r="AA7739" t="str">
            <v>$1K or Below</v>
          </cell>
          <cell r="AB7739" t="str">
            <v>2010 or before</v>
          </cell>
        </row>
        <row r="7740">
          <cell r="E7740">
            <v>10.24</v>
          </cell>
          <cell r="Z7740" t="str">
            <v>Legacy</v>
          </cell>
          <cell r="AA7740" t="str">
            <v>$1K or Below</v>
          </cell>
          <cell r="AB7740" t="str">
            <v>2010 or before</v>
          </cell>
        </row>
        <row r="7741">
          <cell r="E7741">
            <v>10.199999999999999</v>
          </cell>
          <cell r="Z7741" t="str">
            <v>Legacy</v>
          </cell>
          <cell r="AA7741" t="str">
            <v>$1K or Below</v>
          </cell>
          <cell r="AB7741" t="str">
            <v>2010 or before</v>
          </cell>
        </row>
        <row r="7742">
          <cell r="E7742">
            <v>10.199999999999999</v>
          </cell>
          <cell r="Z7742" t="str">
            <v>Legacy</v>
          </cell>
          <cell r="AA7742" t="str">
            <v>$1K or Below</v>
          </cell>
          <cell r="AB7742" t="str">
            <v>2010 or before</v>
          </cell>
        </row>
        <row r="7743">
          <cell r="E7743">
            <v>10.15</v>
          </cell>
          <cell r="Z7743" t="str">
            <v>Legacy</v>
          </cell>
          <cell r="AA7743" t="str">
            <v>$1K or Below</v>
          </cell>
          <cell r="AB7743" t="str">
            <v>2010 or before</v>
          </cell>
        </row>
        <row r="7744">
          <cell r="E7744">
            <v>10.130000000000001</v>
          </cell>
          <cell r="Z7744" t="str">
            <v>Legacy</v>
          </cell>
          <cell r="AA7744" t="str">
            <v>$1K or Below</v>
          </cell>
          <cell r="AB7744">
            <v>2011</v>
          </cell>
        </row>
        <row r="7745">
          <cell r="E7745">
            <v>10.11</v>
          </cell>
          <cell r="Z7745" t="str">
            <v>Legacy</v>
          </cell>
          <cell r="AA7745" t="str">
            <v>$1K or Below</v>
          </cell>
          <cell r="AB7745">
            <v>2011</v>
          </cell>
        </row>
        <row r="7746">
          <cell r="E7746">
            <v>10.050000000000001</v>
          </cell>
          <cell r="Z7746" t="str">
            <v>Legacy</v>
          </cell>
          <cell r="AA7746" t="str">
            <v>$1K or Below</v>
          </cell>
          <cell r="AB7746" t="str">
            <v>2010 or before</v>
          </cell>
        </row>
        <row r="7747">
          <cell r="E7747">
            <v>10.039999999999999</v>
          </cell>
          <cell r="Z7747" t="str">
            <v>Legacy</v>
          </cell>
          <cell r="AA7747" t="str">
            <v>$1K or Below</v>
          </cell>
          <cell r="AB7747" t="str">
            <v>2010 or before</v>
          </cell>
        </row>
        <row r="7748">
          <cell r="E7748">
            <v>10</v>
          </cell>
          <cell r="Z7748" t="str">
            <v>Legacy</v>
          </cell>
          <cell r="AA7748" t="str">
            <v>$1K or Below</v>
          </cell>
          <cell r="AB7748" t="str">
            <v>2010 or before</v>
          </cell>
        </row>
        <row r="7749">
          <cell r="E7749">
            <v>10</v>
          </cell>
          <cell r="Z7749" t="str">
            <v>Legacy</v>
          </cell>
          <cell r="AA7749" t="str">
            <v>$1K or Below</v>
          </cell>
          <cell r="AB7749" t="str">
            <v>2010 or before</v>
          </cell>
        </row>
        <row r="7750">
          <cell r="E7750">
            <v>10</v>
          </cell>
          <cell r="Z7750" t="str">
            <v>Legacy</v>
          </cell>
          <cell r="AA7750" t="str">
            <v>$1K or Below</v>
          </cell>
          <cell r="AB7750" t="str">
            <v>2010 or before</v>
          </cell>
        </row>
        <row r="7751">
          <cell r="E7751">
            <v>10</v>
          </cell>
          <cell r="Z7751" t="str">
            <v>Legacy</v>
          </cell>
          <cell r="AA7751" t="str">
            <v>$1K or Below</v>
          </cell>
          <cell r="AB7751" t="str">
            <v>2010 or before</v>
          </cell>
        </row>
        <row r="7752">
          <cell r="E7752">
            <v>9.99</v>
          </cell>
          <cell r="Z7752" t="str">
            <v>Legacy</v>
          </cell>
          <cell r="AA7752" t="str">
            <v>$1K or Below</v>
          </cell>
          <cell r="AB7752" t="str">
            <v>2010 or before</v>
          </cell>
        </row>
        <row r="7753">
          <cell r="E7753">
            <v>9.99</v>
          </cell>
          <cell r="Z7753" t="str">
            <v>Legacy</v>
          </cell>
          <cell r="AA7753" t="str">
            <v>$1K or Below</v>
          </cell>
          <cell r="AB7753" t="str">
            <v>2010 or before</v>
          </cell>
        </row>
        <row r="7754">
          <cell r="E7754">
            <v>9.99</v>
          </cell>
          <cell r="Z7754" t="str">
            <v>Legacy</v>
          </cell>
          <cell r="AA7754" t="str">
            <v>$1K or Below</v>
          </cell>
          <cell r="AB7754" t="str">
            <v>2010 or before</v>
          </cell>
        </row>
        <row r="7755">
          <cell r="E7755">
            <v>9.99</v>
          </cell>
          <cell r="Z7755" t="str">
            <v>Legacy</v>
          </cell>
          <cell r="AA7755" t="str">
            <v>$1K or Below</v>
          </cell>
          <cell r="AB7755" t="str">
            <v>2010 or before</v>
          </cell>
        </row>
        <row r="7756">
          <cell r="E7756">
            <v>9.99</v>
          </cell>
          <cell r="Z7756" t="str">
            <v>Legacy</v>
          </cell>
          <cell r="AA7756" t="str">
            <v>$1K or Below</v>
          </cell>
          <cell r="AB7756" t="str">
            <v>2010 or before</v>
          </cell>
        </row>
        <row r="7757">
          <cell r="E7757">
            <v>9.99</v>
          </cell>
          <cell r="Z7757" t="str">
            <v>Legacy</v>
          </cell>
          <cell r="AA7757" t="str">
            <v>$1K or Below</v>
          </cell>
          <cell r="AB7757" t="str">
            <v>2010 or before</v>
          </cell>
        </row>
        <row r="7758">
          <cell r="E7758">
            <v>9.99</v>
          </cell>
          <cell r="Z7758" t="str">
            <v>Legacy</v>
          </cell>
          <cell r="AA7758" t="str">
            <v>$1K or Below</v>
          </cell>
          <cell r="AB7758" t="str">
            <v>2010 or before</v>
          </cell>
        </row>
        <row r="7759">
          <cell r="E7759">
            <v>9.98</v>
          </cell>
          <cell r="Z7759" t="str">
            <v>Legacy</v>
          </cell>
          <cell r="AA7759" t="str">
            <v>$1K or Below</v>
          </cell>
          <cell r="AB7759">
            <v>2011</v>
          </cell>
        </row>
        <row r="7760">
          <cell r="E7760">
            <v>9.98</v>
          </cell>
          <cell r="Z7760" t="str">
            <v>Legacy</v>
          </cell>
          <cell r="AA7760" t="str">
            <v>$1K or Below</v>
          </cell>
          <cell r="AB7760" t="str">
            <v>2010 or before</v>
          </cell>
        </row>
        <row r="7761">
          <cell r="E7761">
            <v>9.98</v>
          </cell>
          <cell r="Z7761" t="str">
            <v>Legacy</v>
          </cell>
          <cell r="AA7761" t="str">
            <v>$1K or Below</v>
          </cell>
          <cell r="AB7761" t="str">
            <v>2010 or before</v>
          </cell>
        </row>
        <row r="7762">
          <cell r="E7762">
            <v>9.98</v>
          </cell>
          <cell r="Z7762" t="str">
            <v>Legacy</v>
          </cell>
          <cell r="AA7762" t="str">
            <v>$1K or Below</v>
          </cell>
          <cell r="AB7762" t="str">
            <v>2010 or before</v>
          </cell>
        </row>
        <row r="7763">
          <cell r="E7763">
            <v>9.94</v>
          </cell>
          <cell r="Z7763" t="str">
            <v>Legacy</v>
          </cell>
          <cell r="AA7763" t="str">
            <v>$1K or Below</v>
          </cell>
          <cell r="AB7763" t="str">
            <v>2010 or before</v>
          </cell>
        </row>
        <row r="7764">
          <cell r="E7764">
            <v>9.94</v>
          </cell>
          <cell r="Z7764" t="str">
            <v>Legacy</v>
          </cell>
          <cell r="AA7764" t="str">
            <v>$1K or Below</v>
          </cell>
          <cell r="AB7764" t="str">
            <v>2010 or before</v>
          </cell>
        </row>
        <row r="7765">
          <cell r="E7765">
            <v>9.94</v>
          </cell>
          <cell r="Z7765" t="str">
            <v>Legacy</v>
          </cell>
          <cell r="AA7765" t="str">
            <v>$1K or Below</v>
          </cell>
          <cell r="AB7765" t="str">
            <v>2010 or before</v>
          </cell>
        </row>
        <row r="7766">
          <cell r="E7766">
            <v>9.7899999999999991</v>
          </cell>
          <cell r="Z7766" t="str">
            <v>Legacy</v>
          </cell>
          <cell r="AA7766" t="str">
            <v>$1K or Below</v>
          </cell>
          <cell r="AB7766" t="str">
            <v>2010 or before</v>
          </cell>
        </row>
        <row r="7767">
          <cell r="E7767">
            <v>9.74</v>
          </cell>
          <cell r="Z7767" t="str">
            <v>Legacy</v>
          </cell>
          <cell r="AA7767" t="str">
            <v>$1K or Below</v>
          </cell>
          <cell r="AB7767">
            <v>2011</v>
          </cell>
        </row>
        <row r="7768">
          <cell r="E7768">
            <v>9.5500000000000007</v>
          </cell>
          <cell r="Z7768" t="str">
            <v>Legacy</v>
          </cell>
          <cell r="AA7768" t="str">
            <v>$1K or Below</v>
          </cell>
          <cell r="AB7768" t="str">
            <v>2010 or before</v>
          </cell>
        </row>
        <row r="7769">
          <cell r="E7769">
            <v>9.49</v>
          </cell>
          <cell r="Z7769" t="str">
            <v>Legacy</v>
          </cell>
          <cell r="AA7769" t="str">
            <v>$1K or Below</v>
          </cell>
          <cell r="AB7769" t="str">
            <v>2010 or before</v>
          </cell>
        </row>
        <row r="7770">
          <cell r="E7770">
            <v>9.49</v>
          </cell>
          <cell r="Z7770" t="str">
            <v>Legacy</v>
          </cell>
          <cell r="AA7770" t="str">
            <v>$1K or Below</v>
          </cell>
          <cell r="AB7770" t="str">
            <v>2010 or before</v>
          </cell>
        </row>
        <row r="7771">
          <cell r="E7771">
            <v>9.49</v>
          </cell>
          <cell r="Z7771" t="str">
            <v>Legacy</v>
          </cell>
          <cell r="AA7771" t="str">
            <v>$1K or Below</v>
          </cell>
          <cell r="AB7771">
            <v>2012</v>
          </cell>
        </row>
        <row r="7772">
          <cell r="E7772">
            <v>9.48</v>
          </cell>
          <cell r="Z7772" t="str">
            <v>Legacy</v>
          </cell>
          <cell r="AA7772" t="str">
            <v>$1K or Below</v>
          </cell>
          <cell r="AB7772" t="str">
            <v>2010 or before</v>
          </cell>
        </row>
        <row r="7773">
          <cell r="E7773">
            <v>9.48</v>
          </cell>
          <cell r="Z7773" t="str">
            <v>Legacy</v>
          </cell>
          <cell r="AA7773" t="str">
            <v>$1K or Below</v>
          </cell>
          <cell r="AB7773" t="str">
            <v>2010 or before</v>
          </cell>
        </row>
        <row r="7774">
          <cell r="E7774">
            <v>9.4700000000000006</v>
          </cell>
          <cell r="Z7774" t="str">
            <v>Legacy</v>
          </cell>
          <cell r="AA7774" t="str">
            <v>$1K or Below</v>
          </cell>
          <cell r="AB7774" t="str">
            <v>2010 or before</v>
          </cell>
        </row>
        <row r="7775">
          <cell r="E7775">
            <v>9.44</v>
          </cell>
          <cell r="Z7775" t="str">
            <v>Legacy</v>
          </cell>
          <cell r="AA7775" t="str">
            <v>$1K or Below</v>
          </cell>
          <cell r="AB7775" t="str">
            <v>2010 or before</v>
          </cell>
        </row>
        <row r="7776">
          <cell r="E7776">
            <v>9.44</v>
          </cell>
          <cell r="Z7776" t="str">
            <v>Legacy</v>
          </cell>
          <cell r="AA7776" t="str">
            <v>$1K or Below</v>
          </cell>
          <cell r="AB7776" t="str">
            <v>2010 or before</v>
          </cell>
        </row>
        <row r="7777">
          <cell r="E7777">
            <v>9.44</v>
          </cell>
          <cell r="Z7777" t="str">
            <v>Legacy</v>
          </cell>
          <cell r="AA7777" t="str">
            <v>$1K or Below</v>
          </cell>
          <cell r="AB7777" t="str">
            <v>2010 or before</v>
          </cell>
        </row>
        <row r="7778">
          <cell r="E7778">
            <v>9.23</v>
          </cell>
          <cell r="Z7778" t="str">
            <v>Legacy</v>
          </cell>
          <cell r="AA7778" t="str">
            <v>$1K or Below</v>
          </cell>
          <cell r="AB7778" t="str">
            <v>2010 or before</v>
          </cell>
        </row>
        <row r="7779">
          <cell r="E7779">
            <v>9.2100000000000009</v>
          </cell>
          <cell r="Z7779" t="str">
            <v>Legacy</v>
          </cell>
          <cell r="AA7779" t="str">
            <v>$1K or Below</v>
          </cell>
          <cell r="AB7779" t="str">
            <v>2010 or before</v>
          </cell>
        </row>
        <row r="7780">
          <cell r="E7780">
            <v>9.17</v>
          </cell>
          <cell r="Z7780" t="str">
            <v>Legacy</v>
          </cell>
          <cell r="AA7780" t="str">
            <v>$1K or Below</v>
          </cell>
          <cell r="AB7780" t="str">
            <v>2010 or before</v>
          </cell>
        </row>
        <row r="7781">
          <cell r="E7781">
            <v>9.1300000000000008</v>
          </cell>
          <cell r="Z7781" t="str">
            <v>Legacy</v>
          </cell>
          <cell r="AA7781" t="str">
            <v>$1K or Below</v>
          </cell>
          <cell r="AB7781" t="str">
            <v>2010 or before</v>
          </cell>
        </row>
        <row r="7782">
          <cell r="E7782">
            <v>9.06</v>
          </cell>
          <cell r="Z7782" t="str">
            <v>Legacy</v>
          </cell>
          <cell r="AA7782" t="str">
            <v>$1K or Below</v>
          </cell>
          <cell r="AB7782" t="str">
            <v>2010 or before</v>
          </cell>
        </row>
        <row r="7783">
          <cell r="E7783">
            <v>9</v>
          </cell>
          <cell r="Z7783" t="str">
            <v>Legacy</v>
          </cell>
          <cell r="AA7783" t="str">
            <v>$1K or Below</v>
          </cell>
          <cell r="AB7783" t="str">
            <v>2010 or before</v>
          </cell>
        </row>
        <row r="7784">
          <cell r="E7784">
            <v>9</v>
          </cell>
          <cell r="Z7784" t="str">
            <v>Legacy</v>
          </cell>
          <cell r="AA7784" t="str">
            <v>$1K or Below</v>
          </cell>
          <cell r="AB7784" t="str">
            <v>2010 or before</v>
          </cell>
        </row>
        <row r="7785">
          <cell r="E7785">
            <v>9</v>
          </cell>
          <cell r="Z7785" t="str">
            <v>Legacy</v>
          </cell>
          <cell r="AA7785" t="str">
            <v>$1K or Below</v>
          </cell>
          <cell r="AB7785" t="str">
            <v>2010 or before</v>
          </cell>
        </row>
        <row r="7786">
          <cell r="E7786">
            <v>8.99</v>
          </cell>
          <cell r="Z7786" t="str">
            <v>Legacy</v>
          </cell>
          <cell r="AA7786" t="str">
            <v>$1K or Below</v>
          </cell>
          <cell r="AB7786" t="str">
            <v>2010 or before</v>
          </cell>
        </row>
        <row r="7787">
          <cell r="E7787">
            <v>8.99</v>
          </cell>
          <cell r="Z7787" t="str">
            <v>Legacy</v>
          </cell>
          <cell r="AA7787" t="str">
            <v>$1K or Below</v>
          </cell>
          <cell r="AB7787" t="str">
            <v>2010 or before</v>
          </cell>
        </row>
        <row r="7788">
          <cell r="E7788">
            <v>8.99</v>
          </cell>
          <cell r="Z7788" t="str">
            <v>Legacy</v>
          </cell>
          <cell r="AA7788" t="str">
            <v>$1K or Below</v>
          </cell>
          <cell r="AB7788" t="str">
            <v>2010 or before</v>
          </cell>
        </row>
        <row r="7789">
          <cell r="E7789">
            <v>8.99</v>
          </cell>
          <cell r="Z7789" t="str">
            <v>Legacy</v>
          </cell>
          <cell r="AA7789" t="str">
            <v>$1K or Below</v>
          </cell>
          <cell r="AB7789">
            <v>2012</v>
          </cell>
        </row>
        <row r="7790">
          <cell r="E7790">
            <v>8.99</v>
          </cell>
          <cell r="Z7790" t="str">
            <v>Legacy</v>
          </cell>
          <cell r="AA7790" t="str">
            <v>$1K or Below</v>
          </cell>
          <cell r="AB7790" t="str">
            <v>2010 or before</v>
          </cell>
        </row>
        <row r="7791">
          <cell r="E7791">
            <v>8.98</v>
          </cell>
          <cell r="Z7791" t="str">
            <v>Legacy</v>
          </cell>
          <cell r="AA7791" t="str">
            <v>$1K or Below</v>
          </cell>
          <cell r="AB7791" t="str">
            <v>2010 or before</v>
          </cell>
        </row>
        <row r="7792">
          <cell r="E7792">
            <v>8.98</v>
          </cell>
          <cell r="Z7792" t="str">
            <v>Legacy</v>
          </cell>
          <cell r="AA7792" t="str">
            <v>$1K or Below</v>
          </cell>
          <cell r="AB7792">
            <v>2012</v>
          </cell>
        </row>
        <row r="7793">
          <cell r="E7793">
            <v>8.98</v>
          </cell>
          <cell r="Z7793" t="str">
            <v>Legacy</v>
          </cell>
          <cell r="AA7793" t="str">
            <v>$1K or Below</v>
          </cell>
          <cell r="AB7793" t="str">
            <v>2010 or before</v>
          </cell>
        </row>
        <row r="7794">
          <cell r="E7794">
            <v>8.98</v>
          </cell>
          <cell r="Z7794" t="str">
            <v>Legacy</v>
          </cell>
          <cell r="AA7794" t="str">
            <v>$1K or Below</v>
          </cell>
          <cell r="AB7794" t="str">
            <v>2010 or before</v>
          </cell>
        </row>
        <row r="7795">
          <cell r="E7795">
            <v>8.9700000000000006</v>
          </cell>
          <cell r="Z7795" t="str">
            <v>Legacy</v>
          </cell>
          <cell r="AA7795" t="str">
            <v>$1K or Below</v>
          </cell>
          <cell r="AB7795">
            <v>2011</v>
          </cell>
        </row>
        <row r="7796">
          <cell r="E7796">
            <v>8.9700000000000006</v>
          </cell>
          <cell r="Z7796" t="str">
            <v>Legacy</v>
          </cell>
          <cell r="AA7796" t="str">
            <v>$1K or Below</v>
          </cell>
          <cell r="AB7796" t="str">
            <v>2010 or before</v>
          </cell>
        </row>
        <row r="7797">
          <cell r="E7797">
            <v>8.9700000000000006</v>
          </cell>
          <cell r="Z7797" t="str">
            <v>Legacy</v>
          </cell>
          <cell r="AA7797" t="str">
            <v>$1K or Below</v>
          </cell>
          <cell r="AB7797" t="str">
            <v>2010 or before</v>
          </cell>
        </row>
        <row r="7798">
          <cell r="E7798">
            <v>8.9600000000000009</v>
          </cell>
          <cell r="Z7798" t="str">
            <v>Legacy</v>
          </cell>
          <cell r="AA7798" t="str">
            <v>$1K or Below</v>
          </cell>
          <cell r="AB7798" t="str">
            <v>2010 or before</v>
          </cell>
        </row>
        <row r="7799">
          <cell r="E7799">
            <v>8.9499999999999993</v>
          </cell>
          <cell r="Z7799" t="str">
            <v>Legacy</v>
          </cell>
          <cell r="AA7799" t="str">
            <v>$1K or Below</v>
          </cell>
          <cell r="AB7799" t="str">
            <v>2010 or before</v>
          </cell>
        </row>
        <row r="7800">
          <cell r="E7800">
            <v>8.7899999999999991</v>
          </cell>
          <cell r="Z7800" t="str">
            <v>Legacy</v>
          </cell>
          <cell r="AA7800" t="str">
            <v>$1K or Below</v>
          </cell>
          <cell r="AB7800">
            <v>2011</v>
          </cell>
        </row>
        <row r="7801">
          <cell r="E7801">
            <v>8.7799999999999994</v>
          </cell>
          <cell r="Z7801" t="str">
            <v>Legacy</v>
          </cell>
          <cell r="AA7801" t="str">
            <v>$1K or Below</v>
          </cell>
          <cell r="AB7801" t="str">
            <v>2010 or before</v>
          </cell>
        </row>
        <row r="7802">
          <cell r="E7802">
            <v>8.57</v>
          </cell>
          <cell r="Z7802" t="str">
            <v>Legacy</v>
          </cell>
          <cell r="AA7802" t="str">
            <v>$1K or Below</v>
          </cell>
          <cell r="AB7802" t="str">
            <v>2010 or before</v>
          </cell>
        </row>
        <row r="7803">
          <cell r="E7803">
            <v>8.56</v>
          </cell>
          <cell r="Z7803" t="str">
            <v>Legacy</v>
          </cell>
          <cell r="AA7803" t="str">
            <v>$1K or Below</v>
          </cell>
          <cell r="AB7803" t="str">
            <v>2010 or before</v>
          </cell>
        </row>
        <row r="7804">
          <cell r="E7804">
            <v>8.5399999999999991</v>
          </cell>
          <cell r="Z7804" t="str">
            <v>Legacy</v>
          </cell>
          <cell r="AA7804" t="str">
            <v>$1K or Below</v>
          </cell>
          <cell r="AB7804" t="str">
            <v>2010 or before</v>
          </cell>
        </row>
        <row r="7805">
          <cell r="E7805">
            <v>8.52</v>
          </cell>
          <cell r="Z7805" t="str">
            <v>Legacy</v>
          </cell>
          <cell r="AA7805" t="str">
            <v>$1K or Below</v>
          </cell>
          <cell r="AB7805" t="str">
            <v>2010 or before</v>
          </cell>
        </row>
        <row r="7806">
          <cell r="E7806">
            <v>8.49</v>
          </cell>
          <cell r="Z7806" t="str">
            <v>Legacy</v>
          </cell>
          <cell r="AA7806" t="str">
            <v>$1K or Below</v>
          </cell>
          <cell r="AB7806" t="str">
            <v>2010 or before</v>
          </cell>
        </row>
        <row r="7807">
          <cell r="E7807">
            <v>8.44</v>
          </cell>
          <cell r="Z7807" t="str">
            <v>Legacy</v>
          </cell>
          <cell r="AA7807" t="str">
            <v>$1K or Below</v>
          </cell>
          <cell r="AB7807" t="str">
            <v>2010 or before</v>
          </cell>
        </row>
        <row r="7808">
          <cell r="E7808">
            <v>8.4</v>
          </cell>
          <cell r="Z7808" t="str">
            <v>Legacy</v>
          </cell>
          <cell r="AA7808" t="str">
            <v>$1K or Below</v>
          </cell>
          <cell r="AB7808" t="str">
            <v>2010 or before</v>
          </cell>
        </row>
        <row r="7809">
          <cell r="E7809">
            <v>8.2799999999999994</v>
          </cell>
          <cell r="Z7809" t="str">
            <v>Legacy</v>
          </cell>
          <cell r="AA7809" t="str">
            <v>$1K or Below</v>
          </cell>
          <cell r="AB7809" t="str">
            <v>2010 or before</v>
          </cell>
        </row>
        <row r="7810">
          <cell r="E7810">
            <v>8.1300000000000008</v>
          </cell>
          <cell r="Z7810" t="str">
            <v>Legacy</v>
          </cell>
          <cell r="AA7810" t="str">
            <v>$1K or Below</v>
          </cell>
          <cell r="AB7810" t="str">
            <v>2010 or before</v>
          </cell>
        </row>
        <row r="7811">
          <cell r="E7811">
            <v>8.11</v>
          </cell>
          <cell r="Z7811" t="str">
            <v>Legacy</v>
          </cell>
          <cell r="AA7811" t="str">
            <v>$1K or Below</v>
          </cell>
          <cell r="AB7811" t="str">
            <v>2010 or before</v>
          </cell>
        </row>
        <row r="7812">
          <cell r="E7812">
            <v>8.09</v>
          </cell>
          <cell r="Z7812" t="str">
            <v>Legacy</v>
          </cell>
          <cell r="AA7812" t="str">
            <v>$1K or Below</v>
          </cell>
          <cell r="AB7812" t="str">
            <v>2010 or before</v>
          </cell>
        </row>
        <row r="7813">
          <cell r="E7813">
            <v>8</v>
          </cell>
          <cell r="Z7813" t="str">
            <v>Legacy</v>
          </cell>
          <cell r="AA7813" t="str">
            <v>$1K or Below</v>
          </cell>
          <cell r="AB7813" t="str">
            <v>2010 or before</v>
          </cell>
        </row>
        <row r="7814">
          <cell r="E7814">
            <v>7.99</v>
          </cell>
          <cell r="Z7814" t="str">
            <v>Legacy</v>
          </cell>
          <cell r="AA7814" t="str">
            <v>$1K or Below</v>
          </cell>
          <cell r="AB7814">
            <v>2011</v>
          </cell>
        </row>
        <row r="7815">
          <cell r="E7815">
            <v>7.99</v>
          </cell>
          <cell r="Z7815" t="str">
            <v>Legacy</v>
          </cell>
          <cell r="AA7815" t="str">
            <v>$1K or Below</v>
          </cell>
          <cell r="AB7815" t="str">
            <v>2010 or before</v>
          </cell>
        </row>
        <row r="7816">
          <cell r="E7816">
            <v>7.99</v>
          </cell>
          <cell r="Z7816" t="str">
            <v>Legacy</v>
          </cell>
          <cell r="AA7816" t="str">
            <v>$1K or Below</v>
          </cell>
          <cell r="AB7816" t="str">
            <v>2010 or before</v>
          </cell>
        </row>
        <row r="7817">
          <cell r="E7817">
            <v>7.99</v>
          </cell>
          <cell r="Z7817" t="str">
            <v>Legacy</v>
          </cell>
          <cell r="AA7817" t="str">
            <v>$1K or Below</v>
          </cell>
          <cell r="AB7817" t="str">
            <v>2010 or before</v>
          </cell>
        </row>
        <row r="7818">
          <cell r="E7818">
            <v>7.99</v>
          </cell>
          <cell r="Z7818" t="str">
            <v>Legacy</v>
          </cell>
          <cell r="AA7818" t="str">
            <v>$1K or Below</v>
          </cell>
          <cell r="AB7818" t="str">
            <v>2010 or before</v>
          </cell>
        </row>
        <row r="7819">
          <cell r="E7819">
            <v>7.99</v>
          </cell>
          <cell r="Z7819" t="str">
            <v>Legacy</v>
          </cell>
          <cell r="AA7819" t="str">
            <v>$1K or Below</v>
          </cell>
          <cell r="AB7819" t="str">
            <v>2010 or before</v>
          </cell>
        </row>
        <row r="7820">
          <cell r="E7820">
            <v>7.98</v>
          </cell>
          <cell r="Z7820" t="str">
            <v>Legacy</v>
          </cell>
          <cell r="AA7820" t="str">
            <v>$1K or Below</v>
          </cell>
          <cell r="AB7820" t="str">
            <v>2010 or before</v>
          </cell>
        </row>
        <row r="7821">
          <cell r="E7821">
            <v>7.98</v>
          </cell>
          <cell r="Z7821" t="str">
            <v>Legacy</v>
          </cell>
          <cell r="AA7821" t="str">
            <v>$1K or Below</v>
          </cell>
          <cell r="AB7821" t="str">
            <v>2010 or before</v>
          </cell>
        </row>
        <row r="7822">
          <cell r="E7822">
            <v>7.98</v>
          </cell>
          <cell r="Z7822" t="str">
            <v>Legacy</v>
          </cell>
          <cell r="AA7822" t="str">
            <v>$1K or Below</v>
          </cell>
          <cell r="AB7822" t="str">
            <v>2010 or before</v>
          </cell>
        </row>
        <row r="7823">
          <cell r="E7823">
            <v>7.98</v>
          </cell>
          <cell r="Z7823" t="str">
            <v>Legacy</v>
          </cell>
          <cell r="AA7823" t="str">
            <v>$1K or Below</v>
          </cell>
          <cell r="AB7823" t="str">
            <v>2010 or before</v>
          </cell>
        </row>
        <row r="7824">
          <cell r="E7824">
            <v>7.97</v>
          </cell>
          <cell r="Z7824" t="str">
            <v>Legacy</v>
          </cell>
          <cell r="AA7824" t="str">
            <v>$1K or Below</v>
          </cell>
          <cell r="AB7824" t="str">
            <v>2010 or before</v>
          </cell>
        </row>
        <row r="7825">
          <cell r="E7825">
            <v>7.96</v>
          </cell>
          <cell r="Z7825" t="str">
            <v>Legacy</v>
          </cell>
          <cell r="AA7825" t="str">
            <v>$1K or Below</v>
          </cell>
          <cell r="AB7825" t="str">
            <v>2010 or before</v>
          </cell>
        </row>
        <row r="7826">
          <cell r="E7826">
            <v>7.87</v>
          </cell>
          <cell r="Z7826" t="str">
            <v>Legacy</v>
          </cell>
          <cell r="AA7826" t="str">
            <v>$1K or Below</v>
          </cell>
          <cell r="AB7826" t="str">
            <v>2010 or before</v>
          </cell>
        </row>
        <row r="7827">
          <cell r="E7827">
            <v>7.76</v>
          </cell>
          <cell r="Z7827" t="str">
            <v>Legacy</v>
          </cell>
          <cell r="AA7827" t="str">
            <v>$1K or Below</v>
          </cell>
          <cell r="AB7827" t="str">
            <v>2010 or before</v>
          </cell>
        </row>
        <row r="7828">
          <cell r="E7828">
            <v>7.74</v>
          </cell>
          <cell r="Z7828" t="str">
            <v>Legacy</v>
          </cell>
          <cell r="AA7828" t="str">
            <v>$1K or Below</v>
          </cell>
          <cell r="AB7828" t="str">
            <v>2010 or before</v>
          </cell>
        </row>
        <row r="7829">
          <cell r="E7829">
            <v>7.71</v>
          </cell>
          <cell r="Z7829" t="str">
            <v>Legacy</v>
          </cell>
          <cell r="AA7829" t="str">
            <v>$1K or Below</v>
          </cell>
          <cell r="AB7829" t="str">
            <v>2010 or before</v>
          </cell>
        </row>
        <row r="7830">
          <cell r="E7830">
            <v>7.69</v>
          </cell>
          <cell r="Z7830" t="str">
            <v>Legacy</v>
          </cell>
          <cell r="AA7830" t="str">
            <v>$1K or Below</v>
          </cell>
          <cell r="AB7830" t="str">
            <v>2010 or before</v>
          </cell>
        </row>
        <row r="7831">
          <cell r="E7831">
            <v>7.67</v>
          </cell>
          <cell r="Z7831" t="str">
            <v>Legacy</v>
          </cell>
          <cell r="AA7831" t="str">
            <v>$1K or Below</v>
          </cell>
          <cell r="AB7831" t="str">
            <v>2010 or before</v>
          </cell>
        </row>
        <row r="7832">
          <cell r="E7832">
            <v>7.49</v>
          </cell>
          <cell r="Z7832" t="str">
            <v>Legacy</v>
          </cell>
          <cell r="AA7832" t="str">
            <v>$1K or Below</v>
          </cell>
          <cell r="AB7832" t="str">
            <v>2010 or before</v>
          </cell>
        </row>
        <row r="7833">
          <cell r="E7833">
            <v>7.48</v>
          </cell>
          <cell r="Z7833" t="str">
            <v>Legacy</v>
          </cell>
          <cell r="AA7833" t="str">
            <v>$1K or Below</v>
          </cell>
          <cell r="AB7833" t="str">
            <v>2010 or before</v>
          </cell>
        </row>
        <row r="7834">
          <cell r="E7834">
            <v>7.48</v>
          </cell>
          <cell r="Z7834" t="str">
            <v>Legacy</v>
          </cell>
          <cell r="AA7834" t="str">
            <v>$1K or Below</v>
          </cell>
          <cell r="AB7834" t="str">
            <v>2010 or before</v>
          </cell>
        </row>
        <row r="7835">
          <cell r="E7835">
            <v>7.48</v>
          </cell>
          <cell r="Z7835" t="str">
            <v>Legacy</v>
          </cell>
          <cell r="AA7835" t="str">
            <v>$1K or Below</v>
          </cell>
          <cell r="AB7835" t="str">
            <v>2010 or before</v>
          </cell>
        </row>
        <row r="7836">
          <cell r="E7836">
            <v>7.48</v>
          </cell>
          <cell r="Z7836" t="str">
            <v>Legacy</v>
          </cell>
          <cell r="AA7836" t="str">
            <v>$1K or Below</v>
          </cell>
          <cell r="AB7836" t="str">
            <v>2010 or before</v>
          </cell>
        </row>
        <row r="7837">
          <cell r="E7837">
            <v>7.48</v>
          </cell>
          <cell r="Z7837" t="str">
            <v>Legacy</v>
          </cell>
          <cell r="AA7837" t="str">
            <v>$1K or Below</v>
          </cell>
          <cell r="AB7837" t="str">
            <v>2010 or before</v>
          </cell>
        </row>
        <row r="7838">
          <cell r="E7838">
            <v>7.47</v>
          </cell>
          <cell r="Z7838" t="str">
            <v>Legacy</v>
          </cell>
          <cell r="AA7838" t="str">
            <v>$1K or Below</v>
          </cell>
          <cell r="AB7838" t="str">
            <v>2010 or before</v>
          </cell>
        </row>
        <row r="7839">
          <cell r="E7839">
            <v>7.26</v>
          </cell>
          <cell r="Z7839" t="str">
            <v>Legacy</v>
          </cell>
          <cell r="AA7839" t="str">
            <v>$1K or Below</v>
          </cell>
          <cell r="AB7839" t="str">
            <v>2010 or before</v>
          </cell>
        </row>
        <row r="7840">
          <cell r="E7840">
            <v>7.24</v>
          </cell>
          <cell r="Z7840" t="str">
            <v>Legacy</v>
          </cell>
          <cell r="AA7840" t="str">
            <v>$1K or Below</v>
          </cell>
          <cell r="AB7840" t="str">
            <v>2010 or before</v>
          </cell>
        </row>
        <row r="7841">
          <cell r="E7841">
            <v>7.13</v>
          </cell>
          <cell r="Z7841" t="str">
            <v>Legacy</v>
          </cell>
          <cell r="AA7841" t="str">
            <v>$1K or Below</v>
          </cell>
          <cell r="AB7841">
            <v>2012</v>
          </cell>
        </row>
        <row r="7842">
          <cell r="E7842">
            <v>7.09</v>
          </cell>
          <cell r="Z7842" t="str">
            <v>Legacy</v>
          </cell>
          <cell r="AA7842" t="str">
            <v>$1K or Below</v>
          </cell>
          <cell r="AB7842" t="str">
            <v>2010 or before</v>
          </cell>
        </row>
        <row r="7843">
          <cell r="E7843">
            <v>7.09</v>
          </cell>
          <cell r="Z7843" t="str">
            <v>Legacy</v>
          </cell>
          <cell r="AA7843" t="str">
            <v>$1K or Below</v>
          </cell>
          <cell r="AB7843" t="str">
            <v>2010 or before</v>
          </cell>
        </row>
        <row r="7844">
          <cell r="E7844">
            <v>7.04</v>
          </cell>
          <cell r="Z7844" t="str">
            <v>Legacy</v>
          </cell>
          <cell r="AA7844" t="str">
            <v>$1K or Below</v>
          </cell>
          <cell r="AB7844" t="str">
            <v>2010 or before</v>
          </cell>
        </row>
        <row r="7845">
          <cell r="E7845">
            <v>7</v>
          </cell>
          <cell r="Z7845" t="str">
            <v>Legacy</v>
          </cell>
          <cell r="AA7845" t="str">
            <v>$1K or Below</v>
          </cell>
          <cell r="AB7845" t="str">
            <v>2010 or before</v>
          </cell>
        </row>
        <row r="7846">
          <cell r="E7846">
            <v>6.99</v>
          </cell>
          <cell r="Z7846" t="str">
            <v>Legacy</v>
          </cell>
          <cell r="AA7846" t="str">
            <v>$1K or Below</v>
          </cell>
          <cell r="AB7846" t="str">
            <v>2010 or before</v>
          </cell>
        </row>
        <row r="7847">
          <cell r="E7847">
            <v>6.99</v>
          </cell>
          <cell r="Z7847" t="str">
            <v>Legacy</v>
          </cell>
          <cell r="AA7847" t="str">
            <v>$1K or Below</v>
          </cell>
          <cell r="AB7847" t="str">
            <v>2010 or before</v>
          </cell>
        </row>
        <row r="7848">
          <cell r="E7848">
            <v>6.99</v>
          </cell>
          <cell r="Z7848" t="str">
            <v>Legacy</v>
          </cell>
          <cell r="AA7848" t="str">
            <v>$1K or Below</v>
          </cell>
          <cell r="AB7848" t="str">
            <v>2010 or before</v>
          </cell>
        </row>
        <row r="7849">
          <cell r="E7849">
            <v>6.98</v>
          </cell>
          <cell r="Z7849" t="str">
            <v>Legacy</v>
          </cell>
          <cell r="AA7849" t="str">
            <v>$1K or Below</v>
          </cell>
          <cell r="AB7849" t="str">
            <v>2010 or before</v>
          </cell>
        </row>
        <row r="7850">
          <cell r="E7850">
            <v>6.98</v>
          </cell>
          <cell r="Z7850" t="str">
            <v>Legacy</v>
          </cell>
          <cell r="AA7850" t="str">
            <v>$1K or Below</v>
          </cell>
          <cell r="AB7850" t="str">
            <v>2010 or before</v>
          </cell>
        </row>
        <row r="7851">
          <cell r="E7851">
            <v>6.98</v>
          </cell>
          <cell r="Z7851" t="str">
            <v>Legacy</v>
          </cell>
          <cell r="AA7851" t="str">
            <v>$1K or Below</v>
          </cell>
          <cell r="AB7851" t="str">
            <v>2010 or before</v>
          </cell>
        </row>
        <row r="7852">
          <cell r="E7852">
            <v>6.98</v>
          </cell>
          <cell r="Z7852" t="str">
            <v>Legacy</v>
          </cell>
          <cell r="AA7852" t="str">
            <v>$1K or Below</v>
          </cell>
          <cell r="AB7852" t="str">
            <v>2010 or before</v>
          </cell>
        </row>
        <row r="7853">
          <cell r="E7853">
            <v>6.97</v>
          </cell>
          <cell r="Z7853" t="str">
            <v>Legacy</v>
          </cell>
          <cell r="AA7853" t="str">
            <v>$1K or Below</v>
          </cell>
          <cell r="AB7853" t="str">
            <v>2010 or before</v>
          </cell>
        </row>
        <row r="7854">
          <cell r="E7854">
            <v>6.95</v>
          </cell>
          <cell r="Z7854" t="str">
            <v>Legacy</v>
          </cell>
          <cell r="AA7854" t="str">
            <v>$1K or Below</v>
          </cell>
          <cell r="AB7854" t="str">
            <v>2010 or before</v>
          </cell>
        </row>
        <row r="7855">
          <cell r="E7855">
            <v>6.94</v>
          </cell>
          <cell r="Z7855" t="str">
            <v>Legacy</v>
          </cell>
          <cell r="AA7855" t="str">
            <v>$1K or Below</v>
          </cell>
          <cell r="AB7855" t="str">
            <v>2010 or before</v>
          </cell>
        </row>
        <row r="7856">
          <cell r="E7856">
            <v>6.9</v>
          </cell>
          <cell r="Z7856" t="str">
            <v>Legacy</v>
          </cell>
          <cell r="AA7856" t="str">
            <v>$1K or Below</v>
          </cell>
          <cell r="AB7856" t="str">
            <v>2010 or before</v>
          </cell>
        </row>
        <row r="7857">
          <cell r="E7857">
            <v>6.78</v>
          </cell>
          <cell r="Z7857" t="str">
            <v>Legacy</v>
          </cell>
          <cell r="AA7857" t="str">
            <v>$1K or Below</v>
          </cell>
          <cell r="AB7857" t="str">
            <v>2010 or before</v>
          </cell>
        </row>
        <row r="7858">
          <cell r="E7858">
            <v>6.69</v>
          </cell>
          <cell r="Z7858" t="str">
            <v>Legacy</v>
          </cell>
          <cell r="AA7858" t="str">
            <v>$1K or Below</v>
          </cell>
          <cell r="AB7858" t="str">
            <v>2010 or before</v>
          </cell>
        </row>
        <row r="7859">
          <cell r="E7859">
            <v>6.59</v>
          </cell>
          <cell r="Z7859" t="str">
            <v>Legacy</v>
          </cell>
          <cell r="AA7859" t="str">
            <v>$1K or Below</v>
          </cell>
          <cell r="AB7859" t="str">
            <v>2010 or before</v>
          </cell>
        </row>
        <row r="7860">
          <cell r="E7860">
            <v>6.58</v>
          </cell>
          <cell r="Z7860" t="str">
            <v>Legacy</v>
          </cell>
          <cell r="AA7860" t="str">
            <v>$1K or Below</v>
          </cell>
          <cell r="AB7860" t="str">
            <v>2010 or before</v>
          </cell>
        </row>
        <row r="7861">
          <cell r="E7861">
            <v>6.5</v>
          </cell>
          <cell r="Z7861" t="str">
            <v>Legacy</v>
          </cell>
          <cell r="AA7861" t="str">
            <v>$1K or Below</v>
          </cell>
          <cell r="AB7861" t="str">
            <v>2010 or before</v>
          </cell>
        </row>
        <row r="7862">
          <cell r="E7862">
            <v>6.49</v>
          </cell>
          <cell r="Z7862" t="str">
            <v>Legacy</v>
          </cell>
          <cell r="AA7862" t="str">
            <v>$1K or Below</v>
          </cell>
          <cell r="AB7862" t="str">
            <v>2010 or before</v>
          </cell>
        </row>
        <row r="7863">
          <cell r="E7863">
            <v>6.48</v>
          </cell>
          <cell r="Z7863" t="str">
            <v>Legacy</v>
          </cell>
          <cell r="AA7863" t="str">
            <v>$1K or Below</v>
          </cell>
          <cell r="AB7863" t="str">
            <v>2010 or before</v>
          </cell>
        </row>
        <row r="7864">
          <cell r="E7864">
            <v>6.48</v>
          </cell>
          <cell r="Z7864" t="str">
            <v>Legacy</v>
          </cell>
          <cell r="AA7864" t="str">
            <v>$1K or Below</v>
          </cell>
          <cell r="AB7864" t="str">
            <v>2010 or before</v>
          </cell>
        </row>
        <row r="7865">
          <cell r="E7865">
            <v>6.3</v>
          </cell>
          <cell r="Z7865" t="str">
            <v>Legacy</v>
          </cell>
          <cell r="AA7865" t="str">
            <v>$1K or Below</v>
          </cell>
          <cell r="AB7865">
            <v>2011</v>
          </cell>
        </row>
        <row r="7866">
          <cell r="E7866">
            <v>6.28</v>
          </cell>
          <cell r="Z7866" t="str">
            <v>Legacy</v>
          </cell>
          <cell r="AA7866" t="str">
            <v>$1K or Below</v>
          </cell>
          <cell r="AB7866" t="str">
            <v>2010 or before</v>
          </cell>
        </row>
        <row r="7867">
          <cell r="E7867">
            <v>6.06</v>
          </cell>
          <cell r="Z7867" t="str">
            <v>Legacy</v>
          </cell>
          <cell r="AA7867" t="str">
            <v>$1K or Below</v>
          </cell>
          <cell r="AB7867" t="str">
            <v>2010 or before</v>
          </cell>
        </row>
        <row r="7868">
          <cell r="E7868">
            <v>6</v>
          </cell>
          <cell r="Z7868" t="str">
            <v>Legacy</v>
          </cell>
          <cell r="AA7868" t="str">
            <v>$1K or Below</v>
          </cell>
          <cell r="AB7868">
            <v>2012</v>
          </cell>
        </row>
        <row r="7869">
          <cell r="E7869">
            <v>5.99</v>
          </cell>
          <cell r="Z7869" t="str">
            <v>Ungating</v>
          </cell>
          <cell r="AA7869" t="str">
            <v>$1K or Below</v>
          </cell>
          <cell r="AB7869">
            <v>2013</v>
          </cell>
        </row>
        <row r="7870">
          <cell r="E7870">
            <v>5.99</v>
          </cell>
          <cell r="Z7870" t="str">
            <v>Legacy</v>
          </cell>
          <cell r="AA7870" t="str">
            <v>$1K or Below</v>
          </cell>
          <cell r="AB7870">
            <v>2011</v>
          </cell>
        </row>
        <row r="7871">
          <cell r="E7871">
            <v>5.99</v>
          </cell>
          <cell r="Z7871" t="str">
            <v>Legacy</v>
          </cell>
          <cell r="AA7871" t="str">
            <v>$1K or Below</v>
          </cell>
          <cell r="AB7871" t="str">
            <v>2010 or before</v>
          </cell>
        </row>
        <row r="7872">
          <cell r="E7872">
            <v>5.99</v>
          </cell>
          <cell r="Z7872" t="str">
            <v>Legacy</v>
          </cell>
          <cell r="AA7872" t="str">
            <v>$1K or Below</v>
          </cell>
          <cell r="AB7872" t="str">
            <v>2010 or before</v>
          </cell>
        </row>
        <row r="7873">
          <cell r="E7873">
            <v>5.99</v>
          </cell>
          <cell r="Z7873" t="str">
            <v>Legacy</v>
          </cell>
          <cell r="AA7873" t="str">
            <v>$1K or Below</v>
          </cell>
          <cell r="AB7873" t="str">
            <v>2010 or before</v>
          </cell>
        </row>
        <row r="7874">
          <cell r="E7874">
            <v>5.99</v>
          </cell>
          <cell r="Z7874" t="str">
            <v>Legacy</v>
          </cell>
          <cell r="AA7874" t="str">
            <v>$1K or Below</v>
          </cell>
          <cell r="AB7874" t="str">
            <v>2010 or before</v>
          </cell>
        </row>
        <row r="7875">
          <cell r="E7875">
            <v>5.99</v>
          </cell>
          <cell r="Z7875" t="str">
            <v>Legacy</v>
          </cell>
          <cell r="AA7875" t="str">
            <v>$1K or Below</v>
          </cell>
          <cell r="AB7875" t="str">
            <v>2010 or before</v>
          </cell>
        </row>
        <row r="7876">
          <cell r="E7876">
            <v>5.99</v>
          </cell>
          <cell r="Z7876" t="str">
            <v>Legacy</v>
          </cell>
          <cell r="AA7876" t="str">
            <v>$1K or Below</v>
          </cell>
          <cell r="AB7876" t="str">
            <v>2010 or before</v>
          </cell>
        </row>
        <row r="7877">
          <cell r="E7877">
            <v>5.99</v>
          </cell>
          <cell r="Z7877" t="str">
            <v>Legacy</v>
          </cell>
          <cell r="AA7877" t="str">
            <v>$1K or Below</v>
          </cell>
          <cell r="AB7877" t="str">
            <v>2010 or before</v>
          </cell>
        </row>
        <row r="7878">
          <cell r="E7878">
            <v>5.98</v>
          </cell>
          <cell r="Z7878" t="str">
            <v>Legacy</v>
          </cell>
          <cell r="AA7878" t="str">
            <v>$1K or Below</v>
          </cell>
          <cell r="AB7878" t="str">
            <v>2010 or before</v>
          </cell>
        </row>
        <row r="7879">
          <cell r="E7879">
            <v>5.98</v>
          </cell>
          <cell r="Z7879" t="str">
            <v>Legacy</v>
          </cell>
          <cell r="AA7879" t="str">
            <v>$1K or Below</v>
          </cell>
          <cell r="AB7879" t="str">
            <v>2010 or before</v>
          </cell>
        </row>
        <row r="7880">
          <cell r="E7880">
            <v>5.97</v>
          </cell>
          <cell r="Z7880" t="str">
            <v>Legacy</v>
          </cell>
          <cell r="AA7880" t="str">
            <v>$1K or Below</v>
          </cell>
          <cell r="AB7880" t="str">
            <v>2010 or before</v>
          </cell>
        </row>
        <row r="7881">
          <cell r="E7881">
            <v>5.88</v>
          </cell>
          <cell r="Z7881" t="str">
            <v>Legacy</v>
          </cell>
          <cell r="AA7881" t="str">
            <v>$1K or Below</v>
          </cell>
          <cell r="AB7881" t="str">
            <v>2010 or before</v>
          </cell>
        </row>
        <row r="7882">
          <cell r="E7882">
            <v>5.84</v>
          </cell>
          <cell r="Z7882" t="str">
            <v>Legacy</v>
          </cell>
          <cell r="AA7882" t="str">
            <v>$1K or Below</v>
          </cell>
          <cell r="AB7882" t="str">
            <v>2010 or before</v>
          </cell>
        </row>
        <row r="7883">
          <cell r="E7883">
            <v>5.74</v>
          </cell>
          <cell r="Z7883" t="str">
            <v>Legacy</v>
          </cell>
          <cell r="AA7883" t="str">
            <v>$1K or Below</v>
          </cell>
          <cell r="AB7883" t="str">
            <v>2010 or before</v>
          </cell>
        </row>
        <row r="7884">
          <cell r="E7884">
            <v>5.58</v>
          </cell>
          <cell r="Z7884" t="str">
            <v>Legacy</v>
          </cell>
          <cell r="AA7884" t="str">
            <v>$1K or Below</v>
          </cell>
          <cell r="AB7884" t="str">
            <v>2010 or before</v>
          </cell>
        </row>
        <row r="7885">
          <cell r="E7885">
            <v>5.53</v>
          </cell>
          <cell r="Z7885" t="str">
            <v>Legacy</v>
          </cell>
          <cell r="AA7885" t="str">
            <v>$1K or Below</v>
          </cell>
          <cell r="AB7885" t="str">
            <v>2010 or before</v>
          </cell>
        </row>
        <row r="7886">
          <cell r="E7886">
            <v>5.49</v>
          </cell>
          <cell r="Z7886" t="str">
            <v>Legacy</v>
          </cell>
          <cell r="AA7886" t="str">
            <v>$1K or Below</v>
          </cell>
          <cell r="AB7886" t="str">
            <v>2010 or before</v>
          </cell>
        </row>
        <row r="7887">
          <cell r="E7887">
            <v>5.48</v>
          </cell>
          <cell r="Z7887" t="str">
            <v>Legacy</v>
          </cell>
          <cell r="AA7887" t="str">
            <v>$1K or Below</v>
          </cell>
          <cell r="AB7887" t="str">
            <v>2010 or before</v>
          </cell>
        </row>
        <row r="7888">
          <cell r="E7888">
            <v>5.45</v>
          </cell>
          <cell r="Z7888" t="str">
            <v>Legacy</v>
          </cell>
          <cell r="AA7888" t="str">
            <v>$1K or Below</v>
          </cell>
          <cell r="AB7888" t="str">
            <v>2010 or before</v>
          </cell>
        </row>
        <row r="7889">
          <cell r="E7889">
            <v>5.44</v>
          </cell>
          <cell r="Z7889" t="str">
            <v>Legacy</v>
          </cell>
          <cell r="AA7889" t="str">
            <v>$1K or Below</v>
          </cell>
          <cell r="AB7889" t="str">
            <v>2010 or before</v>
          </cell>
        </row>
        <row r="7890">
          <cell r="E7890">
            <v>5.39</v>
          </cell>
          <cell r="Z7890" t="str">
            <v>Legacy</v>
          </cell>
          <cell r="AA7890" t="str">
            <v>$1K or Below</v>
          </cell>
          <cell r="AB7890" t="str">
            <v>2010 or before</v>
          </cell>
        </row>
        <row r="7891">
          <cell r="E7891">
            <v>5.39</v>
          </cell>
          <cell r="Z7891" t="str">
            <v>Legacy</v>
          </cell>
          <cell r="AA7891" t="str">
            <v>$1K or Below</v>
          </cell>
          <cell r="AB7891">
            <v>2011</v>
          </cell>
        </row>
        <row r="7892">
          <cell r="E7892">
            <v>5.39</v>
          </cell>
          <cell r="Z7892" t="str">
            <v>Legacy</v>
          </cell>
          <cell r="AA7892" t="str">
            <v>$1K or Below</v>
          </cell>
          <cell r="AB7892" t="str">
            <v>2010 or before</v>
          </cell>
        </row>
        <row r="7893">
          <cell r="E7893">
            <v>5.34</v>
          </cell>
          <cell r="Z7893" t="str">
            <v>Legacy</v>
          </cell>
          <cell r="AA7893" t="str">
            <v>$1K or Below</v>
          </cell>
          <cell r="AB7893" t="str">
            <v>2010 or before</v>
          </cell>
        </row>
        <row r="7894">
          <cell r="E7894">
            <v>5.34</v>
          </cell>
          <cell r="Z7894" t="str">
            <v>Legacy</v>
          </cell>
          <cell r="AA7894" t="str">
            <v>$1K or Below</v>
          </cell>
          <cell r="AB7894" t="str">
            <v>2010 or before</v>
          </cell>
        </row>
        <row r="7895">
          <cell r="E7895">
            <v>5.12</v>
          </cell>
          <cell r="Z7895" t="str">
            <v>Legacy</v>
          </cell>
          <cell r="AA7895" t="str">
            <v>$1K or Below</v>
          </cell>
          <cell r="AB7895" t="str">
            <v>2010 or before</v>
          </cell>
        </row>
        <row r="7896">
          <cell r="E7896">
            <v>5</v>
          </cell>
          <cell r="Z7896" t="str">
            <v>Legacy</v>
          </cell>
          <cell r="AA7896" t="str">
            <v>$1K or Below</v>
          </cell>
          <cell r="AB7896" t="str">
            <v>2010 or before</v>
          </cell>
        </row>
        <row r="7897">
          <cell r="E7897">
            <v>5</v>
          </cell>
          <cell r="Z7897" t="str">
            <v>Legacy</v>
          </cell>
          <cell r="AA7897" t="str">
            <v>$1K or Below</v>
          </cell>
          <cell r="AB7897" t="str">
            <v>2010 or before</v>
          </cell>
        </row>
        <row r="7898">
          <cell r="E7898">
            <v>5</v>
          </cell>
          <cell r="Z7898" t="str">
            <v>Legacy</v>
          </cell>
          <cell r="AA7898" t="str">
            <v>$1K or Below</v>
          </cell>
          <cell r="AB7898" t="str">
            <v>2010 or before</v>
          </cell>
        </row>
        <row r="7899">
          <cell r="E7899">
            <v>5</v>
          </cell>
          <cell r="Z7899" t="str">
            <v>Legacy</v>
          </cell>
          <cell r="AA7899" t="str">
            <v>$1K or Below</v>
          </cell>
          <cell r="AB7899" t="str">
            <v>2010 or before</v>
          </cell>
        </row>
        <row r="7900">
          <cell r="E7900">
            <v>4.99</v>
          </cell>
          <cell r="Z7900" t="str">
            <v>Legacy</v>
          </cell>
          <cell r="AA7900" t="str">
            <v>$1K or Below</v>
          </cell>
          <cell r="AB7900">
            <v>2012</v>
          </cell>
        </row>
        <row r="7901">
          <cell r="E7901">
            <v>4.99</v>
          </cell>
          <cell r="Z7901" t="str">
            <v>Legacy</v>
          </cell>
          <cell r="AA7901" t="str">
            <v>$1K or Below</v>
          </cell>
          <cell r="AB7901" t="str">
            <v>2010 or before</v>
          </cell>
        </row>
        <row r="7902">
          <cell r="E7902">
            <v>4.99</v>
          </cell>
          <cell r="Z7902" t="str">
            <v>Legacy</v>
          </cell>
          <cell r="AA7902" t="str">
            <v>$1K or Below</v>
          </cell>
          <cell r="AB7902">
            <v>2012</v>
          </cell>
        </row>
        <row r="7903">
          <cell r="E7903">
            <v>4.99</v>
          </cell>
          <cell r="Z7903" t="str">
            <v>Legacy</v>
          </cell>
          <cell r="AA7903" t="str">
            <v>$1K or Below</v>
          </cell>
          <cell r="AB7903" t="str">
            <v>2010 or before</v>
          </cell>
        </row>
        <row r="7904">
          <cell r="E7904">
            <v>4.97</v>
          </cell>
          <cell r="Z7904" t="str">
            <v>Legacy</v>
          </cell>
          <cell r="AA7904" t="str">
            <v>$1K or Below</v>
          </cell>
          <cell r="AB7904" t="str">
            <v>2010 or before</v>
          </cell>
        </row>
        <row r="7905">
          <cell r="E7905">
            <v>4.97</v>
          </cell>
          <cell r="Z7905" t="str">
            <v>Legacy</v>
          </cell>
          <cell r="AA7905" t="str">
            <v>$1K or Below</v>
          </cell>
          <cell r="AB7905" t="str">
            <v>2010 or before</v>
          </cell>
        </row>
        <row r="7906">
          <cell r="E7906">
            <v>4.95</v>
          </cell>
          <cell r="Z7906" t="str">
            <v>Legacy</v>
          </cell>
          <cell r="AA7906" t="str">
            <v>$1K or Below</v>
          </cell>
          <cell r="AB7906" t="str">
            <v>2010 or before</v>
          </cell>
        </row>
        <row r="7907">
          <cell r="E7907">
            <v>4.8</v>
          </cell>
          <cell r="Z7907" t="str">
            <v>Legacy</v>
          </cell>
          <cell r="AA7907" t="str">
            <v>$1K or Below</v>
          </cell>
          <cell r="AB7907">
            <v>2012</v>
          </cell>
        </row>
        <row r="7908">
          <cell r="E7908">
            <v>4.79</v>
          </cell>
          <cell r="Z7908" t="str">
            <v>Legacy</v>
          </cell>
          <cell r="AA7908" t="str">
            <v>$1K or Below</v>
          </cell>
          <cell r="AB7908" t="str">
            <v>2010 or before</v>
          </cell>
        </row>
        <row r="7909">
          <cell r="E7909">
            <v>4.54</v>
          </cell>
          <cell r="Z7909" t="str">
            <v>Legacy</v>
          </cell>
          <cell r="AA7909" t="str">
            <v>$1K or Below</v>
          </cell>
          <cell r="AB7909" t="str">
            <v>2010 or before</v>
          </cell>
        </row>
        <row r="7910">
          <cell r="E7910">
            <v>4.5</v>
          </cell>
          <cell r="Z7910" t="str">
            <v>Legacy</v>
          </cell>
          <cell r="AA7910" t="str">
            <v>$1K or Below</v>
          </cell>
          <cell r="AB7910">
            <v>2012</v>
          </cell>
        </row>
        <row r="7911">
          <cell r="E7911">
            <v>4.49</v>
          </cell>
          <cell r="Z7911" t="str">
            <v>Legacy</v>
          </cell>
          <cell r="AA7911" t="str">
            <v>$1K or Below</v>
          </cell>
          <cell r="AB7911" t="str">
            <v>2010 or before</v>
          </cell>
        </row>
        <row r="7912">
          <cell r="E7912">
            <v>3.99</v>
          </cell>
          <cell r="Z7912" t="str">
            <v>Legacy</v>
          </cell>
          <cell r="AA7912" t="str">
            <v>$1K or Below</v>
          </cell>
          <cell r="AB7912" t="str">
            <v>2010 or before</v>
          </cell>
        </row>
        <row r="7913">
          <cell r="E7913">
            <v>3.99</v>
          </cell>
          <cell r="Z7913" t="str">
            <v>Legacy</v>
          </cell>
          <cell r="AA7913" t="str">
            <v>$1K or Below</v>
          </cell>
          <cell r="AB7913" t="str">
            <v>2010 or before</v>
          </cell>
        </row>
        <row r="7914">
          <cell r="E7914">
            <v>3.95</v>
          </cell>
          <cell r="Z7914" t="str">
            <v>Legacy</v>
          </cell>
          <cell r="AA7914" t="str">
            <v>$1K or Below</v>
          </cell>
          <cell r="AB7914" t="str">
            <v>2010 or before</v>
          </cell>
        </row>
        <row r="7915">
          <cell r="E7915">
            <v>3.89</v>
          </cell>
          <cell r="Z7915" t="str">
            <v>Legacy</v>
          </cell>
          <cell r="AA7915" t="str">
            <v>$1K or Below</v>
          </cell>
          <cell r="AB7915" t="str">
            <v>2010 or before</v>
          </cell>
        </row>
        <row r="7916">
          <cell r="E7916">
            <v>3.47</v>
          </cell>
          <cell r="Z7916" t="str">
            <v>Legacy</v>
          </cell>
          <cell r="AA7916" t="str">
            <v>$1K or Below</v>
          </cell>
          <cell r="AB7916" t="str">
            <v>2010 or before</v>
          </cell>
        </row>
        <row r="7917">
          <cell r="E7917">
            <v>3.39</v>
          </cell>
          <cell r="Z7917" t="str">
            <v>Legacy</v>
          </cell>
          <cell r="AA7917" t="str">
            <v>$1K or Below</v>
          </cell>
          <cell r="AB7917" t="str">
            <v>2010 or before</v>
          </cell>
        </row>
        <row r="7918">
          <cell r="E7918">
            <v>3.19</v>
          </cell>
          <cell r="Z7918" t="str">
            <v>Legacy</v>
          </cell>
          <cell r="AA7918" t="str">
            <v>$1K or Below</v>
          </cell>
          <cell r="AB7918" t="str">
            <v>2010 or before</v>
          </cell>
        </row>
        <row r="7919">
          <cell r="E7919">
            <v>3</v>
          </cell>
          <cell r="Z7919" t="str">
            <v>Legacy</v>
          </cell>
          <cell r="AA7919" t="str">
            <v>$1K or Below</v>
          </cell>
          <cell r="AB7919" t="str">
            <v>2010 or before</v>
          </cell>
        </row>
        <row r="7920">
          <cell r="E7920">
            <v>2.99</v>
          </cell>
          <cell r="Z7920" t="str">
            <v>Legacy</v>
          </cell>
          <cell r="AA7920" t="str">
            <v>$1K or Below</v>
          </cell>
          <cell r="AB7920" t="str">
            <v>2010 or before</v>
          </cell>
        </row>
        <row r="7921">
          <cell r="E7921">
            <v>2.89</v>
          </cell>
          <cell r="Z7921" t="str">
            <v>Legacy</v>
          </cell>
          <cell r="AA7921" t="str">
            <v>$1K or Below</v>
          </cell>
          <cell r="AB7921" t="str">
            <v>2010 or before</v>
          </cell>
        </row>
        <row r="7922">
          <cell r="E7922">
            <v>2.4700000000000002</v>
          </cell>
          <cell r="Z7922" t="str">
            <v>Legacy</v>
          </cell>
          <cell r="AA7922" t="str">
            <v>$1K or Below</v>
          </cell>
          <cell r="AB7922" t="str">
            <v>2010 or before</v>
          </cell>
        </row>
        <row r="7923">
          <cell r="E7923">
            <v>1.5</v>
          </cell>
          <cell r="Z7923" t="str">
            <v>Legacy</v>
          </cell>
          <cell r="AA7923" t="str">
            <v>$1K or Below</v>
          </cell>
          <cell r="AB7923" t="str">
            <v>2010 or before</v>
          </cell>
        </row>
        <row r="7924">
          <cell r="E7924">
            <v>0.19</v>
          </cell>
          <cell r="Z7924" t="str">
            <v>Legacy</v>
          </cell>
          <cell r="AA7924" t="str">
            <v>$1K or Below</v>
          </cell>
          <cell r="AB7924" t="str">
            <v>2010 or before</v>
          </cell>
        </row>
        <row r="7925">
          <cell r="E7925">
            <v>0.06</v>
          </cell>
          <cell r="Z7925" t="str">
            <v>Legacy</v>
          </cell>
          <cell r="AA7925" t="str">
            <v>$1K or Below</v>
          </cell>
          <cell r="AB7925" t="str">
            <v>2010 or before</v>
          </cell>
        </row>
        <row r="7926">
          <cell r="E7926">
            <v>0.04</v>
          </cell>
          <cell r="Z7926" t="str">
            <v>Legacy</v>
          </cell>
          <cell r="AA7926" t="str">
            <v>$1K or Below</v>
          </cell>
          <cell r="AB7926" t="str">
            <v>2010 or before</v>
          </cell>
        </row>
        <row r="7927">
          <cell r="E7927">
            <v>0</v>
          </cell>
          <cell r="Z7927" t="str">
            <v>Legacy</v>
          </cell>
          <cell r="AA7927" t="str">
            <v>$1K or Below</v>
          </cell>
          <cell r="AB7927" t="str">
            <v>2010 or before</v>
          </cell>
        </row>
        <row r="7928">
          <cell r="E7928">
            <v>0</v>
          </cell>
          <cell r="Z7928" t="str">
            <v>Legacy</v>
          </cell>
          <cell r="AA7928" t="str">
            <v>$1K or Below</v>
          </cell>
          <cell r="AB7928">
            <v>2012</v>
          </cell>
        </row>
        <row r="7929">
          <cell r="E7929">
            <v>0</v>
          </cell>
          <cell r="Z7929" t="str">
            <v>Legacy</v>
          </cell>
          <cell r="AA7929" t="str">
            <v>$1K or Below</v>
          </cell>
          <cell r="AB7929" t="str">
            <v>2010 or before</v>
          </cell>
        </row>
        <row r="7930">
          <cell r="E7930">
            <v>0</v>
          </cell>
          <cell r="Z7930" t="str">
            <v>Legacy</v>
          </cell>
          <cell r="AA7930" t="str">
            <v>$1K or Below</v>
          </cell>
          <cell r="AB7930" t="str">
            <v>2010 or before</v>
          </cell>
        </row>
        <row r="7931">
          <cell r="E7931">
            <v>0</v>
          </cell>
          <cell r="Z7931" t="str">
            <v>Legacy</v>
          </cell>
          <cell r="AA7931" t="str">
            <v>$1K or Below</v>
          </cell>
          <cell r="AB7931" t="str">
            <v>2010 or before</v>
          </cell>
        </row>
        <row r="7932">
          <cell r="E7932">
            <v>0</v>
          </cell>
          <cell r="Z7932" t="str">
            <v>Legacy</v>
          </cell>
          <cell r="AA7932" t="str">
            <v>$1K or Below</v>
          </cell>
          <cell r="AB7932" t="str">
            <v>2010 or before</v>
          </cell>
        </row>
        <row r="7933">
          <cell r="E7933">
            <v>0</v>
          </cell>
          <cell r="Z7933" t="str">
            <v>Legacy</v>
          </cell>
          <cell r="AA7933" t="str">
            <v>$1K or Below</v>
          </cell>
          <cell r="AB7933">
            <v>2011</v>
          </cell>
        </row>
        <row r="7934">
          <cell r="E7934">
            <v>0</v>
          </cell>
          <cell r="Z7934" t="str">
            <v>Legacy</v>
          </cell>
          <cell r="AA7934" t="str">
            <v>$1K or Below</v>
          </cell>
          <cell r="AB7934" t="str">
            <v>2010 or before</v>
          </cell>
        </row>
        <row r="7935">
          <cell r="E7935">
            <v>0</v>
          </cell>
          <cell r="Z7935" t="str">
            <v>Legacy</v>
          </cell>
          <cell r="AA7935" t="str">
            <v>$1K or Below</v>
          </cell>
          <cell r="AB7935" t="str">
            <v>2010 or before</v>
          </cell>
        </row>
        <row r="7936">
          <cell r="E7936">
            <v>0</v>
          </cell>
          <cell r="Z7936" t="str">
            <v>Legacy</v>
          </cell>
          <cell r="AA7936" t="str">
            <v>$1K or Below</v>
          </cell>
          <cell r="AB7936" t="str">
            <v>2010 or before</v>
          </cell>
        </row>
        <row r="7937">
          <cell r="E7937">
            <v>0</v>
          </cell>
          <cell r="Z7937" t="str">
            <v>Legacy</v>
          </cell>
          <cell r="AA7937" t="str">
            <v>$1K or Below</v>
          </cell>
          <cell r="AB7937" t="str">
            <v>2010 or before</v>
          </cell>
        </row>
        <row r="7938">
          <cell r="E7938">
            <v>0</v>
          </cell>
          <cell r="Z7938" t="str">
            <v>Legacy</v>
          </cell>
          <cell r="AA7938" t="str">
            <v>$1K or Below</v>
          </cell>
          <cell r="AB7938" t="str">
            <v>2010 or before</v>
          </cell>
        </row>
        <row r="7939">
          <cell r="E7939">
            <v>0</v>
          </cell>
          <cell r="Z7939" t="str">
            <v>Legacy</v>
          </cell>
          <cell r="AA7939" t="str">
            <v>$1K or Below</v>
          </cell>
          <cell r="AB7939" t="str">
            <v>2010 or before</v>
          </cell>
        </row>
        <row r="7940">
          <cell r="E7940">
            <v>0</v>
          </cell>
          <cell r="Z7940" t="str">
            <v>Legacy</v>
          </cell>
          <cell r="AA7940" t="str">
            <v>$1K or Below</v>
          </cell>
          <cell r="AB7940" t="str">
            <v>2010 or before</v>
          </cell>
        </row>
        <row r="7941">
          <cell r="E7941">
            <v>0</v>
          </cell>
          <cell r="Z7941" t="str">
            <v>Legacy</v>
          </cell>
          <cell r="AA7941" t="str">
            <v>$1K or Below</v>
          </cell>
          <cell r="AB7941" t="str">
            <v>2010 or before</v>
          </cell>
        </row>
        <row r="7942">
          <cell r="E7942">
            <v>0</v>
          </cell>
          <cell r="Z7942" t="str">
            <v>Legacy</v>
          </cell>
          <cell r="AA7942" t="str">
            <v>$1K or Below</v>
          </cell>
          <cell r="AB7942" t="str">
            <v>2010 or before</v>
          </cell>
        </row>
        <row r="7943">
          <cell r="E7943">
            <v>0</v>
          </cell>
          <cell r="Z7943" t="str">
            <v>Legacy</v>
          </cell>
          <cell r="AA7943" t="str">
            <v>$1K or Below</v>
          </cell>
          <cell r="AB7943" t="str">
            <v>2010 or before</v>
          </cell>
        </row>
        <row r="7944">
          <cell r="E7944">
            <v>0</v>
          </cell>
          <cell r="Z7944" t="str">
            <v>Legacy</v>
          </cell>
          <cell r="AA7944" t="str">
            <v>$1K or Below</v>
          </cell>
          <cell r="AB7944" t="str">
            <v>2010 or before</v>
          </cell>
        </row>
        <row r="7945">
          <cell r="E7945">
            <v>0</v>
          </cell>
          <cell r="Z7945" t="str">
            <v>Legacy</v>
          </cell>
          <cell r="AA7945" t="str">
            <v>$1K or Below</v>
          </cell>
          <cell r="AB7945" t="str">
            <v>2010 or before</v>
          </cell>
        </row>
        <row r="7946">
          <cell r="E7946">
            <v>0</v>
          </cell>
          <cell r="Z7946" t="str">
            <v>Legacy</v>
          </cell>
          <cell r="AA7946" t="str">
            <v>$1K or Below</v>
          </cell>
          <cell r="AB7946" t="str">
            <v>2010 or before</v>
          </cell>
        </row>
        <row r="7947">
          <cell r="E7947">
            <v>0</v>
          </cell>
          <cell r="Z7947" t="str">
            <v>Legacy</v>
          </cell>
          <cell r="AA7947" t="str">
            <v>$1K or Below</v>
          </cell>
          <cell r="AB7947" t="str">
            <v>2010 or before</v>
          </cell>
        </row>
        <row r="7948">
          <cell r="E7948">
            <v>0</v>
          </cell>
          <cell r="Z7948" t="str">
            <v>Legacy</v>
          </cell>
          <cell r="AA7948" t="str">
            <v>$1K or Below</v>
          </cell>
          <cell r="AB7948" t="str">
            <v>2010 or before</v>
          </cell>
        </row>
        <row r="7949">
          <cell r="E7949">
            <v>0</v>
          </cell>
          <cell r="Z7949" t="str">
            <v>Legacy</v>
          </cell>
          <cell r="AA7949" t="str">
            <v>$1K or Below</v>
          </cell>
          <cell r="AB7949" t="str">
            <v>2010 or before</v>
          </cell>
        </row>
        <row r="7950">
          <cell r="E7950">
            <v>0</v>
          </cell>
          <cell r="Z7950" t="str">
            <v>Inbound</v>
          </cell>
          <cell r="AA7950" t="str">
            <v>$1K or Below</v>
          </cell>
          <cell r="AB7950">
            <v>2012</v>
          </cell>
        </row>
        <row r="7951">
          <cell r="E7951">
            <v>0</v>
          </cell>
          <cell r="Z7951" t="str">
            <v>Legacy</v>
          </cell>
          <cell r="AA7951" t="str">
            <v>$1K or Below</v>
          </cell>
          <cell r="AB7951" t="str">
            <v>2010 or before</v>
          </cell>
        </row>
        <row r="7952">
          <cell r="E7952">
            <v>0</v>
          </cell>
          <cell r="Z7952" t="str">
            <v>Legacy</v>
          </cell>
          <cell r="AA7952" t="str">
            <v>$1K or Below</v>
          </cell>
          <cell r="AB7952" t="str">
            <v>2010 or before</v>
          </cell>
        </row>
        <row r="7953">
          <cell r="E7953">
            <v>0</v>
          </cell>
          <cell r="Z7953" t="str">
            <v>Legacy</v>
          </cell>
          <cell r="AA7953" t="str">
            <v>$1K or Below</v>
          </cell>
          <cell r="AB7953" t="str">
            <v>2010 or before</v>
          </cell>
        </row>
        <row r="7954">
          <cell r="E7954">
            <v>0</v>
          </cell>
          <cell r="Z7954" t="str">
            <v>Legacy</v>
          </cell>
          <cell r="AA7954" t="str">
            <v>$1K or Below</v>
          </cell>
          <cell r="AB7954" t="str">
            <v>2010 or before</v>
          </cell>
        </row>
        <row r="7955">
          <cell r="E7955">
            <v>0</v>
          </cell>
          <cell r="Z7955" t="str">
            <v>Legacy</v>
          </cell>
          <cell r="AA7955" t="str">
            <v>$1K or Below</v>
          </cell>
          <cell r="AB7955" t="str">
            <v>2010 or before</v>
          </cell>
        </row>
        <row r="7956">
          <cell r="E7956">
            <v>0</v>
          </cell>
          <cell r="Z7956" t="str">
            <v>Legacy</v>
          </cell>
          <cell r="AA7956" t="str">
            <v>$1K or Below</v>
          </cell>
          <cell r="AB7956" t="str">
            <v>2010 or before</v>
          </cell>
        </row>
        <row r="7957">
          <cell r="E7957">
            <v>0</v>
          </cell>
          <cell r="Z7957" t="str">
            <v>Legacy</v>
          </cell>
          <cell r="AA7957" t="str">
            <v>$1K or Below</v>
          </cell>
          <cell r="AB7957" t="str">
            <v>2010 or before</v>
          </cell>
        </row>
        <row r="7958">
          <cell r="E7958">
            <v>0</v>
          </cell>
          <cell r="Z7958" t="str">
            <v>Legacy</v>
          </cell>
          <cell r="AA7958" t="str">
            <v>$1K or Below</v>
          </cell>
          <cell r="AB7958" t="str">
            <v>2010 or before</v>
          </cell>
        </row>
        <row r="7959">
          <cell r="E7959">
            <v>0</v>
          </cell>
          <cell r="Z7959" t="str">
            <v>Legacy</v>
          </cell>
          <cell r="AA7959" t="str">
            <v>$1K or Below</v>
          </cell>
          <cell r="AB7959" t="str">
            <v>2010 or before</v>
          </cell>
        </row>
        <row r="7960">
          <cell r="E7960">
            <v>0</v>
          </cell>
          <cell r="Z7960" t="str">
            <v>Legacy</v>
          </cell>
          <cell r="AA7960" t="str">
            <v>$1K or Below</v>
          </cell>
          <cell r="AB7960">
            <v>2011</v>
          </cell>
        </row>
        <row r="7961">
          <cell r="E7961">
            <v>0</v>
          </cell>
          <cell r="Z7961" t="str">
            <v>Legacy</v>
          </cell>
          <cell r="AA7961" t="str">
            <v>$1K or Below</v>
          </cell>
          <cell r="AB7961" t="str">
            <v>2010 or before</v>
          </cell>
        </row>
        <row r="7962">
          <cell r="E7962">
            <v>0</v>
          </cell>
          <cell r="Z7962" t="str">
            <v>Legacy</v>
          </cell>
          <cell r="AA7962" t="str">
            <v>$1K or Below</v>
          </cell>
          <cell r="AB7962" t="str">
            <v>2010 or before</v>
          </cell>
        </row>
        <row r="7963">
          <cell r="E7963">
            <v>0</v>
          </cell>
          <cell r="Z7963" t="str">
            <v>Legacy</v>
          </cell>
          <cell r="AA7963" t="str">
            <v>$1K or Below</v>
          </cell>
          <cell r="AB7963" t="str">
            <v>2010 or before</v>
          </cell>
        </row>
        <row r="7964">
          <cell r="E7964">
            <v>0</v>
          </cell>
          <cell r="Z7964" t="str">
            <v>Legacy</v>
          </cell>
          <cell r="AA7964" t="str">
            <v>$1K or Below</v>
          </cell>
          <cell r="AB7964" t="str">
            <v>2010 or before</v>
          </cell>
        </row>
        <row r="7965">
          <cell r="E7965">
            <v>0</v>
          </cell>
          <cell r="Z7965" t="str">
            <v>Legacy</v>
          </cell>
          <cell r="AA7965" t="str">
            <v>$1K or Below</v>
          </cell>
          <cell r="AB7965" t="str">
            <v>2010 or before</v>
          </cell>
        </row>
        <row r="7966">
          <cell r="E7966">
            <v>0</v>
          </cell>
          <cell r="Z7966" t="str">
            <v>Legacy</v>
          </cell>
          <cell r="AA7966" t="str">
            <v>$1K or Below</v>
          </cell>
          <cell r="AB7966" t="str">
            <v>2010 or before</v>
          </cell>
        </row>
        <row r="7967">
          <cell r="E7967">
            <v>0</v>
          </cell>
          <cell r="Z7967" t="str">
            <v>Legacy</v>
          </cell>
          <cell r="AA7967" t="str">
            <v>$1K or Below</v>
          </cell>
          <cell r="AB7967" t="str">
            <v>2010 or before</v>
          </cell>
        </row>
        <row r="7968">
          <cell r="E7968">
            <v>0</v>
          </cell>
          <cell r="Z7968" t="str">
            <v>Legacy</v>
          </cell>
          <cell r="AA7968" t="str">
            <v>$1K or Below</v>
          </cell>
          <cell r="AB7968" t="str">
            <v>2010 or before</v>
          </cell>
        </row>
        <row r="7969">
          <cell r="E7969">
            <v>0</v>
          </cell>
          <cell r="Z7969" t="str">
            <v>Legacy</v>
          </cell>
          <cell r="AA7969" t="str">
            <v>$1K or Below</v>
          </cell>
          <cell r="AB7969" t="str">
            <v>2010 or before</v>
          </cell>
        </row>
        <row r="7970">
          <cell r="E7970">
            <v>0</v>
          </cell>
          <cell r="Z7970" t="str">
            <v>Legacy</v>
          </cell>
          <cell r="AA7970" t="str">
            <v>$1K or Below</v>
          </cell>
          <cell r="AB7970" t="str">
            <v>2010 or before</v>
          </cell>
        </row>
        <row r="7971">
          <cell r="E7971">
            <v>0</v>
          </cell>
          <cell r="Z7971" t="str">
            <v>Legacy</v>
          </cell>
          <cell r="AA7971" t="str">
            <v>$1K or Below</v>
          </cell>
          <cell r="AB7971" t="str">
            <v>2010 or before</v>
          </cell>
        </row>
        <row r="7972">
          <cell r="E7972">
            <v>0</v>
          </cell>
          <cell r="Z7972" t="str">
            <v>Legacy</v>
          </cell>
          <cell r="AA7972" t="str">
            <v>$1K or Below</v>
          </cell>
          <cell r="AB7972" t="str">
            <v>2010 or before</v>
          </cell>
        </row>
        <row r="7973">
          <cell r="E7973">
            <v>0</v>
          </cell>
          <cell r="Z7973" t="str">
            <v>Legacy</v>
          </cell>
          <cell r="AA7973" t="str">
            <v>$1K or Below</v>
          </cell>
          <cell r="AB7973" t="str">
            <v>2010 or before</v>
          </cell>
        </row>
        <row r="7974">
          <cell r="E7974">
            <v>0</v>
          </cell>
          <cell r="Z7974" t="str">
            <v>Inbound</v>
          </cell>
          <cell r="AA7974" t="str">
            <v>$1K or Below</v>
          </cell>
          <cell r="AB7974">
            <v>2012</v>
          </cell>
        </row>
        <row r="7975">
          <cell r="E7975">
            <v>0</v>
          </cell>
          <cell r="Z7975" t="str">
            <v>Legacy</v>
          </cell>
          <cell r="AA7975" t="str">
            <v>$1K or Below</v>
          </cell>
          <cell r="AB7975" t="str">
            <v>2010 or before</v>
          </cell>
        </row>
        <row r="7976">
          <cell r="E7976">
            <v>0</v>
          </cell>
          <cell r="Z7976" t="str">
            <v>Legacy</v>
          </cell>
          <cell r="AA7976" t="str">
            <v>$1K or Below</v>
          </cell>
          <cell r="AB7976" t="str">
            <v>2010 or before</v>
          </cell>
        </row>
        <row r="7977">
          <cell r="E7977">
            <v>0</v>
          </cell>
          <cell r="Z7977" t="str">
            <v>Legacy</v>
          </cell>
          <cell r="AA7977" t="str">
            <v>$1K or Below</v>
          </cell>
          <cell r="AB7977" t="str">
            <v>2010 or before</v>
          </cell>
        </row>
        <row r="7978">
          <cell r="E7978">
            <v>0</v>
          </cell>
          <cell r="Z7978" t="str">
            <v>Legacy</v>
          </cell>
          <cell r="AA7978" t="str">
            <v>$1K or Below</v>
          </cell>
          <cell r="AB7978" t="str">
            <v>2010 or before</v>
          </cell>
        </row>
        <row r="7979">
          <cell r="E7979">
            <v>0</v>
          </cell>
          <cell r="Z7979" t="str">
            <v>Legacy</v>
          </cell>
          <cell r="AA7979" t="str">
            <v>$1K or Below</v>
          </cell>
          <cell r="AB7979" t="str">
            <v>2010 or before</v>
          </cell>
        </row>
        <row r="7980">
          <cell r="E7980">
            <v>0</v>
          </cell>
          <cell r="Z7980" t="str">
            <v>Legacy</v>
          </cell>
          <cell r="AA7980" t="str">
            <v>$1K or Below</v>
          </cell>
          <cell r="AB7980" t="str">
            <v>2010 or before</v>
          </cell>
        </row>
        <row r="7981">
          <cell r="E7981">
            <v>0</v>
          </cell>
          <cell r="Z7981" t="str">
            <v>Legacy</v>
          </cell>
          <cell r="AA7981" t="str">
            <v>$1K or Below</v>
          </cell>
          <cell r="AB7981" t="str">
            <v>2010 or before</v>
          </cell>
        </row>
        <row r="7982">
          <cell r="E7982">
            <v>0</v>
          </cell>
          <cell r="Z7982" t="str">
            <v>Legacy</v>
          </cell>
          <cell r="AA7982" t="str">
            <v>$1K or Below</v>
          </cell>
          <cell r="AB7982" t="str">
            <v>2010 or before</v>
          </cell>
        </row>
        <row r="7983">
          <cell r="E7983">
            <v>0</v>
          </cell>
          <cell r="Z7983" t="str">
            <v>Legacy</v>
          </cell>
          <cell r="AA7983" t="str">
            <v>$1K or Below</v>
          </cell>
          <cell r="AB7983">
            <v>2011</v>
          </cell>
        </row>
        <row r="7984">
          <cell r="E7984">
            <v>0</v>
          </cell>
          <cell r="Z7984" t="str">
            <v>Legacy</v>
          </cell>
          <cell r="AA7984" t="str">
            <v>$1K or Below</v>
          </cell>
          <cell r="AB7984" t="str">
            <v>2010 or before</v>
          </cell>
        </row>
        <row r="7985">
          <cell r="E7985">
            <v>0</v>
          </cell>
          <cell r="Z7985" t="str">
            <v>Legacy</v>
          </cell>
          <cell r="AA7985" t="str">
            <v>$1K or Below</v>
          </cell>
          <cell r="AB7985" t="str">
            <v>2010 or before</v>
          </cell>
        </row>
        <row r="7986">
          <cell r="E7986">
            <v>0</v>
          </cell>
          <cell r="Z7986" t="str">
            <v>Legacy</v>
          </cell>
          <cell r="AA7986" t="str">
            <v>$1K or Below</v>
          </cell>
          <cell r="AB7986" t="str">
            <v>2010 or before</v>
          </cell>
        </row>
        <row r="7987">
          <cell r="E7987">
            <v>0</v>
          </cell>
          <cell r="Z7987" t="str">
            <v>Legacy</v>
          </cell>
          <cell r="AA7987" t="str">
            <v>$1K or Below</v>
          </cell>
          <cell r="AB7987" t="str">
            <v>2010 or before</v>
          </cell>
        </row>
        <row r="7988">
          <cell r="E7988">
            <v>0</v>
          </cell>
          <cell r="Z7988" t="str">
            <v>Legacy</v>
          </cell>
          <cell r="AA7988" t="str">
            <v>$1K or Below</v>
          </cell>
          <cell r="AB7988" t="str">
            <v>2010 or before</v>
          </cell>
        </row>
        <row r="7989">
          <cell r="E7989">
            <v>0</v>
          </cell>
          <cell r="Z7989" t="str">
            <v>Legacy</v>
          </cell>
          <cell r="AA7989" t="str">
            <v>$1K or Below</v>
          </cell>
          <cell r="AB7989" t="str">
            <v>2010 or before</v>
          </cell>
        </row>
        <row r="7990">
          <cell r="E7990">
            <v>0</v>
          </cell>
          <cell r="Z7990" t="str">
            <v>Legacy</v>
          </cell>
          <cell r="AA7990" t="str">
            <v>$1K or Below</v>
          </cell>
          <cell r="AB7990" t="str">
            <v>2010 or before</v>
          </cell>
        </row>
        <row r="7991">
          <cell r="E7991">
            <v>0</v>
          </cell>
          <cell r="Z7991" t="str">
            <v>Legacy</v>
          </cell>
          <cell r="AA7991" t="str">
            <v>$1K or Below</v>
          </cell>
          <cell r="AB7991" t="str">
            <v>2010 or before</v>
          </cell>
        </row>
        <row r="7992">
          <cell r="E7992">
            <v>0</v>
          </cell>
          <cell r="Z7992" t="str">
            <v>Legacy</v>
          </cell>
          <cell r="AA7992" t="str">
            <v>$1K or Below</v>
          </cell>
          <cell r="AB7992" t="str">
            <v>2010 or before</v>
          </cell>
        </row>
        <row r="7993">
          <cell r="E7993">
            <v>0</v>
          </cell>
          <cell r="Z7993" t="str">
            <v>Legacy</v>
          </cell>
          <cell r="AA7993" t="str">
            <v>$1K or Below</v>
          </cell>
          <cell r="AB7993" t="str">
            <v>2010 or before</v>
          </cell>
        </row>
        <row r="7994">
          <cell r="E7994">
            <v>0</v>
          </cell>
          <cell r="Z7994" t="str">
            <v>Legacy</v>
          </cell>
          <cell r="AA7994" t="str">
            <v>$1K or Below</v>
          </cell>
          <cell r="AB7994" t="str">
            <v>2010 or before</v>
          </cell>
        </row>
        <row r="7995">
          <cell r="E7995">
            <v>0</v>
          </cell>
          <cell r="Z7995" t="str">
            <v>Legacy</v>
          </cell>
          <cell r="AA7995" t="str">
            <v>$1K or Below</v>
          </cell>
          <cell r="AB7995" t="str">
            <v>2010 or before</v>
          </cell>
        </row>
        <row r="7996">
          <cell r="E7996">
            <v>0</v>
          </cell>
          <cell r="Z7996" t="str">
            <v>Legacy</v>
          </cell>
          <cell r="AA7996" t="str">
            <v>$1K or Below</v>
          </cell>
          <cell r="AB7996" t="str">
            <v>2010 or before</v>
          </cell>
        </row>
        <row r="7997">
          <cell r="E7997">
            <v>0</v>
          </cell>
          <cell r="Z7997" t="str">
            <v>Legacy</v>
          </cell>
          <cell r="AA7997" t="str">
            <v>$1K or Below</v>
          </cell>
          <cell r="AB7997" t="str">
            <v>2010 or before</v>
          </cell>
        </row>
        <row r="7998">
          <cell r="E7998">
            <v>0</v>
          </cell>
          <cell r="Z7998" t="str">
            <v>Legacy</v>
          </cell>
          <cell r="AA7998" t="str">
            <v>$1K or Below</v>
          </cell>
          <cell r="AB7998" t="str">
            <v>2010 or before</v>
          </cell>
        </row>
        <row r="7999">
          <cell r="E7999">
            <v>0</v>
          </cell>
          <cell r="Z7999" t="str">
            <v>Legacy</v>
          </cell>
          <cell r="AA7999" t="str">
            <v>$1K or Below</v>
          </cell>
          <cell r="AB7999" t="str">
            <v>2010 or before</v>
          </cell>
        </row>
        <row r="8000">
          <cell r="E8000">
            <v>0</v>
          </cell>
          <cell r="Z8000" t="str">
            <v>Legacy</v>
          </cell>
          <cell r="AA8000" t="str">
            <v>$1K or Below</v>
          </cell>
          <cell r="AB8000" t="str">
            <v>2010 or before</v>
          </cell>
        </row>
        <row r="8001">
          <cell r="E8001">
            <v>0</v>
          </cell>
          <cell r="Z8001" t="str">
            <v>Legacy</v>
          </cell>
          <cell r="AA8001" t="str">
            <v>$1K or Below</v>
          </cell>
          <cell r="AB8001" t="str">
            <v>2010 or before</v>
          </cell>
        </row>
        <row r="8002">
          <cell r="E8002">
            <v>0</v>
          </cell>
          <cell r="Z8002" t="str">
            <v>Legacy</v>
          </cell>
          <cell r="AA8002" t="str">
            <v>$1K or Below</v>
          </cell>
          <cell r="AB8002" t="str">
            <v>2010 or before</v>
          </cell>
        </row>
        <row r="8003">
          <cell r="E8003">
            <v>0</v>
          </cell>
          <cell r="Z8003" t="str">
            <v>Legacy</v>
          </cell>
          <cell r="AA8003" t="str">
            <v>$1K or Below</v>
          </cell>
          <cell r="AB8003" t="str">
            <v>2010 or before</v>
          </cell>
        </row>
        <row r="8004">
          <cell r="E8004">
            <v>0</v>
          </cell>
          <cell r="Z8004" t="str">
            <v>Legacy</v>
          </cell>
          <cell r="AA8004" t="str">
            <v>$1K or Below</v>
          </cell>
          <cell r="AB8004" t="str">
            <v>2010 or before</v>
          </cell>
        </row>
        <row r="8005">
          <cell r="E8005">
            <v>0</v>
          </cell>
          <cell r="Z8005" t="str">
            <v>Legacy</v>
          </cell>
          <cell r="AA8005" t="str">
            <v>$1K or Below</v>
          </cell>
          <cell r="AB8005" t="str">
            <v>2010 or before</v>
          </cell>
        </row>
        <row r="8006">
          <cell r="E8006">
            <v>0</v>
          </cell>
          <cell r="Z8006" t="str">
            <v>Legacy</v>
          </cell>
          <cell r="AA8006" t="str">
            <v>$1K or Below</v>
          </cell>
          <cell r="AB8006">
            <v>2011</v>
          </cell>
        </row>
        <row r="8007">
          <cell r="E8007">
            <v>0</v>
          </cell>
          <cell r="Z8007" t="str">
            <v>Legacy</v>
          </cell>
          <cell r="AA8007" t="str">
            <v>$1K or Below</v>
          </cell>
          <cell r="AB8007" t="str">
            <v>2010 or before</v>
          </cell>
        </row>
        <row r="8008">
          <cell r="E8008">
            <v>0</v>
          </cell>
          <cell r="Z8008" t="str">
            <v>Legacy</v>
          </cell>
          <cell r="AA8008" t="str">
            <v>$1K or Below</v>
          </cell>
          <cell r="AB8008" t="str">
            <v>2010 or before</v>
          </cell>
        </row>
        <row r="8009">
          <cell r="E8009">
            <v>0</v>
          </cell>
          <cell r="Z8009" t="str">
            <v>Legacy</v>
          </cell>
          <cell r="AA8009" t="str">
            <v>$1K or Below</v>
          </cell>
          <cell r="AB8009" t="str">
            <v>2010 or before</v>
          </cell>
        </row>
        <row r="8010">
          <cell r="E8010">
            <v>0</v>
          </cell>
          <cell r="Z8010" t="str">
            <v>Legacy</v>
          </cell>
          <cell r="AA8010" t="str">
            <v>$1K or Below</v>
          </cell>
          <cell r="AB8010" t="str">
            <v>2010 or before</v>
          </cell>
        </row>
        <row r="8011">
          <cell r="E8011">
            <v>0</v>
          </cell>
          <cell r="Z8011" t="str">
            <v>Legacy</v>
          </cell>
          <cell r="AA8011" t="str">
            <v>$1K or Below</v>
          </cell>
          <cell r="AB8011" t="str">
            <v>2010 or before</v>
          </cell>
        </row>
        <row r="8012">
          <cell r="E8012">
            <v>0</v>
          </cell>
          <cell r="Z8012" t="str">
            <v>Legacy</v>
          </cell>
          <cell r="AA8012" t="str">
            <v>$1K or Below</v>
          </cell>
          <cell r="AB8012" t="str">
            <v>2010 or before</v>
          </cell>
        </row>
        <row r="8013">
          <cell r="E8013">
            <v>0</v>
          </cell>
          <cell r="Z8013" t="str">
            <v>Legacy</v>
          </cell>
          <cell r="AA8013" t="str">
            <v>$1K or Below</v>
          </cell>
          <cell r="AB8013" t="str">
            <v>2010 or before</v>
          </cell>
        </row>
        <row r="8014">
          <cell r="E8014">
            <v>0</v>
          </cell>
          <cell r="Z8014" t="str">
            <v>Legacy</v>
          </cell>
          <cell r="AA8014" t="str">
            <v>$1K or Below</v>
          </cell>
          <cell r="AB8014" t="str">
            <v>2010 or before</v>
          </cell>
        </row>
        <row r="8015">
          <cell r="E8015">
            <v>0</v>
          </cell>
          <cell r="Z8015" t="str">
            <v>Legacy</v>
          </cell>
          <cell r="AA8015" t="str">
            <v>$1K or Below</v>
          </cell>
          <cell r="AB8015" t="str">
            <v>2010 or before</v>
          </cell>
        </row>
        <row r="8016">
          <cell r="E8016">
            <v>0</v>
          </cell>
          <cell r="Z8016" t="str">
            <v>Legacy</v>
          </cell>
          <cell r="AA8016" t="str">
            <v>$1K or Below</v>
          </cell>
          <cell r="AB8016" t="str">
            <v>2010 or before</v>
          </cell>
        </row>
        <row r="8017">
          <cell r="E8017">
            <v>0</v>
          </cell>
          <cell r="Z8017" t="str">
            <v>Legacy</v>
          </cell>
          <cell r="AA8017" t="str">
            <v>$1K or Below</v>
          </cell>
          <cell r="AB8017" t="str">
            <v>2010 or before</v>
          </cell>
        </row>
        <row r="8018">
          <cell r="E8018">
            <v>0</v>
          </cell>
          <cell r="Z8018" t="str">
            <v>Legacy</v>
          </cell>
          <cell r="AA8018" t="str">
            <v>$1K or Below</v>
          </cell>
          <cell r="AB8018" t="str">
            <v>2010 or before</v>
          </cell>
        </row>
        <row r="8019">
          <cell r="E8019">
            <v>0</v>
          </cell>
          <cell r="Z8019" t="str">
            <v>Legacy</v>
          </cell>
          <cell r="AA8019" t="str">
            <v>$1K or Below</v>
          </cell>
          <cell r="AB8019">
            <v>2011</v>
          </cell>
        </row>
        <row r="8020">
          <cell r="E8020">
            <v>0</v>
          </cell>
          <cell r="Z8020" t="str">
            <v>Legacy</v>
          </cell>
          <cell r="AA8020" t="str">
            <v>$1K or Below</v>
          </cell>
          <cell r="AB8020" t="str">
            <v>2010 or before</v>
          </cell>
        </row>
        <row r="8021">
          <cell r="E8021">
            <v>0</v>
          </cell>
          <cell r="Z8021" t="str">
            <v>Legacy</v>
          </cell>
          <cell r="AA8021" t="str">
            <v>$1K or Below</v>
          </cell>
          <cell r="AB8021" t="str">
            <v>2010 or before</v>
          </cell>
        </row>
        <row r="8022">
          <cell r="E8022">
            <v>0</v>
          </cell>
          <cell r="Z8022" t="str">
            <v>Legacy</v>
          </cell>
          <cell r="AA8022" t="str">
            <v>$1K or Below</v>
          </cell>
          <cell r="AB8022">
            <v>2011</v>
          </cell>
        </row>
        <row r="8023">
          <cell r="E8023">
            <v>0</v>
          </cell>
          <cell r="Z8023" t="str">
            <v>Legacy</v>
          </cell>
          <cell r="AA8023" t="str">
            <v>$1K or Below</v>
          </cell>
          <cell r="AB8023" t="str">
            <v>2010 or before</v>
          </cell>
        </row>
        <row r="8024">
          <cell r="E8024">
            <v>0</v>
          </cell>
          <cell r="Z8024" t="str">
            <v>Legacy</v>
          </cell>
          <cell r="AA8024" t="str">
            <v>$1K or Below</v>
          </cell>
          <cell r="AB8024" t="str">
            <v>2010 or before</v>
          </cell>
        </row>
        <row r="8025">
          <cell r="E8025">
            <v>0</v>
          </cell>
          <cell r="Z8025" t="str">
            <v>Legacy</v>
          </cell>
          <cell r="AA8025" t="str">
            <v>$1K or Below</v>
          </cell>
          <cell r="AB8025" t="str">
            <v>2010 or before</v>
          </cell>
        </row>
        <row r="8026">
          <cell r="E8026">
            <v>0</v>
          </cell>
          <cell r="Z8026" t="str">
            <v>Legacy</v>
          </cell>
          <cell r="AA8026" t="str">
            <v>$1K or Below</v>
          </cell>
          <cell r="AB8026" t="str">
            <v>2010 or before</v>
          </cell>
        </row>
        <row r="8027">
          <cell r="E8027">
            <v>0</v>
          </cell>
          <cell r="Z8027" t="str">
            <v>Legacy</v>
          </cell>
          <cell r="AA8027" t="str">
            <v>$1K or Below</v>
          </cell>
          <cell r="AB8027" t="str">
            <v>2010 or before</v>
          </cell>
        </row>
        <row r="8028">
          <cell r="E8028">
            <v>0</v>
          </cell>
          <cell r="Z8028" t="str">
            <v>Legacy</v>
          </cell>
          <cell r="AA8028" t="str">
            <v>$1K or Below</v>
          </cell>
          <cell r="AB8028" t="str">
            <v>2010 or before</v>
          </cell>
        </row>
        <row r="8029">
          <cell r="E8029">
            <v>0</v>
          </cell>
          <cell r="Z8029" t="str">
            <v>Legacy</v>
          </cell>
          <cell r="AA8029" t="str">
            <v>$1K or Below</v>
          </cell>
          <cell r="AB8029" t="str">
            <v>2010 or before</v>
          </cell>
        </row>
        <row r="8030">
          <cell r="E8030">
            <v>0</v>
          </cell>
          <cell r="Z8030" t="str">
            <v>Legacy</v>
          </cell>
          <cell r="AA8030" t="str">
            <v>$1K or Below</v>
          </cell>
          <cell r="AB8030" t="str">
            <v>2010 or before</v>
          </cell>
        </row>
        <row r="8031">
          <cell r="E8031">
            <v>0</v>
          </cell>
          <cell r="Z8031" t="str">
            <v>Legacy</v>
          </cell>
          <cell r="AA8031" t="str">
            <v>$1K or Below</v>
          </cell>
          <cell r="AB8031" t="str">
            <v>2010 or before</v>
          </cell>
        </row>
        <row r="8032">
          <cell r="E8032">
            <v>0</v>
          </cell>
          <cell r="Z8032" t="str">
            <v>Legacy</v>
          </cell>
          <cell r="AA8032" t="str">
            <v>$1K or Below</v>
          </cell>
          <cell r="AB8032" t="str">
            <v>2010 or before</v>
          </cell>
        </row>
        <row r="8033">
          <cell r="E8033">
            <v>0</v>
          </cell>
          <cell r="Z8033" t="str">
            <v>Legacy</v>
          </cell>
          <cell r="AA8033" t="str">
            <v>$1K or Below</v>
          </cell>
          <cell r="AB8033" t="str">
            <v>2010 or before</v>
          </cell>
        </row>
        <row r="8034">
          <cell r="E8034">
            <v>0</v>
          </cell>
          <cell r="Z8034" t="str">
            <v>Legacy</v>
          </cell>
          <cell r="AA8034" t="str">
            <v>$1K or Below</v>
          </cell>
          <cell r="AB8034" t="str">
            <v>2010 or before</v>
          </cell>
        </row>
        <row r="8035">
          <cell r="E8035">
            <v>0</v>
          </cell>
          <cell r="Z8035" t="str">
            <v>Legacy</v>
          </cell>
          <cell r="AA8035" t="str">
            <v>$1K or Below</v>
          </cell>
          <cell r="AB8035">
            <v>2012</v>
          </cell>
        </row>
        <row r="8036">
          <cell r="E8036">
            <v>0</v>
          </cell>
          <cell r="Z8036" t="str">
            <v>Legacy</v>
          </cell>
          <cell r="AA8036" t="str">
            <v>$1K or Below</v>
          </cell>
          <cell r="AB8036" t="str">
            <v>2010 or before</v>
          </cell>
        </row>
        <row r="8037">
          <cell r="E8037">
            <v>0</v>
          </cell>
          <cell r="Z8037" t="str">
            <v>Legacy</v>
          </cell>
          <cell r="AA8037" t="str">
            <v>$1K or Below</v>
          </cell>
          <cell r="AB8037" t="str">
            <v>2010 or before</v>
          </cell>
        </row>
        <row r="8038">
          <cell r="E8038">
            <v>0</v>
          </cell>
          <cell r="Z8038" t="str">
            <v>Legacy</v>
          </cell>
          <cell r="AA8038" t="str">
            <v>$1K or Below</v>
          </cell>
          <cell r="AB8038" t="str">
            <v>2010 or before</v>
          </cell>
        </row>
        <row r="8039">
          <cell r="E8039">
            <v>0</v>
          </cell>
          <cell r="Z8039" t="str">
            <v>Legacy</v>
          </cell>
          <cell r="AA8039" t="str">
            <v>$1K or Below</v>
          </cell>
          <cell r="AB8039" t="str">
            <v>2010 or before</v>
          </cell>
        </row>
        <row r="8040">
          <cell r="E8040">
            <v>0</v>
          </cell>
          <cell r="Z8040" t="str">
            <v>Legacy</v>
          </cell>
          <cell r="AA8040" t="str">
            <v>$1K or Below</v>
          </cell>
          <cell r="AB8040" t="str">
            <v>2010 or before</v>
          </cell>
        </row>
        <row r="8041">
          <cell r="E8041">
            <v>0</v>
          </cell>
          <cell r="Z8041" t="str">
            <v>Legacy</v>
          </cell>
          <cell r="AA8041" t="str">
            <v>$1K or Below</v>
          </cell>
          <cell r="AB8041" t="str">
            <v>2010 or before</v>
          </cell>
        </row>
        <row r="8042">
          <cell r="E8042">
            <v>0</v>
          </cell>
          <cell r="Z8042" t="str">
            <v>Legacy</v>
          </cell>
          <cell r="AA8042" t="str">
            <v>$1K or Below</v>
          </cell>
          <cell r="AB8042" t="str">
            <v>2010 or before</v>
          </cell>
        </row>
        <row r="8043">
          <cell r="E8043">
            <v>0</v>
          </cell>
          <cell r="Z8043" t="str">
            <v>Legacy</v>
          </cell>
          <cell r="AA8043" t="str">
            <v>$1K or Below</v>
          </cell>
          <cell r="AB8043" t="str">
            <v>2010 or before</v>
          </cell>
        </row>
        <row r="8044">
          <cell r="E8044">
            <v>0</v>
          </cell>
          <cell r="Z8044" t="str">
            <v>Legacy</v>
          </cell>
          <cell r="AA8044" t="str">
            <v>$1K or Below</v>
          </cell>
          <cell r="AB8044" t="str">
            <v>2010 or before</v>
          </cell>
        </row>
        <row r="8045">
          <cell r="E8045">
            <v>0</v>
          </cell>
          <cell r="Z8045" t="str">
            <v>Legacy</v>
          </cell>
          <cell r="AA8045" t="str">
            <v>$1K or Below</v>
          </cell>
          <cell r="AB8045" t="str">
            <v>2010 or before</v>
          </cell>
        </row>
        <row r="8046">
          <cell r="E8046">
            <v>0</v>
          </cell>
          <cell r="Z8046" t="str">
            <v>Legacy</v>
          </cell>
          <cell r="AA8046" t="str">
            <v>$1K or Below</v>
          </cell>
          <cell r="AB8046" t="str">
            <v>2010 or before</v>
          </cell>
        </row>
        <row r="8047">
          <cell r="E8047">
            <v>0</v>
          </cell>
          <cell r="Z8047" t="str">
            <v>Ungating</v>
          </cell>
          <cell r="AA8047" t="str">
            <v>$1K or Below</v>
          </cell>
          <cell r="AB8047">
            <v>2012</v>
          </cell>
        </row>
        <row r="8048">
          <cell r="E8048">
            <v>0</v>
          </cell>
          <cell r="Z8048" t="str">
            <v>Legacy</v>
          </cell>
          <cell r="AA8048" t="str">
            <v>$1K or Below</v>
          </cell>
          <cell r="AB8048" t="str">
            <v>2010 or before</v>
          </cell>
        </row>
        <row r="8049">
          <cell r="E8049">
            <v>0</v>
          </cell>
          <cell r="Z8049" t="str">
            <v>Legacy</v>
          </cell>
          <cell r="AA8049" t="str">
            <v>$1K or Below</v>
          </cell>
          <cell r="AB8049" t="str">
            <v>2010 or before</v>
          </cell>
        </row>
        <row r="8050">
          <cell r="E8050">
            <v>0</v>
          </cell>
          <cell r="Z8050" t="str">
            <v>Legacy</v>
          </cell>
          <cell r="AA8050" t="str">
            <v>$1K or Below</v>
          </cell>
          <cell r="AB8050" t="str">
            <v>2010 or before</v>
          </cell>
        </row>
        <row r="8051">
          <cell r="E8051">
            <v>0</v>
          </cell>
          <cell r="Z8051" t="str">
            <v>Legacy</v>
          </cell>
          <cell r="AA8051" t="str">
            <v>$1K or Below</v>
          </cell>
          <cell r="AB8051" t="str">
            <v>2010 or before</v>
          </cell>
        </row>
        <row r="8052">
          <cell r="E8052">
            <v>0</v>
          </cell>
          <cell r="Z8052" t="str">
            <v>Legacy</v>
          </cell>
          <cell r="AA8052" t="str">
            <v>$1K or Below</v>
          </cell>
          <cell r="AB8052" t="str">
            <v>2010 or before</v>
          </cell>
        </row>
        <row r="8053">
          <cell r="E8053">
            <v>0</v>
          </cell>
          <cell r="Z8053" t="str">
            <v>Legacy</v>
          </cell>
          <cell r="AA8053" t="str">
            <v>$1K or Below</v>
          </cell>
          <cell r="AB8053" t="str">
            <v>2010 or before</v>
          </cell>
        </row>
        <row r="8054">
          <cell r="E8054">
            <v>0</v>
          </cell>
          <cell r="Z8054" t="str">
            <v>Legacy</v>
          </cell>
          <cell r="AA8054" t="str">
            <v>$1K or Below</v>
          </cell>
          <cell r="AB8054" t="str">
            <v>2010 or before</v>
          </cell>
        </row>
        <row r="8055">
          <cell r="E8055">
            <v>0</v>
          </cell>
          <cell r="Z8055" t="str">
            <v>Legacy</v>
          </cell>
          <cell r="AA8055" t="str">
            <v>$1K or Below</v>
          </cell>
          <cell r="AB8055" t="str">
            <v>2010 or before</v>
          </cell>
        </row>
        <row r="8056">
          <cell r="E8056">
            <v>0</v>
          </cell>
          <cell r="Z8056" t="str">
            <v>Legacy</v>
          </cell>
          <cell r="AA8056" t="str">
            <v>$1K or Below</v>
          </cell>
          <cell r="AB8056" t="str">
            <v>2010 or before</v>
          </cell>
        </row>
        <row r="8057">
          <cell r="E8057">
            <v>0</v>
          </cell>
          <cell r="Z8057" t="str">
            <v>Legacy</v>
          </cell>
          <cell r="AA8057" t="str">
            <v>$1K or Below</v>
          </cell>
          <cell r="AB8057" t="str">
            <v>2010 or before</v>
          </cell>
        </row>
        <row r="8058">
          <cell r="E8058">
            <v>0</v>
          </cell>
          <cell r="Z8058" t="str">
            <v>Outbound</v>
          </cell>
          <cell r="AA8058" t="str">
            <v>$1K or Below</v>
          </cell>
          <cell r="AB8058">
            <v>2012</v>
          </cell>
        </row>
        <row r="8059">
          <cell r="E8059">
            <v>0</v>
          </cell>
          <cell r="Z8059" t="str">
            <v>Legacy</v>
          </cell>
          <cell r="AA8059" t="str">
            <v>$1K or Below</v>
          </cell>
          <cell r="AB8059" t="str">
            <v>2010 or before</v>
          </cell>
        </row>
        <row r="8060">
          <cell r="E8060">
            <v>0</v>
          </cell>
          <cell r="Z8060" t="str">
            <v>Legacy</v>
          </cell>
          <cell r="AA8060" t="str">
            <v>$1K or Below</v>
          </cell>
          <cell r="AB8060" t="str">
            <v>2010 or before</v>
          </cell>
        </row>
        <row r="8061">
          <cell r="E8061">
            <v>0</v>
          </cell>
          <cell r="Z8061" t="str">
            <v>Legacy</v>
          </cell>
          <cell r="AA8061" t="str">
            <v>$1K or Below</v>
          </cell>
          <cell r="AB8061" t="str">
            <v>2010 or before</v>
          </cell>
        </row>
        <row r="8062">
          <cell r="E8062">
            <v>0</v>
          </cell>
          <cell r="Z8062" t="str">
            <v>Legacy</v>
          </cell>
          <cell r="AA8062" t="str">
            <v>$1K or Below</v>
          </cell>
          <cell r="AB8062" t="str">
            <v>2010 or before</v>
          </cell>
        </row>
        <row r="8063">
          <cell r="E8063">
            <v>0</v>
          </cell>
          <cell r="Z8063" t="str">
            <v>Legacy</v>
          </cell>
          <cell r="AA8063" t="str">
            <v>$1K or Below</v>
          </cell>
          <cell r="AB8063" t="str">
            <v>2010 or before</v>
          </cell>
        </row>
        <row r="8064">
          <cell r="E8064">
            <v>0</v>
          </cell>
          <cell r="Z8064" t="str">
            <v>Legacy</v>
          </cell>
          <cell r="AA8064" t="str">
            <v>$1K or Below</v>
          </cell>
          <cell r="AB8064" t="str">
            <v>2010 or before</v>
          </cell>
        </row>
        <row r="8065">
          <cell r="E8065">
            <v>0</v>
          </cell>
          <cell r="Z8065" t="str">
            <v>Legacy</v>
          </cell>
          <cell r="AA8065" t="str">
            <v>$1K or Below</v>
          </cell>
          <cell r="AB8065">
            <v>2012</v>
          </cell>
        </row>
        <row r="8066">
          <cell r="E8066">
            <v>0</v>
          </cell>
          <cell r="Z8066" t="str">
            <v>Legacy</v>
          </cell>
          <cell r="AA8066" t="str">
            <v>$1K or Below</v>
          </cell>
          <cell r="AB8066" t="str">
            <v>2010 or before</v>
          </cell>
        </row>
        <row r="8067">
          <cell r="E8067">
            <v>0</v>
          </cell>
          <cell r="Z8067" t="str">
            <v>Legacy</v>
          </cell>
          <cell r="AA8067" t="str">
            <v>$1K or Below</v>
          </cell>
          <cell r="AB8067" t="str">
            <v>2010 or before</v>
          </cell>
        </row>
        <row r="8068">
          <cell r="E8068">
            <v>0</v>
          </cell>
          <cell r="Z8068" t="str">
            <v>Legacy</v>
          </cell>
          <cell r="AA8068" t="str">
            <v>$1K or Below</v>
          </cell>
          <cell r="AB8068" t="str">
            <v>2010 or before</v>
          </cell>
        </row>
        <row r="8069">
          <cell r="E8069">
            <v>0</v>
          </cell>
          <cell r="Z8069" t="str">
            <v>Legacy</v>
          </cell>
          <cell r="AA8069" t="str">
            <v>$1K or Below</v>
          </cell>
          <cell r="AB8069" t="str">
            <v>2010 or before</v>
          </cell>
        </row>
        <row r="8070">
          <cell r="E8070">
            <v>0</v>
          </cell>
          <cell r="Z8070" t="str">
            <v>Legacy</v>
          </cell>
          <cell r="AA8070" t="str">
            <v>$1K or Below</v>
          </cell>
          <cell r="AB8070" t="str">
            <v>2010 or before</v>
          </cell>
        </row>
        <row r="8071">
          <cell r="E8071">
            <v>0</v>
          </cell>
          <cell r="Z8071" t="str">
            <v>Legacy</v>
          </cell>
          <cell r="AA8071" t="str">
            <v>$1K or Below</v>
          </cell>
          <cell r="AB8071" t="str">
            <v>2010 or before</v>
          </cell>
        </row>
        <row r="8072">
          <cell r="E8072">
            <v>0</v>
          </cell>
          <cell r="Z8072" t="str">
            <v>Legacy</v>
          </cell>
          <cell r="AA8072" t="str">
            <v>$1K or Below</v>
          </cell>
          <cell r="AB8072">
            <v>2011</v>
          </cell>
        </row>
        <row r="8073">
          <cell r="E8073">
            <v>0</v>
          </cell>
          <cell r="Z8073" t="str">
            <v>Legacy</v>
          </cell>
          <cell r="AA8073" t="str">
            <v>$1K or Below</v>
          </cell>
          <cell r="AB8073" t="str">
            <v>2010 or before</v>
          </cell>
        </row>
        <row r="8074">
          <cell r="E8074">
            <v>0</v>
          </cell>
          <cell r="Z8074" t="str">
            <v>Legacy</v>
          </cell>
          <cell r="AA8074" t="str">
            <v>$1K or Below</v>
          </cell>
          <cell r="AB8074" t="str">
            <v>2010 or before</v>
          </cell>
        </row>
        <row r="8075">
          <cell r="E8075">
            <v>0</v>
          </cell>
          <cell r="Z8075" t="str">
            <v>Legacy</v>
          </cell>
          <cell r="AA8075" t="str">
            <v>$1K or Below</v>
          </cell>
          <cell r="AB8075" t="str">
            <v>2010 or before</v>
          </cell>
        </row>
        <row r="8076">
          <cell r="E8076">
            <v>0</v>
          </cell>
          <cell r="Z8076" t="str">
            <v>Legacy</v>
          </cell>
          <cell r="AA8076" t="str">
            <v>$1K or Below</v>
          </cell>
          <cell r="AB8076" t="str">
            <v>2010 or before</v>
          </cell>
        </row>
        <row r="8077">
          <cell r="E8077">
            <v>0</v>
          </cell>
          <cell r="Z8077" t="str">
            <v>Legacy</v>
          </cell>
          <cell r="AA8077" t="str">
            <v>$1K or Below</v>
          </cell>
          <cell r="AB8077" t="str">
            <v>2010 or before</v>
          </cell>
        </row>
        <row r="8078">
          <cell r="E8078">
            <v>0</v>
          </cell>
          <cell r="Z8078" t="str">
            <v>Legacy</v>
          </cell>
          <cell r="AA8078" t="str">
            <v>$1K or Below</v>
          </cell>
          <cell r="AB8078">
            <v>2011</v>
          </cell>
        </row>
        <row r="8079">
          <cell r="E8079">
            <v>0</v>
          </cell>
          <cell r="Z8079" t="str">
            <v>Legacy</v>
          </cell>
          <cell r="AA8079" t="str">
            <v>$1K or Below</v>
          </cell>
          <cell r="AB8079" t="str">
            <v>2010 or before</v>
          </cell>
        </row>
        <row r="8080">
          <cell r="E8080">
            <v>0</v>
          </cell>
          <cell r="Z8080" t="str">
            <v>Legacy</v>
          </cell>
          <cell r="AA8080" t="str">
            <v>$1K or Below</v>
          </cell>
          <cell r="AB8080" t="str">
            <v>2010 or before</v>
          </cell>
        </row>
        <row r="8081">
          <cell r="E8081">
            <v>0</v>
          </cell>
          <cell r="Z8081" t="str">
            <v>Legacy</v>
          </cell>
          <cell r="AA8081" t="str">
            <v>$1K or Below</v>
          </cell>
          <cell r="AB8081" t="str">
            <v>2010 or before</v>
          </cell>
        </row>
        <row r="8082">
          <cell r="E8082">
            <v>0</v>
          </cell>
          <cell r="Z8082" t="str">
            <v>Legacy</v>
          </cell>
          <cell r="AA8082" t="str">
            <v>$1K or Below</v>
          </cell>
          <cell r="AB8082" t="str">
            <v>2010 or before</v>
          </cell>
        </row>
        <row r="8083">
          <cell r="E8083">
            <v>0</v>
          </cell>
          <cell r="Z8083" t="str">
            <v>Legacy</v>
          </cell>
          <cell r="AA8083" t="str">
            <v>$1K or Below</v>
          </cell>
          <cell r="AB8083" t="str">
            <v>2010 or before</v>
          </cell>
        </row>
        <row r="8084">
          <cell r="E8084">
            <v>0</v>
          </cell>
          <cell r="Z8084" t="str">
            <v>Legacy</v>
          </cell>
          <cell r="AA8084" t="str">
            <v>$1K or Below</v>
          </cell>
          <cell r="AB8084" t="str">
            <v>2010 or before</v>
          </cell>
        </row>
        <row r="8085">
          <cell r="E8085">
            <v>0</v>
          </cell>
          <cell r="Z8085" t="str">
            <v>Legacy</v>
          </cell>
          <cell r="AA8085" t="str">
            <v>$1K or Below</v>
          </cell>
          <cell r="AB8085" t="str">
            <v>2010 or before</v>
          </cell>
        </row>
        <row r="8086">
          <cell r="E8086">
            <v>0</v>
          </cell>
          <cell r="Z8086" t="str">
            <v>Legacy</v>
          </cell>
          <cell r="AA8086" t="str">
            <v>$1K or Below</v>
          </cell>
          <cell r="AB8086" t="str">
            <v>2010 or before</v>
          </cell>
        </row>
        <row r="8087">
          <cell r="E8087">
            <v>0</v>
          </cell>
          <cell r="Z8087" t="str">
            <v>Legacy</v>
          </cell>
          <cell r="AA8087" t="str">
            <v>$1K or Below</v>
          </cell>
          <cell r="AB8087" t="str">
            <v>2010 or before</v>
          </cell>
        </row>
        <row r="8088">
          <cell r="E8088">
            <v>0</v>
          </cell>
          <cell r="Z8088" t="str">
            <v>Legacy</v>
          </cell>
          <cell r="AA8088" t="str">
            <v>$1K or Below</v>
          </cell>
          <cell r="AB8088" t="str">
            <v>2010 or before</v>
          </cell>
        </row>
        <row r="8089">
          <cell r="E8089">
            <v>0</v>
          </cell>
          <cell r="Z8089" t="str">
            <v>Legacy</v>
          </cell>
          <cell r="AA8089" t="str">
            <v>$1K or Below</v>
          </cell>
          <cell r="AB8089" t="str">
            <v>2010 or before</v>
          </cell>
        </row>
        <row r="8090">
          <cell r="E8090">
            <v>0</v>
          </cell>
          <cell r="Z8090" t="str">
            <v>Legacy</v>
          </cell>
          <cell r="AA8090" t="str">
            <v>$1K or Below</v>
          </cell>
          <cell r="AB8090" t="str">
            <v>2010 or before</v>
          </cell>
        </row>
        <row r="8091">
          <cell r="E8091">
            <v>0</v>
          </cell>
          <cell r="Z8091" t="str">
            <v>Legacy</v>
          </cell>
          <cell r="AA8091" t="str">
            <v>$1K or Below</v>
          </cell>
          <cell r="AB8091" t="str">
            <v>2010 or before</v>
          </cell>
        </row>
        <row r="8092">
          <cell r="E8092">
            <v>0</v>
          </cell>
          <cell r="Z8092" t="str">
            <v>Legacy</v>
          </cell>
          <cell r="AA8092" t="str">
            <v>$1K or Below</v>
          </cell>
          <cell r="AB8092" t="str">
            <v>2010 or before</v>
          </cell>
        </row>
        <row r="8093">
          <cell r="E8093">
            <v>0</v>
          </cell>
          <cell r="Z8093" t="str">
            <v>Legacy</v>
          </cell>
          <cell r="AA8093" t="str">
            <v>$1K or Below</v>
          </cell>
          <cell r="AB8093" t="str">
            <v>2010 or before</v>
          </cell>
        </row>
        <row r="8094">
          <cell r="E8094">
            <v>0</v>
          </cell>
          <cell r="Z8094" t="str">
            <v>Legacy</v>
          </cell>
          <cell r="AA8094" t="str">
            <v>$1K or Below</v>
          </cell>
          <cell r="AB8094" t="str">
            <v>2010 or before</v>
          </cell>
        </row>
        <row r="8095">
          <cell r="E8095">
            <v>0</v>
          </cell>
          <cell r="Z8095" t="str">
            <v>Legacy</v>
          </cell>
          <cell r="AA8095" t="str">
            <v>$1K or Below</v>
          </cell>
          <cell r="AB8095" t="str">
            <v>2010 or before</v>
          </cell>
        </row>
        <row r="8096">
          <cell r="E8096">
            <v>0</v>
          </cell>
          <cell r="Z8096" t="str">
            <v>Legacy</v>
          </cell>
          <cell r="AA8096" t="str">
            <v>$1K or Below</v>
          </cell>
          <cell r="AB8096" t="str">
            <v>2010 or before</v>
          </cell>
        </row>
        <row r="8097">
          <cell r="E8097">
            <v>0</v>
          </cell>
          <cell r="Z8097" t="str">
            <v>Legacy</v>
          </cell>
          <cell r="AA8097" t="str">
            <v>$1K or Below</v>
          </cell>
          <cell r="AB8097" t="str">
            <v>2010 or before</v>
          </cell>
        </row>
        <row r="8098">
          <cell r="E8098">
            <v>0</v>
          </cell>
          <cell r="Z8098" t="str">
            <v>Legacy</v>
          </cell>
          <cell r="AA8098" t="str">
            <v>$1K or Below</v>
          </cell>
          <cell r="AB8098" t="str">
            <v>2010 or before</v>
          </cell>
        </row>
        <row r="8099">
          <cell r="E8099">
            <v>0</v>
          </cell>
          <cell r="Z8099" t="str">
            <v>Legacy</v>
          </cell>
          <cell r="AA8099" t="str">
            <v>$1K or Below</v>
          </cell>
          <cell r="AB8099">
            <v>2012</v>
          </cell>
        </row>
        <row r="8100">
          <cell r="E8100">
            <v>0</v>
          </cell>
          <cell r="Z8100" t="str">
            <v>Inbound</v>
          </cell>
          <cell r="AA8100" t="str">
            <v>$1K or Below</v>
          </cell>
          <cell r="AB8100">
            <v>2012</v>
          </cell>
        </row>
        <row r="8101">
          <cell r="E8101">
            <v>0</v>
          </cell>
          <cell r="Z8101" t="str">
            <v>Legacy</v>
          </cell>
          <cell r="AA8101" t="str">
            <v>$1K or Below</v>
          </cell>
          <cell r="AB8101" t="str">
            <v>2010 or before</v>
          </cell>
        </row>
        <row r="8102">
          <cell r="E8102">
            <v>0</v>
          </cell>
          <cell r="Z8102" t="str">
            <v>Legacy</v>
          </cell>
          <cell r="AA8102" t="str">
            <v>$1K or Below</v>
          </cell>
          <cell r="AB8102" t="str">
            <v>2010 or before</v>
          </cell>
        </row>
        <row r="8103">
          <cell r="E8103">
            <v>0</v>
          </cell>
          <cell r="Z8103" t="str">
            <v>Legacy</v>
          </cell>
          <cell r="AA8103" t="str">
            <v>$1K or Below</v>
          </cell>
          <cell r="AB8103" t="str">
            <v>2010 or before</v>
          </cell>
        </row>
        <row r="8104">
          <cell r="E8104">
            <v>0</v>
          </cell>
          <cell r="Z8104" t="str">
            <v>Legacy</v>
          </cell>
          <cell r="AA8104" t="str">
            <v>$1K or Below</v>
          </cell>
          <cell r="AB8104" t="str">
            <v>2010 or before</v>
          </cell>
        </row>
        <row r="8105">
          <cell r="E8105">
            <v>0</v>
          </cell>
          <cell r="Z8105" t="str">
            <v>Legacy</v>
          </cell>
          <cell r="AA8105" t="str">
            <v>$1K or Below</v>
          </cell>
          <cell r="AB8105" t="str">
            <v>2010 or before</v>
          </cell>
        </row>
        <row r="8106">
          <cell r="E8106">
            <v>0</v>
          </cell>
          <cell r="Z8106" t="str">
            <v>Legacy</v>
          </cell>
          <cell r="AA8106" t="str">
            <v>$1K or Below</v>
          </cell>
          <cell r="AB8106" t="str">
            <v>2010 or before</v>
          </cell>
        </row>
        <row r="8107">
          <cell r="E8107">
            <v>0</v>
          </cell>
          <cell r="Z8107" t="str">
            <v>Legacy</v>
          </cell>
          <cell r="AA8107" t="str">
            <v>$1K or Below</v>
          </cell>
          <cell r="AB8107" t="str">
            <v>2010 or before</v>
          </cell>
        </row>
        <row r="8108">
          <cell r="E8108">
            <v>0</v>
          </cell>
          <cell r="Z8108" t="str">
            <v>Legacy</v>
          </cell>
          <cell r="AA8108" t="str">
            <v>$1K or Below</v>
          </cell>
          <cell r="AB8108" t="str">
            <v>2010 or before</v>
          </cell>
        </row>
        <row r="8109">
          <cell r="E8109">
            <v>0</v>
          </cell>
          <cell r="Z8109" t="str">
            <v>Legacy</v>
          </cell>
          <cell r="AA8109" t="str">
            <v>$1K or Below</v>
          </cell>
          <cell r="AB8109" t="str">
            <v>2010 or before</v>
          </cell>
        </row>
        <row r="8110">
          <cell r="E8110">
            <v>0</v>
          </cell>
          <cell r="Z8110" t="str">
            <v>Legacy</v>
          </cell>
          <cell r="AA8110" t="str">
            <v>$1K or Below</v>
          </cell>
          <cell r="AB8110" t="str">
            <v>2010 or before</v>
          </cell>
        </row>
        <row r="8111">
          <cell r="E8111">
            <v>0</v>
          </cell>
          <cell r="Z8111" t="str">
            <v>Legacy</v>
          </cell>
          <cell r="AA8111" t="str">
            <v>$1K or Below</v>
          </cell>
          <cell r="AB8111" t="str">
            <v>2010 or before</v>
          </cell>
        </row>
        <row r="8112">
          <cell r="E8112">
            <v>0</v>
          </cell>
          <cell r="Z8112" t="str">
            <v>Legacy</v>
          </cell>
          <cell r="AA8112" t="str">
            <v>$1K or Below</v>
          </cell>
          <cell r="AB8112" t="str">
            <v>2010 or before</v>
          </cell>
        </row>
        <row r="8113">
          <cell r="E8113">
            <v>0</v>
          </cell>
          <cell r="Z8113" t="str">
            <v>Legacy</v>
          </cell>
          <cell r="AA8113" t="str">
            <v>$1K or Below</v>
          </cell>
          <cell r="AB8113" t="str">
            <v>2010 or before</v>
          </cell>
        </row>
        <row r="8114">
          <cell r="E8114">
            <v>0</v>
          </cell>
          <cell r="Z8114" t="str">
            <v>Legacy</v>
          </cell>
          <cell r="AA8114" t="str">
            <v>$1K or Below</v>
          </cell>
          <cell r="AB8114" t="str">
            <v>2010 or before</v>
          </cell>
        </row>
        <row r="8115">
          <cell r="E8115">
            <v>0</v>
          </cell>
          <cell r="Z8115" t="str">
            <v>Legacy</v>
          </cell>
          <cell r="AA8115" t="str">
            <v>$1K or Below</v>
          </cell>
          <cell r="AB8115" t="str">
            <v>2010 or before</v>
          </cell>
        </row>
        <row r="8116">
          <cell r="E8116">
            <v>0</v>
          </cell>
          <cell r="Z8116" t="str">
            <v>Legacy</v>
          </cell>
          <cell r="AA8116" t="str">
            <v>$1K or Below</v>
          </cell>
          <cell r="AB8116" t="str">
            <v>2010 or before</v>
          </cell>
        </row>
        <row r="8117">
          <cell r="E8117">
            <v>0</v>
          </cell>
          <cell r="Z8117" t="str">
            <v>Legacy</v>
          </cell>
          <cell r="AA8117" t="str">
            <v>$1K or Below</v>
          </cell>
          <cell r="AB8117" t="str">
            <v>2010 or before</v>
          </cell>
        </row>
        <row r="8118">
          <cell r="E8118">
            <v>0</v>
          </cell>
          <cell r="Z8118" t="str">
            <v>Legacy</v>
          </cell>
          <cell r="AA8118" t="str">
            <v>$1K or Below</v>
          </cell>
          <cell r="AB8118" t="str">
            <v>2010 or before</v>
          </cell>
        </row>
        <row r="8119">
          <cell r="E8119">
            <v>0</v>
          </cell>
          <cell r="Z8119" t="str">
            <v>Legacy</v>
          </cell>
          <cell r="AA8119" t="str">
            <v>$1K or Below</v>
          </cell>
          <cell r="AB8119" t="str">
            <v>2010 or before</v>
          </cell>
        </row>
        <row r="8120">
          <cell r="E8120">
            <v>0</v>
          </cell>
          <cell r="Z8120" t="str">
            <v>Legacy</v>
          </cell>
          <cell r="AA8120" t="str">
            <v>$1K or Below</v>
          </cell>
          <cell r="AB8120" t="str">
            <v>2010 or before</v>
          </cell>
        </row>
        <row r="8121">
          <cell r="E8121">
            <v>0</v>
          </cell>
          <cell r="Z8121" t="str">
            <v>Legacy</v>
          </cell>
          <cell r="AA8121" t="str">
            <v>$1K or Below</v>
          </cell>
          <cell r="AB8121" t="str">
            <v>2010 or before</v>
          </cell>
        </row>
        <row r="8122">
          <cell r="E8122">
            <v>0</v>
          </cell>
          <cell r="Z8122" t="str">
            <v>Legacy</v>
          </cell>
          <cell r="AA8122" t="str">
            <v>$1K or Below</v>
          </cell>
          <cell r="AB8122" t="str">
            <v>2010 or before</v>
          </cell>
        </row>
        <row r="8123">
          <cell r="E8123">
            <v>0</v>
          </cell>
          <cell r="Z8123" t="str">
            <v>Legacy</v>
          </cell>
          <cell r="AA8123" t="str">
            <v>$1K or Below</v>
          </cell>
          <cell r="AB8123" t="str">
            <v>2010 or before</v>
          </cell>
        </row>
        <row r="8124">
          <cell r="E8124">
            <v>0</v>
          </cell>
          <cell r="Z8124" t="str">
            <v>Legacy</v>
          </cell>
          <cell r="AA8124" t="str">
            <v>$1K or Below</v>
          </cell>
          <cell r="AB8124" t="str">
            <v>2010 or before</v>
          </cell>
        </row>
        <row r="8125">
          <cell r="E8125">
            <v>0</v>
          </cell>
          <cell r="Z8125" t="str">
            <v>Legacy</v>
          </cell>
          <cell r="AA8125" t="str">
            <v>$1K or Below</v>
          </cell>
          <cell r="AB8125" t="str">
            <v>2010 or before</v>
          </cell>
        </row>
        <row r="8126">
          <cell r="E8126">
            <v>0</v>
          </cell>
          <cell r="Z8126" t="str">
            <v>Legacy</v>
          </cell>
          <cell r="AA8126" t="str">
            <v>$1K or Below</v>
          </cell>
          <cell r="AB8126" t="str">
            <v>2010 or before</v>
          </cell>
        </row>
        <row r="8127">
          <cell r="E8127">
            <v>0</v>
          </cell>
          <cell r="Z8127" t="str">
            <v>Legacy</v>
          </cell>
          <cell r="AA8127" t="str">
            <v>$1K or Below</v>
          </cell>
          <cell r="AB8127" t="str">
            <v>2010 or before</v>
          </cell>
        </row>
        <row r="8128">
          <cell r="E8128">
            <v>0</v>
          </cell>
          <cell r="Z8128" t="str">
            <v>Legacy</v>
          </cell>
          <cell r="AA8128" t="str">
            <v>$1K or Below</v>
          </cell>
          <cell r="AB8128" t="str">
            <v>2010 or before</v>
          </cell>
        </row>
        <row r="8129">
          <cell r="E8129">
            <v>0</v>
          </cell>
          <cell r="Z8129" t="str">
            <v>Legacy</v>
          </cell>
          <cell r="AA8129" t="str">
            <v>$1K or Below</v>
          </cell>
          <cell r="AB8129" t="str">
            <v>2010 or before</v>
          </cell>
        </row>
        <row r="8130">
          <cell r="E8130">
            <v>0</v>
          </cell>
          <cell r="Z8130" t="str">
            <v>Legacy</v>
          </cell>
          <cell r="AA8130" t="str">
            <v>$1K or Below</v>
          </cell>
          <cell r="AB8130" t="str">
            <v>2010 or before</v>
          </cell>
        </row>
        <row r="8131">
          <cell r="E8131">
            <v>0</v>
          </cell>
          <cell r="Z8131" t="str">
            <v>Legacy</v>
          </cell>
          <cell r="AA8131" t="str">
            <v>$1K or Below</v>
          </cell>
          <cell r="AB8131" t="str">
            <v>2010 or before</v>
          </cell>
        </row>
        <row r="8132">
          <cell r="E8132">
            <v>0</v>
          </cell>
          <cell r="Z8132" t="str">
            <v>Legacy</v>
          </cell>
          <cell r="AA8132" t="str">
            <v>$1K or Below</v>
          </cell>
          <cell r="AB8132" t="str">
            <v>2010 or before</v>
          </cell>
        </row>
        <row r="8133">
          <cell r="E8133">
            <v>0</v>
          </cell>
          <cell r="Z8133" t="str">
            <v>Legacy</v>
          </cell>
          <cell r="AA8133" t="str">
            <v>$1K or Below</v>
          </cell>
          <cell r="AB8133" t="str">
            <v>2010 or before</v>
          </cell>
        </row>
        <row r="8134">
          <cell r="E8134">
            <v>0</v>
          </cell>
          <cell r="Z8134" t="str">
            <v>Legacy</v>
          </cell>
          <cell r="AA8134" t="str">
            <v>$1K or Below</v>
          </cell>
          <cell r="AB8134" t="str">
            <v>2010 or before</v>
          </cell>
        </row>
        <row r="8135">
          <cell r="E8135">
            <v>0</v>
          </cell>
          <cell r="Z8135" t="str">
            <v>Legacy</v>
          </cell>
          <cell r="AA8135" t="str">
            <v>$1K or Below</v>
          </cell>
          <cell r="AB8135" t="str">
            <v>2010 or before</v>
          </cell>
        </row>
        <row r="8136">
          <cell r="E8136">
            <v>0</v>
          </cell>
          <cell r="Z8136" t="str">
            <v>Legacy</v>
          </cell>
          <cell r="AA8136" t="str">
            <v>$1K or Below</v>
          </cell>
          <cell r="AB8136" t="str">
            <v>2010 or before</v>
          </cell>
        </row>
        <row r="8137">
          <cell r="E8137">
            <v>0</v>
          </cell>
          <cell r="Z8137" t="str">
            <v>Legacy</v>
          </cell>
          <cell r="AA8137" t="str">
            <v>$1K or Below</v>
          </cell>
          <cell r="AB8137">
            <v>2011</v>
          </cell>
        </row>
        <row r="8138">
          <cell r="E8138">
            <v>0</v>
          </cell>
          <cell r="Z8138" t="str">
            <v>Legacy</v>
          </cell>
          <cell r="AA8138" t="str">
            <v>$1K or Below</v>
          </cell>
          <cell r="AB8138" t="str">
            <v>2010 or before</v>
          </cell>
        </row>
        <row r="8139">
          <cell r="E8139">
            <v>0</v>
          </cell>
          <cell r="Z8139" t="str">
            <v>Legacy</v>
          </cell>
          <cell r="AA8139" t="str">
            <v>$1K or Below</v>
          </cell>
          <cell r="AB8139" t="str">
            <v>2010 or before</v>
          </cell>
        </row>
        <row r="8140">
          <cell r="E8140">
            <v>0</v>
          </cell>
          <cell r="Z8140" t="str">
            <v>Legacy</v>
          </cell>
          <cell r="AA8140" t="str">
            <v>$1K or Below</v>
          </cell>
          <cell r="AB8140" t="str">
            <v>2010 or before</v>
          </cell>
        </row>
        <row r="8141">
          <cell r="E8141">
            <v>0</v>
          </cell>
          <cell r="Z8141" t="str">
            <v>Legacy</v>
          </cell>
          <cell r="AA8141" t="str">
            <v>$1K or Below</v>
          </cell>
          <cell r="AB8141" t="str">
            <v>2010 or before</v>
          </cell>
        </row>
        <row r="8142">
          <cell r="E8142">
            <v>0</v>
          </cell>
          <cell r="Z8142" t="str">
            <v>Legacy</v>
          </cell>
          <cell r="AA8142" t="str">
            <v>$1K or Below</v>
          </cell>
          <cell r="AB8142" t="str">
            <v>2010 or before</v>
          </cell>
        </row>
        <row r="8143">
          <cell r="E8143">
            <v>0</v>
          </cell>
          <cell r="Z8143" t="str">
            <v>Legacy</v>
          </cell>
          <cell r="AA8143" t="str">
            <v>$1K or Below</v>
          </cell>
          <cell r="AB8143" t="str">
            <v>2010 or before</v>
          </cell>
        </row>
        <row r="8144">
          <cell r="E8144">
            <v>0</v>
          </cell>
          <cell r="Z8144" t="str">
            <v>Legacy</v>
          </cell>
          <cell r="AA8144" t="str">
            <v>$1K or Below</v>
          </cell>
          <cell r="AB8144" t="str">
            <v>2010 or before</v>
          </cell>
        </row>
        <row r="8145">
          <cell r="E8145">
            <v>0</v>
          </cell>
          <cell r="Z8145" t="str">
            <v>Legacy</v>
          </cell>
          <cell r="AA8145" t="str">
            <v>$1K or Below</v>
          </cell>
          <cell r="AB8145" t="str">
            <v>2010 or before</v>
          </cell>
        </row>
        <row r="8146">
          <cell r="E8146">
            <v>0</v>
          </cell>
          <cell r="Z8146" t="str">
            <v>Legacy</v>
          </cell>
          <cell r="AA8146" t="str">
            <v>$1K or Below</v>
          </cell>
          <cell r="AB8146" t="str">
            <v>2010 or before</v>
          </cell>
        </row>
        <row r="8147">
          <cell r="E8147">
            <v>0</v>
          </cell>
          <cell r="Z8147" t="str">
            <v>Legacy</v>
          </cell>
          <cell r="AA8147" t="str">
            <v>$1K or Below</v>
          </cell>
          <cell r="AB8147" t="str">
            <v>2010 or before</v>
          </cell>
        </row>
        <row r="8148">
          <cell r="E8148">
            <v>0</v>
          </cell>
          <cell r="Z8148" t="str">
            <v>Legacy</v>
          </cell>
          <cell r="AA8148" t="str">
            <v>$1K or Below</v>
          </cell>
          <cell r="AB8148" t="str">
            <v>2010 or before</v>
          </cell>
        </row>
        <row r="8149">
          <cell r="E8149">
            <v>0</v>
          </cell>
          <cell r="Z8149" t="str">
            <v>Legacy</v>
          </cell>
          <cell r="AA8149" t="str">
            <v>$1K or Below</v>
          </cell>
          <cell r="AB8149" t="str">
            <v>2010 or before</v>
          </cell>
        </row>
        <row r="8150">
          <cell r="E8150">
            <v>0</v>
          </cell>
          <cell r="Z8150" t="str">
            <v>Legacy</v>
          </cell>
          <cell r="AA8150" t="str">
            <v>$1K or Below</v>
          </cell>
          <cell r="AB8150" t="str">
            <v>2010 or before</v>
          </cell>
        </row>
        <row r="8151">
          <cell r="E8151">
            <v>0</v>
          </cell>
          <cell r="Z8151" t="str">
            <v>Legacy</v>
          </cell>
          <cell r="AA8151" t="str">
            <v>$1K or Below</v>
          </cell>
          <cell r="AB8151" t="str">
            <v>2010 or before</v>
          </cell>
        </row>
        <row r="8152">
          <cell r="E8152">
            <v>0</v>
          </cell>
          <cell r="Z8152" t="str">
            <v>Legacy</v>
          </cell>
          <cell r="AA8152" t="str">
            <v>$1K or Below</v>
          </cell>
          <cell r="AB8152" t="str">
            <v>2010 or before</v>
          </cell>
        </row>
        <row r="8153">
          <cell r="E8153">
            <v>0</v>
          </cell>
          <cell r="Z8153" t="str">
            <v>Legacy</v>
          </cell>
          <cell r="AA8153" t="str">
            <v>$1K or Below</v>
          </cell>
          <cell r="AB8153" t="str">
            <v>2010 or before</v>
          </cell>
        </row>
        <row r="8154">
          <cell r="E8154">
            <v>0</v>
          </cell>
          <cell r="Z8154" t="str">
            <v>Legacy</v>
          </cell>
          <cell r="AA8154" t="str">
            <v>$1K or Below</v>
          </cell>
          <cell r="AB8154" t="str">
            <v>2010 or before</v>
          </cell>
        </row>
        <row r="8155">
          <cell r="E8155">
            <v>0</v>
          </cell>
          <cell r="Z8155" t="str">
            <v>Legacy</v>
          </cell>
          <cell r="AA8155" t="str">
            <v>$1K or Below</v>
          </cell>
          <cell r="AB8155" t="str">
            <v>2010 or before</v>
          </cell>
        </row>
        <row r="8156">
          <cell r="E8156">
            <v>0</v>
          </cell>
          <cell r="Z8156" t="str">
            <v>Legacy</v>
          </cell>
          <cell r="AA8156" t="str">
            <v>$1K or Below</v>
          </cell>
          <cell r="AB8156" t="str">
            <v>2010 or before</v>
          </cell>
        </row>
        <row r="8157">
          <cell r="E8157">
            <v>0</v>
          </cell>
          <cell r="Z8157" t="str">
            <v>Legacy</v>
          </cell>
          <cell r="AA8157" t="str">
            <v>$1K or Below</v>
          </cell>
          <cell r="AB8157" t="str">
            <v>2010 or before</v>
          </cell>
        </row>
        <row r="8158">
          <cell r="E8158">
            <v>0</v>
          </cell>
          <cell r="Z8158" t="str">
            <v>Legacy</v>
          </cell>
          <cell r="AA8158" t="str">
            <v>$1K or Below</v>
          </cell>
          <cell r="AB8158" t="str">
            <v>2010 or before</v>
          </cell>
        </row>
        <row r="8159">
          <cell r="E8159">
            <v>0</v>
          </cell>
          <cell r="Z8159" t="str">
            <v>Legacy</v>
          </cell>
          <cell r="AA8159" t="str">
            <v>$1K or Below</v>
          </cell>
          <cell r="AB8159" t="str">
            <v>2010 or before</v>
          </cell>
        </row>
        <row r="8160">
          <cell r="E8160">
            <v>0</v>
          </cell>
          <cell r="Z8160" t="str">
            <v>Legacy</v>
          </cell>
          <cell r="AA8160" t="str">
            <v>$1K or Below</v>
          </cell>
          <cell r="AB8160" t="str">
            <v>2010 or before</v>
          </cell>
        </row>
        <row r="8161">
          <cell r="E8161">
            <v>0</v>
          </cell>
          <cell r="Z8161" t="str">
            <v>Legacy</v>
          </cell>
          <cell r="AA8161" t="str">
            <v>$1K or Below</v>
          </cell>
          <cell r="AB8161" t="str">
            <v>2010 or before</v>
          </cell>
        </row>
        <row r="8162">
          <cell r="E8162">
            <v>0</v>
          </cell>
          <cell r="Z8162" t="str">
            <v>Legacy</v>
          </cell>
          <cell r="AA8162" t="str">
            <v>$1K or Below</v>
          </cell>
          <cell r="AB8162" t="str">
            <v>2010 or before</v>
          </cell>
        </row>
        <row r="8163">
          <cell r="E8163">
            <v>0</v>
          </cell>
          <cell r="Z8163" t="str">
            <v>Legacy</v>
          </cell>
          <cell r="AA8163" t="str">
            <v>$1K or Below</v>
          </cell>
          <cell r="AB8163">
            <v>2012</v>
          </cell>
        </row>
        <row r="8164">
          <cell r="E8164">
            <v>0</v>
          </cell>
          <cell r="Z8164" t="str">
            <v>Legacy</v>
          </cell>
          <cell r="AA8164" t="str">
            <v>$1K or Below</v>
          </cell>
          <cell r="AB8164" t="str">
            <v>2010 or before</v>
          </cell>
        </row>
        <row r="8165">
          <cell r="E8165">
            <v>0</v>
          </cell>
          <cell r="Z8165" t="str">
            <v>Legacy</v>
          </cell>
          <cell r="AA8165" t="str">
            <v>$1K or Below</v>
          </cell>
          <cell r="AB8165" t="str">
            <v>2010 or before</v>
          </cell>
        </row>
        <row r="8166">
          <cell r="E8166">
            <v>0</v>
          </cell>
          <cell r="Z8166" t="str">
            <v>Legacy</v>
          </cell>
          <cell r="AA8166" t="str">
            <v>$1K or Below</v>
          </cell>
          <cell r="AB8166" t="str">
            <v>2010 or before</v>
          </cell>
        </row>
        <row r="8167">
          <cell r="E8167">
            <v>0</v>
          </cell>
          <cell r="Z8167" t="str">
            <v>Legacy</v>
          </cell>
          <cell r="AA8167" t="str">
            <v>$1K or Below</v>
          </cell>
          <cell r="AB8167" t="str">
            <v>2010 or before</v>
          </cell>
        </row>
        <row r="8168">
          <cell r="E8168">
            <v>0</v>
          </cell>
          <cell r="Z8168" t="str">
            <v>Legacy</v>
          </cell>
          <cell r="AA8168" t="str">
            <v>$1K or Below</v>
          </cell>
          <cell r="AB8168" t="str">
            <v>2010 or before</v>
          </cell>
        </row>
        <row r="8169">
          <cell r="E8169">
            <v>0</v>
          </cell>
          <cell r="Z8169" t="str">
            <v>Legacy</v>
          </cell>
          <cell r="AA8169" t="str">
            <v>$1K or Below</v>
          </cell>
          <cell r="AB8169" t="str">
            <v>2010 or before</v>
          </cell>
        </row>
        <row r="8170">
          <cell r="E8170">
            <v>0</v>
          </cell>
          <cell r="Z8170" t="str">
            <v>Legacy</v>
          </cell>
          <cell r="AA8170" t="str">
            <v>$1K or Below</v>
          </cell>
          <cell r="AB8170" t="str">
            <v>2010 or before</v>
          </cell>
        </row>
        <row r="8171">
          <cell r="E8171">
            <v>0</v>
          </cell>
          <cell r="Z8171" t="str">
            <v>Legacy</v>
          </cell>
          <cell r="AA8171" t="str">
            <v>$1K or Below</v>
          </cell>
          <cell r="AB8171" t="str">
            <v>2010 or before</v>
          </cell>
        </row>
        <row r="8172">
          <cell r="E8172">
            <v>0</v>
          </cell>
          <cell r="Z8172" t="str">
            <v>Legacy</v>
          </cell>
          <cell r="AA8172" t="str">
            <v>$1K or Below</v>
          </cell>
          <cell r="AB8172">
            <v>2012</v>
          </cell>
        </row>
        <row r="8173">
          <cell r="E8173">
            <v>0</v>
          </cell>
          <cell r="Z8173" t="str">
            <v>Legacy</v>
          </cell>
          <cell r="AA8173" t="str">
            <v>$1K or Below</v>
          </cell>
          <cell r="AB8173" t="str">
            <v>2010 or before</v>
          </cell>
        </row>
        <row r="8174">
          <cell r="E8174">
            <v>0</v>
          </cell>
          <cell r="Z8174" t="str">
            <v>Legacy</v>
          </cell>
          <cell r="AA8174" t="str">
            <v>$1K or Below</v>
          </cell>
          <cell r="AB8174" t="str">
            <v>2010 or before</v>
          </cell>
        </row>
        <row r="8175">
          <cell r="E8175">
            <v>0</v>
          </cell>
          <cell r="Z8175" t="str">
            <v>Legacy</v>
          </cell>
          <cell r="AA8175" t="str">
            <v>$1K or Below</v>
          </cell>
          <cell r="AB8175" t="str">
            <v>2010 or before</v>
          </cell>
        </row>
        <row r="8176">
          <cell r="E8176">
            <v>0</v>
          </cell>
          <cell r="Z8176" t="str">
            <v>Legacy</v>
          </cell>
          <cell r="AA8176" t="str">
            <v>$1K or Below</v>
          </cell>
          <cell r="AB8176">
            <v>2012</v>
          </cell>
        </row>
        <row r="8177">
          <cell r="E8177">
            <v>0</v>
          </cell>
          <cell r="Z8177" t="str">
            <v>Legacy</v>
          </cell>
          <cell r="AA8177" t="str">
            <v>$1K or Below</v>
          </cell>
          <cell r="AB8177" t="str">
            <v>2010 or before</v>
          </cell>
        </row>
        <row r="8178">
          <cell r="E8178">
            <v>0</v>
          </cell>
          <cell r="Z8178" t="str">
            <v>Legacy</v>
          </cell>
          <cell r="AA8178" t="str">
            <v>$1K or Below</v>
          </cell>
          <cell r="AB8178" t="str">
            <v>2010 or before</v>
          </cell>
        </row>
        <row r="8179">
          <cell r="E8179">
            <v>0</v>
          </cell>
          <cell r="Z8179" t="str">
            <v>Legacy</v>
          </cell>
          <cell r="AA8179" t="str">
            <v>$1K or Below</v>
          </cell>
          <cell r="AB8179" t="str">
            <v>2010 or before</v>
          </cell>
        </row>
        <row r="8180">
          <cell r="E8180">
            <v>0</v>
          </cell>
          <cell r="Z8180" t="str">
            <v>Legacy</v>
          </cell>
          <cell r="AA8180" t="str">
            <v>$1K or Below</v>
          </cell>
          <cell r="AB8180" t="str">
            <v>2010 or before</v>
          </cell>
        </row>
        <row r="8181">
          <cell r="E8181">
            <v>0</v>
          </cell>
          <cell r="Z8181" t="str">
            <v>Legacy</v>
          </cell>
          <cell r="AA8181" t="str">
            <v>$1K or Below</v>
          </cell>
          <cell r="AB8181" t="str">
            <v>2010 or before</v>
          </cell>
        </row>
        <row r="8182">
          <cell r="E8182">
            <v>0</v>
          </cell>
          <cell r="Z8182" t="str">
            <v>Legacy</v>
          </cell>
          <cell r="AA8182" t="str">
            <v>$1K or Below</v>
          </cell>
          <cell r="AB8182" t="str">
            <v>2010 or before</v>
          </cell>
        </row>
        <row r="8183">
          <cell r="E8183">
            <v>0</v>
          </cell>
          <cell r="Z8183" t="str">
            <v>Legacy</v>
          </cell>
          <cell r="AA8183" t="str">
            <v>$1K or Below</v>
          </cell>
          <cell r="AB8183" t="str">
            <v>2010 or before</v>
          </cell>
        </row>
        <row r="8184">
          <cell r="E8184">
            <v>0</v>
          </cell>
          <cell r="Z8184" t="str">
            <v>Legacy</v>
          </cell>
          <cell r="AA8184" t="str">
            <v>$1K or Below</v>
          </cell>
          <cell r="AB8184" t="str">
            <v>2010 or before</v>
          </cell>
        </row>
        <row r="8185">
          <cell r="E8185">
            <v>0</v>
          </cell>
          <cell r="Z8185" t="str">
            <v>Legacy</v>
          </cell>
          <cell r="AA8185" t="str">
            <v>$1K or Below</v>
          </cell>
          <cell r="AB8185" t="str">
            <v>2010 or before</v>
          </cell>
        </row>
        <row r="8186">
          <cell r="E8186">
            <v>0</v>
          </cell>
          <cell r="Z8186" t="str">
            <v>Legacy</v>
          </cell>
          <cell r="AA8186" t="str">
            <v>$1K or Below</v>
          </cell>
          <cell r="AB8186" t="str">
            <v>2010 or before</v>
          </cell>
        </row>
        <row r="8187">
          <cell r="E8187">
            <v>0</v>
          </cell>
          <cell r="Z8187" t="str">
            <v>Legacy</v>
          </cell>
          <cell r="AA8187" t="str">
            <v>$1K or Below</v>
          </cell>
          <cell r="AB8187" t="str">
            <v>2010 or before</v>
          </cell>
        </row>
        <row r="8188">
          <cell r="E8188">
            <v>0</v>
          </cell>
          <cell r="Z8188" t="str">
            <v>Legacy</v>
          </cell>
          <cell r="AA8188" t="str">
            <v>$1K or Below</v>
          </cell>
          <cell r="AB8188">
            <v>2012</v>
          </cell>
        </row>
        <row r="8189">
          <cell r="E8189">
            <v>0</v>
          </cell>
          <cell r="Z8189" t="str">
            <v>Legacy</v>
          </cell>
          <cell r="AA8189" t="str">
            <v>$1K or Below</v>
          </cell>
          <cell r="AB8189" t="str">
            <v>2010 or before</v>
          </cell>
        </row>
        <row r="8190">
          <cell r="E8190">
            <v>0</v>
          </cell>
          <cell r="Z8190" t="str">
            <v>Legacy</v>
          </cell>
          <cell r="AA8190" t="str">
            <v>$1K or Below</v>
          </cell>
          <cell r="AB8190" t="str">
            <v>2010 or before</v>
          </cell>
        </row>
        <row r="8191">
          <cell r="E8191">
            <v>0</v>
          </cell>
          <cell r="Z8191" t="str">
            <v>Legacy</v>
          </cell>
          <cell r="AA8191" t="str">
            <v>$1K or Below</v>
          </cell>
          <cell r="AB8191" t="str">
            <v>2010 or before</v>
          </cell>
        </row>
        <row r="8192">
          <cell r="E8192">
            <v>0</v>
          </cell>
          <cell r="Z8192" t="str">
            <v>Legacy</v>
          </cell>
          <cell r="AA8192" t="str">
            <v>$1K or Below</v>
          </cell>
          <cell r="AB8192" t="str">
            <v>2010 or before</v>
          </cell>
        </row>
        <row r="8193">
          <cell r="E8193">
            <v>0</v>
          </cell>
          <cell r="Z8193" t="str">
            <v>Legacy</v>
          </cell>
          <cell r="AA8193" t="str">
            <v>$1K or Below</v>
          </cell>
          <cell r="AB8193" t="str">
            <v>2010 or before</v>
          </cell>
        </row>
        <row r="8194">
          <cell r="E8194">
            <v>0</v>
          </cell>
          <cell r="Z8194" t="str">
            <v>Legacy</v>
          </cell>
          <cell r="AA8194" t="str">
            <v>$1K or Below</v>
          </cell>
          <cell r="AB8194" t="str">
            <v>2010 or before</v>
          </cell>
        </row>
        <row r="8195">
          <cell r="E8195">
            <v>0</v>
          </cell>
          <cell r="Z8195" t="str">
            <v>Legacy</v>
          </cell>
          <cell r="AA8195" t="str">
            <v>$1K or Below</v>
          </cell>
          <cell r="AB8195" t="str">
            <v>2010 or before</v>
          </cell>
        </row>
        <row r="8196">
          <cell r="E8196">
            <v>0</v>
          </cell>
          <cell r="Z8196" t="str">
            <v>Legacy</v>
          </cell>
          <cell r="AA8196" t="str">
            <v>$1K or Below</v>
          </cell>
          <cell r="AB8196" t="str">
            <v>2010 or before</v>
          </cell>
        </row>
        <row r="8197">
          <cell r="E8197">
            <v>-4</v>
          </cell>
          <cell r="Z8197" t="str">
            <v>Legacy</v>
          </cell>
          <cell r="AA8197" t="str">
            <v>$1K or Below</v>
          </cell>
          <cell r="AB8197" t="str">
            <v>2010 or before</v>
          </cell>
        </row>
        <row r="8198">
          <cell r="E8198">
            <v>-6.5</v>
          </cell>
          <cell r="Z8198" t="str">
            <v>Legacy</v>
          </cell>
          <cell r="AA8198" t="str">
            <v>$1K or Below</v>
          </cell>
          <cell r="AB8198" t="str">
            <v>2010 or before</v>
          </cell>
        </row>
        <row r="8199">
          <cell r="E8199">
            <v>-9.01</v>
          </cell>
          <cell r="Z8199" t="str">
            <v>Legacy</v>
          </cell>
          <cell r="AA8199" t="str">
            <v>$1K or Below</v>
          </cell>
          <cell r="AB8199" t="str">
            <v>2010 or before</v>
          </cell>
        </row>
        <row r="8200">
          <cell r="E8200">
            <v>-9.99</v>
          </cell>
          <cell r="Z8200" t="str">
            <v>Legacy</v>
          </cell>
          <cell r="AA8200" t="str">
            <v>$1K or Below</v>
          </cell>
          <cell r="AB8200" t="str">
            <v>2010 or before</v>
          </cell>
        </row>
        <row r="8201">
          <cell r="E8201">
            <v>-10</v>
          </cell>
          <cell r="Z8201" t="str">
            <v>Legacy</v>
          </cell>
          <cell r="AA8201" t="str">
            <v>$1K or Below</v>
          </cell>
          <cell r="AB8201" t="str">
            <v>2010 or before</v>
          </cell>
        </row>
        <row r="8202">
          <cell r="E8202">
            <v>-10.95</v>
          </cell>
          <cell r="Z8202" t="str">
            <v>Legacy</v>
          </cell>
          <cell r="AA8202" t="str">
            <v>$1K or Below</v>
          </cell>
          <cell r="AB8202" t="str">
            <v>2010 or before</v>
          </cell>
        </row>
        <row r="8203">
          <cell r="E8203">
            <v>-11.95</v>
          </cell>
          <cell r="Z8203" t="str">
            <v>Legacy</v>
          </cell>
          <cell r="AA8203" t="str">
            <v>$1K or Below</v>
          </cell>
          <cell r="AB8203" t="str">
            <v>2010 or before</v>
          </cell>
        </row>
        <row r="8204">
          <cell r="E8204">
            <v>-15</v>
          </cell>
          <cell r="Z8204" t="str">
            <v>Legacy</v>
          </cell>
          <cell r="AA8204" t="str">
            <v>$1K or Below</v>
          </cell>
          <cell r="AB8204" t="str">
            <v>2010 or before</v>
          </cell>
        </row>
        <row r="8205">
          <cell r="E8205">
            <v>-17.989999999999998</v>
          </cell>
          <cell r="Z8205" t="str">
            <v>Legacy</v>
          </cell>
          <cell r="AA8205" t="str">
            <v>$1K or Below</v>
          </cell>
          <cell r="AB8205" t="str">
            <v>2010 or before</v>
          </cell>
        </row>
        <row r="8206">
          <cell r="E8206">
            <v>-20</v>
          </cell>
          <cell r="Z8206" t="str">
            <v>Legacy</v>
          </cell>
          <cell r="AA8206" t="str">
            <v>$1K or Below</v>
          </cell>
          <cell r="AB8206" t="str">
            <v>2010 or before</v>
          </cell>
        </row>
        <row r="8207">
          <cell r="E8207">
            <v>-20.7</v>
          </cell>
          <cell r="Z8207" t="str">
            <v>Legacy</v>
          </cell>
          <cell r="AA8207" t="str">
            <v>$1K or Below</v>
          </cell>
          <cell r="AB8207" t="str">
            <v>2010 or before</v>
          </cell>
        </row>
        <row r="8208">
          <cell r="E8208">
            <v>-24.99</v>
          </cell>
          <cell r="Z8208" t="str">
            <v>Legacy</v>
          </cell>
          <cell r="AA8208" t="str">
            <v>$1K or Below</v>
          </cell>
          <cell r="AB8208" t="str">
            <v>2010 or before</v>
          </cell>
        </row>
        <row r="8209">
          <cell r="E8209">
            <v>-25</v>
          </cell>
          <cell r="Z8209" t="str">
            <v>Legacy</v>
          </cell>
          <cell r="AA8209" t="str">
            <v>$1K or Below</v>
          </cell>
          <cell r="AB8209" t="str">
            <v>2010 or before</v>
          </cell>
        </row>
        <row r="8210">
          <cell r="E8210">
            <v>-25.98</v>
          </cell>
          <cell r="Z8210" t="str">
            <v>Legacy</v>
          </cell>
          <cell r="AA8210" t="str">
            <v>$1K or Below</v>
          </cell>
          <cell r="AB8210" t="str">
            <v>2010 or before</v>
          </cell>
        </row>
        <row r="8211">
          <cell r="E8211">
            <v>-25.99</v>
          </cell>
          <cell r="Z8211" t="str">
            <v>Legacy</v>
          </cell>
          <cell r="AA8211" t="str">
            <v>$1K or Below</v>
          </cell>
          <cell r="AB8211" t="str">
            <v>2010 or before</v>
          </cell>
        </row>
        <row r="8212">
          <cell r="E8212">
            <v>-26.99</v>
          </cell>
          <cell r="Z8212" t="str">
            <v>Legacy</v>
          </cell>
          <cell r="AA8212" t="str">
            <v>$1K or Below</v>
          </cell>
          <cell r="AB8212">
            <v>2011</v>
          </cell>
        </row>
        <row r="8213">
          <cell r="E8213">
            <v>-27</v>
          </cell>
          <cell r="Z8213" t="str">
            <v>Legacy</v>
          </cell>
          <cell r="AA8213" t="str">
            <v>$1K or Below</v>
          </cell>
          <cell r="AB8213" t="str">
            <v>2010 or before</v>
          </cell>
        </row>
        <row r="8214">
          <cell r="E8214">
            <v>-28</v>
          </cell>
          <cell r="Z8214" t="str">
            <v>Legacy</v>
          </cell>
          <cell r="AA8214" t="str">
            <v>$1K or Below</v>
          </cell>
          <cell r="AB8214" t="str">
            <v>2010 or before</v>
          </cell>
        </row>
        <row r="8215">
          <cell r="E8215">
            <v>-29.99</v>
          </cell>
          <cell r="Z8215" t="str">
            <v>Legacy</v>
          </cell>
          <cell r="AA8215" t="str">
            <v>$1K or Below</v>
          </cell>
          <cell r="AB8215" t="str">
            <v>2010 or before</v>
          </cell>
        </row>
        <row r="8216">
          <cell r="E8216">
            <v>-29.99</v>
          </cell>
          <cell r="Z8216" t="str">
            <v>Legacy</v>
          </cell>
          <cell r="AA8216" t="str">
            <v>$1K or Below</v>
          </cell>
          <cell r="AB8216" t="str">
            <v>2010 or before</v>
          </cell>
        </row>
        <row r="8217">
          <cell r="E8217">
            <v>-30</v>
          </cell>
          <cell r="Z8217" t="str">
            <v>Legacy</v>
          </cell>
          <cell r="AA8217" t="str">
            <v>$1K or Below</v>
          </cell>
          <cell r="AB8217" t="str">
            <v>2010 or before</v>
          </cell>
        </row>
        <row r="8218">
          <cell r="E8218">
            <v>-30</v>
          </cell>
          <cell r="Z8218" t="str">
            <v>Legacy</v>
          </cell>
          <cell r="AA8218" t="str">
            <v>$1K or Below</v>
          </cell>
          <cell r="AB8218" t="str">
            <v>2010 or before</v>
          </cell>
        </row>
        <row r="8219">
          <cell r="E8219">
            <v>-34.75</v>
          </cell>
          <cell r="Z8219" t="str">
            <v>Legacy</v>
          </cell>
          <cell r="AA8219" t="str">
            <v>$1K or Below</v>
          </cell>
          <cell r="AB8219" t="str">
            <v>2010 or before</v>
          </cell>
        </row>
        <row r="8220">
          <cell r="E8220">
            <v>-34.950000000000003</v>
          </cell>
          <cell r="Z8220" t="str">
            <v>Legacy</v>
          </cell>
          <cell r="AA8220" t="str">
            <v>$1K or Below</v>
          </cell>
          <cell r="AB8220" t="str">
            <v>2010 or before</v>
          </cell>
        </row>
        <row r="8221">
          <cell r="E8221">
            <v>-38.5</v>
          </cell>
          <cell r="Z8221" t="str">
            <v>Legacy</v>
          </cell>
          <cell r="AA8221" t="str">
            <v>$1K or Below</v>
          </cell>
          <cell r="AB8221" t="str">
            <v>2010 or before</v>
          </cell>
        </row>
        <row r="8222">
          <cell r="E8222">
            <v>-39.9</v>
          </cell>
          <cell r="Z8222" t="str">
            <v>Legacy</v>
          </cell>
          <cell r="AA8222" t="str">
            <v>$1K or Below</v>
          </cell>
          <cell r="AB8222" t="str">
            <v>2010 or before</v>
          </cell>
        </row>
        <row r="8223">
          <cell r="E8223">
            <v>-40</v>
          </cell>
          <cell r="Z8223" t="str">
            <v>Legacy</v>
          </cell>
          <cell r="AA8223" t="str">
            <v>$1K or Below</v>
          </cell>
          <cell r="AB8223" t="str">
            <v>2010 or before</v>
          </cell>
        </row>
        <row r="8224">
          <cell r="E8224">
            <v>-48</v>
          </cell>
          <cell r="Z8224" t="str">
            <v>Legacy</v>
          </cell>
          <cell r="AA8224" t="str">
            <v>$1K or Below</v>
          </cell>
          <cell r="AB8224" t="str">
            <v>2010 or before</v>
          </cell>
        </row>
        <row r="8225">
          <cell r="E8225">
            <v>-53.97</v>
          </cell>
          <cell r="Z8225" t="str">
            <v>Legacy</v>
          </cell>
          <cell r="AA8225" t="str">
            <v>$1K or Below</v>
          </cell>
          <cell r="AB8225" t="str">
            <v>2010 or before</v>
          </cell>
        </row>
        <row r="8226">
          <cell r="E8226">
            <v>-72.75</v>
          </cell>
          <cell r="Z8226" t="str">
            <v>Legacy</v>
          </cell>
          <cell r="AA8226" t="str">
            <v>$1K or Below</v>
          </cell>
          <cell r="AB8226" t="str">
            <v>2010 or before</v>
          </cell>
        </row>
        <row r="8227">
          <cell r="E8227">
            <v>-75.75</v>
          </cell>
          <cell r="Z8227" t="str">
            <v>Legacy</v>
          </cell>
          <cell r="AA8227" t="str">
            <v>$1K or Below</v>
          </cell>
          <cell r="AB8227" t="str">
            <v>2010 or before</v>
          </cell>
        </row>
        <row r="8228">
          <cell r="E8228">
            <v>-85</v>
          </cell>
          <cell r="Z8228" t="str">
            <v>Legacy</v>
          </cell>
          <cell r="AA8228" t="str">
            <v>$1K or Below</v>
          </cell>
          <cell r="AB8228" t="str">
            <v>2010 or before</v>
          </cell>
        </row>
        <row r="8229">
          <cell r="E8229">
            <v>-110</v>
          </cell>
          <cell r="Z8229" t="str">
            <v>Legacy</v>
          </cell>
          <cell r="AA8229" t="str">
            <v>$1K or Below</v>
          </cell>
          <cell r="AB8229" t="str">
            <v>2010 or before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sition-drop-down"/>
      <sheetName val="OP1 Template"/>
      <sheetName val="Lists"/>
      <sheetName val="Master-Job Info"/>
      <sheetName val="Job Family reconciliation"/>
      <sheetName val="menu-lists"/>
      <sheetName val="DropDownLists"/>
      <sheetName val="List"/>
      <sheetName val="Settings"/>
    </sheetNames>
    <sheetDataSet>
      <sheetData sheetId="0" refreshError="1"/>
      <sheetData sheetId="1" refreshError="1"/>
      <sheetData sheetId="2">
        <row r="2">
          <cell r="A2" t="str">
            <v>Tech</v>
          </cell>
        </row>
        <row r="3">
          <cell r="A3" t="str">
            <v>Non_Tech</v>
          </cell>
        </row>
        <row r="33">
          <cell r="A33" t="str">
            <v>Witham</v>
          </cell>
          <cell r="B33" t="str">
            <v>Hardlines</v>
          </cell>
          <cell r="C33" t="str">
            <v>Regular</v>
          </cell>
          <cell r="D33" t="str">
            <v>USA</v>
          </cell>
          <cell r="E33" t="str">
            <v>Yes</v>
          </cell>
          <cell r="F33">
            <v>41091</v>
          </cell>
          <cell r="G33" t="str">
            <v>Approved in OP1-2013</v>
          </cell>
        </row>
        <row r="34">
          <cell r="A34" t="str">
            <v>Beaudoin</v>
          </cell>
          <cell r="B34" t="str">
            <v>Softlines</v>
          </cell>
          <cell r="C34" t="str">
            <v>Temporary</v>
          </cell>
          <cell r="D34" t="str">
            <v>IND</v>
          </cell>
          <cell r="E34" t="str">
            <v>No</v>
          </cell>
          <cell r="F34">
            <v>41122</v>
          </cell>
          <cell r="G34" t="str">
            <v>Approved in OP2-2013</v>
          </cell>
        </row>
        <row r="35">
          <cell r="A35" t="str">
            <v>Renz</v>
          </cell>
          <cell r="B35" t="str">
            <v>Media</v>
          </cell>
          <cell r="C35" t="str">
            <v>Intern</v>
          </cell>
          <cell r="D35" t="str">
            <v>CHN</v>
          </cell>
          <cell r="F35">
            <v>41153</v>
          </cell>
          <cell r="G35" t="str">
            <v>Approved post OP2-2013</v>
          </cell>
        </row>
        <row r="36">
          <cell r="A36" t="str">
            <v>Herrington</v>
          </cell>
          <cell r="B36" t="str">
            <v>Consumables</v>
          </cell>
          <cell r="D36" t="str">
            <v>DEU</v>
          </cell>
          <cell r="F36">
            <v>41183</v>
          </cell>
          <cell r="G36" t="str">
            <v>Not yet approved</v>
          </cell>
        </row>
        <row r="37">
          <cell r="A37" t="str">
            <v>Kumar</v>
          </cell>
          <cell r="B37" t="str">
            <v>Retail Systems</v>
          </cell>
          <cell r="D37" t="str">
            <v>FRA</v>
          </cell>
          <cell r="F37">
            <v>41214</v>
          </cell>
        </row>
        <row r="38">
          <cell r="A38" t="str">
            <v>Shure</v>
          </cell>
          <cell r="B38" t="str">
            <v>Traffic</v>
          </cell>
          <cell r="D38" t="str">
            <v>GBR</v>
          </cell>
          <cell r="F38">
            <v>41244</v>
          </cell>
        </row>
        <row r="39">
          <cell r="A39" t="str">
            <v>Schwietzer</v>
          </cell>
          <cell r="B39" t="str">
            <v>Prime</v>
          </cell>
          <cell r="D39" t="str">
            <v>JPN</v>
          </cell>
          <cell r="F39">
            <v>41275</v>
          </cell>
        </row>
        <row r="40">
          <cell r="A40" t="str">
            <v>Bajari</v>
          </cell>
          <cell r="B40" t="str">
            <v>Economist Team</v>
          </cell>
          <cell r="D40" t="str">
            <v>LUX</v>
          </cell>
          <cell r="F40">
            <v>41306</v>
          </cell>
        </row>
        <row r="41">
          <cell r="D41" t="str">
            <v>ROM</v>
          </cell>
          <cell r="F41">
            <v>41334</v>
          </cell>
        </row>
        <row r="42">
          <cell r="F42">
            <v>41365</v>
          </cell>
        </row>
        <row r="43">
          <cell r="F43">
            <v>41395</v>
          </cell>
        </row>
        <row r="44">
          <cell r="F44">
            <v>41426</v>
          </cell>
        </row>
        <row r="45">
          <cell r="F45">
            <v>41456</v>
          </cell>
        </row>
        <row r="46">
          <cell r="F46">
            <v>41487</v>
          </cell>
        </row>
        <row r="47">
          <cell r="F47">
            <v>41518</v>
          </cell>
        </row>
        <row r="48">
          <cell r="F48">
            <v>41548</v>
          </cell>
        </row>
        <row r="49">
          <cell r="F49">
            <v>41579</v>
          </cell>
        </row>
        <row r="50">
          <cell r="F50">
            <v>41609</v>
          </cell>
        </row>
      </sheetData>
      <sheetData sheetId="3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S"/>
      <sheetName val="Input"/>
      <sheetName val="S-1 BS"/>
      <sheetName val="S-1 IS"/>
      <sheetName val="Increm IS"/>
      <sheetName val="S-1 CF-EXT"/>
      <sheetName val="S-1 CF-INT "/>
      <sheetName val="Consolidating_BS"/>
      <sheetName val="IS_Consolidating"/>
      <sheetName val="BS_UK"/>
      <sheetName val="IS_UK"/>
      <sheetName val="BS_DE"/>
      <sheetName val="IS_DE"/>
      <sheetName val="BS_IMDb"/>
      <sheetName val="IS_IMDb"/>
      <sheetName val="IS_AMAZON.JapanKK"/>
      <sheetName val="IS_AMAZON.frSARL"/>
      <sheetName val="IS_AMAZON.Spain"/>
      <sheetName val="BS_AMAZONINTL"/>
      <sheetName val="IS_AMAZONINTL"/>
      <sheetName val="BS_Planetall"/>
      <sheetName val="IS_PlanetAll"/>
      <sheetName val="BS_JUNGLEE"/>
      <sheetName val="IS_Junglee"/>
      <sheetName val="BS_MGREET"/>
      <sheetName val="IS_MGREET"/>
      <sheetName val="BS_AUCTIONS"/>
      <sheetName val="IS_AUCTIONS"/>
      <sheetName val="IS_AMAZON.comD"/>
      <sheetName val="IS_AMAZON.ksdc"/>
      <sheetName val="IS_AMAZON.kydc"/>
      <sheetName val="IS_AMAZON.gadc"/>
      <sheetName val="IS_ALEXA"/>
      <sheetName val="IS_ACCEPT"/>
      <sheetName val="IS_PETS"/>
      <sheetName val="IS_RED"/>
      <sheetName val="IS_EMPTOR"/>
      <sheetName val="IS_SOBRIQUET"/>
      <sheetName val="IS_BIBLIOFIND"/>
      <sheetName val="BS_Amazon01"/>
      <sheetName val=".com_Internal"/>
      <sheetName val="New Q3 Whiteboard"/>
      <sheetName val="3P GMS YTD MS"/>
      <sheetName val="IS-Ext"/>
      <sheetName val="HC Graphs"/>
      <sheetName val="GM"/>
      <sheetName val="Rev"/>
      <sheetName val="Key Drivers"/>
      <sheetName val="2009 ETB"/>
      <sheetName val="1D1.1 tax comp"/>
      <sheetName val="1D1.2 deferred tax"/>
      <sheetName val="1D1.3 tax accounts"/>
      <sheetName val="1D1.4 Fixed Asset Rollforward"/>
      <sheetName val="INV-Amz"/>
      <sheetName val="INV-Adv"/>
      <sheetName val="DE Inventory"/>
      <sheetName val="FR Inventory"/>
      <sheetName val="JP Inventory"/>
      <sheetName val="COGS_02"/>
      <sheetName val="CC ID"/>
      <sheetName val="Customize Your Purchase Order"/>
      <sheetName val="Index"/>
      <sheetName val="Vlookup"/>
      <sheetName val="Essbase"/>
      <sheetName val="Inv_Essbase"/>
      <sheetName val="P&amp;L - QTD"/>
      <sheetName val="P&amp;L - YTD"/>
      <sheetName val="S-1_BS1"/>
      <sheetName val="S-1_IS1"/>
      <sheetName val="Increm_IS1"/>
      <sheetName val="S-1_CF-EXT1"/>
      <sheetName val="S-1_CF-INT_1"/>
      <sheetName val="IS_AMAZON_JapanKK1"/>
      <sheetName val="IS_AMAZON_frSARL1"/>
      <sheetName val="IS_AMAZON_Spain1"/>
      <sheetName val="IS_AMAZON_comD1"/>
      <sheetName val="IS_AMAZON_ksdc1"/>
      <sheetName val="IS_AMAZON_kydc1"/>
      <sheetName val="IS_AMAZON_gadc1"/>
      <sheetName val="_com_Internal1"/>
      <sheetName val="New_Q3_Whiteboard1"/>
      <sheetName val="HC_Graphs1"/>
      <sheetName val="Key_Drivers1"/>
      <sheetName val="2009_ETB1"/>
      <sheetName val="1D1_1_tax_comp1"/>
      <sheetName val="1D1_2_deferred_tax1"/>
      <sheetName val="1D1_3_tax_accounts1"/>
      <sheetName val="1D1_4_Fixed_Asset_Rollforward1"/>
      <sheetName val="S-1_BS"/>
      <sheetName val="S-1_IS"/>
      <sheetName val="Increm_IS"/>
      <sheetName val="S-1_CF-EXT"/>
      <sheetName val="S-1_CF-INT_"/>
      <sheetName val="IS_AMAZON_JapanKK"/>
      <sheetName val="IS_AMAZON_frSARL"/>
      <sheetName val="IS_AMAZON_Spain"/>
      <sheetName val="IS_AMAZON_comD"/>
      <sheetName val="IS_AMAZON_ksdc"/>
      <sheetName val="IS_AMAZON_kydc"/>
      <sheetName val="IS_AMAZON_gadc"/>
      <sheetName val="_com_Internal"/>
      <sheetName val="New_Q3_Whiteboard"/>
      <sheetName val="HC_Graphs"/>
      <sheetName val="Key_Drivers"/>
      <sheetName val="2009_ETB"/>
      <sheetName val="1D1_1_tax_comp"/>
      <sheetName val="1D1_2_deferred_tax"/>
      <sheetName val="1D1_3_tax_accounts"/>
      <sheetName val="1D1_4_Fixed_Asset_Rollforward"/>
      <sheetName val="S-1_BS2"/>
      <sheetName val="S-1_IS2"/>
      <sheetName val="Increm_IS2"/>
      <sheetName val="S-1_CF-EXT2"/>
      <sheetName val="S-1_CF-INT_2"/>
      <sheetName val="IS_AMAZON_JapanKK2"/>
      <sheetName val="IS_AMAZON_frSARL2"/>
      <sheetName val="IS_AMAZON_Spain2"/>
      <sheetName val="IS_AMAZON_comD2"/>
      <sheetName val="IS_AMAZON_ksdc2"/>
      <sheetName val="IS_AMAZON_kydc2"/>
      <sheetName val="IS_AMAZON_gadc2"/>
      <sheetName val="_com_Internal2"/>
      <sheetName val="New_Q3_Whiteboard2"/>
      <sheetName val="HC_Graphs2"/>
      <sheetName val="Key_Drivers2"/>
      <sheetName val="2009_ETB2"/>
      <sheetName val="1D1_1_tax_comp2"/>
      <sheetName val="1D1_2_deferred_tax2"/>
      <sheetName val="1D1_3_tax_accounts2"/>
      <sheetName val="1D1_4_Fixed_Asset_Rollforward2"/>
      <sheetName val="S-1_BS3"/>
      <sheetName val="S-1_IS3"/>
      <sheetName val="Increm_IS3"/>
      <sheetName val="S-1_CF-EXT3"/>
      <sheetName val="S-1_CF-INT_3"/>
      <sheetName val="IS_AMAZON_JapanKK3"/>
      <sheetName val="IS_AMAZON_frSARL3"/>
      <sheetName val="IS_AMAZON_Spain3"/>
      <sheetName val="IS_AMAZON_comD3"/>
      <sheetName val="IS_AMAZON_ksdc3"/>
      <sheetName val="IS_AMAZON_kydc3"/>
      <sheetName val="IS_AMAZON_gadc3"/>
      <sheetName val="_com_Internal3"/>
      <sheetName val="New_Q3_Whiteboard3"/>
      <sheetName val="HC_Graphs3"/>
      <sheetName val="Key_Drivers3"/>
      <sheetName val="2009_ETB3"/>
      <sheetName val="1D1_1_tax_comp3"/>
      <sheetName val="1D1_2_deferred_tax3"/>
      <sheetName val="1D1_3_tax_accounts3"/>
      <sheetName val="1D1_4_Fixed_Asset_Rollforward3"/>
      <sheetName val="S-1_BS4"/>
      <sheetName val="S-1_IS4"/>
      <sheetName val="Increm_IS4"/>
      <sheetName val="S-1_CF-EXT4"/>
      <sheetName val="S-1_CF-INT_4"/>
      <sheetName val="IS_AMAZON_JapanKK4"/>
      <sheetName val="IS_AMAZON_frSARL4"/>
      <sheetName val="IS_AMAZON_Spain4"/>
      <sheetName val="IS_AMAZON_comD4"/>
      <sheetName val="IS_AMAZON_ksdc4"/>
      <sheetName val="IS_AMAZON_kydc4"/>
      <sheetName val="IS_AMAZON_gadc4"/>
      <sheetName val="_com_Internal4"/>
      <sheetName val="New_Q3_Whiteboard4"/>
      <sheetName val="HC_Graphs4"/>
      <sheetName val="Key_Drivers4"/>
      <sheetName val="2009_ETB4"/>
      <sheetName val="1D1_1_tax_comp4"/>
      <sheetName val="1D1_2_deferred_tax4"/>
      <sheetName val="1D1_3_tax_accounts4"/>
      <sheetName val="1D1_4_Fixed_Asset_Rollforward4"/>
      <sheetName val="Unvested Options Details"/>
      <sheetName val="Data&amp;TC"/>
      <sheetName val="P&amp;L Detail"/>
      <sheetName val="0 month rev assumption"/>
      <sheetName val="COGS"/>
      <sheetName val="Fin_Inv_Data"/>
      <sheetName val="Inv"/>
      <sheetName val="2002 Exp"/>
      <sheetName val="S-1_BS5"/>
      <sheetName val="S-1_IS5"/>
      <sheetName val="Increm_IS5"/>
      <sheetName val="S-1_CF-EXT5"/>
      <sheetName val="S-1_CF-INT_5"/>
      <sheetName val="IS_AMAZON_JapanKK5"/>
      <sheetName val="IS_AMAZON_frSARL5"/>
      <sheetName val="IS_AMAZON_Spain5"/>
      <sheetName val="IS_AMAZON_comD5"/>
      <sheetName val="IS_AMAZON_ksdc5"/>
      <sheetName val="IS_AMAZON_kydc5"/>
      <sheetName val="IS_AMAZON_gadc5"/>
      <sheetName val="_com_Internal5"/>
      <sheetName val="HC_Graphs5"/>
      <sheetName val="New_Q3_Whiteboard5"/>
      <sheetName val="Key_Drivers5"/>
      <sheetName val="2009_ETB5"/>
      <sheetName val="1D1_1_tax_comp5"/>
      <sheetName val="1D1_2_deferred_tax5"/>
      <sheetName val="1D1_3_tax_accounts5"/>
      <sheetName val="1D1_4_Fixed_Asset_Rollforward5"/>
      <sheetName val="CC_ID"/>
      <sheetName val="DE_Inventory"/>
      <sheetName val="FR_Inventory"/>
      <sheetName val="JP_Inventory"/>
      <sheetName val="Customize_Your_Purchase_Order"/>
      <sheetName val="P&amp;L_-_QTD"/>
      <sheetName val="P&amp;L_-_YTD"/>
      <sheetName val="3P_GMS_YTD_MS"/>
      <sheetName val="P&amp;L_Detail"/>
      <sheetName val="0_month_rev_assumption"/>
      <sheetName val="S-1_BS6"/>
      <sheetName val="S-1_IS6"/>
      <sheetName val="Increm_IS6"/>
      <sheetName val="S-1_CF-EXT6"/>
      <sheetName val="S-1_CF-INT_6"/>
      <sheetName val="IS_AMAZON_JapanKK6"/>
      <sheetName val="IS_AMAZON_frSARL6"/>
      <sheetName val="IS_AMAZON_Spain6"/>
      <sheetName val="IS_AMAZON_comD6"/>
      <sheetName val="IS_AMAZON_ksdc6"/>
      <sheetName val="IS_AMAZON_kydc6"/>
      <sheetName val="IS_AMAZON_gadc6"/>
      <sheetName val="_com_Internal6"/>
      <sheetName val="New_Q3_Whiteboard6"/>
      <sheetName val="HC_Graphs6"/>
      <sheetName val="Key_Drivers6"/>
      <sheetName val="2009_ETB6"/>
      <sheetName val="1D1_1_tax_comp6"/>
      <sheetName val="1D1_2_deferred_tax6"/>
      <sheetName val="1D1_3_tax_accounts6"/>
      <sheetName val="1D1_4_Fixed_Asset_Rollforward6"/>
      <sheetName val="CC_ID1"/>
      <sheetName val="DE_Inventory1"/>
      <sheetName val="FR_Inventory1"/>
      <sheetName val="JP_Inventory1"/>
      <sheetName val="Customize_Your_Purchase_Order1"/>
      <sheetName val="P&amp;L_-_QTD1"/>
      <sheetName val="P&amp;L_-_YTD1"/>
      <sheetName val="3P_GMS_YTD_MS1"/>
      <sheetName val="P&amp;L_Detail1"/>
      <sheetName val="0_month_rev_assumption1"/>
      <sheetName val="S-1_BS7"/>
      <sheetName val="S-1_IS7"/>
      <sheetName val="Increm_IS7"/>
      <sheetName val="S-1_CF-EXT7"/>
      <sheetName val="S-1_CF-INT_7"/>
      <sheetName val="IS_AMAZON_JapanKK7"/>
      <sheetName val="IS_AMAZON_frSARL7"/>
      <sheetName val="IS_AMAZON_Spain7"/>
      <sheetName val="IS_AMAZON_comD7"/>
      <sheetName val="IS_AMAZON_ksdc7"/>
      <sheetName val="IS_AMAZON_kydc7"/>
      <sheetName val="IS_AMAZON_gadc7"/>
      <sheetName val="_com_Internal7"/>
      <sheetName val="New_Q3_Whiteboard7"/>
      <sheetName val="HC_Graphs7"/>
      <sheetName val="Key_Drivers7"/>
      <sheetName val="2009_ETB7"/>
      <sheetName val="1D1_1_tax_comp7"/>
      <sheetName val="1D1_2_deferred_tax7"/>
      <sheetName val="1D1_3_tax_accounts7"/>
      <sheetName val="1D1_4_Fixed_Asset_Rollforward7"/>
      <sheetName val="CC_ID2"/>
      <sheetName val="DE_Inventory2"/>
      <sheetName val="FR_Inventory2"/>
      <sheetName val="JP_Inventory2"/>
      <sheetName val="Customize_Your_Purchase_Order2"/>
      <sheetName val="3P_GMS_YTD_MS2"/>
      <sheetName val="P&amp;L_-_QTD2"/>
      <sheetName val="P&amp;L_-_YTD2"/>
      <sheetName val="Unvested_Options_Details"/>
      <sheetName val="2002_Exp"/>
      <sheetName val="Consolidated"/>
      <sheetName val="Read Me"/>
    </sheetNames>
    <sheetDataSet>
      <sheetData sheetId="0"/>
      <sheetData sheetId="1" refreshError="1">
        <row r="2">
          <cell r="B2">
            <v>36312</v>
          </cell>
        </row>
        <row r="3">
          <cell r="B3">
            <v>36281</v>
          </cell>
        </row>
        <row r="7">
          <cell r="B7">
            <v>36312</v>
          </cell>
        </row>
        <row r="8">
          <cell r="B8">
            <v>36220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 refreshError="1"/>
      <sheetData sheetId="274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rrYear_V1"/>
      <sheetName val="YoY_V1"/>
      <sheetName val="V2"/>
      <sheetName val="Admin"/>
      <sheetName val="DATA_Depr_Capex"/>
      <sheetName val="OPPU - V1-V2 deck_v2.11"/>
      <sheetName val="Lists"/>
      <sheetName val="Control"/>
    </sheetNames>
    <sheetDataSet>
      <sheetData sheetId="0" refreshError="1">
        <row r="5">
          <cell r="M5" t="str">
            <v>CA_PC</v>
          </cell>
        </row>
        <row r="26">
          <cell r="C26" t="str">
            <v>PTD</v>
          </cell>
          <cell r="J26" t="str">
            <v>USD</v>
          </cell>
        </row>
        <row r="28">
          <cell r="C28" t="str">
            <v>US</v>
          </cell>
        </row>
      </sheetData>
      <sheetData sheetId="1" refreshError="1"/>
      <sheetData sheetId="2" refreshError="1">
        <row r="24">
          <cell r="C24">
            <v>2014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aterfall (2)"/>
      <sheetName val="Waterfall"/>
      <sheetName val="Scorecard"/>
      <sheetName val="Activity Revenue"/>
      <sheetName val="Calendar"/>
      <sheetName val="Impressions"/>
      <sheetName val="MetricsSeas"/>
      <sheetName val="Rev-Week"/>
      <sheetName val="Daily Sales Through 5-20"/>
      <sheetName val="Rev-Week (2)"/>
      <sheetName val="2001 Daily Data - Update"/>
      <sheetName val="2000 Raw Data"/>
      <sheetName val="Input"/>
      <sheetName val="DE"/>
      <sheetName val=""/>
      <sheetName val="lookups"/>
      <sheetName val="List 2"/>
      <sheetName val="Base D"/>
      <sheetName val="Data"/>
      <sheetName val="DROPDOWN"/>
      <sheetName val="Lists"/>
      <sheetName val="merger"/>
      <sheetName val="Weeks of Cover-Age"/>
      <sheetName val="Org Hierarchy"/>
      <sheetName val="Toy Daily output"/>
      <sheetName val="US Metrics"/>
    </sheetNames>
    <sheetDataSet>
      <sheetData sheetId="0" refreshError="1"/>
      <sheetData sheetId="1" refreshError="1"/>
      <sheetData sheetId="2" refreshError="1">
        <row r="3">
          <cell r="AP3">
            <v>30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oal List"/>
      <sheetName val="Tracking Template"/>
      <sheetName val="Sheet2"/>
    </sheetNames>
    <sheetDataSet>
      <sheetData sheetId="0"/>
      <sheetData sheetId="1"/>
      <sheetData sheetId="2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ndy"/>
      <sheetName val="Runway to Quarter"/>
      <sheetName val="EU"/>
      <sheetName val="UK"/>
      <sheetName val="DE"/>
      <sheetName val="FR"/>
      <sheetName val="IT"/>
      <sheetName val="ES"/>
      <sheetName val="Config"/>
      <sheetName val="FX"/>
      <sheetName val="historical EU"/>
      <sheetName val="historical UK"/>
      <sheetName val="historical DE"/>
      <sheetName val="historical FR"/>
      <sheetName val="historical IT"/>
      <sheetName val="historical ES"/>
      <sheetName val="Historical 2012"/>
      <sheetName val="Goals 2013"/>
      <sheetName val="MTDQTD"/>
      <sheetName val="DE fraud"/>
      <sheetName val="M@ Metrics 2013"/>
      <sheetName val="Essbase-GL_Pull"/>
      <sheetName val="CurrYear_V1"/>
      <sheetName val="V2"/>
    </sheetNames>
    <sheetDataSet>
      <sheetData sheetId="0"/>
      <sheetData sheetId="1"/>
      <sheetData sheetId="2">
        <row r="27">
          <cell r="AA27">
            <v>0</v>
          </cell>
        </row>
      </sheetData>
      <sheetData sheetId="3">
        <row r="27">
          <cell r="C27">
            <v>454</v>
          </cell>
        </row>
      </sheetData>
      <sheetData sheetId="4">
        <row r="27">
          <cell r="C27">
            <v>428</v>
          </cell>
        </row>
      </sheetData>
      <sheetData sheetId="5">
        <row r="27">
          <cell r="C27">
            <v>206</v>
          </cell>
        </row>
      </sheetData>
      <sheetData sheetId="6">
        <row r="27">
          <cell r="C27">
            <v>91</v>
          </cell>
        </row>
      </sheetData>
      <sheetData sheetId="7">
        <row r="27">
          <cell r="C27">
            <v>93</v>
          </cell>
        </row>
      </sheetData>
      <sheetData sheetId="8"/>
      <sheetData sheetId="9">
        <row r="1">
          <cell r="B1">
            <v>1.633</v>
          </cell>
        </row>
        <row r="2">
          <cell r="B2">
            <v>1.37171</v>
          </cell>
        </row>
      </sheetData>
      <sheetData sheetId="10"/>
      <sheetData sheetId="11"/>
      <sheetData sheetId="12"/>
      <sheetData sheetId="13"/>
      <sheetData sheetId="14">
        <row r="28">
          <cell r="BW28">
            <v>488</v>
          </cell>
        </row>
      </sheetData>
      <sheetData sheetId="15">
        <row r="4">
          <cell r="H4">
            <v>4261830</v>
          </cell>
        </row>
      </sheetData>
      <sheetData sheetId="16">
        <row r="107">
          <cell r="B107">
            <v>169511</v>
          </cell>
        </row>
      </sheetData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Comparison"/>
      <sheetName val="Summary"/>
      <sheetName val="Traffic"/>
      <sheetName val="Revenue"/>
      <sheetName val="Costs"/>
      <sheetName val="Depn"/>
      <sheetName val="Core Data"/>
      <sheetName val="OfficeExp"/>
      <sheetName val="TechExp"/>
      <sheetName val="R&amp;O Impact"/>
      <sheetName val="Rev Load"/>
      <sheetName val="Opex Load"/>
      <sheetName val="C_Intang Val"/>
      <sheetName val="B_Def Comp "/>
      <sheetName val="R&amp;O Impact 7_11"/>
      <sheetName val="CorpDev R&amp;O"/>
      <sheetName val="R&amp;O Impact 4_17"/>
      <sheetName val="R&amp;O 4_11"/>
      <sheetName val="Expenditure"/>
      <sheetName val="Input"/>
      <sheetName val="Essbase-GL_Pull"/>
      <sheetName val="2009_Bis Dev Assumptions"/>
      <sheetName val="2002 Exp"/>
      <sheetName val="Fin_Inv_Data"/>
      <sheetName val="Essbase"/>
      <sheetName val="TC Minutes"/>
      <sheetName val="FX"/>
    </sheetNames>
    <sheetDataSet>
      <sheetData sheetId="0" refreshError="1"/>
      <sheetData sheetId="1" refreshError="1"/>
      <sheetData sheetId="2" refreshError="1"/>
      <sheetData sheetId="3">
        <row r="6">
          <cell r="A6" t="str">
            <v>GBP/USD</v>
          </cell>
          <cell r="B6">
            <v>1.95</v>
          </cell>
          <cell r="C6">
            <v>1.95</v>
          </cell>
          <cell r="D6">
            <v>1.95</v>
          </cell>
          <cell r="E6">
            <v>1.95</v>
          </cell>
          <cell r="F6">
            <v>1.95</v>
          </cell>
          <cell r="G6">
            <v>1.95</v>
          </cell>
          <cell r="H6">
            <v>1.95</v>
          </cell>
          <cell r="I6">
            <v>1.95</v>
          </cell>
          <cell r="J6">
            <v>1.95</v>
          </cell>
          <cell r="K6">
            <v>1.95</v>
          </cell>
          <cell r="L6">
            <v>1.95</v>
          </cell>
          <cell r="M6">
            <v>1.95</v>
          </cell>
          <cell r="N6">
            <v>1.95831</v>
          </cell>
          <cell r="O6">
            <v>1.95818</v>
          </cell>
          <cell r="P6">
            <v>1.9456199999999999</v>
          </cell>
          <cell r="Q6">
            <v>1.9860599999999999</v>
          </cell>
          <cell r="R6">
            <v>1.9834080000000001</v>
          </cell>
          <cell r="S6">
            <v>1.9873000000000001</v>
          </cell>
          <cell r="T6">
            <v>2.0343429999999998</v>
          </cell>
          <cell r="U6">
            <v>2.0343429999999998</v>
          </cell>
          <cell r="V6">
            <v>2.0343429999999998</v>
          </cell>
          <cell r="W6">
            <v>2.0343429999999998</v>
          </cell>
          <cell r="X6">
            <v>2.0343429999999998</v>
          </cell>
          <cell r="Y6">
            <v>2.0343429999999998</v>
          </cell>
          <cell r="Z6">
            <v>2.0343429999999998</v>
          </cell>
          <cell r="AA6">
            <v>2.0343429999999998</v>
          </cell>
          <cell r="AB6">
            <v>2.0343429999999998</v>
          </cell>
          <cell r="AC6">
            <v>2.0343429999999998</v>
          </cell>
          <cell r="AD6">
            <v>2.0343429999999998</v>
          </cell>
          <cell r="AE6">
            <v>2.0343429999999998</v>
          </cell>
          <cell r="AF6">
            <v>2.0343429999999998</v>
          </cell>
          <cell r="AG6">
            <v>2.0343429999999998</v>
          </cell>
          <cell r="AH6">
            <v>2.0343429999999998</v>
          </cell>
          <cell r="AI6">
            <v>2.0343429999999998</v>
          </cell>
          <cell r="AJ6">
            <v>2.0343429999999998</v>
          </cell>
          <cell r="AK6">
            <v>2.0343429999999998</v>
          </cell>
          <cell r="AL6">
            <v>2.0343429999999998</v>
          </cell>
          <cell r="AM6">
            <v>2.0343429999999998</v>
          </cell>
          <cell r="AN6">
            <v>2.0343429999999998</v>
          </cell>
          <cell r="AO6">
            <v>2.0343429999999998</v>
          </cell>
          <cell r="AP6">
            <v>2.0343429999999998</v>
          </cell>
          <cell r="AV6">
            <v>1.9540366666666664</v>
          </cell>
          <cell r="AW6">
            <v>1.9855893333333334</v>
          </cell>
          <cell r="AX6">
            <v>2.0343429999999998</v>
          </cell>
          <cell r="AY6">
            <v>2.0343429999999998</v>
          </cell>
          <cell r="AZ6">
            <v>2.0343429999999998</v>
          </cell>
          <cell r="BA6">
            <v>2.0343429999999998</v>
          </cell>
          <cell r="BB6">
            <v>2.0343429999999998</v>
          </cell>
          <cell r="BC6">
            <v>2.0343429999999998</v>
          </cell>
          <cell r="BD6">
            <v>2.0343429999999998</v>
          </cell>
          <cell r="BG6">
            <v>2.0020779999999996</v>
          </cell>
          <cell r="BH6">
            <v>2.0343429999999998</v>
          </cell>
        </row>
        <row r="7">
          <cell r="A7" t="str">
            <v>EUR/USD</v>
          </cell>
          <cell r="T7">
            <v>1.3720589999999999</v>
          </cell>
          <cell r="U7">
            <v>1.3720589999999999</v>
          </cell>
          <cell r="V7">
            <v>1.3720589999999999</v>
          </cell>
          <cell r="W7">
            <v>1.3720589999999999</v>
          </cell>
          <cell r="X7">
            <v>1.3720589999999999</v>
          </cell>
          <cell r="Y7">
            <v>1.3720589999999999</v>
          </cell>
          <cell r="Z7">
            <v>1.3720589999999999</v>
          </cell>
          <cell r="AA7">
            <v>1.3720589999999999</v>
          </cell>
          <cell r="AB7">
            <v>1.3720589999999999</v>
          </cell>
          <cell r="AC7">
            <v>1.3720589999999999</v>
          </cell>
          <cell r="AD7">
            <v>1.3720589999999999</v>
          </cell>
          <cell r="AE7">
            <v>1.3720589999999999</v>
          </cell>
          <cell r="AF7">
            <v>1.3720589999999999</v>
          </cell>
          <cell r="AG7">
            <v>1.3720589999999999</v>
          </cell>
          <cell r="AH7">
            <v>1.3720589999999999</v>
          </cell>
          <cell r="AI7">
            <v>1.3720589999999999</v>
          </cell>
          <cell r="AJ7">
            <v>1.3720589999999999</v>
          </cell>
          <cell r="AK7">
            <v>1.3720589999999999</v>
          </cell>
        </row>
        <row r="18">
          <cell r="A18" t="str">
            <v>Camera Reviews</v>
          </cell>
          <cell r="B18">
            <v>23955447.71697671</v>
          </cell>
          <cell r="C18">
            <v>22325426.00611221</v>
          </cell>
          <cell r="D18">
            <v>23574267.260160603</v>
          </cell>
          <cell r="E18">
            <v>21829634.824783418</v>
          </cell>
          <cell r="F18">
            <v>22011827.447616905</v>
          </cell>
          <cell r="G18">
            <v>23703891.114219513</v>
          </cell>
          <cell r="H18">
            <v>22194216.561942227</v>
          </cell>
          <cell r="I18">
            <v>25143244.99340114</v>
          </cell>
          <cell r="J18">
            <v>25861170.582285866</v>
          </cell>
          <cell r="K18">
            <v>25066415.888853073</v>
          </cell>
          <cell r="L18">
            <v>25095901.097913489</v>
          </cell>
          <cell r="M18">
            <v>27380769.972586133</v>
          </cell>
          <cell r="N18">
            <v>23760716.166433532</v>
          </cell>
          <cell r="O18">
            <v>19765858.151295777</v>
          </cell>
          <cell r="P18">
            <v>25041344.107058667</v>
          </cell>
          <cell r="Q18">
            <v>22543332</v>
          </cell>
          <cell r="R18">
            <v>24962811</v>
          </cell>
          <cell r="S18">
            <v>25481082</v>
          </cell>
          <cell r="T18">
            <v>23912576</v>
          </cell>
          <cell r="U18">
            <v>27846426.724943999</v>
          </cell>
          <cell r="V18">
            <v>28641537.392246004</v>
          </cell>
          <cell r="W18">
            <v>28525411.139904</v>
          </cell>
          <cell r="X18">
            <v>28558965.107680004</v>
          </cell>
          <cell r="Y18">
            <v>31159130.378207996</v>
          </cell>
          <cell r="Z18">
            <v>27039533.718400002</v>
          </cell>
          <cell r="AA18">
            <v>22493412.412800003</v>
          </cell>
          <cell r="AB18">
            <v>28496879.622400001</v>
          </cell>
          <cell r="AC18">
            <v>26372156.742400002</v>
          </cell>
          <cell r="AD18">
            <v>28491889.462400001</v>
          </cell>
          <cell r="AE18">
            <v>28147602.470400006</v>
          </cell>
          <cell r="AF18">
            <v>27372300.144000005</v>
          </cell>
          <cell r="AG18">
            <v>31187997.931937277</v>
          </cell>
          <cell r="AH18">
            <v>32078521.879315525</v>
          </cell>
          <cell r="AI18">
            <v>31948460.476692483</v>
          </cell>
          <cell r="AJ18">
            <v>31986040.920601606</v>
          </cell>
          <cell r="AK18">
            <v>34898226.023592964</v>
          </cell>
          <cell r="AL18">
            <v>29805442.359174229</v>
          </cell>
          <cell r="AM18">
            <v>24794292.464985427</v>
          </cell>
          <cell r="AN18">
            <v>31411862.0478944</v>
          </cell>
          <cell r="AO18">
            <v>29069798.534943923</v>
          </cell>
          <cell r="AP18">
            <v>31406361.438017316</v>
          </cell>
          <cell r="AR18">
            <v>23285046.994416505</v>
          </cell>
          <cell r="AS18">
            <v>22515117.795539945</v>
          </cell>
          <cell r="AT18">
            <v>24399544.045876414</v>
          </cell>
          <cell r="AU18">
            <v>25847695.653117567</v>
          </cell>
          <cell r="AV18">
            <v>22855972.808262657</v>
          </cell>
          <cell r="AW18">
            <v>24329075</v>
          </cell>
          <cell r="AX18">
            <v>26800180.039063334</v>
          </cell>
          <cell r="AY18">
            <v>29414502.208597332</v>
          </cell>
          <cell r="AZ18">
            <v>26009941.917866666</v>
          </cell>
          <cell r="BA18">
            <v>27670549.558400005</v>
          </cell>
          <cell r="BB18">
            <v>30212939.985084269</v>
          </cell>
          <cell r="BC18">
            <v>32944242.473629016</v>
          </cell>
          <cell r="BD18">
            <v>28670532.290684685</v>
          </cell>
          <cell r="BG18">
            <v>25849932.513980832</v>
          </cell>
          <cell r="BH18">
            <v>29209418.48374499</v>
          </cell>
        </row>
        <row r="19">
          <cell r="A19" t="str">
            <v>Home Page</v>
          </cell>
          <cell r="B19">
            <v>10052904.622713031</v>
          </cell>
          <cell r="C19">
            <v>9368865.9445020799</v>
          </cell>
          <cell r="D19">
            <v>9892942.2282845248</v>
          </cell>
          <cell r="E19">
            <v>9160807.1548035499</v>
          </cell>
          <cell r="F19">
            <v>9237264.2964919936</v>
          </cell>
          <cell r="G19">
            <v>9947338.8839879893</v>
          </cell>
          <cell r="H19">
            <v>9313803.8958430905</v>
          </cell>
          <cell r="I19">
            <v>10551363.798767207</v>
          </cell>
          <cell r="J19">
            <v>10852641.301760757</v>
          </cell>
          <cell r="K19">
            <v>10519122.461874021</v>
          </cell>
          <cell r="L19">
            <v>10531495.931072639</v>
          </cell>
          <cell r="M19">
            <v>11490341.248591447</v>
          </cell>
          <cell r="N19">
            <v>9971185.5194939245</v>
          </cell>
          <cell r="O19">
            <v>8294743.1886332035</v>
          </cell>
          <cell r="P19">
            <v>10508601.087609662</v>
          </cell>
          <cell r="Q19">
            <v>10043673</v>
          </cell>
          <cell r="R19">
            <v>10222129</v>
          </cell>
          <cell r="S19">
            <v>10320953</v>
          </cell>
          <cell r="T19">
            <v>9899596</v>
          </cell>
          <cell r="U19">
            <v>11358410.900963999</v>
          </cell>
          <cell r="V19">
            <v>11682732.357363502</v>
          </cell>
          <cell r="W19">
            <v>11635365.070224</v>
          </cell>
          <cell r="X19">
            <v>11649051.557080001</v>
          </cell>
          <cell r="Y19">
            <v>12709645.285847999</v>
          </cell>
          <cell r="Z19">
            <v>11029283.490400001</v>
          </cell>
          <cell r="AA19">
            <v>9174944.5368000008</v>
          </cell>
          <cell r="AB19">
            <v>11623727.214400001</v>
          </cell>
          <cell r="AC19">
            <v>10757063.9344</v>
          </cell>
          <cell r="AD19">
            <v>11621691.7544</v>
          </cell>
          <cell r="AE19">
            <v>11481258.902400002</v>
          </cell>
          <cell r="AF19">
            <v>11165017.164000003</v>
          </cell>
          <cell r="AG19">
            <v>12721420.209079679</v>
          </cell>
          <cell r="AH19">
            <v>13084660.240247123</v>
          </cell>
          <cell r="AI19">
            <v>13031608.878650881</v>
          </cell>
          <cell r="AJ19">
            <v>13046937.743929602</v>
          </cell>
          <cell r="AK19">
            <v>14234802.720149759</v>
          </cell>
          <cell r="AL19">
            <v>12507855.11565318</v>
          </cell>
          <cell r="AM19">
            <v>10404925.855821492</v>
          </cell>
          <cell r="AN19">
            <v>13181989.204297561</v>
          </cell>
          <cell r="AO19">
            <v>12199142.154465893</v>
          </cell>
          <cell r="AP19">
            <v>13179680.873135716</v>
          </cell>
          <cell r="AR19">
            <v>9771570.9318332132</v>
          </cell>
          <cell r="AS19">
            <v>9448470.111761177</v>
          </cell>
          <cell r="AT19">
            <v>10239269.665457018</v>
          </cell>
          <cell r="AU19">
            <v>10846986.547179369</v>
          </cell>
          <cell r="AV19">
            <v>9591509.9319122639</v>
          </cell>
          <cell r="AW19">
            <v>10195585</v>
          </cell>
          <cell r="AX19">
            <v>10980246.419442499</v>
          </cell>
          <cell r="AY19">
            <v>11998020.637717335</v>
          </cell>
          <cell r="AZ19">
            <v>10609318.413866667</v>
          </cell>
          <cell r="BA19">
            <v>11286671.530400001</v>
          </cell>
          <cell r="BB19">
            <v>12323699.204442268</v>
          </cell>
          <cell r="BC19">
            <v>13437783.114243412</v>
          </cell>
          <cell r="BD19">
            <v>12031590.058590746</v>
          </cell>
          <cell r="BG19">
            <v>10691340.497268023</v>
          </cell>
          <cell r="BH19">
            <v>11914368.065738088</v>
          </cell>
        </row>
        <row r="20">
          <cell r="A20" t="str">
            <v>Gallery</v>
          </cell>
          <cell r="B20">
            <v>9454589.925527174</v>
          </cell>
          <cell r="C20">
            <v>8811262.9032979682</v>
          </cell>
          <cell r="D20">
            <v>9304147.9488461297</v>
          </cell>
          <cell r="E20">
            <v>8615587.0652365275</v>
          </cell>
          <cell r="F20">
            <v>8687493.7378522158</v>
          </cell>
          <cell r="G20">
            <v>9355307.1005836632</v>
          </cell>
          <cell r="H20">
            <v>8759477.9605308827</v>
          </cell>
          <cell r="I20">
            <v>9923382.5064853858</v>
          </cell>
          <cell r="J20">
            <v>10206728.997026552</v>
          </cell>
          <cell r="K20">
            <v>9893060.0643240307</v>
          </cell>
          <cell r="L20">
            <v>9904697.1067132279</v>
          </cell>
          <cell r="M20">
            <v>10806475.211587526</v>
          </cell>
          <cell r="N20">
            <v>9377734.4654372744</v>
          </cell>
          <cell r="O20">
            <v>7801068.2811911618</v>
          </cell>
          <cell r="P20">
            <v>9883164.8864768464</v>
          </cell>
          <cell r="Q20">
            <v>9192967</v>
          </cell>
          <cell r="R20">
            <v>9987882</v>
          </cell>
          <cell r="S20">
            <v>9607036</v>
          </cell>
          <cell r="T20">
            <v>9519908</v>
          </cell>
          <cell r="U20">
            <v>10845450.408662399</v>
          </cell>
          <cell r="V20">
            <v>11155125.089611601</v>
          </cell>
          <cell r="W20">
            <v>11109896.970278399</v>
          </cell>
          <cell r="X20">
            <v>11122965.357728001</v>
          </cell>
          <cell r="Y20">
            <v>12135661.305196797</v>
          </cell>
          <cell r="Z20">
            <v>10531186.816640001</v>
          </cell>
          <cell r="AA20">
            <v>8760592.2028800007</v>
          </cell>
          <cell r="AB20">
            <v>11098784.695040001</v>
          </cell>
          <cell r="AC20">
            <v>10271261.047040001</v>
          </cell>
          <cell r="AD20">
            <v>11096841.15904</v>
          </cell>
          <cell r="AE20">
            <v>10962750.435840001</v>
          </cell>
          <cell r="AF20">
            <v>10660790.582400002</v>
          </cell>
          <cell r="AG20">
            <v>12146904.457701886</v>
          </cell>
          <cell r="AH20">
            <v>12493740.100364994</v>
          </cell>
          <cell r="AI20">
            <v>12443084.606711809</v>
          </cell>
          <cell r="AJ20">
            <v>12457721.200655362</v>
          </cell>
          <cell r="AK20">
            <v>13591940.661820415</v>
          </cell>
          <cell r="AL20">
            <v>11763430.113444518</v>
          </cell>
          <cell r="AM20">
            <v>9785660.0519261956</v>
          </cell>
          <cell r="AN20">
            <v>12397442.033596558</v>
          </cell>
          <cell r="AO20">
            <v>11473090.69789625</v>
          </cell>
          <cell r="AP20">
            <v>12395271.086455744</v>
          </cell>
          <cell r="AR20">
            <v>9190000.2592237573</v>
          </cell>
          <cell r="AS20">
            <v>8886129.3012241349</v>
          </cell>
          <cell r="AT20">
            <v>9629863.1546809394</v>
          </cell>
          <cell r="AU20">
            <v>10201410.79420826</v>
          </cell>
          <cell r="AV20">
            <v>9020655.8777017612</v>
          </cell>
          <cell r="AW20">
            <v>9595961.666666666</v>
          </cell>
          <cell r="AX20">
            <v>10506827.832758</v>
          </cell>
          <cell r="AY20">
            <v>11456174.544401066</v>
          </cell>
          <cell r="AZ20">
            <v>10130187.904853335</v>
          </cell>
          <cell r="BA20">
            <v>10776950.88064</v>
          </cell>
          <cell r="BB20">
            <v>11767145.046822295</v>
          </cell>
          <cell r="BC20">
            <v>12830915.489729196</v>
          </cell>
          <cell r="BD20">
            <v>11315510.73298909</v>
          </cell>
          <cell r="BG20">
            <v>10144904.980381874</v>
          </cell>
          <cell r="BH20">
            <v>11376299.830511207</v>
          </cell>
        </row>
        <row r="21">
          <cell r="A21" t="str">
            <v>News</v>
          </cell>
          <cell r="B21">
            <v>6242659.3087962307</v>
          </cell>
          <cell r="C21">
            <v>5817884.5215708213</v>
          </cell>
          <cell r="D21">
            <v>6143325.7561451606</v>
          </cell>
          <cell r="E21">
            <v>5688684.0378266629</v>
          </cell>
          <cell r="F21">
            <v>5736162.4438394811</v>
          </cell>
          <cell r="G21">
            <v>6177105.0270961039</v>
          </cell>
          <cell r="H21">
            <v>5783692.0544657595</v>
          </cell>
          <cell r="I21">
            <v>6552192.8150048796</v>
          </cell>
          <cell r="J21">
            <v>6739280.3164961645</v>
          </cell>
          <cell r="K21">
            <v>6532171.5684658904</v>
          </cell>
          <cell r="L21">
            <v>6539855.2534876633</v>
          </cell>
          <cell r="M21">
            <v>7135279.6479040366</v>
          </cell>
          <cell r="N21">
            <v>6191913.3264594795</v>
          </cell>
          <cell r="O21">
            <v>5150875.0678488696</v>
          </cell>
          <cell r="P21">
            <v>6525637.9985716389</v>
          </cell>
          <cell r="Q21">
            <v>5818094</v>
          </cell>
          <cell r="R21">
            <v>6949287</v>
          </cell>
          <cell r="S21">
            <v>6261868</v>
          </cell>
          <cell r="T21">
            <v>6495073</v>
          </cell>
          <cell r="U21">
            <v>7328007.0328799998</v>
          </cell>
          <cell r="V21">
            <v>7537246.6821700009</v>
          </cell>
          <cell r="W21">
            <v>7506687.1420800006</v>
          </cell>
          <cell r="X21">
            <v>7515517.1336000012</v>
          </cell>
          <cell r="Y21">
            <v>8199771.1521600001</v>
          </cell>
          <cell r="Z21">
            <v>7115666.7680000011</v>
          </cell>
          <cell r="AA21">
            <v>5919319.0560000008</v>
          </cell>
          <cell r="AB21">
            <v>7499178.8480000012</v>
          </cell>
          <cell r="AC21">
            <v>6940041.2480000006</v>
          </cell>
          <cell r="AD21">
            <v>7497865.648000001</v>
          </cell>
          <cell r="AE21">
            <v>7407263.8080000021</v>
          </cell>
          <cell r="AF21">
            <v>7203236.8800000018</v>
          </cell>
          <cell r="AG21">
            <v>8207367.8768255999</v>
          </cell>
          <cell r="AH21">
            <v>8441716.2840304021</v>
          </cell>
          <cell r="AI21">
            <v>8407489.5991296005</v>
          </cell>
          <cell r="AJ21">
            <v>8417379.1896320023</v>
          </cell>
          <cell r="AK21">
            <v>9183743.6904192008</v>
          </cell>
          <cell r="AL21">
            <v>7767136.0767107718</v>
          </cell>
          <cell r="AM21">
            <v>6461257.6851096228</v>
          </cell>
          <cell r="AN21">
            <v>8185760.3054082654</v>
          </cell>
          <cell r="AO21">
            <v>7575431.2995115854</v>
          </cell>
          <cell r="AP21">
            <v>8184326.8764087781</v>
          </cell>
          <cell r="AR21">
            <v>6067956.5288374042</v>
          </cell>
          <cell r="AS21">
            <v>5867317.1695874156</v>
          </cell>
          <cell r="AT21">
            <v>6358388.3953222679</v>
          </cell>
          <cell r="AU21">
            <v>6735768.8232858628</v>
          </cell>
          <cell r="AV21">
            <v>5956142.130959996</v>
          </cell>
          <cell r="AW21">
            <v>6343083</v>
          </cell>
          <cell r="AX21">
            <v>7120108.9050166672</v>
          </cell>
          <cell r="AY21">
            <v>7740658.4759466676</v>
          </cell>
          <cell r="AZ21">
            <v>6844721.5573333343</v>
          </cell>
          <cell r="BA21">
            <v>7281723.5680000009</v>
          </cell>
          <cell r="BB21">
            <v>7950773.6802853346</v>
          </cell>
          <cell r="BC21">
            <v>8669537.4930602666</v>
          </cell>
          <cell r="BD21">
            <v>7471384.6890762197</v>
          </cell>
          <cell r="BG21">
            <v>6789998.1279808329</v>
          </cell>
          <cell r="BH21">
            <v>7686689.0746697336</v>
          </cell>
        </row>
        <row r="23">
          <cell r="A23" t="str">
            <v>Other</v>
          </cell>
          <cell r="B23">
            <v>6981677.9314368479</v>
          </cell>
          <cell r="C23">
            <v>6506617.4466169113</v>
          </cell>
          <cell r="D23">
            <v>6870585.0721135791</v>
          </cell>
          <cell r="E23">
            <v>6362121.9485498397</v>
          </cell>
          <cell r="F23">
            <v>6415220.9441994056</v>
          </cell>
          <cell r="G23">
            <v>6908363.2014127253</v>
          </cell>
          <cell r="H23">
            <v>6468377.206168035</v>
          </cell>
          <cell r="I23">
            <v>7327854.6395413801</v>
          </cell>
          <cell r="J23">
            <v>7537089.9374806536</v>
          </cell>
          <cell r="K23">
            <v>7305463.2373829829</v>
          </cell>
          <cell r="L23">
            <v>7314056.5325629776</v>
          </cell>
          <cell r="M23">
            <v>7979968.4698808491</v>
          </cell>
          <cell r="N23">
            <v>6924924.5371757885</v>
          </cell>
          <cell r="O23">
            <v>5760646.0660309866</v>
          </cell>
          <cell r="P23">
            <v>7298156.2102831826</v>
          </cell>
          <cell r="Q23">
            <v>7240652.7900000019</v>
          </cell>
          <cell r="R23">
            <v>7124418.665</v>
          </cell>
          <cell r="S23">
            <v>6859672.3400000017</v>
          </cell>
          <cell r="T23">
            <v>7091281.2750000041</v>
          </cell>
          <cell r="U23">
            <v>7474567.173537598</v>
          </cell>
          <cell r="V23">
            <v>7687991.6158133987</v>
          </cell>
          <cell r="W23">
            <v>7656820.8849215982</v>
          </cell>
          <cell r="X23">
            <v>7665827.4762719991</v>
          </cell>
          <cell r="Y23">
            <v>8363766.575203198</v>
          </cell>
          <cell r="Z23">
            <v>7257980.1033599991</v>
          </cell>
          <cell r="AA23">
            <v>6037705.437119999</v>
          </cell>
          <cell r="AB23">
            <v>7649162.4249599986</v>
          </cell>
          <cell r="AC23">
            <v>7078842.0729599986</v>
          </cell>
          <cell r="AD23">
            <v>7647822.9609599989</v>
          </cell>
          <cell r="AE23">
            <v>7555409.0841600001</v>
          </cell>
          <cell r="AF23">
            <v>7347301.6175999995</v>
          </cell>
          <cell r="AG23">
            <v>8371515.2343621096</v>
          </cell>
          <cell r="AH23">
            <v>8610550.6097110081</v>
          </cell>
          <cell r="AI23">
            <v>8575639.3911121916</v>
          </cell>
          <cell r="AJ23">
            <v>8585726.7734246403</v>
          </cell>
          <cell r="AK23">
            <v>9367418.5642275829</v>
          </cell>
          <cell r="AL23">
            <v>8686625.3394333106</v>
          </cell>
          <cell r="AM23">
            <v>7226154.4252292709</v>
          </cell>
          <cell r="AN23">
            <v>9154807.150179226</v>
          </cell>
          <cell r="AO23">
            <v>8472226.1633583531</v>
          </cell>
          <cell r="AP23">
            <v>9153204.028958451</v>
          </cell>
          <cell r="AR23">
            <v>6786293.4833891122</v>
          </cell>
          <cell r="AS23">
            <v>6561902.0313873244</v>
          </cell>
          <cell r="AT23">
            <v>7111107.261063356</v>
          </cell>
          <cell r="AU23">
            <v>7533162.7466089362</v>
          </cell>
          <cell r="AV23">
            <v>6661242.2711633192</v>
          </cell>
          <cell r="AW23">
            <v>7074914.5983333336</v>
          </cell>
          <cell r="AX23">
            <v>7417946.6881170003</v>
          </cell>
          <cell r="AY23">
            <v>7895471.6454655984</v>
          </cell>
          <cell r="AZ23">
            <v>6981615.9884799989</v>
          </cell>
          <cell r="BA23">
            <v>7427358.0393599989</v>
          </cell>
          <cell r="BB23">
            <v>8109789.1538910391</v>
          </cell>
          <cell r="BC23">
            <v>8842928.2429214716</v>
          </cell>
          <cell r="BD23">
            <v>8355862.3049472691</v>
          </cell>
          <cell r="BG23">
            <v>7262393.8007698134</v>
          </cell>
          <cell r="BH23">
            <v>7840422.8561631283</v>
          </cell>
        </row>
        <row r="30">
          <cell r="A30" t="str">
            <v>Lens Review Pages</v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1427948.2553840003</v>
          </cell>
          <cell r="Y30">
            <v>2336934.7783655995</v>
          </cell>
          <cell r="Z30">
            <v>2703953.3718400002</v>
          </cell>
          <cell r="AA30">
            <v>2249341.2412800002</v>
          </cell>
          <cell r="AB30">
            <v>2849687.9622400003</v>
          </cell>
          <cell r="AC30">
            <v>2637215.6742400005</v>
          </cell>
          <cell r="AD30">
            <v>2849188.9462400004</v>
          </cell>
          <cell r="AE30">
            <v>2814760.2470400007</v>
          </cell>
          <cell r="AF30">
            <v>2737230.0144000007</v>
          </cell>
          <cell r="AG30">
            <v>3118799.7931937277</v>
          </cell>
          <cell r="AH30">
            <v>3207852.1879315525</v>
          </cell>
          <cell r="AI30">
            <v>3194846.0476692487</v>
          </cell>
          <cell r="AJ30">
            <v>3198604.0920601608</v>
          </cell>
          <cell r="AK30">
            <v>3489822.6023592968</v>
          </cell>
          <cell r="AL30">
            <v>2980544.2359174229</v>
          </cell>
          <cell r="AM30">
            <v>2479429.2464985428</v>
          </cell>
          <cell r="AN30">
            <v>3141186.2047894401</v>
          </cell>
          <cell r="AO30">
            <v>2906979.8534943927</v>
          </cell>
          <cell r="AP30">
            <v>3140636.143801732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1254961.0112498666</v>
          </cell>
          <cell r="AZ30">
            <v>2600994.1917866669</v>
          </cell>
          <cell r="BA30">
            <v>2767054.9558400004</v>
          </cell>
          <cell r="BB30">
            <v>3021293.9985084273</v>
          </cell>
          <cell r="BC30">
            <v>3294424.2473629019</v>
          </cell>
          <cell r="BD30">
            <v>2867053.2290684688</v>
          </cell>
          <cell r="BG30">
            <v>313740.25281246664</v>
          </cell>
          <cell r="BH30">
            <v>2920941.848374499</v>
          </cell>
        </row>
        <row r="36">
          <cell r="A36" t="str">
            <v>Forum Monthly Page Views</v>
          </cell>
          <cell r="N36">
            <v>82592560.700000003</v>
          </cell>
          <cell r="O36">
            <v>68706381.900000006</v>
          </cell>
          <cell r="P36">
            <v>87044040.200000003</v>
          </cell>
          <cell r="Q36">
            <v>74357584.799999997</v>
          </cell>
          <cell r="R36">
            <v>80334274.799999997</v>
          </cell>
          <cell r="S36">
            <v>79363540.799999997</v>
          </cell>
          <cell r="T36">
            <v>77177538</v>
          </cell>
          <cell r="U36">
            <v>87936084.394559994</v>
          </cell>
          <cell r="V36">
            <v>90446960.186039999</v>
          </cell>
          <cell r="W36">
            <v>90080245.704960003</v>
          </cell>
          <cell r="X36">
            <v>91899743.50966081</v>
          </cell>
          <cell r="Y36">
            <v>101201575.55995871</v>
          </cell>
          <cell r="Z36">
            <v>88632745.262208</v>
          </cell>
          <cell r="AA36">
            <v>73731038.161535993</v>
          </cell>
          <cell r="AB36">
            <v>93409771.730687991</v>
          </cell>
          <cell r="AC36">
            <v>86445153.785088018</v>
          </cell>
          <cell r="AD36">
            <v>93393414.511487991</v>
          </cell>
          <cell r="AE36">
            <v>92264877.992448017</v>
          </cell>
          <cell r="AF36">
            <v>89723518.577280015</v>
          </cell>
          <cell r="AG36">
            <v>102230974.27373967</v>
          </cell>
          <cell r="AH36">
            <v>105150018.03388268</v>
          </cell>
          <cell r="AI36">
            <v>104723690.4467583</v>
          </cell>
          <cell r="AJ36">
            <v>104846875.18605621</v>
          </cell>
          <cell r="AK36">
            <v>114392711.40786155</v>
          </cell>
          <cell r="AL36">
            <v>95634561.361920014</v>
          </cell>
          <cell r="AM36">
            <v>79555648.112640008</v>
          </cell>
          <cell r="AN36">
            <v>100788963.71712001</v>
          </cell>
          <cell r="AO36">
            <v>93274154.37312001</v>
          </cell>
          <cell r="AP36">
            <v>100771314.30912001</v>
          </cell>
          <cell r="AV36">
            <v>79447660.933333337</v>
          </cell>
          <cell r="AW36">
            <v>78018466.799999997</v>
          </cell>
          <cell r="AX36">
            <v>85186860.860199988</v>
          </cell>
          <cell r="AY36">
            <v>94393854.924859837</v>
          </cell>
          <cell r="AZ36">
            <v>85257851.718144</v>
          </cell>
          <cell r="BA36">
            <v>90701148.763008013</v>
          </cell>
          <cell r="BB36">
            <v>99034836.961634114</v>
          </cell>
          <cell r="BC36">
            <v>107987759.01355869</v>
          </cell>
          <cell r="BD36">
            <v>91993057.730560005</v>
          </cell>
          <cell r="BG36">
            <v>84261710.879598305</v>
          </cell>
          <cell r="BH36">
            <v>95745399.114086211</v>
          </cell>
          <cell r="BJ36">
            <v>79447660.933333337</v>
          </cell>
          <cell r="BK36">
            <v>85714258.575800955</v>
          </cell>
          <cell r="BL36">
            <v>97429200.617190197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ad Tracker"/>
      <sheetName val="NA_Est_V1"/>
      <sheetName val="Intl_Est_V1"/>
      <sheetName val="NA_Emg_V1"/>
      <sheetName val="Intl_Emg_V1"/>
      <sheetName val="Admin"/>
      <sheetName val="1.Content"/>
      <sheetName val="Traffic"/>
    </sheetNames>
    <sheetDataSet>
      <sheetData sheetId="0"/>
      <sheetData sheetId="1">
        <row r="26">
          <cell r="C26" t="str">
            <v>PTD</v>
          </cell>
        </row>
      </sheetData>
      <sheetData sheetId="2"/>
      <sheetData sheetId="3"/>
      <sheetData sheetId="4">
        <row r="2">
          <cell r="D2" t="str">
            <v>Country</v>
          </cell>
        </row>
      </sheetData>
      <sheetData sheetId="5">
        <row r="2">
          <cell r="D2" t="str">
            <v>Country</v>
          </cell>
        </row>
        <row r="3">
          <cell r="B3" t="str">
            <v>Actuals</v>
          </cell>
          <cell r="L3" t="str">
            <v>L399999</v>
          </cell>
          <cell r="M3" t="str">
            <v>L399998</v>
          </cell>
          <cell r="N3" t="str">
            <v>L399997</v>
          </cell>
          <cell r="O3" t="str">
            <v>L399996</v>
          </cell>
        </row>
        <row r="4">
          <cell r="B4" t="str">
            <v>OP1</v>
          </cell>
          <cell r="L4" t="str">
            <v>L2999986</v>
          </cell>
          <cell r="M4" t="str">
            <v>L2000010</v>
          </cell>
          <cell r="N4" t="str">
            <v>L2999974</v>
          </cell>
          <cell r="O4" t="str">
            <v>L2000000</v>
          </cell>
        </row>
        <row r="5">
          <cell r="B5" t="str">
            <v>OP2</v>
          </cell>
          <cell r="L5" t="str">
            <v>L2999972</v>
          </cell>
          <cell r="M5" t="str">
            <v>L2999988</v>
          </cell>
          <cell r="N5" t="str">
            <v>L2999978</v>
          </cell>
          <cell r="O5" t="str">
            <v>L2000001</v>
          </cell>
        </row>
        <row r="6">
          <cell r="B6" t="str">
            <v>RO - Current</v>
          </cell>
          <cell r="L6" t="str">
            <v>L2999969</v>
          </cell>
          <cell r="M6" t="str">
            <v>L2999996</v>
          </cell>
          <cell r="N6" t="str">
            <v>L2999979</v>
          </cell>
          <cell r="O6" t="str">
            <v>L2000002</v>
          </cell>
        </row>
        <row r="7">
          <cell r="B7" t="str">
            <v>Guidance</v>
          </cell>
          <cell r="L7" t="str">
            <v>L2999971</v>
          </cell>
          <cell r="M7" t="str">
            <v>L2999997</v>
          </cell>
          <cell r="N7" t="str">
            <v>L2999985</v>
          </cell>
          <cell r="O7" t="str">
            <v>L2000005</v>
          </cell>
        </row>
        <row r="8">
          <cell r="B8" t="str">
            <v>Guidance Q1</v>
          </cell>
          <cell r="L8" t="str">
            <v>L2999973</v>
          </cell>
          <cell r="M8" t="str">
            <v>L2999998</v>
          </cell>
          <cell r="N8" t="str">
            <v>L2999873</v>
          </cell>
          <cell r="O8" t="str">
            <v>L2000006</v>
          </cell>
        </row>
        <row r="9">
          <cell r="B9" t="str">
            <v>Guidance Q2</v>
          </cell>
          <cell r="L9" t="str">
            <v>L2999975</v>
          </cell>
          <cell r="M9" t="str">
            <v>L2999999</v>
          </cell>
          <cell r="N9" t="str">
            <v>L2999875</v>
          </cell>
          <cell r="O9" t="str">
            <v>L2000007</v>
          </cell>
        </row>
        <row r="10">
          <cell r="B10" t="str">
            <v>Guidance Q3</v>
          </cell>
          <cell r="L10" t="str">
            <v>L2999976</v>
          </cell>
          <cell r="N10" t="str">
            <v>L2999877</v>
          </cell>
          <cell r="O10" t="str">
            <v>L2000008</v>
          </cell>
        </row>
        <row r="11">
          <cell r="B11" t="str">
            <v>Guidance Q4</v>
          </cell>
          <cell r="L11" t="str">
            <v>L2999977</v>
          </cell>
          <cell r="N11" t="str">
            <v>L2999880</v>
          </cell>
          <cell r="O11" t="str">
            <v>L2999989</v>
          </cell>
        </row>
        <row r="12">
          <cell r="B12" t="str">
            <v>RO - Prior</v>
          </cell>
          <cell r="L12" t="str">
            <v>L2999980</v>
          </cell>
          <cell r="N12" t="str">
            <v>L2999882</v>
          </cell>
          <cell r="O12" t="str">
            <v>L2999995</v>
          </cell>
        </row>
        <row r="13">
          <cell r="B13" t="str">
            <v>RO - 2 Prior</v>
          </cell>
          <cell r="L13" t="str">
            <v>L2999982</v>
          </cell>
          <cell r="N13" t="str">
            <v>L2999887</v>
          </cell>
        </row>
        <row r="14">
          <cell r="B14" t="str">
            <v>RO - 3.30.2012</v>
          </cell>
          <cell r="L14" t="str">
            <v>L2999983</v>
          </cell>
          <cell r="N14" t="str">
            <v>L2999970</v>
          </cell>
        </row>
        <row r="15">
          <cell r="B15" t="str">
            <v>RO - 9.21.2012</v>
          </cell>
          <cell r="L15" t="str">
            <v>L2999984</v>
          </cell>
          <cell r="N15" t="str">
            <v>L2999981</v>
          </cell>
        </row>
        <row r="16">
          <cell r="B16" t="str">
            <v>OP - Current</v>
          </cell>
          <cell r="L16" t="str">
            <v>L2999987</v>
          </cell>
        </row>
        <row r="17">
          <cell r="B17" t="str">
            <v>OP1 - FP1</v>
          </cell>
        </row>
        <row r="18">
          <cell r="B18" t="str">
            <v>OP2 - Internal</v>
          </cell>
        </row>
        <row r="19">
          <cell r="B19" t="str">
            <v>OP2 - 11.16.2012</v>
          </cell>
        </row>
        <row r="20">
          <cell r="B20" t="str">
            <v>2013.03.22</v>
          </cell>
        </row>
      </sheetData>
      <sheetData sheetId="6" refreshError="1"/>
      <sheetData sheetId="7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me"/>
      <sheetName val="Curve Creator"/>
      <sheetName val="Adjustments"/>
      <sheetName val="Launches and GMS Adjustments"/>
      <sheetName val="Headcount Adjustments"/>
      <sheetName val="Goal Table"/>
      <sheetName val="Per Seller Metrics"/>
      <sheetName val="Correlation"/>
      <sheetName val="Launch Pivot"/>
      <sheetName val="Sheet2"/>
      <sheetName val="Launch Data"/>
      <sheetName val="GMS Pivot"/>
      <sheetName val="GMS Data"/>
      <sheetName val="AC Pivot"/>
      <sheetName val="ASINs Created"/>
      <sheetName val="Offer Pivot"/>
      <sheetName val="Offer Data"/>
      <sheetName val="Queries"/>
      <sheetName val="Inputs"/>
      <sheetName val="Holidays"/>
      <sheetName val="Team Goals"/>
      <sheetName val="Headcount"/>
      <sheetName val="Outliers"/>
      <sheetName val="Sheet1"/>
      <sheetName val="CA Inbound"/>
      <sheetName val="CA Outbound"/>
      <sheetName val="Hardlines Inbound"/>
      <sheetName val="Hardlines Outbound"/>
      <sheetName val="Hardlines Named"/>
      <sheetName val="SSR Silver US"/>
      <sheetName val="SSR Silver CA"/>
      <sheetName val="Apparel Inbound"/>
      <sheetName val="Apparel Outbound"/>
      <sheetName val="Apparel Named"/>
      <sheetName val="Automotive Inbound"/>
      <sheetName val="Automotive Outbound"/>
      <sheetName val="Automotive Named"/>
      <sheetName val="BISS Inbound"/>
      <sheetName val="BISS Outbound"/>
      <sheetName val="BISS Named"/>
      <sheetName val="Consumables Inbound"/>
      <sheetName val="Consumables Outbound"/>
      <sheetName val="Softlines Outbound"/>
      <sheetName val="Softlines Inbound"/>
      <sheetName val="Softlines Named"/>
      <sheetName val="Gift Card"/>
      <sheetName val="Combined Curves"/>
      <sheetName val="2014 Aggregation Cumulative"/>
      <sheetName val="2014 Aggregation by Month"/>
      <sheetName val="Global"/>
      <sheetName val="Launch vs ASIN"/>
      <sheetName val="Launch vs Offer"/>
      <sheetName val="Sheet12"/>
      <sheetName val="Global Selling Combined Curves"/>
      <sheetName val="Global Selling"/>
      <sheetName val="WK Totals"/>
      <sheetName val="Apparel ES Ungate &amp; Dev"/>
      <sheetName val="Automotive ES Ungate &amp; Dev"/>
      <sheetName val="BISS ES Ungates &amp; Dev"/>
      <sheetName val="Softlines ES Ungates &amp; Dev"/>
      <sheetName val="3D Printing"/>
      <sheetName val="2014 Curve Template 01172014_Fi"/>
      <sheetName val="FX"/>
      <sheetName val="CC ID"/>
      <sheetName val="InitiativesControl"/>
      <sheetName val="Admin"/>
      <sheetName val="NA_Est_V1"/>
    </sheetNames>
    <sheetDataSet>
      <sheetData sheetId="0"/>
      <sheetData sheetId="1" refreshError="1">
        <row r="16">
          <cell r="G16" t="str">
            <v>Gift Card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>
        <row r="20">
          <cell r="AI20" t="str">
            <v>Launches</v>
          </cell>
        </row>
      </sheetData>
      <sheetData sheetId="54">
        <row r="37">
          <cell r="L37">
            <v>6</v>
          </cell>
        </row>
      </sheetData>
      <sheetData sheetId="55"/>
      <sheetData sheetId="56">
        <row r="37">
          <cell r="O37">
            <v>1.6312056737588652</v>
          </cell>
        </row>
      </sheetData>
      <sheetData sheetId="57">
        <row r="37">
          <cell r="O37">
            <v>9.5952023988006001</v>
          </cell>
        </row>
      </sheetData>
      <sheetData sheetId="58">
        <row r="37">
          <cell r="O37">
            <v>0</v>
          </cell>
        </row>
      </sheetData>
      <sheetData sheetId="59">
        <row r="37">
          <cell r="O37">
            <v>2.2185695246557087</v>
          </cell>
        </row>
      </sheetData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S"/>
      <sheetName val="Instructions"/>
      <sheetName val="S-1 Inc Stmt"/>
      <sheetName val="S-1 Balance Sheet"/>
      <sheetName val="S-1 CF Print"/>
      <sheetName val="Formal"/>
      <sheetName val="Internal"/>
      <sheetName val="Incremental IS"/>
      <sheetName val="Credit Stats"/>
      <sheetName val="Gross Margin Print"/>
      <sheetName val="XXXX"/>
      <sheetName val="IS Input"/>
      <sheetName val="BS Input"/>
      <sheetName val="Gross Margin Mix"/>
      <sheetName val="S-1 Cash Flow"/>
      <sheetName val="Internal History"/>
      <sheetName val=""/>
      <sheetName val="In Stock JP"/>
      <sheetName val="Q399 Outlook"/>
      <sheetName val="S-1 Inc Stmt (2)"/>
      <sheetName val="Input US"/>
      <sheetName val="Traffic"/>
      <sheetName val="3P GMS YTD MS"/>
      <sheetName val="2010 ETB"/>
      <sheetName val="2009 ETB"/>
      <sheetName val="Scorecard"/>
      <sheetName val="AMZN Order Blend"/>
      <sheetName val="BOOKS Revenue"/>
      <sheetName val="AMZN Sessions"/>
      <sheetName val="Options"/>
      <sheetName val="OtherBucket"/>
      <sheetName val="Income Statement (GuV)"/>
      <sheetName val="Inv_Essbase"/>
      <sheetName val="Essbase"/>
      <sheetName val="P&amp;L - QTD"/>
      <sheetName val="P&amp;L - YTD"/>
      <sheetName val="General Assumptions"/>
      <sheetName val="Tools-Internet"/>
      <sheetName val="PPM Essbase"/>
      <sheetName val="Inv age Essbase"/>
      <sheetName val="Reserve Essbase"/>
      <sheetName val="WW Essbase"/>
      <sheetName val="Extrap Graphs"/>
      <sheetName val="Q100 Seasonality"/>
      <sheetName val="WW Summary"/>
      <sheetName val="_"/>
      <sheetName val="Curve Creator"/>
      <sheetName val="PPA_Inputs"/>
      <sheetName val="S-1_Inc_Stmt1"/>
      <sheetName val="S-1_Balance_Sheet1"/>
      <sheetName val="S-1_CF_Print1"/>
      <sheetName val="Incremental_IS1"/>
      <sheetName val="Credit_Stats1"/>
      <sheetName val="Gross_Margin_Print1"/>
      <sheetName val="IS_Input1"/>
      <sheetName val="BS_Input1"/>
      <sheetName val="Gross_Margin_Mix1"/>
      <sheetName val="S-1_Cash_Flow1"/>
      <sheetName val="Internal_History1"/>
      <sheetName val="In_Stock_JP1"/>
      <sheetName val="Q399_Outlook1"/>
      <sheetName val="Input_US1"/>
      <sheetName val="S-1_Inc_Stmt_(2)1"/>
      <sheetName val="2010_ETB1"/>
      <sheetName val="2009_ETB1"/>
      <sheetName val="AMZN_Order_Blend1"/>
      <sheetName val="BOOKS_Revenue1"/>
      <sheetName val="AMZN_Sessions1"/>
      <sheetName val="Income_Statement_(GuV)1"/>
      <sheetName val="P&amp;L_-_QTD1"/>
      <sheetName val="P&amp;L_-_YTD1"/>
      <sheetName val="General_Assumptions1"/>
      <sheetName val="PPM_Essbase1"/>
      <sheetName val="Inv_age_Essbase1"/>
      <sheetName val="Reserve_Essbase1"/>
      <sheetName val="WW_Essbase1"/>
      <sheetName val="Extrap_Graphs1"/>
      <sheetName val="Q100_Seasonality1"/>
      <sheetName val="WW_Summary1"/>
      <sheetName val="S-1_Inc_Stmt"/>
      <sheetName val="S-1_Balance_Sheet"/>
      <sheetName val="S-1_CF_Print"/>
      <sheetName val="Incremental_IS"/>
      <sheetName val="Credit_Stats"/>
      <sheetName val="Gross_Margin_Print"/>
      <sheetName val="IS_Input"/>
      <sheetName val="BS_Input"/>
      <sheetName val="Gross_Margin_Mix"/>
      <sheetName val="S-1_Cash_Flow"/>
      <sheetName val="Internal_History"/>
      <sheetName val="In_Stock_JP"/>
      <sheetName val="Q399_Outlook"/>
      <sheetName val="Input_US"/>
      <sheetName val="S-1_Inc_Stmt_(2)"/>
      <sheetName val="2010_ETB"/>
      <sheetName val="2009_ETB"/>
      <sheetName val="AMZN_Order_Blend"/>
      <sheetName val="BOOKS_Revenue"/>
      <sheetName val="AMZN_Sessions"/>
      <sheetName val="Income_Statement_(GuV)"/>
      <sheetName val="P&amp;L_-_QTD"/>
      <sheetName val="P&amp;L_-_YTD"/>
      <sheetName val="General_Assumptions"/>
      <sheetName val="PPM_Essbase"/>
      <sheetName val="Inv_age_Essbase"/>
      <sheetName val="Reserve_Essbase"/>
      <sheetName val="WW_Essbase"/>
      <sheetName val="Extrap_Graphs"/>
      <sheetName val="Q100_Seasonality"/>
      <sheetName val="WW_Summary"/>
      <sheetName val="S-1_Inc_Stmt2"/>
      <sheetName val="S-1_Balance_Sheet2"/>
      <sheetName val="S-1_CF_Print2"/>
      <sheetName val="Incremental_IS2"/>
      <sheetName val="Credit_Stats2"/>
      <sheetName val="Gross_Margin_Print2"/>
      <sheetName val="IS_Input2"/>
      <sheetName val="BS_Input2"/>
      <sheetName val="Gross_Margin_Mix2"/>
      <sheetName val="S-1_Cash_Flow2"/>
      <sheetName val="Internal_History2"/>
      <sheetName val="In_Stock_JP2"/>
      <sheetName val="Q399_Outlook2"/>
      <sheetName val="Input_US2"/>
      <sheetName val="S-1_Inc_Stmt_(2)2"/>
      <sheetName val="2010_ETB2"/>
      <sheetName val="2009_ETB2"/>
      <sheetName val="AMZN_Order_Blend2"/>
      <sheetName val="BOOKS_Revenue2"/>
      <sheetName val="AMZN_Sessions2"/>
      <sheetName val="Income_Statement_(GuV)2"/>
      <sheetName val="P&amp;L_-_QTD2"/>
      <sheetName val="P&amp;L_-_YTD2"/>
      <sheetName val="General_Assumptions2"/>
      <sheetName val="PPM_Essbase2"/>
      <sheetName val="Inv_age_Essbase2"/>
      <sheetName val="Reserve_Essbase2"/>
      <sheetName val="WW_Essbase2"/>
      <sheetName val="Extrap_Graphs2"/>
      <sheetName val="Q100_Seasonality2"/>
      <sheetName val="WW_Summary2"/>
      <sheetName val="S-1_Inc_Stmt3"/>
      <sheetName val="S-1_Balance_Sheet3"/>
      <sheetName val="S-1_CF_Print3"/>
      <sheetName val="Incremental_IS3"/>
      <sheetName val="Credit_Stats3"/>
      <sheetName val="Gross_Margin_Print3"/>
      <sheetName val="IS_Input3"/>
      <sheetName val="BS_Input3"/>
      <sheetName val="Gross_Margin_Mix3"/>
      <sheetName val="S-1_Cash_Flow3"/>
      <sheetName val="Internal_History3"/>
      <sheetName val="In_Stock_JP3"/>
      <sheetName val="Q399_Outlook3"/>
      <sheetName val="Input_US3"/>
      <sheetName val="S-1_Inc_Stmt_(2)3"/>
      <sheetName val="2010_ETB3"/>
      <sheetName val="2009_ETB3"/>
      <sheetName val="AMZN_Order_Blend3"/>
      <sheetName val="BOOKS_Revenue3"/>
      <sheetName val="AMZN_Sessions3"/>
      <sheetName val="Income_Statement_(GuV)3"/>
      <sheetName val="P&amp;L_-_QTD3"/>
      <sheetName val="P&amp;L_-_YTD3"/>
      <sheetName val="General_Assumptions3"/>
      <sheetName val="PPM_Essbase3"/>
      <sheetName val="Inv_age_Essbase3"/>
      <sheetName val="Reserve_Essbase3"/>
      <sheetName val="WW_Essbase3"/>
      <sheetName val="Extrap_Graphs3"/>
      <sheetName val="Q100_Seasonality3"/>
      <sheetName val="WW_Summary3"/>
      <sheetName val="S-1_Inc_Stmt4"/>
      <sheetName val="S-1_Balance_Sheet4"/>
      <sheetName val="S-1_CF_Print4"/>
      <sheetName val="Incremental_IS4"/>
      <sheetName val="Credit_Stats4"/>
      <sheetName val="Gross_Margin_Print4"/>
      <sheetName val="IS_Input4"/>
      <sheetName val="BS_Input4"/>
      <sheetName val="Gross_Margin_Mix4"/>
      <sheetName val="S-1_Cash_Flow4"/>
      <sheetName val="Internal_History4"/>
      <sheetName val="In_Stock_JP4"/>
      <sheetName val="Q399_Outlook4"/>
      <sheetName val="Input_US4"/>
      <sheetName val="S-1_Inc_Stmt_(2)4"/>
      <sheetName val="2010_ETB4"/>
      <sheetName val="2009_ETB4"/>
      <sheetName val="AMZN_Order_Blend4"/>
      <sheetName val="BOOKS_Revenue4"/>
      <sheetName val="AMZN_Sessions4"/>
      <sheetName val="Income_Statement_(GuV)4"/>
      <sheetName val="P&amp;L_-_QTD4"/>
      <sheetName val="P&amp;L_-_YTD4"/>
      <sheetName val="General_Assumptions4"/>
      <sheetName val="PPM_Essbase4"/>
      <sheetName val="Inv_age_Essbase4"/>
      <sheetName val="Reserve_Essbase4"/>
      <sheetName val="WW_Essbase4"/>
      <sheetName val="Extrap_Graphs4"/>
      <sheetName val="Q100_Seasonality4"/>
      <sheetName val="WW_Summary4"/>
      <sheetName val="FT_Other"/>
      <sheetName val="Inventory"/>
      <sheetName val="Rolling_POS"/>
      <sheetName val="Rolling_CQ"/>
      <sheetName val="Rolling_Receipts"/>
      <sheetName val="Rolling Returns"/>
      <sheetName val="Admin"/>
      <sheetName val="Subs V1"/>
      <sheetName val="V1"/>
      <sheetName val="V2"/>
      <sheetName val="Cover"/>
      <sheetName val="Inv. Essbase"/>
      <sheetName val="Historic Trading Multiples"/>
      <sheetName val="Price Performance"/>
      <sheetName val="Temp Database"/>
      <sheetName val="Ord$"/>
      <sheetName val="INPC"/>
      <sheetName val="Validations"/>
      <sheetName val="EU NIAP SOP"/>
      <sheetName val="S-1_Inc_Stmt5"/>
      <sheetName val="S-1_Balance_Sheet5"/>
      <sheetName val="S-1_CF_Print5"/>
      <sheetName val="Incremental_IS5"/>
      <sheetName val="Credit_Stats5"/>
      <sheetName val="Gross_Margin_Print5"/>
      <sheetName val="IS_Input5"/>
      <sheetName val="BS_Input5"/>
      <sheetName val="Gross_Margin_Mix5"/>
      <sheetName val="S-1_Cash_Flow5"/>
      <sheetName val="Internal_History5"/>
      <sheetName val="In_Stock_JP5"/>
      <sheetName val="Q399_Outlook5"/>
      <sheetName val="S-1_Inc_Stmt_(2)5"/>
      <sheetName val="Input_US5"/>
      <sheetName val="Income_Statement_(GuV)5"/>
      <sheetName val="2010_ETB5"/>
      <sheetName val="2009_ETB5"/>
      <sheetName val="AMZN_Order_Blend5"/>
      <sheetName val="BOOKS_Revenue5"/>
      <sheetName val="AMZN_Sessions5"/>
      <sheetName val="P&amp;L_-_QTD5"/>
      <sheetName val="P&amp;L_-_YTD5"/>
      <sheetName val="General_Assumptions5"/>
      <sheetName val="PPM_Essbase5"/>
      <sheetName val="Inv_age_Essbase5"/>
      <sheetName val="Reserve_Essbase5"/>
      <sheetName val="WW_Essbase5"/>
      <sheetName val="Extrap_Graphs5"/>
      <sheetName val="Q100_Seasonality5"/>
      <sheetName val="WW_Summary5"/>
      <sheetName val="3P_GMS_YTD_MS"/>
      <sheetName val="Curve_Creator"/>
      <sheetName val="Historic_Trading_Multiples"/>
      <sheetName val="Price_Performance"/>
      <sheetName val="Temp_Database"/>
      <sheetName val="Rolling_Returns"/>
      <sheetName val="EU_NIAP_SOP"/>
      <sheetName val="Raw_Fees"/>
      <sheetName val="FeeTypes"/>
      <sheetName val="Raw_Transaction"/>
      <sheetName val="S-1_Inc_Stmt6"/>
      <sheetName val="S-1_Balance_Sheet6"/>
      <sheetName val="S-1_CF_Print6"/>
      <sheetName val="Incremental_IS6"/>
      <sheetName val="Credit_Stats6"/>
      <sheetName val="Gross_Margin_Print6"/>
      <sheetName val="IS_Input6"/>
      <sheetName val="BS_Input6"/>
      <sheetName val="Gross_Margin_Mix6"/>
      <sheetName val="S-1_Cash_Flow6"/>
      <sheetName val="Internal_History6"/>
      <sheetName val="In_Stock_JP6"/>
      <sheetName val="Q399_Outlook6"/>
      <sheetName val="Input_US6"/>
      <sheetName val="S-1_Inc_Stmt_(2)6"/>
      <sheetName val="Income_Statement_(GuV)6"/>
      <sheetName val="P&amp;L_-_QTD6"/>
      <sheetName val="P&amp;L_-_YTD6"/>
      <sheetName val="2010_ETB6"/>
      <sheetName val="2009_ETB6"/>
      <sheetName val="AMZN_Order_Blend6"/>
      <sheetName val="BOOKS_Revenue6"/>
      <sheetName val="AMZN_Sessions6"/>
      <sheetName val="General_Assumptions6"/>
      <sheetName val="PPM_Essbase6"/>
      <sheetName val="Inv_age_Essbase6"/>
      <sheetName val="Reserve_Essbase6"/>
      <sheetName val="WW_Essbase6"/>
      <sheetName val="Extrap_Graphs6"/>
      <sheetName val="Q100_Seasonality6"/>
      <sheetName val="WW_Summary6"/>
      <sheetName val="3P_GMS_YTD_MS1"/>
      <sheetName val="Curve_Creator1"/>
      <sheetName val="Historic_Trading_Multiples1"/>
      <sheetName val="Price_Performance1"/>
      <sheetName val="Temp_Database1"/>
      <sheetName val="Rolling_Returns1"/>
      <sheetName val="EU_NIAP_SOP1"/>
      <sheetName val="JAPAN"/>
      <sheetName val="S-1_Inc_Stmt7"/>
      <sheetName val="S-1_Balance_Sheet7"/>
      <sheetName val="S-1_CF_Print7"/>
      <sheetName val="Incremental_IS7"/>
      <sheetName val="Credit_Stats7"/>
      <sheetName val="Gross_Margin_Print7"/>
      <sheetName val="IS_Input7"/>
      <sheetName val="BS_Input7"/>
      <sheetName val="Gross_Margin_Mix7"/>
      <sheetName val="S-1_Cash_Flow7"/>
      <sheetName val="Internal_History7"/>
      <sheetName val="In_Stock_JP7"/>
      <sheetName val="Q399_Outlook7"/>
      <sheetName val="S-1_Inc_Stmt_(2)7"/>
      <sheetName val="Input_US7"/>
      <sheetName val="P&amp;L_-_QTD7"/>
      <sheetName val="P&amp;L_-_YTD7"/>
      <sheetName val="Income_Statement_(GuV)7"/>
      <sheetName val="2010_ETB7"/>
      <sheetName val="2009_ETB7"/>
      <sheetName val="AMZN_Order_Blend7"/>
      <sheetName val="BOOKS_Revenue7"/>
      <sheetName val="AMZN_Sessions7"/>
      <sheetName val="General_Assumptions7"/>
      <sheetName val="PPM_Essbase7"/>
      <sheetName val="Inv_age_Essbase7"/>
      <sheetName val="Reserve_Essbase7"/>
      <sheetName val="WW_Essbase7"/>
      <sheetName val="Extrap_Graphs7"/>
      <sheetName val="Q100_Seasonality7"/>
      <sheetName val="WW_Summary7"/>
      <sheetName val="3P_GMS_YTD_MS2"/>
      <sheetName val="Curve_Creator2"/>
      <sheetName val="Historic_Trading_Multiples2"/>
      <sheetName val="Price_Performance2"/>
      <sheetName val="Temp_Database2"/>
      <sheetName val="Rolling_Returns2"/>
      <sheetName val="Subs_V1"/>
      <sheetName val="Inv__Essbase"/>
      <sheetName val="P&amp;L98"/>
      <sheetName val="1 - Master lease detai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8">
          <cell r="B8">
            <v>35431</v>
          </cell>
          <cell r="C8">
            <v>35462</v>
          </cell>
          <cell r="D8">
            <v>35490</v>
          </cell>
          <cell r="E8">
            <v>35521</v>
          </cell>
          <cell r="F8">
            <v>35551</v>
          </cell>
          <cell r="G8">
            <v>35582</v>
          </cell>
          <cell r="H8">
            <v>35612</v>
          </cell>
          <cell r="I8">
            <v>35643</v>
          </cell>
          <cell r="J8">
            <v>35674</v>
          </cell>
          <cell r="K8">
            <v>35704</v>
          </cell>
          <cell r="L8">
            <v>35735</v>
          </cell>
          <cell r="M8">
            <v>35765</v>
          </cell>
          <cell r="N8">
            <v>35796</v>
          </cell>
          <cell r="O8">
            <v>35827</v>
          </cell>
          <cell r="P8">
            <v>35855</v>
          </cell>
          <cell r="Q8">
            <v>35886</v>
          </cell>
          <cell r="R8">
            <v>35916</v>
          </cell>
          <cell r="S8">
            <v>35947</v>
          </cell>
          <cell r="T8">
            <v>35977</v>
          </cell>
          <cell r="U8">
            <v>36008</v>
          </cell>
          <cell r="V8">
            <v>36039</v>
          </cell>
          <cell r="W8">
            <v>36069</v>
          </cell>
          <cell r="X8">
            <v>36100</v>
          </cell>
          <cell r="Y8">
            <v>36130</v>
          </cell>
          <cell r="AB8" t="str">
            <v>Q1 96</v>
          </cell>
          <cell r="AC8" t="str">
            <v>Q2 96</v>
          </cell>
          <cell r="AD8" t="str">
            <v>Q3 96</v>
          </cell>
          <cell r="AE8" t="str">
            <v>Q4 96</v>
          </cell>
          <cell r="AF8" t="str">
            <v>Q1 97</v>
          </cell>
          <cell r="AG8" t="str">
            <v>Q2 97</v>
          </cell>
          <cell r="AH8" t="str">
            <v>Q3 97</v>
          </cell>
          <cell r="AI8" t="str">
            <v>Q4 97</v>
          </cell>
          <cell r="AJ8" t="str">
            <v>Q1 98</v>
          </cell>
          <cell r="AK8" t="str">
            <v>Q2 98</v>
          </cell>
          <cell r="AL8" t="str">
            <v>Q3 98</v>
          </cell>
          <cell r="AM8" t="str">
            <v>Q4 98</v>
          </cell>
          <cell r="AN8">
            <v>35400</v>
          </cell>
          <cell r="AO8">
            <v>35765</v>
          </cell>
          <cell r="AP8">
            <v>35947</v>
          </cell>
        </row>
        <row r="12">
          <cell r="B12">
            <v>4275645</v>
          </cell>
          <cell r="C12">
            <v>4254050</v>
          </cell>
          <cell r="D12">
            <v>5199729</v>
          </cell>
          <cell r="E12">
            <v>6756995</v>
          </cell>
          <cell r="F12">
            <v>7712162</v>
          </cell>
          <cell r="G12">
            <v>9135361</v>
          </cell>
          <cell r="H12">
            <v>10045762</v>
          </cell>
          <cell r="I12">
            <v>10002132</v>
          </cell>
          <cell r="J12">
            <v>12043350</v>
          </cell>
          <cell r="K12">
            <v>15467336</v>
          </cell>
          <cell r="L12">
            <v>15960106</v>
          </cell>
          <cell r="M12">
            <v>24630391</v>
          </cell>
          <cell r="N12">
            <v>23007938</v>
          </cell>
          <cell r="O12">
            <v>22907869</v>
          </cell>
          <cell r="P12">
            <v>28525761</v>
          </cell>
          <cell r="Q12">
            <v>28631708</v>
          </cell>
          <cell r="R12">
            <v>30791103</v>
          </cell>
          <cell r="S12">
            <v>37900414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AB12">
            <v>745352</v>
          </cell>
          <cell r="AC12">
            <v>1901333</v>
          </cell>
          <cell r="AD12">
            <v>3552941</v>
          </cell>
          <cell r="AE12">
            <v>7234739</v>
          </cell>
          <cell r="AF12">
            <v>13729424</v>
          </cell>
          <cell r="AG12">
            <v>23604518</v>
          </cell>
          <cell r="AH12">
            <v>32091244</v>
          </cell>
          <cell r="AI12">
            <v>56057833</v>
          </cell>
          <cell r="AJ12">
            <v>74441568</v>
          </cell>
          <cell r="AK12">
            <v>97323225</v>
          </cell>
          <cell r="AL12">
            <v>0</v>
          </cell>
          <cell r="AM12">
            <v>0</v>
          </cell>
          <cell r="AN12">
            <v>13434365</v>
          </cell>
          <cell r="AO12">
            <v>125483019</v>
          </cell>
          <cell r="AP12">
            <v>171764793</v>
          </cell>
        </row>
        <row r="13">
          <cell r="S13">
            <v>2244453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2244453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2244453</v>
          </cell>
        </row>
        <row r="14">
          <cell r="B14">
            <v>-147120</v>
          </cell>
          <cell r="C14">
            <v>-92217</v>
          </cell>
          <cell r="D14">
            <v>-160088</v>
          </cell>
          <cell r="E14">
            <v>-179274</v>
          </cell>
          <cell r="F14">
            <v>-107865</v>
          </cell>
          <cell r="G14">
            <v>-123691</v>
          </cell>
          <cell r="H14">
            <v>-196691</v>
          </cell>
          <cell r="I14">
            <v>-130463</v>
          </cell>
          <cell r="J14">
            <v>-189018</v>
          </cell>
          <cell r="K14">
            <v>-385414</v>
          </cell>
          <cell r="L14">
            <v>-254780</v>
          </cell>
          <cell r="M14">
            <v>-550077</v>
          </cell>
          <cell r="N14">
            <v>-416509</v>
          </cell>
          <cell r="O14">
            <v>-393994</v>
          </cell>
          <cell r="P14">
            <v>-641366</v>
          </cell>
          <cell r="Q14">
            <v>-502012</v>
          </cell>
          <cell r="R14">
            <v>-598483</v>
          </cell>
          <cell r="S14">
            <v>-1079467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AB14">
            <v>-25979</v>
          </cell>
          <cell r="AC14">
            <v>-66419</v>
          </cell>
          <cell r="AD14">
            <v>-115488</v>
          </cell>
          <cell r="AE14">
            <v>-225798</v>
          </cell>
          <cell r="AF14">
            <v>-399425</v>
          </cell>
          <cell r="AG14">
            <v>-410830</v>
          </cell>
          <cell r="AH14">
            <v>-516172</v>
          </cell>
          <cell r="AI14">
            <v>-1190271</v>
          </cell>
          <cell r="AJ14">
            <v>-1451869</v>
          </cell>
          <cell r="AK14">
            <v>-2179962</v>
          </cell>
          <cell r="AL14">
            <v>0</v>
          </cell>
          <cell r="AM14">
            <v>0</v>
          </cell>
          <cell r="AN14">
            <v>-433684</v>
          </cell>
          <cell r="AO14">
            <v>-2516698</v>
          </cell>
          <cell r="AP14">
            <v>-3631831</v>
          </cell>
        </row>
        <row r="15">
          <cell r="B15">
            <v>821126</v>
          </cell>
          <cell r="C15">
            <v>836976</v>
          </cell>
          <cell r="D15">
            <v>1017276</v>
          </cell>
          <cell r="E15">
            <v>1344553</v>
          </cell>
          <cell r="F15">
            <v>1505350</v>
          </cell>
          <cell r="G15">
            <v>1812384</v>
          </cell>
          <cell r="H15">
            <v>1961087</v>
          </cell>
          <cell r="I15">
            <v>1985151</v>
          </cell>
          <cell r="J15">
            <v>2365097</v>
          </cell>
          <cell r="K15">
            <v>3101680</v>
          </cell>
          <cell r="L15">
            <v>3159822</v>
          </cell>
          <cell r="M15">
            <v>4881139</v>
          </cell>
          <cell r="N15">
            <v>4447082</v>
          </cell>
          <cell r="O15">
            <v>4416409</v>
          </cell>
          <cell r="P15">
            <v>5521749</v>
          </cell>
          <cell r="Q15">
            <v>5459887</v>
          </cell>
          <cell r="R15">
            <v>5929056</v>
          </cell>
          <cell r="S15">
            <v>7035449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AB15">
            <v>155976</v>
          </cell>
          <cell r="AC15">
            <v>394977</v>
          </cell>
          <cell r="AD15">
            <v>735914</v>
          </cell>
          <cell r="AE15">
            <v>1458686</v>
          </cell>
          <cell r="AF15">
            <v>2675378</v>
          </cell>
          <cell r="AG15">
            <v>4662287</v>
          </cell>
          <cell r="AH15">
            <v>6311335</v>
          </cell>
          <cell r="AI15">
            <v>11142641</v>
          </cell>
          <cell r="AJ15">
            <v>14385240</v>
          </cell>
          <cell r="AK15">
            <v>18424392</v>
          </cell>
          <cell r="AL15">
            <v>0</v>
          </cell>
          <cell r="AM15">
            <v>0</v>
          </cell>
          <cell r="AN15">
            <v>2745553</v>
          </cell>
          <cell r="AO15">
            <v>24791641</v>
          </cell>
          <cell r="AP15">
            <v>32809632</v>
          </cell>
        </row>
        <row r="16"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32700</v>
          </cell>
          <cell r="R16">
            <v>57476</v>
          </cell>
          <cell r="S16">
            <v>75380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165556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165556</v>
          </cell>
        </row>
        <row r="19">
          <cell r="B19">
            <v>4949651</v>
          </cell>
          <cell r="C19">
            <v>4998809</v>
          </cell>
          <cell r="D19">
            <v>6056917</v>
          </cell>
          <cell r="E19">
            <v>7922274</v>
          </cell>
          <cell r="F19">
            <v>9109647</v>
          </cell>
          <cell r="G19">
            <v>10824054</v>
          </cell>
          <cell r="H19">
            <v>11810158</v>
          </cell>
          <cell r="I19">
            <v>11856820</v>
          </cell>
          <cell r="J19">
            <v>14219429</v>
          </cell>
          <cell r="K19">
            <v>18183602</v>
          </cell>
          <cell r="L19">
            <v>18865148</v>
          </cell>
          <cell r="M19">
            <v>28961453</v>
          </cell>
          <cell r="N19">
            <v>27038511</v>
          </cell>
          <cell r="O19">
            <v>26930284</v>
          </cell>
          <cell r="P19">
            <v>33406144</v>
          </cell>
          <cell r="Q19">
            <v>33622283</v>
          </cell>
          <cell r="R19">
            <v>36179152</v>
          </cell>
          <cell r="S19">
            <v>46176229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AB19">
            <v>875349</v>
          </cell>
          <cell r="AC19">
            <v>2229891</v>
          </cell>
          <cell r="AD19">
            <v>4173367</v>
          </cell>
          <cell r="AE19">
            <v>8467627</v>
          </cell>
          <cell r="AF19">
            <v>16005377</v>
          </cell>
          <cell r="AG19">
            <v>27855975</v>
          </cell>
          <cell r="AH19">
            <v>37886407</v>
          </cell>
          <cell r="AI19">
            <v>66010203</v>
          </cell>
          <cell r="AJ19">
            <v>87374939</v>
          </cell>
          <cell r="AK19">
            <v>115977664</v>
          </cell>
          <cell r="AL19">
            <v>0</v>
          </cell>
          <cell r="AM19">
            <v>0</v>
          </cell>
          <cell r="AN19">
            <v>15746234</v>
          </cell>
          <cell r="AO19">
            <v>147757962</v>
          </cell>
          <cell r="AP19">
            <v>203352603</v>
          </cell>
        </row>
        <row r="22">
          <cell r="B22">
            <v>3215697</v>
          </cell>
          <cell r="C22">
            <v>3257503</v>
          </cell>
          <cell r="D22">
            <v>3869422</v>
          </cell>
          <cell r="E22">
            <v>5353474</v>
          </cell>
          <cell r="F22">
            <v>6049925</v>
          </cell>
          <cell r="G22">
            <v>7260426</v>
          </cell>
          <cell r="H22">
            <v>7935839</v>
          </cell>
          <cell r="I22">
            <v>7863518</v>
          </cell>
          <cell r="J22">
            <v>9564010</v>
          </cell>
          <cell r="K22">
            <v>11877741</v>
          </cell>
          <cell r="L22">
            <v>12025775</v>
          </cell>
          <cell r="M22">
            <v>19539591</v>
          </cell>
          <cell r="N22">
            <v>17326726</v>
          </cell>
          <cell r="O22">
            <v>17035327</v>
          </cell>
          <cell r="P22">
            <v>21966131</v>
          </cell>
          <cell r="Q22">
            <v>21785835</v>
          </cell>
          <cell r="R22">
            <v>23354530</v>
          </cell>
          <cell r="S22">
            <v>28884961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AB22">
            <v>576123</v>
          </cell>
          <cell r="AC22">
            <v>1444862</v>
          </cell>
          <cell r="AD22">
            <v>2694344</v>
          </cell>
          <cell r="AE22">
            <v>5463218</v>
          </cell>
          <cell r="AF22">
            <v>10342622</v>
          </cell>
          <cell r="AG22">
            <v>18663825</v>
          </cell>
          <cell r="AH22">
            <v>25363367</v>
          </cell>
          <cell r="AI22">
            <v>43443107</v>
          </cell>
          <cell r="AJ22">
            <v>56328184</v>
          </cell>
          <cell r="AK22">
            <v>74025326</v>
          </cell>
          <cell r="AL22">
            <v>0</v>
          </cell>
          <cell r="AM22">
            <v>0</v>
          </cell>
          <cell r="AN22">
            <v>10178547</v>
          </cell>
          <cell r="AO22">
            <v>97812921</v>
          </cell>
          <cell r="AP22">
            <v>130353510</v>
          </cell>
        </row>
        <row r="23">
          <cell r="S23">
            <v>1719283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1719283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1719283</v>
          </cell>
        </row>
        <row r="24"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75209</v>
          </cell>
          <cell r="K24">
            <v>164865</v>
          </cell>
          <cell r="L24">
            <v>139985</v>
          </cell>
          <cell r="M24">
            <v>345369</v>
          </cell>
          <cell r="N24">
            <v>157845</v>
          </cell>
          <cell r="O24">
            <v>142346</v>
          </cell>
          <cell r="P24">
            <v>223849</v>
          </cell>
          <cell r="Q24">
            <v>-232833</v>
          </cell>
          <cell r="R24">
            <v>-307017</v>
          </cell>
          <cell r="S24">
            <v>-235137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75209</v>
          </cell>
          <cell r="AI24">
            <v>650219</v>
          </cell>
          <cell r="AJ24">
            <v>524040</v>
          </cell>
          <cell r="AK24">
            <v>-774987</v>
          </cell>
          <cell r="AL24">
            <v>0</v>
          </cell>
          <cell r="AM24">
            <v>0</v>
          </cell>
          <cell r="AN24">
            <v>0</v>
          </cell>
          <cell r="AO24">
            <v>725428</v>
          </cell>
          <cell r="AP24">
            <v>-250947</v>
          </cell>
        </row>
        <row r="25">
          <cell r="B25">
            <v>-15992</v>
          </cell>
          <cell r="C25">
            <v>-15458</v>
          </cell>
          <cell r="D25">
            <v>-5201</v>
          </cell>
          <cell r="E25">
            <v>6296</v>
          </cell>
          <cell r="F25">
            <v>-5827</v>
          </cell>
          <cell r="G25">
            <v>92699</v>
          </cell>
          <cell r="H25">
            <v>-34489</v>
          </cell>
          <cell r="I25">
            <v>-14912</v>
          </cell>
          <cell r="J25">
            <v>-2542</v>
          </cell>
          <cell r="K25">
            <v>-16957</v>
          </cell>
          <cell r="L25">
            <v>-20928</v>
          </cell>
          <cell r="M25">
            <v>36638</v>
          </cell>
          <cell r="N25">
            <v>-59382</v>
          </cell>
          <cell r="O25">
            <v>-292762</v>
          </cell>
          <cell r="P25">
            <v>-59982</v>
          </cell>
          <cell r="Q25">
            <v>-55216</v>
          </cell>
          <cell r="R25">
            <v>-59109</v>
          </cell>
          <cell r="S25">
            <v>-932250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AB25">
            <v>7254</v>
          </cell>
          <cell r="AC25">
            <v>18359</v>
          </cell>
          <cell r="AD25">
            <v>18306</v>
          </cell>
          <cell r="AE25">
            <v>3550</v>
          </cell>
          <cell r="AF25">
            <v>-36651</v>
          </cell>
          <cell r="AG25">
            <v>93168</v>
          </cell>
          <cell r="AH25">
            <v>-51943</v>
          </cell>
          <cell r="AI25">
            <v>-1247</v>
          </cell>
          <cell r="AJ25">
            <v>-412126</v>
          </cell>
          <cell r="AK25">
            <v>-1046575</v>
          </cell>
          <cell r="AL25">
            <v>0</v>
          </cell>
          <cell r="AM25">
            <v>0</v>
          </cell>
          <cell r="AN25">
            <v>47469</v>
          </cell>
          <cell r="AO25">
            <v>3327</v>
          </cell>
          <cell r="AP25">
            <v>-1458701</v>
          </cell>
        </row>
        <row r="26">
          <cell r="N26">
            <v>0</v>
          </cell>
          <cell r="O26">
            <v>118956</v>
          </cell>
          <cell r="P26">
            <v>0</v>
          </cell>
          <cell r="Q26">
            <v>227980</v>
          </cell>
          <cell r="R26">
            <v>-31730</v>
          </cell>
          <cell r="S26">
            <v>901634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118956</v>
          </cell>
          <cell r="AK26">
            <v>1097884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1216840</v>
          </cell>
        </row>
        <row r="27">
          <cell r="B27">
            <v>671078</v>
          </cell>
          <cell r="C27">
            <v>744702</v>
          </cell>
          <cell r="D27">
            <v>761984</v>
          </cell>
          <cell r="E27">
            <v>1125909</v>
          </cell>
          <cell r="F27">
            <v>1237155</v>
          </cell>
          <cell r="G27">
            <v>1513185</v>
          </cell>
          <cell r="H27">
            <v>1677067</v>
          </cell>
          <cell r="I27">
            <v>1706131</v>
          </cell>
          <cell r="J27">
            <v>1939078</v>
          </cell>
          <cell r="K27">
            <v>2357066</v>
          </cell>
          <cell r="L27">
            <v>2514336</v>
          </cell>
          <cell r="M27">
            <v>4155526</v>
          </cell>
          <cell r="N27">
            <v>3521728</v>
          </cell>
          <cell r="O27">
            <v>3532199</v>
          </cell>
          <cell r="P27">
            <v>4441306</v>
          </cell>
          <cell r="Q27">
            <v>4368793</v>
          </cell>
          <cell r="R27">
            <v>4677518</v>
          </cell>
          <cell r="S27">
            <v>5718768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AB27">
            <v>112288</v>
          </cell>
          <cell r="AC27">
            <v>289435</v>
          </cell>
          <cell r="AD27">
            <v>549711</v>
          </cell>
          <cell r="AE27">
            <v>1110141</v>
          </cell>
          <cell r="AF27">
            <v>2177764</v>
          </cell>
          <cell r="AG27">
            <v>3876249</v>
          </cell>
          <cell r="AH27">
            <v>5322276</v>
          </cell>
          <cell r="AI27">
            <v>9026928</v>
          </cell>
          <cell r="AJ27">
            <v>11495233</v>
          </cell>
          <cell r="AK27">
            <v>14765079</v>
          </cell>
          <cell r="AL27">
            <v>0</v>
          </cell>
          <cell r="AM27">
            <v>0</v>
          </cell>
          <cell r="AN27">
            <v>2061575</v>
          </cell>
          <cell r="AO27">
            <v>20403217</v>
          </cell>
          <cell r="AP27">
            <v>26260312</v>
          </cell>
        </row>
        <row r="28"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</row>
        <row r="35">
          <cell r="B35">
            <v>3870783</v>
          </cell>
          <cell r="C35">
            <v>3986747</v>
          </cell>
          <cell r="D35">
            <v>4626205</v>
          </cell>
          <cell r="E35">
            <v>6485679</v>
          </cell>
          <cell r="F35">
            <v>7281253</v>
          </cell>
          <cell r="G35">
            <v>8866310</v>
          </cell>
          <cell r="H35">
            <v>9578417</v>
          </cell>
          <cell r="I35">
            <v>9554737</v>
          </cell>
          <cell r="J35">
            <v>11575755</v>
          </cell>
          <cell r="K35">
            <v>14382715</v>
          </cell>
          <cell r="L35">
            <v>14659168</v>
          </cell>
          <cell r="M35">
            <v>24077124</v>
          </cell>
          <cell r="N35">
            <v>20946917</v>
          </cell>
          <cell r="O35">
            <v>20536066</v>
          </cell>
          <cell r="P35">
            <v>26571304</v>
          </cell>
          <cell r="Q35">
            <v>26094559</v>
          </cell>
          <cell r="R35">
            <v>27634192</v>
          </cell>
          <cell r="S35">
            <v>36057259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AB35">
            <v>695665</v>
          </cell>
          <cell r="AC35">
            <v>1752656</v>
          </cell>
          <cell r="AD35">
            <v>3262361</v>
          </cell>
          <cell r="AE35">
            <v>6576909</v>
          </cell>
          <cell r="AF35">
            <v>12483735</v>
          </cell>
          <cell r="AG35">
            <v>22633242</v>
          </cell>
          <cell r="AH35">
            <v>30708909</v>
          </cell>
          <cell r="AI35">
            <v>53119007</v>
          </cell>
          <cell r="AJ35">
            <v>68054287</v>
          </cell>
          <cell r="AK35">
            <v>89786010</v>
          </cell>
          <cell r="AL35">
            <v>0</v>
          </cell>
          <cell r="AM35">
            <v>0</v>
          </cell>
          <cell r="AN35">
            <v>12287591</v>
          </cell>
          <cell r="AO35">
            <v>118944893</v>
          </cell>
          <cell r="AP35">
            <v>157840297</v>
          </cell>
        </row>
        <row r="37">
          <cell r="AF37">
            <v>0</v>
          </cell>
        </row>
        <row r="38">
          <cell r="B38">
            <v>1078868</v>
          </cell>
          <cell r="C38">
            <v>1012062</v>
          </cell>
          <cell r="D38">
            <v>1430712</v>
          </cell>
          <cell r="E38">
            <v>1436595</v>
          </cell>
          <cell r="F38">
            <v>1828394</v>
          </cell>
          <cell r="G38">
            <v>1957744</v>
          </cell>
          <cell r="H38">
            <v>2231741</v>
          </cell>
          <cell r="I38">
            <v>2302083</v>
          </cell>
          <cell r="J38">
            <v>2643674</v>
          </cell>
          <cell r="K38">
            <v>3800887</v>
          </cell>
          <cell r="L38">
            <v>4205980</v>
          </cell>
          <cell r="M38">
            <v>4884329</v>
          </cell>
          <cell r="N38">
            <v>6091594</v>
          </cell>
          <cell r="O38">
            <v>6394218</v>
          </cell>
          <cell r="P38">
            <v>6834840</v>
          </cell>
          <cell r="Q38">
            <v>7527724</v>
          </cell>
          <cell r="R38">
            <v>8544960</v>
          </cell>
          <cell r="S38">
            <v>10118970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AB38">
            <v>179684</v>
          </cell>
          <cell r="AC38">
            <v>477235</v>
          </cell>
          <cell r="AD38">
            <v>911006</v>
          </cell>
          <cell r="AE38">
            <v>1890718</v>
          </cell>
          <cell r="AF38">
            <v>3521642</v>
          </cell>
          <cell r="AG38">
            <v>5222733</v>
          </cell>
          <cell r="AH38">
            <v>7177498</v>
          </cell>
          <cell r="AI38">
            <v>12891196</v>
          </cell>
          <cell r="AJ38">
            <v>19320652</v>
          </cell>
          <cell r="AK38">
            <v>26191654</v>
          </cell>
          <cell r="AL38">
            <v>0</v>
          </cell>
          <cell r="AM38">
            <v>0</v>
          </cell>
          <cell r="AN38">
            <v>3458643</v>
          </cell>
          <cell r="AO38">
            <v>28813069</v>
          </cell>
          <cell r="AP38">
            <v>45512306</v>
          </cell>
        </row>
        <row r="42">
          <cell r="B42">
            <v>0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50156</v>
          </cell>
          <cell r="O42">
            <v>57280</v>
          </cell>
          <cell r="P42">
            <v>186497</v>
          </cell>
          <cell r="Q42">
            <v>126701</v>
          </cell>
          <cell r="R42">
            <v>209474</v>
          </cell>
          <cell r="S42">
            <v>209308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293933</v>
          </cell>
          <cell r="AK42">
            <v>545483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839416</v>
          </cell>
        </row>
        <row r="43">
          <cell r="B43">
            <v>245583</v>
          </cell>
          <cell r="C43">
            <v>256487</v>
          </cell>
          <cell r="D43">
            <v>279369</v>
          </cell>
          <cell r="E43">
            <v>421477</v>
          </cell>
          <cell r="F43">
            <v>489713</v>
          </cell>
          <cell r="G43">
            <v>384152</v>
          </cell>
          <cell r="H43">
            <v>424868</v>
          </cell>
          <cell r="I43">
            <v>411484</v>
          </cell>
          <cell r="J43">
            <v>526204</v>
          </cell>
          <cell r="K43">
            <v>559169</v>
          </cell>
          <cell r="L43">
            <v>610198</v>
          </cell>
          <cell r="M43">
            <v>846818</v>
          </cell>
          <cell r="N43">
            <v>733350</v>
          </cell>
          <cell r="O43">
            <v>629988</v>
          </cell>
          <cell r="P43">
            <v>611621</v>
          </cell>
          <cell r="Q43">
            <v>668265</v>
          </cell>
          <cell r="R43">
            <v>714050</v>
          </cell>
          <cell r="S43">
            <v>901748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AB43">
            <v>69319</v>
          </cell>
          <cell r="AC43">
            <v>142685</v>
          </cell>
          <cell r="AD43">
            <v>317008</v>
          </cell>
          <cell r="AE43">
            <v>509501</v>
          </cell>
          <cell r="AF43">
            <v>781439</v>
          </cell>
          <cell r="AG43">
            <v>1295342</v>
          </cell>
          <cell r="AH43">
            <v>1362556</v>
          </cell>
          <cell r="AI43">
            <v>2016185</v>
          </cell>
          <cell r="AJ43">
            <v>1974959</v>
          </cell>
          <cell r="AK43">
            <v>2284063</v>
          </cell>
          <cell r="AL43">
            <v>0</v>
          </cell>
          <cell r="AM43">
            <v>0</v>
          </cell>
          <cell r="AN43">
            <v>1038513</v>
          </cell>
          <cell r="AO43">
            <v>5455522</v>
          </cell>
          <cell r="AP43">
            <v>4259022</v>
          </cell>
        </row>
        <row r="44">
          <cell r="B44">
            <v>0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26121</v>
          </cell>
          <cell r="L44">
            <v>32697</v>
          </cell>
          <cell r="M44">
            <v>25628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84446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84446</v>
          </cell>
          <cell r="AP44">
            <v>0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496</v>
          </cell>
          <cell r="J45">
            <v>72905</v>
          </cell>
          <cell r="K45">
            <v>122264</v>
          </cell>
          <cell r="L45">
            <v>281309</v>
          </cell>
          <cell r="M45">
            <v>464148</v>
          </cell>
          <cell r="N45">
            <v>569383</v>
          </cell>
          <cell r="O45">
            <v>613264</v>
          </cell>
          <cell r="P45">
            <v>692502</v>
          </cell>
          <cell r="Q45">
            <v>837809</v>
          </cell>
          <cell r="R45">
            <v>837272</v>
          </cell>
          <cell r="S45">
            <v>961747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73401</v>
          </cell>
          <cell r="AI45">
            <v>867721</v>
          </cell>
          <cell r="AJ45">
            <v>1875149</v>
          </cell>
          <cell r="AK45">
            <v>2636828</v>
          </cell>
          <cell r="AL45">
            <v>0</v>
          </cell>
          <cell r="AM45">
            <v>0</v>
          </cell>
          <cell r="AN45">
            <v>0</v>
          </cell>
          <cell r="AO45">
            <v>941122</v>
          </cell>
          <cell r="AP45">
            <v>4511977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308</v>
          </cell>
          <cell r="L46">
            <v>165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473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473</v>
          </cell>
          <cell r="AP46">
            <v>0</v>
          </cell>
        </row>
        <row r="47">
          <cell r="B47">
            <v>74484</v>
          </cell>
          <cell r="C47">
            <v>65300</v>
          </cell>
          <cell r="D47">
            <v>57638</v>
          </cell>
          <cell r="E47">
            <v>72976</v>
          </cell>
          <cell r="F47">
            <v>85909</v>
          </cell>
          <cell r="G47">
            <v>92468</v>
          </cell>
          <cell r="H47">
            <v>75874</v>
          </cell>
          <cell r="I47">
            <v>96398</v>
          </cell>
          <cell r="J47">
            <v>98796</v>
          </cell>
          <cell r="K47">
            <v>108148</v>
          </cell>
          <cell r="L47">
            <v>104118</v>
          </cell>
          <cell r="M47">
            <v>118017</v>
          </cell>
          <cell r="N47">
            <v>96829</v>
          </cell>
          <cell r="O47">
            <v>106665</v>
          </cell>
          <cell r="P47">
            <v>96103</v>
          </cell>
          <cell r="Q47">
            <v>117651</v>
          </cell>
          <cell r="R47">
            <v>93108</v>
          </cell>
          <cell r="S47">
            <v>113256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AB47">
            <v>27764</v>
          </cell>
          <cell r="AC47">
            <v>53908</v>
          </cell>
          <cell r="AD47">
            <v>111158</v>
          </cell>
          <cell r="AE47">
            <v>201850</v>
          </cell>
          <cell r="AF47">
            <v>197422</v>
          </cell>
          <cell r="AG47">
            <v>251353</v>
          </cell>
          <cell r="AH47">
            <v>271068</v>
          </cell>
          <cell r="AI47">
            <v>330283</v>
          </cell>
          <cell r="AJ47">
            <v>299597</v>
          </cell>
          <cell r="AK47">
            <v>324015</v>
          </cell>
          <cell r="AL47">
            <v>0</v>
          </cell>
          <cell r="AM47">
            <v>0</v>
          </cell>
          <cell r="AN47">
            <v>394680</v>
          </cell>
          <cell r="AO47">
            <v>1050126</v>
          </cell>
          <cell r="AP47">
            <v>623612</v>
          </cell>
        </row>
        <row r="48">
          <cell r="B48">
            <v>7643</v>
          </cell>
          <cell r="C48">
            <v>10911</v>
          </cell>
          <cell r="D48">
            <v>25204</v>
          </cell>
          <cell r="E48">
            <v>27022</v>
          </cell>
          <cell r="F48">
            <v>29862</v>
          </cell>
          <cell r="G48">
            <v>36857</v>
          </cell>
          <cell r="H48">
            <v>40378</v>
          </cell>
          <cell r="I48">
            <v>14466</v>
          </cell>
          <cell r="J48">
            <v>33731</v>
          </cell>
          <cell r="K48">
            <v>20560</v>
          </cell>
          <cell r="L48">
            <v>20179.400000000001</v>
          </cell>
          <cell r="M48">
            <v>20229</v>
          </cell>
          <cell r="N48">
            <v>42937</v>
          </cell>
          <cell r="O48">
            <v>39216</v>
          </cell>
          <cell r="P48">
            <v>48499</v>
          </cell>
          <cell r="Q48">
            <v>44694</v>
          </cell>
          <cell r="R48">
            <v>53075</v>
          </cell>
          <cell r="S48">
            <v>102633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AB48">
            <v>19</v>
          </cell>
          <cell r="AC48">
            <v>52</v>
          </cell>
          <cell r="AD48">
            <v>175</v>
          </cell>
          <cell r="AE48">
            <v>15093</v>
          </cell>
          <cell r="AF48">
            <v>43758</v>
          </cell>
          <cell r="AG48">
            <v>93741</v>
          </cell>
          <cell r="AH48">
            <v>88575</v>
          </cell>
          <cell r="AI48">
            <v>60968.4</v>
          </cell>
          <cell r="AJ48">
            <v>130652</v>
          </cell>
          <cell r="AK48">
            <v>200402</v>
          </cell>
          <cell r="AL48">
            <v>0</v>
          </cell>
          <cell r="AM48">
            <v>0</v>
          </cell>
          <cell r="AN48">
            <v>15339</v>
          </cell>
          <cell r="AO48">
            <v>287042.40000000002</v>
          </cell>
          <cell r="AP48">
            <v>331054</v>
          </cell>
        </row>
        <row r="49">
          <cell r="B49">
            <v>362</v>
          </cell>
          <cell r="C49">
            <v>362</v>
          </cell>
          <cell r="D49">
            <v>-329</v>
          </cell>
          <cell r="E49">
            <v>4361</v>
          </cell>
          <cell r="F49">
            <v>1331</v>
          </cell>
          <cell r="G49">
            <v>11760</v>
          </cell>
          <cell r="H49">
            <v>14791</v>
          </cell>
          <cell r="I49">
            <v>13946</v>
          </cell>
          <cell r="J49">
            <v>16047</v>
          </cell>
          <cell r="K49">
            <v>19172</v>
          </cell>
          <cell r="L49">
            <v>17927</v>
          </cell>
          <cell r="M49">
            <v>12131</v>
          </cell>
          <cell r="N49">
            <v>20048</v>
          </cell>
          <cell r="O49">
            <v>19242</v>
          </cell>
          <cell r="P49">
            <v>20091</v>
          </cell>
          <cell r="Q49">
            <v>20375</v>
          </cell>
          <cell r="R49">
            <v>20429</v>
          </cell>
          <cell r="S49">
            <v>26056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395</v>
          </cell>
          <cell r="AG49">
            <v>17452</v>
          </cell>
          <cell r="AH49">
            <v>44784</v>
          </cell>
          <cell r="AI49">
            <v>49230</v>
          </cell>
          <cell r="AJ49">
            <v>59381</v>
          </cell>
          <cell r="AK49">
            <v>66860</v>
          </cell>
          <cell r="AL49">
            <v>0</v>
          </cell>
          <cell r="AM49">
            <v>0</v>
          </cell>
          <cell r="AN49">
            <v>0</v>
          </cell>
          <cell r="AO49">
            <v>111861</v>
          </cell>
          <cell r="AP49">
            <v>126241</v>
          </cell>
        </row>
        <row r="50">
          <cell r="B50">
            <v>4694</v>
          </cell>
          <cell r="C50">
            <v>4694</v>
          </cell>
          <cell r="D50">
            <v>27336</v>
          </cell>
          <cell r="E50">
            <v>62571</v>
          </cell>
          <cell r="F50">
            <v>157622</v>
          </cell>
          <cell r="G50">
            <v>61630</v>
          </cell>
          <cell r="H50">
            <v>75485</v>
          </cell>
          <cell r="I50">
            <v>104503</v>
          </cell>
          <cell r="J50">
            <v>65574</v>
          </cell>
          <cell r="K50">
            <v>88799</v>
          </cell>
          <cell r="L50">
            <v>71988</v>
          </cell>
          <cell r="M50">
            <v>160773</v>
          </cell>
          <cell r="N50">
            <v>82985</v>
          </cell>
          <cell r="O50">
            <v>80831</v>
          </cell>
          <cell r="P50">
            <v>98671</v>
          </cell>
          <cell r="Q50">
            <v>70942</v>
          </cell>
          <cell r="R50">
            <v>188183</v>
          </cell>
          <cell r="S50">
            <v>160188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36724</v>
          </cell>
          <cell r="AG50">
            <v>281823</v>
          </cell>
          <cell r="AH50">
            <v>245562</v>
          </cell>
          <cell r="AI50">
            <v>321560</v>
          </cell>
          <cell r="AJ50">
            <v>262487</v>
          </cell>
          <cell r="AK50">
            <v>419313</v>
          </cell>
          <cell r="AL50">
            <v>0</v>
          </cell>
          <cell r="AM50">
            <v>0</v>
          </cell>
          <cell r="AN50">
            <v>0</v>
          </cell>
          <cell r="AO50">
            <v>885669</v>
          </cell>
          <cell r="AP50">
            <v>681800</v>
          </cell>
        </row>
        <row r="51">
          <cell r="B51">
            <v>81527</v>
          </cell>
          <cell r="C51">
            <v>108972</v>
          </cell>
          <cell r="D51">
            <v>160285</v>
          </cell>
          <cell r="E51">
            <v>221402</v>
          </cell>
          <cell r="F51">
            <v>258599</v>
          </cell>
          <cell r="G51">
            <v>232525</v>
          </cell>
          <cell r="H51">
            <v>250777</v>
          </cell>
          <cell r="I51">
            <v>308110</v>
          </cell>
          <cell r="J51">
            <v>368580</v>
          </cell>
          <cell r="K51">
            <v>414005</v>
          </cell>
          <cell r="L51">
            <v>415689</v>
          </cell>
          <cell r="M51">
            <v>492019</v>
          </cell>
          <cell r="N51">
            <v>605834</v>
          </cell>
          <cell r="O51">
            <v>581822</v>
          </cell>
          <cell r="P51">
            <v>644776</v>
          </cell>
          <cell r="Q51">
            <v>692226</v>
          </cell>
          <cell r="R51">
            <v>1029914</v>
          </cell>
          <cell r="S51">
            <v>1103854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AB51">
            <v>16444</v>
          </cell>
          <cell r="AC51">
            <v>30980</v>
          </cell>
          <cell r="AD51">
            <v>109804</v>
          </cell>
          <cell r="AE51">
            <v>198581</v>
          </cell>
          <cell r="AF51">
            <v>350784</v>
          </cell>
          <cell r="AG51">
            <v>712526</v>
          </cell>
          <cell r="AH51">
            <v>927467</v>
          </cell>
          <cell r="AI51">
            <v>1321713</v>
          </cell>
          <cell r="AJ51">
            <v>1832432</v>
          </cell>
          <cell r="AK51">
            <v>2825994</v>
          </cell>
          <cell r="AL51">
            <v>0</v>
          </cell>
          <cell r="AM51">
            <v>0</v>
          </cell>
          <cell r="AN51">
            <v>355809</v>
          </cell>
          <cell r="AO51">
            <v>3312490</v>
          </cell>
          <cell r="AP51">
            <v>4658426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2224</v>
          </cell>
          <cell r="L52">
            <v>0</v>
          </cell>
          <cell r="M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2224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2224</v>
          </cell>
          <cell r="AP52">
            <v>0</v>
          </cell>
        </row>
        <row r="53">
          <cell r="B53">
            <v>107043</v>
          </cell>
          <cell r="C53">
            <v>130816</v>
          </cell>
          <cell r="D53">
            <v>156971</v>
          </cell>
          <cell r="E53">
            <v>212872</v>
          </cell>
          <cell r="F53">
            <v>239118</v>
          </cell>
          <cell r="G53">
            <v>281401</v>
          </cell>
          <cell r="H53">
            <v>315982</v>
          </cell>
          <cell r="I53">
            <v>309894</v>
          </cell>
          <cell r="J53">
            <v>373938</v>
          </cell>
          <cell r="K53">
            <v>489785</v>
          </cell>
          <cell r="L53">
            <v>517732</v>
          </cell>
          <cell r="M53">
            <v>781852</v>
          </cell>
          <cell r="N53">
            <v>687416</v>
          </cell>
          <cell r="O53">
            <v>721808</v>
          </cell>
          <cell r="P53">
            <v>810605</v>
          </cell>
          <cell r="Q53">
            <v>871419</v>
          </cell>
          <cell r="R53">
            <v>915594</v>
          </cell>
          <cell r="S53">
            <v>1095792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AB53">
            <v>19479</v>
          </cell>
          <cell r="AC53">
            <v>47208</v>
          </cell>
          <cell r="AD53">
            <v>138858</v>
          </cell>
          <cell r="AE53">
            <v>255531</v>
          </cell>
          <cell r="AF53">
            <v>394830</v>
          </cell>
          <cell r="AG53">
            <v>733391</v>
          </cell>
          <cell r="AH53">
            <v>999814</v>
          </cell>
          <cell r="AI53">
            <v>1789369</v>
          </cell>
          <cell r="AJ53">
            <v>2219829</v>
          </cell>
          <cell r="AK53">
            <v>2882805</v>
          </cell>
          <cell r="AL53">
            <v>0</v>
          </cell>
          <cell r="AM53">
            <v>0</v>
          </cell>
          <cell r="AN53">
            <v>461076</v>
          </cell>
          <cell r="AO53">
            <v>3917404</v>
          </cell>
          <cell r="AP53">
            <v>5102634</v>
          </cell>
        </row>
        <row r="54"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289906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289906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289906</v>
          </cell>
        </row>
        <row r="55">
          <cell r="B55">
            <v>521336</v>
          </cell>
          <cell r="C55">
            <v>577542</v>
          </cell>
          <cell r="D55">
            <v>706474</v>
          </cell>
          <cell r="E55">
            <v>1022681</v>
          </cell>
          <cell r="F55">
            <v>1262154</v>
          </cell>
          <cell r="G55">
            <v>1100793</v>
          </cell>
          <cell r="H55">
            <v>1198155</v>
          </cell>
          <cell r="I55">
            <v>1259297</v>
          </cell>
          <cell r="J55">
            <v>1555775</v>
          </cell>
          <cell r="K55">
            <v>1850555</v>
          </cell>
          <cell r="L55">
            <v>2072002.4</v>
          </cell>
          <cell r="M55">
            <v>2921615</v>
          </cell>
          <cell r="N55">
            <v>2888938</v>
          </cell>
          <cell r="O55">
            <v>2850116</v>
          </cell>
          <cell r="P55">
            <v>3209365</v>
          </cell>
          <cell r="Q55">
            <v>3450082</v>
          </cell>
          <cell r="R55">
            <v>4061099</v>
          </cell>
          <cell r="S55">
            <v>4964488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AB55">
            <v>133025</v>
          </cell>
          <cell r="AC55">
            <v>274833</v>
          </cell>
          <cell r="AD55">
            <v>677003</v>
          </cell>
          <cell r="AE55">
            <v>1180556</v>
          </cell>
          <cell r="AF55">
            <v>1805352</v>
          </cell>
          <cell r="AG55">
            <v>3385628</v>
          </cell>
          <cell r="AH55">
            <v>4013227</v>
          </cell>
          <cell r="AI55">
            <v>6844172.4000000004</v>
          </cell>
          <cell r="AJ55">
            <v>8948419</v>
          </cell>
          <cell r="AK55">
            <v>12475669</v>
          </cell>
          <cell r="AL55">
            <v>0</v>
          </cell>
          <cell r="AM55">
            <v>0</v>
          </cell>
          <cell r="AN55">
            <v>2265417</v>
          </cell>
          <cell r="AO55">
            <v>16048379.4</v>
          </cell>
          <cell r="AP55">
            <v>21424088</v>
          </cell>
        </row>
        <row r="58">
          <cell r="B58">
            <v>557532</v>
          </cell>
          <cell r="C58">
            <v>434520</v>
          </cell>
          <cell r="D58">
            <v>724238</v>
          </cell>
          <cell r="E58">
            <v>413914</v>
          </cell>
          <cell r="F58">
            <v>566240</v>
          </cell>
          <cell r="G58">
            <v>856951</v>
          </cell>
          <cell r="H58">
            <v>1033586</v>
          </cell>
          <cell r="I58">
            <v>1042786</v>
          </cell>
          <cell r="J58">
            <v>1087899</v>
          </cell>
          <cell r="K58">
            <v>1950332</v>
          </cell>
          <cell r="L58">
            <v>2133977.6</v>
          </cell>
          <cell r="M58">
            <v>1962714</v>
          </cell>
          <cell r="N58">
            <v>3202656</v>
          </cell>
          <cell r="O58">
            <v>3544102</v>
          </cell>
          <cell r="P58">
            <v>3625475</v>
          </cell>
          <cell r="Q58">
            <v>4077642</v>
          </cell>
          <cell r="R58">
            <v>4483861</v>
          </cell>
          <cell r="S58">
            <v>5154482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AB58">
            <v>46659</v>
          </cell>
          <cell r="AC58">
            <v>202402</v>
          </cell>
          <cell r="AD58">
            <v>234003</v>
          </cell>
          <cell r="AE58">
            <v>710162</v>
          </cell>
          <cell r="AF58">
            <v>1716290</v>
          </cell>
          <cell r="AG58">
            <v>1837105</v>
          </cell>
          <cell r="AH58">
            <v>3164271</v>
          </cell>
          <cell r="AI58">
            <v>6047023.5999999996</v>
          </cell>
          <cell r="AJ58">
            <v>10372233</v>
          </cell>
          <cell r="AK58">
            <v>13715985</v>
          </cell>
          <cell r="AL58">
            <v>0</v>
          </cell>
          <cell r="AM58">
            <v>0</v>
          </cell>
          <cell r="AN58">
            <v>1193226</v>
          </cell>
          <cell r="AO58">
            <v>12764689.6</v>
          </cell>
          <cell r="AP58">
            <v>24088218</v>
          </cell>
        </row>
        <row r="62">
          <cell r="B62">
            <v>81884</v>
          </cell>
          <cell r="C62">
            <v>132457</v>
          </cell>
          <cell r="D62">
            <v>219618</v>
          </cell>
          <cell r="E62">
            <v>155715</v>
          </cell>
          <cell r="F62">
            <v>139869</v>
          </cell>
          <cell r="G62">
            <v>382106</v>
          </cell>
          <cell r="H62">
            <v>127745</v>
          </cell>
          <cell r="I62">
            <v>159190</v>
          </cell>
          <cell r="J62">
            <v>147529</v>
          </cell>
          <cell r="K62">
            <v>140457</v>
          </cell>
          <cell r="L62">
            <v>187252</v>
          </cell>
          <cell r="M62">
            <v>445968</v>
          </cell>
          <cell r="N62">
            <v>440544</v>
          </cell>
          <cell r="O62">
            <v>353101</v>
          </cell>
          <cell r="P62">
            <v>330513</v>
          </cell>
          <cell r="Q62">
            <v>430337</v>
          </cell>
          <cell r="R62">
            <v>398372</v>
          </cell>
          <cell r="S62">
            <v>323355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AB62">
            <v>49151</v>
          </cell>
          <cell r="AC62">
            <v>100049</v>
          </cell>
          <cell r="AD62">
            <v>177529</v>
          </cell>
          <cell r="AE62">
            <v>211567</v>
          </cell>
          <cell r="AF62">
            <v>433959</v>
          </cell>
          <cell r="AG62">
            <v>677690</v>
          </cell>
          <cell r="AH62">
            <v>434464</v>
          </cell>
          <cell r="AI62">
            <v>773677</v>
          </cell>
          <cell r="AJ62">
            <v>1124158</v>
          </cell>
          <cell r="AK62">
            <v>1152064</v>
          </cell>
          <cell r="AL62">
            <v>0</v>
          </cell>
          <cell r="AM62">
            <v>0</v>
          </cell>
          <cell r="AN62">
            <v>538296</v>
          </cell>
          <cell r="AO62">
            <v>2319790</v>
          </cell>
          <cell r="AP62">
            <v>2276222</v>
          </cell>
        </row>
        <row r="63">
          <cell r="B63">
            <v>3429</v>
          </cell>
          <cell r="C63">
            <v>3429</v>
          </cell>
          <cell r="D63">
            <v>4472</v>
          </cell>
          <cell r="E63">
            <v>118058</v>
          </cell>
          <cell r="F63">
            <v>102176</v>
          </cell>
          <cell r="G63">
            <v>95640</v>
          </cell>
          <cell r="H63">
            <v>148247</v>
          </cell>
          <cell r="I63">
            <v>348581</v>
          </cell>
          <cell r="J63">
            <v>238078</v>
          </cell>
          <cell r="K63">
            <v>316424</v>
          </cell>
          <cell r="L63">
            <v>193686</v>
          </cell>
          <cell r="M63">
            <v>276163</v>
          </cell>
          <cell r="N63">
            <v>316098</v>
          </cell>
          <cell r="O63">
            <v>415068</v>
          </cell>
          <cell r="P63">
            <v>845972</v>
          </cell>
          <cell r="Q63">
            <v>565439</v>
          </cell>
          <cell r="R63">
            <v>596926</v>
          </cell>
          <cell r="S63">
            <v>669118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11330</v>
          </cell>
          <cell r="AG63">
            <v>315874</v>
          </cell>
          <cell r="AH63">
            <v>734906</v>
          </cell>
          <cell r="AI63">
            <v>786273</v>
          </cell>
          <cell r="AJ63">
            <v>1577138</v>
          </cell>
          <cell r="AK63">
            <v>1831483</v>
          </cell>
          <cell r="AL63">
            <v>0</v>
          </cell>
          <cell r="AM63">
            <v>0</v>
          </cell>
          <cell r="AN63">
            <v>0</v>
          </cell>
          <cell r="AO63">
            <v>1848383</v>
          </cell>
          <cell r="AP63">
            <v>3408621</v>
          </cell>
        </row>
        <row r="64">
          <cell r="B64">
            <v>69921</v>
          </cell>
          <cell r="C64">
            <v>70059</v>
          </cell>
          <cell r="D64">
            <v>120969</v>
          </cell>
          <cell r="E64">
            <v>129866</v>
          </cell>
          <cell r="F64">
            <v>165526</v>
          </cell>
          <cell r="G64">
            <v>199365</v>
          </cell>
          <cell r="H64">
            <v>210409</v>
          </cell>
          <cell r="I64">
            <v>227197</v>
          </cell>
          <cell r="J64">
            <v>567731</v>
          </cell>
          <cell r="K64">
            <v>372258</v>
          </cell>
          <cell r="L64">
            <v>477299</v>
          </cell>
          <cell r="M64">
            <v>560597</v>
          </cell>
          <cell r="N64">
            <v>584534</v>
          </cell>
          <cell r="O64">
            <v>561270</v>
          </cell>
          <cell r="P64">
            <v>1122238</v>
          </cell>
          <cell r="Q64">
            <v>847048</v>
          </cell>
          <cell r="R64">
            <v>827547</v>
          </cell>
          <cell r="S64">
            <v>616361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AB64">
            <v>55792</v>
          </cell>
          <cell r="AC64">
            <v>68427</v>
          </cell>
          <cell r="AD64">
            <v>128746</v>
          </cell>
          <cell r="AE64">
            <v>164455</v>
          </cell>
          <cell r="AF64">
            <v>260949</v>
          </cell>
          <cell r="AG64">
            <v>494757</v>
          </cell>
          <cell r="AH64">
            <v>1005337</v>
          </cell>
          <cell r="AI64">
            <v>1410154</v>
          </cell>
          <cell r="AJ64">
            <v>2268042</v>
          </cell>
          <cell r="AK64">
            <v>2290956</v>
          </cell>
          <cell r="AL64">
            <v>0</v>
          </cell>
          <cell r="AM64">
            <v>0</v>
          </cell>
          <cell r="AN64">
            <v>417420</v>
          </cell>
          <cell r="AO64">
            <v>3171197</v>
          </cell>
          <cell r="AP64">
            <v>4558998</v>
          </cell>
        </row>
        <row r="65">
          <cell r="B65">
            <v>4694</v>
          </cell>
          <cell r="C65">
            <v>4694</v>
          </cell>
          <cell r="D65">
            <v>17214</v>
          </cell>
          <cell r="E65">
            <v>29537</v>
          </cell>
          <cell r="F65">
            <v>52642</v>
          </cell>
          <cell r="G65">
            <v>93447</v>
          </cell>
          <cell r="H65">
            <v>74367</v>
          </cell>
          <cell r="I65">
            <v>78382</v>
          </cell>
          <cell r="J65">
            <v>87807</v>
          </cell>
          <cell r="K65">
            <v>114642</v>
          </cell>
          <cell r="L65">
            <v>125108</v>
          </cell>
          <cell r="M65">
            <v>130700</v>
          </cell>
          <cell r="N65">
            <v>35405</v>
          </cell>
          <cell r="O65">
            <v>62996</v>
          </cell>
          <cell r="P65">
            <v>111041</v>
          </cell>
          <cell r="Q65">
            <v>60232</v>
          </cell>
          <cell r="R65">
            <v>43742</v>
          </cell>
          <cell r="S65">
            <v>92136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26602</v>
          </cell>
          <cell r="AG65">
            <v>175626</v>
          </cell>
          <cell r="AH65">
            <v>240556</v>
          </cell>
          <cell r="AI65">
            <v>370450</v>
          </cell>
          <cell r="AJ65">
            <v>209442</v>
          </cell>
          <cell r="AK65">
            <v>196110</v>
          </cell>
          <cell r="AL65">
            <v>0</v>
          </cell>
          <cell r="AM65">
            <v>0</v>
          </cell>
          <cell r="AN65">
            <v>0</v>
          </cell>
          <cell r="AO65">
            <v>813234</v>
          </cell>
          <cell r="AP65">
            <v>405552</v>
          </cell>
        </row>
        <row r="66">
          <cell r="B66">
            <v>158758</v>
          </cell>
          <cell r="C66">
            <v>147632</v>
          </cell>
          <cell r="D66">
            <v>224830</v>
          </cell>
          <cell r="E66">
            <v>262105</v>
          </cell>
          <cell r="F66">
            <v>258591</v>
          </cell>
          <cell r="G66">
            <v>237710</v>
          </cell>
          <cell r="H66">
            <v>241271</v>
          </cell>
          <cell r="I66">
            <v>256569</v>
          </cell>
          <cell r="J66">
            <v>274745</v>
          </cell>
          <cell r="K66">
            <v>269800</v>
          </cell>
          <cell r="L66">
            <v>259332</v>
          </cell>
          <cell r="M66">
            <v>270358</v>
          </cell>
          <cell r="N66">
            <v>273814</v>
          </cell>
          <cell r="O66">
            <v>293111</v>
          </cell>
          <cell r="P66">
            <v>450737</v>
          </cell>
          <cell r="Q66">
            <v>532917</v>
          </cell>
          <cell r="R66">
            <v>480068</v>
          </cell>
          <cell r="S66">
            <v>665228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AB66">
            <v>18879</v>
          </cell>
          <cell r="AC66">
            <v>57817</v>
          </cell>
          <cell r="AD66">
            <v>227958</v>
          </cell>
          <cell r="AE66">
            <v>291055</v>
          </cell>
          <cell r="AF66">
            <v>531220</v>
          </cell>
          <cell r="AG66">
            <v>758406</v>
          </cell>
          <cell r="AH66">
            <v>772585</v>
          </cell>
          <cell r="AI66">
            <v>799490</v>
          </cell>
          <cell r="AJ66">
            <v>1017662</v>
          </cell>
          <cell r="AK66">
            <v>1678213</v>
          </cell>
          <cell r="AL66">
            <v>0</v>
          </cell>
          <cell r="AM66">
            <v>0</v>
          </cell>
          <cell r="AN66">
            <v>595709</v>
          </cell>
          <cell r="AO66">
            <v>2861701</v>
          </cell>
          <cell r="AP66">
            <v>2695875</v>
          </cell>
        </row>
        <row r="67"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110113</v>
          </cell>
          <cell r="O67">
            <v>118230</v>
          </cell>
          <cell r="P67">
            <v>98935</v>
          </cell>
          <cell r="Q67">
            <v>104367</v>
          </cell>
          <cell r="R67">
            <v>116039</v>
          </cell>
          <cell r="S67">
            <v>123600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327278</v>
          </cell>
          <cell r="AK67">
            <v>344006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671284</v>
          </cell>
        </row>
        <row r="68">
          <cell r="B68">
            <v>73415</v>
          </cell>
          <cell r="C68">
            <v>76121</v>
          </cell>
          <cell r="D68">
            <v>84870</v>
          </cell>
          <cell r="E68">
            <v>86808</v>
          </cell>
          <cell r="F68">
            <v>89141</v>
          </cell>
          <cell r="G68">
            <v>84131</v>
          </cell>
          <cell r="H68">
            <v>83976</v>
          </cell>
          <cell r="I68">
            <v>89089</v>
          </cell>
          <cell r="J68">
            <v>86575</v>
          </cell>
          <cell r="K68">
            <v>106900</v>
          </cell>
          <cell r="L68">
            <v>94797</v>
          </cell>
          <cell r="M68">
            <v>91839</v>
          </cell>
          <cell r="N68">
            <v>43903</v>
          </cell>
          <cell r="O68">
            <v>46523</v>
          </cell>
          <cell r="P68">
            <v>46206</v>
          </cell>
          <cell r="Q68">
            <v>58279</v>
          </cell>
          <cell r="R68">
            <v>71800</v>
          </cell>
          <cell r="S68">
            <v>70726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AB68">
            <v>138837</v>
          </cell>
          <cell r="AC68">
            <v>167754</v>
          </cell>
          <cell r="AD68">
            <v>220649</v>
          </cell>
          <cell r="AE68">
            <v>234560</v>
          </cell>
          <cell r="AF68">
            <v>234406</v>
          </cell>
          <cell r="AG68">
            <v>260080</v>
          </cell>
          <cell r="AH68">
            <v>259640</v>
          </cell>
          <cell r="AI68">
            <v>293536</v>
          </cell>
          <cell r="AJ68">
            <v>136632</v>
          </cell>
          <cell r="AK68">
            <v>200805</v>
          </cell>
          <cell r="AL68">
            <v>0</v>
          </cell>
          <cell r="AM68">
            <v>0</v>
          </cell>
          <cell r="AN68">
            <v>761800</v>
          </cell>
          <cell r="AO68">
            <v>1047662</v>
          </cell>
          <cell r="AP68">
            <v>337437</v>
          </cell>
        </row>
        <row r="69">
          <cell r="B69">
            <v>27100</v>
          </cell>
          <cell r="C69">
            <v>25518</v>
          </cell>
          <cell r="D69">
            <v>23516</v>
          </cell>
          <cell r="E69">
            <v>19621</v>
          </cell>
          <cell r="F69">
            <v>68868</v>
          </cell>
          <cell r="G69">
            <v>37071</v>
          </cell>
          <cell r="H69">
            <v>23833</v>
          </cell>
          <cell r="I69">
            <v>61121</v>
          </cell>
          <cell r="J69">
            <v>49641</v>
          </cell>
          <cell r="K69">
            <v>23854</v>
          </cell>
          <cell r="L69">
            <v>22645</v>
          </cell>
          <cell r="M69">
            <v>40683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76134</v>
          </cell>
          <cell r="AG69">
            <v>125560</v>
          </cell>
          <cell r="AH69">
            <v>134595</v>
          </cell>
          <cell r="AI69">
            <v>87182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423471</v>
          </cell>
          <cell r="AP69">
            <v>0</v>
          </cell>
        </row>
        <row r="70">
          <cell r="B70">
            <v>647361</v>
          </cell>
          <cell r="C70">
            <v>665531</v>
          </cell>
          <cell r="D70">
            <v>787440</v>
          </cell>
          <cell r="E70">
            <v>761724</v>
          </cell>
          <cell r="F70">
            <v>870452</v>
          </cell>
          <cell r="G70">
            <v>866700</v>
          </cell>
          <cell r="H70">
            <v>729397</v>
          </cell>
          <cell r="I70">
            <v>914855</v>
          </cell>
          <cell r="J70">
            <v>1895109</v>
          </cell>
          <cell r="K70">
            <v>1142454</v>
          </cell>
          <cell r="L70">
            <v>1768900</v>
          </cell>
          <cell r="M70">
            <v>1398458</v>
          </cell>
          <cell r="N70">
            <v>1381159</v>
          </cell>
          <cell r="O70">
            <v>2729953</v>
          </cell>
          <cell r="P70">
            <v>3673599</v>
          </cell>
          <cell r="Q70">
            <v>1881729</v>
          </cell>
          <cell r="R70">
            <v>4451913</v>
          </cell>
          <cell r="S70">
            <v>4159065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AB70">
            <v>72523</v>
          </cell>
          <cell r="AC70">
            <v>421393</v>
          </cell>
          <cell r="AD70">
            <v>1573739</v>
          </cell>
          <cell r="AE70">
            <v>1756566</v>
          </cell>
          <cell r="AF70">
            <v>2100332</v>
          </cell>
          <cell r="AG70">
            <v>2498876</v>
          </cell>
          <cell r="AH70">
            <v>3539361</v>
          </cell>
          <cell r="AI70">
            <v>4309812</v>
          </cell>
          <cell r="AJ70">
            <v>7784711</v>
          </cell>
          <cell r="AK70">
            <v>10492707</v>
          </cell>
          <cell r="AL70">
            <v>0</v>
          </cell>
          <cell r="AM70">
            <v>0</v>
          </cell>
          <cell r="AN70">
            <v>3824221</v>
          </cell>
          <cell r="AO70">
            <v>12448381</v>
          </cell>
          <cell r="AP70">
            <v>18277418</v>
          </cell>
        </row>
        <row r="71"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1832000</v>
          </cell>
          <cell r="H71">
            <v>282000</v>
          </cell>
          <cell r="I71">
            <v>281000</v>
          </cell>
          <cell r="J71">
            <v>2787000</v>
          </cell>
          <cell r="K71">
            <v>918000</v>
          </cell>
          <cell r="L71">
            <v>1046367</v>
          </cell>
          <cell r="M71">
            <v>3048683</v>
          </cell>
          <cell r="N71">
            <v>873000</v>
          </cell>
          <cell r="O71">
            <v>881000</v>
          </cell>
          <cell r="P71">
            <v>801000</v>
          </cell>
          <cell r="Q71">
            <v>849000</v>
          </cell>
          <cell r="R71">
            <v>841000</v>
          </cell>
          <cell r="S71">
            <v>1159000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1832000</v>
          </cell>
          <cell r="AH71">
            <v>3350000</v>
          </cell>
          <cell r="AI71">
            <v>5013050</v>
          </cell>
          <cell r="AJ71">
            <v>2555000</v>
          </cell>
          <cell r="AK71">
            <v>2849000</v>
          </cell>
          <cell r="AL71">
            <v>0</v>
          </cell>
          <cell r="AM71">
            <v>0</v>
          </cell>
          <cell r="AN71">
            <v>0</v>
          </cell>
          <cell r="AO71">
            <v>10195050</v>
          </cell>
          <cell r="AP71">
            <v>5404000</v>
          </cell>
        </row>
        <row r="72"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39781</v>
          </cell>
          <cell r="G72">
            <v>17403</v>
          </cell>
          <cell r="H72">
            <v>18850</v>
          </cell>
          <cell r="I72">
            <v>30565</v>
          </cell>
          <cell r="J72">
            <v>26735</v>
          </cell>
          <cell r="K72">
            <v>35422</v>
          </cell>
          <cell r="L72">
            <v>51659</v>
          </cell>
          <cell r="M72">
            <v>51385</v>
          </cell>
          <cell r="N72">
            <v>48824</v>
          </cell>
          <cell r="O72">
            <v>74578</v>
          </cell>
          <cell r="P72">
            <v>91373</v>
          </cell>
          <cell r="Q72">
            <v>65088</v>
          </cell>
          <cell r="R72">
            <v>93017</v>
          </cell>
          <cell r="S72">
            <v>81959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57184</v>
          </cell>
          <cell r="AH72">
            <v>76150</v>
          </cell>
          <cell r="AI72">
            <v>138466</v>
          </cell>
          <cell r="AJ72">
            <v>214775</v>
          </cell>
          <cell r="AK72">
            <v>240064</v>
          </cell>
          <cell r="AL72">
            <v>0</v>
          </cell>
          <cell r="AM72">
            <v>0</v>
          </cell>
          <cell r="AN72">
            <v>0</v>
          </cell>
          <cell r="AO72">
            <v>271800</v>
          </cell>
          <cell r="AP72">
            <v>454839</v>
          </cell>
        </row>
        <row r="73">
          <cell r="B73">
            <v>0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12303</v>
          </cell>
          <cell r="O73">
            <v>14089</v>
          </cell>
          <cell r="P73">
            <v>42029</v>
          </cell>
          <cell r="Q73">
            <v>11953</v>
          </cell>
          <cell r="R73">
            <v>21154</v>
          </cell>
          <cell r="S73">
            <v>204618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68421</v>
          </cell>
          <cell r="AK73">
            <v>237725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306146</v>
          </cell>
        </row>
        <row r="74"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523006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523006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523006</v>
          </cell>
        </row>
        <row r="75">
          <cell r="B75">
            <v>1066562</v>
          </cell>
          <cell r="C75">
            <v>1125441</v>
          </cell>
          <cell r="D75">
            <v>1482929</v>
          </cell>
          <cell r="E75">
            <v>1563434</v>
          </cell>
          <cell r="F75">
            <v>1787046</v>
          </cell>
          <cell r="G75">
            <v>3845573</v>
          </cell>
          <cell r="H75">
            <v>1940095</v>
          </cell>
          <cell r="I75">
            <v>2446549</v>
          </cell>
          <cell r="J75">
            <v>6160950</v>
          </cell>
          <cell r="K75">
            <v>3440211</v>
          </cell>
          <cell r="L75">
            <v>4227045</v>
          </cell>
          <cell r="M75">
            <v>6314834</v>
          </cell>
          <cell r="N75">
            <v>4119697</v>
          </cell>
          <cell r="O75">
            <v>5549919</v>
          </cell>
          <cell r="P75">
            <v>7613643</v>
          </cell>
          <cell r="Q75">
            <v>5406389</v>
          </cell>
          <cell r="R75">
            <v>7941578</v>
          </cell>
          <cell r="S75">
            <v>8688172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AB75">
            <v>335182</v>
          </cell>
          <cell r="AC75">
            <v>815440</v>
          </cell>
          <cell r="AD75">
            <v>2328621</v>
          </cell>
          <cell r="AE75">
            <v>2658203</v>
          </cell>
          <cell r="AF75">
            <v>3674932</v>
          </cell>
          <cell r="AG75">
            <v>7196053</v>
          </cell>
          <cell r="AH75">
            <v>10547594</v>
          </cell>
          <cell r="AI75">
            <v>13982090</v>
          </cell>
          <cell r="AJ75">
            <v>17283259</v>
          </cell>
          <cell r="AK75">
            <v>22036139</v>
          </cell>
          <cell r="AL75">
            <v>0</v>
          </cell>
          <cell r="AM75">
            <v>0</v>
          </cell>
          <cell r="AN75">
            <v>6137446</v>
          </cell>
          <cell r="AO75">
            <v>35400669</v>
          </cell>
          <cell r="AP75">
            <v>39319398</v>
          </cell>
        </row>
        <row r="79">
          <cell r="B79">
            <v>65565</v>
          </cell>
          <cell r="C79">
            <v>47419</v>
          </cell>
          <cell r="D79">
            <v>6243</v>
          </cell>
          <cell r="E79">
            <v>34542</v>
          </cell>
          <cell r="F79">
            <v>34467</v>
          </cell>
          <cell r="G79">
            <v>41173</v>
          </cell>
          <cell r="H79">
            <v>49266</v>
          </cell>
          <cell r="I79">
            <v>43928</v>
          </cell>
          <cell r="J79">
            <v>59692</v>
          </cell>
          <cell r="K79">
            <v>49797</v>
          </cell>
          <cell r="L79">
            <v>52811</v>
          </cell>
          <cell r="M79">
            <v>50987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AB79">
            <v>19</v>
          </cell>
          <cell r="AC79">
            <v>52</v>
          </cell>
          <cell r="AD79">
            <v>74175</v>
          </cell>
          <cell r="AE79">
            <v>30285</v>
          </cell>
          <cell r="AF79">
            <v>119227</v>
          </cell>
          <cell r="AG79">
            <v>110182</v>
          </cell>
          <cell r="AH79">
            <v>152886</v>
          </cell>
          <cell r="AI79">
            <v>153595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104531</v>
          </cell>
          <cell r="AO79">
            <v>535890</v>
          </cell>
          <cell r="AP79">
            <v>0</v>
          </cell>
        </row>
        <row r="80">
          <cell r="B80">
            <v>80584</v>
          </cell>
          <cell r="C80">
            <v>72556</v>
          </cell>
          <cell r="D80">
            <v>300933</v>
          </cell>
          <cell r="E80">
            <v>204166</v>
          </cell>
          <cell r="F80">
            <v>179289</v>
          </cell>
          <cell r="G80">
            <v>426606</v>
          </cell>
          <cell r="H80">
            <v>235205</v>
          </cell>
          <cell r="I80">
            <v>262725</v>
          </cell>
          <cell r="J80">
            <v>346848</v>
          </cell>
          <cell r="K80">
            <v>158160</v>
          </cell>
          <cell r="L80">
            <v>180798</v>
          </cell>
          <cell r="M80">
            <v>401258</v>
          </cell>
          <cell r="N80">
            <v>208194</v>
          </cell>
          <cell r="O80">
            <v>202554</v>
          </cell>
          <cell r="P80">
            <v>30803</v>
          </cell>
          <cell r="Q80">
            <v>317913</v>
          </cell>
          <cell r="R80">
            <v>444611</v>
          </cell>
          <cell r="S80">
            <v>110431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AB80">
            <v>47409</v>
          </cell>
          <cell r="AC80">
            <v>159922</v>
          </cell>
          <cell r="AD80">
            <v>285326</v>
          </cell>
          <cell r="AE80">
            <v>388650</v>
          </cell>
          <cell r="AF80">
            <v>454073</v>
          </cell>
          <cell r="AG80">
            <v>810061</v>
          </cell>
          <cell r="AH80">
            <v>844778</v>
          </cell>
          <cell r="AI80">
            <v>740216</v>
          </cell>
          <cell r="AJ80">
            <v>441551</v>
          </cell>
          <cell r="AK80">
            <v>872955</v>
          </cell>
          <cell r="AL80">
            <v>0</v>
          </cell>
          <cell r="AM80">
            <v>0</v>
          </cell>
          <cell r="AN80">
            <v>881307</v>
          </cell>
          <cell r="AO80">
            <v>2849128</v>
          </cell>
          <cell r="AP80">
            <v>1314506</v>
          </cell>
        </row>
        <row r="81">
          <cell r="B81">
            <v>0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22089</v>
          </cell>
          <cell r="K81">
            <v>23960</v>
          </cell>
          <cell r="L81">
            <v>20568</v>
          </cell>
          <cell r="M81">
            <v>55843</v>
          </cell>
          <cell r="N81">
            <v>21537</v>
          </cell>
          <cell r="O81">
            <v>22786</v>
          </cell>
          <cell r="P81">
            <v>27131</v>
          </cell>
          <cell r="Q81">
            <v>56944</v>
          </cell>
          <cell r="R81">
            <v>92637</v>
          </cell>
          <cell r="S81">
            <v>62231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22089</v>
          </cell>
          <cell r="AI81">
            <v>100371</v>
          </cell>
          <cell r="AJ81">
            <v>71454</v>
          </cell>
          <cell r="AK81">
            <v>211812</v>
          </cell>
          <cell r="AL81">
            <v>0</v>
          </cell>
          <cell r="AM81">
            <v>0</v>
          </cell>
          <cell r="AN81">
            <v>0</v>
          </cell>
          <cell r="AO81">
            <v>122460</v>
          </cell>
          <cell r="AP81">
            <v>283266</v>
          </cell>
        </row>
        <row r="82">
          <cell r="B82">
            <v>74897</v>
          </cell>
          <cell r="C82">
            <v>100523</v>
          </cell>
          <cell r="D82">
            <v>208554</v>
          </cell>
          <cell r="E82">
            <v>194670</v>
          </cell>
          <cell r="F82">
            <v>168548</v>
          </cell>
          <cell r="G82">
            <v>159774</v>
          </cell>
          <cell r="H82">
            <v>173711</v>
          </cell>
          <cell r="I82">
            <v>170499</v>
          </cell>
          <cell r="J82">
            <v>201907</v>
          </cell>
          <cell r="K82">
            <v>199983</v>
          </cell>
          <cell r="L82">
            <v>178338</v>
          </cell>
          <cell r="M82">
            <v>280053</v>
          </cell>
          <cell r="N82">
            <v>323521</v>
          </cell>
          <cell r="O82">
            <v>369370</v>
          </cell>
          <cell r="P82">
            <v>397087</v>
          </cell>
          <cell r="Q82">
            <v>342644</v>
          </cell>
          <cell r="R82">
            <v>336598</v>
          </cell>
          <cell r="S82">
            <v>570481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383974</v>
          </cell>
          <cell r="AG82">
            <v>522992</v>
          </cell>
          <cell r="AH82">
            <v>546117</v>
          </cell>
          <cell r="AI82">
            <v>658374</v>
          </cell>
          <cell r="AJ82">
            <v>1089978</v>
          </cell>
          <cell r="AK82">
            <v>1249723</v>
          </cell>
          <cell r="AL82">
            <v>0</v>
          </cell>
          <cell r="AM82">
            <v>0</v>
          </cell>
          <cell r="AN82">
            <v>0</v>
          </cell>
          <cell r="AO82">
            <v>2111457</v>
          </cell>
          <cell r="AP82">
            <v>2339701</v>
          </cell>
        </row>
        <row r="83">
          <cell r="B83">
            <v>416</v>
          </cell>
          <cell r="C83">
            <v>10346</v>
          </cell>
          <cell r="D83">
            <v>10583</v>
          </cell>
          <cell r="E83">
            <v>17351</v>
          </cell>
          <cell r="F83">
            <v>17522</v>
          </cell>
          <cell r="G83">
            <v>15331</v>
          </cell>
          <cell r="H83">
            <v>16402</v>
          </cell>
          <cell r="I83">
            <v>18721</v>
          </cell>
          <cell r="J83">
            <v>19528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21345</v>
          </cell>
          <cell r="AG83">
            <v>50204</v>
          </cell>
          <cell r="AH83">
            <v>54651</v>
          </cell>
          <cell r="AI83">
            <v>0</v>
          </cell>
          <cell r="AJ83">
            <v>0</v>
          </cell>
          <cell r="AK83">
            <v>0</v>
          </cell>
          <cell r="AL83">
            <v>0</v>
          </cell>
          <cell r="AM83">
            <v>0</v>
          </cell>
          <cell r="AN83">
            <v>0</v>
          </cell>
          <cell r="AO83">
            <v>126200</v>
          </cell>
          <cell r="AP83">
            <v>0</v>
          </cell>
        </row>
        <row r="84">
          <cell r="B84">
            <v>8623</v>
          </cell>
          <cell r="C84">
            <v>15027</v>
          </cell>
          <cell r="D84">
            <v>23838</v>
          </cell>
          <cell r="E84">
            <v>37709</v>
          </cell>
          <cell r="F84">
            <v>21492</v>
          </cell>
          <cell r="G84">
            <v>29264</v>
          </cell>
          <cell r="H84">
            <v>30925</v>
          </cell>
          <cell r="I84">
            <v>16755</v>
          </cell>
          <cell r="J84">
            <v>25149</v>
          </cell>
          <cell r="K84">
            <v>21756</v>
          </cell>
          <cell r="L84">
            <v>18965</v>
          </cell>
          <cell r="M84">
            <v>91179</v>
          </cell>
          <cell r="N84">
            <v>30748</v>
          </cell>
          <cell r="O84">
            <v>71662</v>
          </cell>
          <cell r="P84">
            <v>60762</v>
          </cell>
          <cell r="Q84">
            <v>64174</v>
          </cell>
          <cell r="R84">
            <v>92107</v>
          </cell>
          <cell r="S84">
            <v>137727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47488</v>
          </cell>
          <cell r="AG84">
            <v>88465</v>
          </cell>
          <cell r="AH84">
            <v>72829</v>
          </cell>
          <cell r="AI84">
            <v>131900</v>
          </cell>
          <cell r="AJ84">
            <v>163172</v>
          </cell>
          <cell r="AK84">
            <v>294008</v>
          </cell>
          <cell r="AL84">
            <v>0</v>
          </cell>
          <cell r="AM84">
            <v>0</v>
          </cell>
          <cell r="AN84">
            <v>0</v>
          </cell>
          <cell r="AO84">
            <v>340682</v>
          </cell>
          <cell r="AP84">
            <v>457180</v>
          </cell>
        </row>
        <row r="85">
          <cell r="B85">
            <v>25455</v>
          </cell>
          <cell r="C85">
            <v>46361</v>
          </cell>
          <cell r="D85">
            <v>44442</v>
          </cell>
          <cell r="E85">
            <v>40406</v>
          </cell>
          <cell r="F85">
            <v>53542</v>
          </cell>
          <cell r="G85">
            <v>31705</v>
          </cell>
          <cell r="H85">
            <v>41624</v>
          </cell>
          <cell r="I85">
            <v>32519</v>
          </cell>
          <cell r="J85">
            <v>36020</v>
          </cell>
          <cell r="K85">
            <v>42588</v>
          </cell>
          <cell r="L85">
            <v>47021</v>
          </cell>
          <cell r="M85">
            <v>46458</v>
          </cell>
          <cell r="N85">
            <v>51073</v>
          </cell>
          <cell r="O85">
            <v>67853</v>
          </cell>
          <cell r="P85">
            <v>78007</v>
          </cell>
          <cell r="Q85">
            <v>100826</v>
          </cell>
          <cell r="R85">
            <v>99014</v>
          </cell>
          <cell r="S85">
            <v>129844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AB85">
            <v>674</v>
          </cell>
          <cell r="AC85">
            <v>2500</v>
          </cell>
          <cell r="AD85">
            <v>17436</v>
          </cell>
          <cell r="AE85">
            <v>28098</v>
          </cell>
          <cell r="AF85">
            <v>116258</v>
          </cell>
          <cell r="AG85">
            <v>125653</v>
          </cell>
          <cell r="AH85">
            <v>110163</v>
          </cell>
          <cell r="AI85">
            <v>136067</v>
          </cell>
          <cell r="AJ85">
            <v>196933</v>
          </cell>
          <cell r="AK85">
            <v>329684</v>
          </cell>
          <cell r="AL85">
            <v>0</v>
          </cell>
          <cell r="AM85">
            <v>0</v>
          </cell>
          <cell r="AN85">
            <v>48708</v>
          </cell>
          <cell r="AO85">
            <v>488141</v>
          </cell>
          <cell r="AP85">
            <v>526617</v>
          </cell>
        </row>
        <row r="86"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303560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303560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303560</v>
          </cell>
        </row>
        <row r="87">
          <cell r="B87">
            <v>255540</v>
          </cell>
          <cell r="C87">
            <v>292232</v>
          </cell>
          <cell r="D87">
            <v>594593</v>
          </cell>
          <cell r="E87">
            <v>528844</v>
          </cell>
          <cell r="F87">
            <v>474860</v>
          </cell>
          <cell r="G87">
            <v>703853</v>
          </cell>
          <cell r="H87">
            <v>547133</v>
          </cell>
          <cell r="I87">
            <v>545147</v>
          </cell>
          <cell r="J87">
            <v>711233</v>
          </cell>
          <cell r="K87">
            <v>496244</v>
          </cell>
          <cell r="L87">
            <v>498501</v>
          </cell>
          <cell r="M87">
            <v>925778</v>
          </cell>
          <cell r="N87">
            <v>635073</v>
          </cell>
          <cell r="O87">
            <v>734225</v>
          </cell>
          <cell r="P87">
            <v>593790</v>
          </cell>
          <cell r="Q87">
            <v>882501</v>
          </cell>
          <cell r="R87">
            <v>1064967</v>
          </cell>
          <cell r="S87">
            <v>1314274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AB87">
            <v>48102</v>
          </cell>
          <cell r="AC87">
            <v>162474</v>
          </cell>
          <cell r="AD87">
            <v>376937</v>
          </cell>
          <cell r="AE87">
            <v>447033</v>
          </cell>
          <cell r="AF87">
            <v>1142365</v>
          </cell>
          <cell r="AG87">
            <v>1707557</v>
          </cell>
          <cell r="AH87">
            <v>1803513</v>
          </cell>
          <cell r="AI87">
            <v>1920523</v>
          </cell>
          <cell r="AJ87">
            <v>1963088</v>
          </cell>
          <cell r="AK87">
            <v>3261742</v>
          </cell>
          <cell r="AL87">
            <v>0</v>
          </cell>
          <cell r="AM87">
            <v>0</v>
          </cell>
          <cell r="AN87">
            <v>1034546</v>
          </cell>
          <cell r="AO87">
            <v>6573958</v>
          </cell>
          <cell r="AP87">
            <v>5224830</v>
          </cell>
        </row>
        <row r="90">
          <cell r="B90">
            <v>1843438</v>
          </cell>
          <cell r="C90">
            <v>1995215</v>
          </cell>
          <cell r="D90">
            <v>2783996</v>
          </cell>
          <cell r="E90">
            <v>3114959</v>
          </cell>
          <cell r="F90">
            <v>3524060</v>
          </cell>
          <cell r="G90">
            <v>5650219</v>
          </cell>
          <cell r="H90">
            <v>3685383</v>
          </cell>
          <cell r="I90">
            <v>4250993</v>
          </cell>
          <cell r="J90">
            <v>8427958</v>
          </cell>
          <cell r="K90">
            <v>5787010</v>
          </cell>
          <cell r="L90">
            <v>6797548.4000000004</v>
          </cell>
          <cell r="M90">
            <v>10162227</v>
          </cell>
          <cell r="N90">
            <v>7643708</v>
          </cell>
          <cell r="O90">
            <v>9134260</v>
          </cell>
          <cell r="P90">
            <v>11416798</v>
          </cell>
          <cell r="Q90">
            <v>9738972</v>
          </cell>
          <cell r="R90">
            <v>13067644</v>
          </cell>
          <cell r="S90">
            <v>14966934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AB90">
            <v>516309</v>
          </cell>
          <cell r="AC90">
            <v>1252747</v>
          </cell>
          <cell r="AD90">
            <v>3382561</v>
          </cell>
          <cell r="AE90">
            <v>4285792</v>
          </cell>
          <cell r="AF90">
            <v>6622649</v>
          </cell>
          <cell r="AG90">
            <v>12289238</v>
          </cell>
          <cell r="AH90">
            <v>16364334</v>
          </cell>
          <cell r="AI90">
            <v>22746785.399999999</v>
          </cell>
          <cell r="AJ90">
            <v>28194766</v>
          </cell>
          <cell r="AK90">
            <v>37773550</v>
          </cell>
          <cell r="AL90">
            <v>0</v>
          </cell>
          <cell r="AM90">
            <v>0</v>
          </cell>
          <cell r="AN90">
            <v>9437409</v>
          </cell>
          <cell r="AO90">
            <v>58023006.399999999</v>
          </cell>
          <cell r="AP90">
            <v>65968316</v>
          </cell>
        </row>
        <row r="92">
          <cell r="B92">
            <v>-764570</v>
          </cell>
          <cell r="C92">
            <v>-983153</v>
          </cell>
          <cell r="D92">
            <v>-1353284</v>
          </cell>
          <cell r="E92">
            <v>-1678364</v>
          </cell>
          <cell r="F92">
            <v>-1695666</v>
          </cell>
          <cell r="G92">
            <v>-3692475</v>
          </cell>
          <cell r="H92">
            <v>-1453642</v>
          </cell>
          <cell r="I92">
            <v>-1948910</v>
          </cell>
          <cell r="J92">
            <v>-5784284</v>
          </cell>
          <cell r="K92">
            <v>-1986123</v>
          </cell>
          <cell r="L92">
            <v>-2591568.4000000004</v>
          </cell>
          <cell r="M92">
            <v>-5277898</v>
          </cell>
          <cell r="N92">
            <v>-1552114</v>
          </cell>
          <cell r="O92">
            <v>-2740042</v>
          </cell>
          <cell r="P92">
            <v>-4581958</v>
          </cell>
          <cell r="Q92">
            <v>-2211248</v>
          </cell>
          <cell r="R92">
            <v>-4522684</v>
          </cell>
          <cell r="S92">
            <v>-4847964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AB92">
            <v>-336625</v>
          </cell>
          <cell r="AC92">
            <v>-775512</v>
          </cell>
          <cell r="AD92">
            <v>-2471555</v>
          </cell>
          <cell r="AE92">
            <v>-2395074</v>
          </cell>
          <cell r="AF92">
            <v>-3101007</v>
          </cell>
          <cell r="AG92">
            <v>-7066505</v>
          </cell>
          <cell r="AH92">
            <v>-9186836</v>
          </cell>
          <cell r="AI92">
            <v>-9855589.3999999985</v>
          </cell>
          <cell r="AJ92">
            <v>-8874114</v>
          </cell>
          <cell r="AK92">
            <v>-11581896</v>
          </cell>
          <cell r="AL92">
            <v>0</v>
          </cell>
          <cell r="AM92">
            <v>0</v>
          </cell>
          <cell r="AN92">
            <v>-5978766</v>
          </cell>
          <cell r="AO92">
            <v>-29209937.399999999</v>
          </cell>
          <cell r="AP92">
            <v>-20456010</v>
          </cell>
        </row>
        <row r="94"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200000</v>
          </cell>
          <cell r="S94">
            <v>5213492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5413492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5413492</v>
          </cell>
        </row>
        <row r="95">
          <cell r="B95">
            <v>20973</v>
          </cell>
          <cell r="C95">
            <v>17823</v>
          </cell>
          <cell r="D95">
            <v>24409</v>
          </cell>
          <cell r="E95">
            <v>11590.84</v>
          </cell>
          <cell r="F95">
            <v>97963</v>
          </cell>
          <cell r="G95">
            <v>256061.15</v>
          </cell>
          <cell r="H95">
            <v>241619</v>
          </cell>
          <cell r="I95">
            <v>231351.49</v>
          </cell>
          <cell r="J95">
            <v>215637.6</v>
          </cell>
          <cell r="K95">
            <v>214992.00999999998</v>
          </cell>
          <cell r="L95">
            <v>221051.01</v>
          </cell>
          <cell r="M95">
            <v>344766</v>
          </cell>
          <cell r="N95">
            <v>594494</v>
          </cell>
          <cell r="O95">
            <v>546333</v>
          </cell>
          <cell r="P95">
            <v>499677</v>
          </cell>
          <cell r="Q95">
            <v>498793</v>
          </cell>
          <cell r="R95">
            <v>1258667</v>
          </cell>
          <cell r="S95">
            <v>1576653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AB95">
            <v>5259</v>
          </cell>
          <cell r="AC95">
            <v>8835</v>
          </cell>
          <cell r="AD95">
            <v>91772</v>
          </cell>
          <cell r="AE95">
            <v>96582</v>
          </cell>
          <cell r="AF95">
            <v>63205</v>
          </cell>
          <cell r="AG95">
            <v>365614.99</v>
          </cell>
          <cell r="AH95">
            <v>688608.09</v>
          </cell>
          <cell r="AI95">
            <v>780809.02</v>
          </cell>
          <cell r="AJ95">
            <v>1640504</v>
          </cell>
          <cell r="AK95">
            <v>3334113</v>
          </cell>
          <cell r="AL95">
            <v>0</v>
          </cell>
          <cell r="AM95">
            <v>0</v>
          </cell>
          <cell r="AN95">
            <v>202448</v>
          </cell>
          <cell r="AO95">
            <v>1898237.1</v>
          </cell>
          <cell r="AP95">
            <v>4974617</v>
          </cell>
        </row>
        <row r="96">
          <cell r="B96">
            <v>0</v>
          </cell>
          <cell r="C96">
            <v>0</v>
          </cell>
          <cell r="D96">
            <v>0</v>
          </cell>
          <cell r="E96">
            <v>-23.84</v>
          </cell>
          <cell r="G96">
            <v>-4140.1499999999996</v>
          </cell>
          <cell r="H96">
            <v>-4032</v>
          </cell>
          <cell r="I96">
            <v>-3959</v>
          </cell>
          <cell r="J96">
            <v>-3862.6</v>
          </cell>
          <cell r="K96">
            <v>-4108.21</v>
          </cell>
          <cell r="L96">
            <v>-3681.01</v>
          </cell>
          <cell r="M96">
            <v>-255293</v>
          </cell>
          <cell r="N96">
            <v>-712523</v>
          </cell>
          <cell r="O96">
            <v>-657490</v>
          </cell>
          <cell r="P96">
            <v>-655810</v>
          </cell>
          <cell r="Q96">
            <v>-642381</v>
          </cell>
          <cell r="R96">
            <v>-4733886</v>
          </cell>
          <cell r="S96">
            <v>-2187737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-4163.99</v>
          </cell>
          <cell r="AH96">
            <v>-11853.6</v>
          </cell>
          <cell r="AI96">
            <v>-263082.21999999997</v>
          </cell>
          <cell r="AJ96">
            <v>-2025823</v>
          </cell>
          <cell r="AK96">
            <v>-7564004</v>
          </cell>
          <cell r="AL96">
            <v>0</v>
          </cell>
          <cell r="AM96">
            <v>0</v>
          </cell>
          <cell r="AN96">
            <v>0</v>
          </cell>
          <cell r="AO96">
            <v>-279099.81</v>
          </cell>
          <cell r="AP96">
            <v>-9589827</v>
          </cell>
        </row>
        <row r="98">
          <cell r="B98">
            <v>-743597</v>
          </cell>
          <cell r="C98">
            <v>-965330</v>
          </cell>
          <cell r="D98">
            <v>-1328875</v>
          </cell>
          <cell r="E98">
            <v>-1666797</v>
          </cell>
          <cell r="F98">
            <v>-1597703</v>
          </cell>
          <cell r="G98">
            <v>-3440554</v>
          </cell>
          <cell r="H98">
            <v>-1216055</v>
          </cell>
          <cell r="I98">
            <v>-1721517.51</v>
          </cell>
          <cell r="J98">
            <v>-5572509</v>
          </cell>
          <cell r="K98">
            <v>-1775239.2</v>
          </cell>
          <cell r="L98">
            <v>-2374198.4000000004</v>
          </cell>
          <cell r="M98">
            <v>-5188425</v>
          </cell>
          <cell r="N98">
            <v>-1670143</v>
          </cell>
          <cell r="O98">
            <v>-2851199</v>
          </cell>
          <cell r="P98">
            <v>-4738091</v>
          </cell>
          <cell r="Q98">
            <v>-2354836</v>
          </cell>
          <cell r="R98">
            <v>-7797903</v>
          </cell>
          <cell r="S98">
            <v>-245556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AB98">
            <v>-331366</v>
          </cell>
          <cell r="AC98">
            <v>-766677</v>
          </cell>
          <cell r="AD98">
            <v>-2379783</v>
          </cell>
          <cell r="AE98">
            <v>-2298492</v>
          </cell>
          <cell r="AF98">
            <v>-3037802</v>
          </cell>
          <cell r="AG98">
            <v>-6705054</v>
          </cell>
          <cell r="AH98">
            <v>-8510081.5099999998</v>
          </cell>
          <cell r="AI98">
            <v>-9337862.5999999996</v>
          </cell>
          <cell r="AJ98">
            <v>-9259433</v>
          </cell>
          <cell r="AK98">
            <v>-10398295</v>
          </cell>
          <cell r="AL98">
            <v>0</v>
          </cell>
          <cell r="AM98">
            <v>0</v>
          </cell>
          <cell r="AN98">
            <v>-5776318</v>
          </cell>
          <cell r="AO98">
            <v>-27590800.109999996</v>
          </cell>
          <cell r="AP98">
            <v>-19657728</v>
          </cell>
        </row>
        <row r="100">
          <cell r="B100">
            <v>19401949</v>
          </cell>
          <cell r="C100">
            <v>19401949</v>
          </cell>
          <cell r="D100">
            <v>19401949</v>
          </cell>
          <cell r="E100">
            <v>21316895</v>
          </cell>
          <cell r="F100">
            <v>42633790</v>
          </cell>
          <cell r="G100">
            <v>42633790</v>
          </cell>
          <cell r="H100">
            <v>45726704</v>
          </cell>
          <cell r="I100">
            <v>45726704</v>
          </cell>
          <cell r="J100">
            <v>45726704</v>
          </cell>
          <cell r="K100">
            <v>46042202</v>
          </cell>
          <cell r="L100">
            <v>46042202</v>
          </cell>
          <cell r="M100">
            <v>46042202</v>
          </cell>
          <cell r="N100">
            <v>46469404</v>
          </cell>
          <cell r="O100">
            <v>46601640</v>
          </cell>
          <cell r="P100">
            <v>46622152</v>
          </cell>
          <cell r="Q100">
            <v>47858836</v>
          </cell>
          <cell r="R100">
            <v>47975551</v>
          </cell>
          <cell r="S100">
            <v>47976527</v>
          </cell>
          <cell r="AB100">
            <v>35424402</v>
          </cell>
          <cell r="AC100">
            <v>36678764</v>
          </cell>
          <cell r="AD100">
            <v>38081062</v>
          </cell>
          <cell r="AE100">
            <v>38170508</v>
          </cell>
          <cell r="AF100">
            <v>38803898</v>
          </cell>
          <cell r="AG100">
            <v>42633790</v>
          </cell>
          <cell r="AH100">
            <v>45726704</v>
          </cell>
          <cell r="AI100">
            <v>46042202</v>
          </cell>
          <cell r="AJ100">
            <v>46622152</v>
          </cell>
          <cell r="AK100">
            <v>47976527</v>
          </cell>
          <cell r="AL100">
            <v>0</v>
          </cell>
          <cell r="AM100">
            <v>0</v>
          </cell>
          <cell r="AN100">
            <v>37088684</v>
          </cell>
          <cell r="AO100">
            <v>43301648.5</v>
          </cell>
          <cell r="AP100">
            <v>47299339.5</v>
          </cell>
        </row>
        <row r="102">
          <cell r="B102">
            <v>-3.8325891898798412E-2</v>
          </cell>
          <cell r="C102">
            <v>-4.9754279840649E-2</v>
          </cell>
          <cell r="D102">
            <v>-6.8491830382607435E-2</v>
          </cell>
          <cell r="E102">
            <v>-7.8191359482701395E-2</v>
          </cell>
          <cell r="F102">
            <v>-3.7475040337722733E-2</v>
          </cell>
          <cell r="G102">
            <v>-8.0700167636984649E-2</v>
          </cell>
          <cell r="H102">
            <v>-2.659397887063979E-2</v>
          </cell>
          <cell r="I102">
            <v>-3.7647968460617673E-2</v>
          </cell>
          <cell r="J102">
            <v>-0.12186552960388311</v>
          </cell>
          <cell r="K102">
            <v>-3.8556783187737198E-2</v>
          </cell>
          <cell r="L102">
            <v>-5.1565700528397845E-2</v>
          </cell>
          <cell r="M102">
            <v>-0.11268846351006409</v>
          </cell>
          <cell r="N102">
            <v>-3.5940701972420393E-2</v>
          </cell>
          <cell r="O102">
            <v>-6.1182374697542834E-2</v>
          </cell>
          <cell r="P102">
            <v>-0.10162746241314644</v>
          </cell>
          <cell r="Q102">
            <v>-4.9203787572267739E-2</v>
          </cell>
          <cell r="R102">
            <v>-0.1625391024690889</v>
          </cell>
          <cell r="S102">
            <v>-5.1182529323141714E-3</v>
          </cell>
          <cell r="T102" t="e">
            <v>#DIV/0!</v>
          </cell>
          <cell r="U102" t="e">
            <v>#DIV/0!</v>
          </cell>
          <cell r="V102" t="e">
            <v>#DIV/0!</v>
          </cell>
          <cell r="W102" t="e">
            <v>#DIV/0!</v>
          </cell>
          <cell r="X102" t="e">
            <v>#DIV/0!</v>
          </cell>
          <cell r="Y102" t="e">
            <v>#DIV/0!</v>
          </cell>
          <cell r="AB102">
            <v>-9.3541734310716093E-3</v>
          </cell>
          <cell r="AC102">
            <v>-2.0902476430230854E-2</v>
          </cell>
          <cell r="AD102">
            <v>-6.2492558637151453E-2</v>
          </cell>
          <cell r="AE102">
            <v>-6.0216437255694893E-2</v>
          </cell>
          <cell r="AF102">
            <v>-7.8286001061027427E-2</v>
          </cell>
          <cell r="AG102">
            <v>-0.15727088771605807</v>
          </cell>
          <cell r="AH102">
            <v>-0.18610747693514057</v>
          </cell>
          <cell r="AI102">
            <v>-0.20281094722619913</v>
          </cell>
          <cell r="AJ102">
            <v>-0.19860586872952582</v>
          </cell>
          <cell r="AK102">
            <v>-0.21673713480761123</v>
          </cell>
          <cell r="AL102" t="e">
            <v>#DIV/0!</v>
          </cell>
          <cell r="AM102" t="e">
            <v>#DIV/0!</v>
          </cell>
          <cell r="AN102">
            <v>-0.15574340680300222</v>
          </cell>
          <cell r="AO102">
            <v>-0.63717666799683148</v>
          </cell>
          <cell r="AP102">
            <v>-0.41560258996851318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>
        <row r="8">
          <cell r="B8">
            <v>35431</v>
          </cell>
        </row>
      </sheetData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 refreshError="1"/>
      <sheetData sheetId="261" refreshError="1"/>
      <sheetData sheetId="262" refreshError="1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 refreshError="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 refreshError="1"/>
      <sheetData sheetId="342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TransferSummary"/>
      <sheetName val="Recon"/>
      <sheetName val="Instructions"/>
      <sheetName val="OPEX"/>
      <sheetName val="South Korea"/>
      <sheetName val="Singapore"/>
      <sheetName val="China"/>
      <sheetName val="JPToCN"/>
      <sheetName val="JP Transfer to CN"/>
      <sheetName val="Pivot Data"/>
      <sheetName val="Global 2015 Incr HC Allocation"/>
      <sheetName val="FX"/>
      <sheetName val="FX Slice"/>
      <sheetName val="Merit"/>
      <sheetName val="TM1-old"/>
      <sheetName val="Allocations"/>
      <sheetName val="Map"/>
      <sheetName val="Inputs"/>
      <sheetName val="Salary"/>
      <sheetName val="List"/>
      <sheetName val="Salary-2014"/>
      <sheetName val="Intern-2014"/>
      <sheetName val="salary-2012"/>
      <sheetName val="Salary-2013"/>
      <sheetName val="TM1-Avg"/>
      <sheetName val="Sheet2"/>
      <sheetName val="Assumptions"/>
      <sheetName val="Internal Histo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3">
          <cell r="O3">
            <v>42005</v>
          </cell>
        </row>
      </sheetData>
      <sheetData sheetId="6"/>
      <sheetData sheetId="7"/>
      <sheetData sheetId="8" refreshError="1"/>
      <sheetData sheetId="9" refreshError="1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>
        <row r="3">
          <cell r="C3">
            <v>2012</v>
          </cell>
        </row>
        <row r="4">
          <cell r="C4">
            <v>0.15</v>
          </cell>
        </row>
        <row r="5">
          <cell r="C5">
            <v>0.25</v>
          </cell>
        </row>
      </sheetData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untry List"/>
      <sheetName val="Headcount Input"/>
      <sheetName val="Sales Rep Productivity"/>
      <sheetName val="AM Productivity"/>
      <sheetName val="Spokes"/>
      <sheetName val="Funded Scenario"/>
      <sheetName val="OPEX per FTE"/>
      <sheetName val="Marketplace Output Tables"/>
      <sheetName val="Scenario Table Outputs"/>
      <sheetName val="HC&amp;OPEX Output Tables"/>
      <sheetName val="FTE Calculator"/>
      <sheetName val="Assumptions"/>
      <sheetName val="Aggregated Output"/>
      <sheetName val="2014 OPEX"/>
      <sheetName val="2014 OPEX by Marketplace"/>
      <sheetName val="Assumption"/>
      <sheetName val="Hiring Ramp - Plan"/>
      <sheetName val="CN 2015 Allocation "/>
      <sheetName val="P&amp;L-SGKRIN"/>
      <sheetName val="P&amp;L-MEAFLAEE"/>
      <sheetName val="New Entity Setup Costs"/>
      <sheetName val="Sheet1"/>
      <sheetName val="Inputs"/>
      <sheetName val="South Korea"/>
    </sheetNames>
    <sheetDataSet>
      <sheetData sheetId="0"/>
      <sheetData sheetId="1"/>
      <sheetData sheetId="2"/>
      <sheetData sheetId="3"/>
      <sheetData sheetId="4"/>
      <sheetData sheetId="5">
        <row r="47">
          <cell r="D47">
            <v>0.2</v>
          </cell>
        </row>
      </sheetData>
      <sheetData sheetId="6">
        <row r="47">
          <cell r="D47">
            <v>0.2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me"/>
      <sheetName val="Weekly Callout"/>
      <sheetName val="5.1-Service by Amazon_Total"/>
      <sheetName val="5.2- Service By Amazon_Pipeline"/>
      <sheetName val="Education Enrollment"/>
      <sheetName val="5.3- Paid Education_Pipeline"/>
      <sheetName val="5.4-PaidEdu Traffic"/>
      <sheetName val="5.5-Ecommerce Attach"/>
      <sheetName val="Satisfaction"/>
      <sheetName val="Service Revenue"/>
      <sheetName val="SBA Goal"/>
      <sheetName val="PAS-data"/>
      <sheetName val="Pipeline data"/>
      <sheetName val="Revenue"/>
      <sheetName val="Hubble"/>
      <sheetName val="Attach Rate"/>
      <sheetName val="Launch data"/>
      <sheetName val="Pipelinemanual"/>
    </sheetNames>
    <sheetDataSet>
      <sheetData sheetId="0">
        <row r="6">
          <cell r="V6" t="str">
            <v>PAS-E</v>
          </cell>
          <cell r="W6" t="str">
            <v>Enrollment</v>
          </cell>
          <cell r="X6" t="str">
            <v>Contact Us</v>
          </cell>
          <cell r="Y6" t="str">
            <v>AB</v>
          </cell>
        </row>
        <row r="7">
          <cell r="V7" t="str">
            <v>Readiness</v>
          </cell>
          <cell r="W7" t="str">
            <v>Revenue</v>
          </cell>
          <cell r="X7" t="str">
            <v>Mass Mail</v>
          </cell>
          <cell r="Y7" t="str">
            <v>BD</v>
          </cell>
        </row>
        <row r="8">
          <cell r="V8" t="str">
            <v>PAS-N</v>
          </cell>
          <cell r="W8" t="str">
            <v>Leads</v>
          </cell>
          <cell r="X8" t="str">
            <v>Offline Event</v>
          </cell>
          <cell r="Y8" t="str">
            <v>OB</v>
          </cell>
        </row>
        <row r="9">
          <cell r="V9" t="str">
            <v>Paid-Education</v>
          </cell>
          <cell r="W9" t="str">
            <v>GMS</v>
          </cell>
          <cell r="X9" t="str">
            <v>Other</v>
          </cell>
          <cell r="Y9" t="str">
            <v>Total</v>
          </cell>
        </row>
        <row r="10">
          <cell r="V10" t="str">
            <v>LB</v>
          </cell>
          <cell r="X10" t="str">
            <v>Sales Referral</v>
          </cell>
        </row>
        <row r="11">
          <cell r="V11" t="str">
            <v>SOD</v>
          </cell>
          <cell r="X11" t="str">
            <v>Seller Referral</v>
          </cell>
        </row>
        <row r="12">
          <cell r="X12" t="str">
            <v>Total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ueries"/>
      <sheetName val="SSR Pro Pipeline"/>
      <sheetName val="Global Selling"/>
      <sheetName val="SSR Individual Pipeline"/>
      <sheetName val="Inbound"/>
      <sheetName val="SSR Pro Seller Success"/>
      <sheetName val="FBA Page"/>
      <sheetName val="SSR Pipeline New"/>
      <sheetName val="Inbound ASIN's Created"/>
      <sheetName val="Inbound Launches"/>
      <sheetName val="Inbound ZM"/>
      <sheetName val="Inbound Offers"/>
      <sheetName val="Inbound Offers PY"/>
      <sheetName val="Inbound GMS"/>
      <sheetName val="Inbound FBA Launches"/>
      <sheetName val="Inbound Suspended Sellers"/>
      <sheetName val="Inbound FBA Ordered Units"/>
      <sheetName val="DD List"/>
      <sheetName val="New Registrations Pivot"/>
      <sheetName val="New Registrations"/>
      <sheetName val="New Launches"/>
      <sheetName val="New Launches Pivot"/>
      <sheetName val="New GMS"/>
      <sheetName val="New GMS Pivot"/>
      <sheetName val="Goals"/>
      <sheetName val="Traffic"/>
      <sheetName val="Reg Starts"/>
      <sheetName val="Reg Completes"/>
      <sheetName val="Launches"/>
      <sheetName val="Zero Metric"/>
      <sheetName val="Offer Count"/>
      <sheetName val="Offer Count PY"/>
      <sheetName val="ASINs Created"/>
      <sheetName val="GMS"/>
      <sheetName val="Blocked Sellers"/>
      <sheetName val="FBA Launches"/>
      <sheetName val="FBA Ordered Units"/>
      <sheetName val="Sheet1"/>
      <sheetName val="Curve Creator"/>
      <sheetName val="Input"/>
      <sheetName val="Control"/>
      <sheetName val="OPEX per F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1">
          <cell r="A1" t="str">
            <v>US SSR Professional</v>
          </cell>
        </row>
        <row r="2">
          <cell r="A2" t="str">
            <v>US SSR Individual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Cognos_Office_Connection_Cache"/>
      <sheetName val="INSTRUCTIONS"/>
      <sheetName val="PPM Analysis"/>
      <sheetName val="Total"/>
      <sheetName val="ML"/>
      <sheetName val="HL"/>
      <sheetName val="Con"/>
      <sheetName val="SL"/>
      <sheetName val="Book_14"/>
      <sheetName val="Music_15"/>
      <sheetName val="DVD_74"/>
      <sheetName val="Software_65"/>
      <sheetName val="PCgame_63"/>
      <sheetName val="MP3_23"/>
      <sheetName val="Camera_114"/>
      <sheetName val="Automotive_263"/>
      <sheetName val="Computer_147"/>
      <sheetName val="Wireless_107"/>
      <sheetName val="SHA_Kitchen_79"/>
      <sheetName val="Home_201"/>
      <sheetName val="Office_229"/>
      <sheetName val="HomeImprove_60"/>
      <sheetName val="Watch_241"/>
      <sheetName val="Jewelry_197"/>
      <sheetName val="Gifts_20"/>
      <sheetName val="Apparel_193"/>
      <sheetName val="Shoes_309"/>
      <sheetName val="Sports_200"/>
      <sheetName val="Toy_21"/>
      <sheetName val="HPC_121"/>
      <sheetName val="Grocery_325"/>
      <sheetName val="Beauty_194"/>
      <sheetName val="Software"/>
      <sheetName val="Electronics_23"/>
      <sheetName val="CE"/>
      <sheetName val="J&amp;W"/>
      <sheetName val="G&amp;B"/>
    </sheetNames>
    <sheetDataSet>
      <sheetData sheetId="0">
        <row r="5">
          <cell r="A5" t="str">
            <v>Jan</v>
          </cell>
          <cell r="B5">
            <v>1</v>
          </cell>
          <cell r="C5">
            <v>1</v>
          </cell>
        </row>
        <row r="6">
          <cell r="A6" t="str">
            <v>Feb</v>
          </cell>
          <cell r="B6">
            <v>2</v>
          </cell>
          <cell r="C6">
            <v>1</v>
          </cell>
        </row>
        <row r="7">
          <cell r="A7" t="str">
            <v>Mar</v>
          </cell>
          <cell r="B7">
            <v>3</v>
          </cell>
          <cell r="C7">
            <v>1</v>
          </cell>
        </row>
        <row r="8">
          <cell r="A8" t="str">
            <v>Apr</v>
          </cell>
          <cell r="B8">
            <v>4</v>
          </cell>
          <cell r="C8">
            <v>2</v>
          </cell>
        </row>
        <row r="9">
          <cell r="A9" t="str">
            <v>May</v>
          </cell>
          <cell r="B9">
            <v>5</v>
          </cell>
          <cell r="C9">
            <v>2</v>
          </cell>
        </row>
        <row r="10">
          <cell r="A10" t="str">
            <v>Jun</v>
          </cell>
          <cell r="B10">
            <v>6</v>
          </cell>
          <cell r="C10">
            <v>2</v>
          </cell>
        </row>
        <row r="11">
          <cell r="A11" t="str">
            <v>Jul</v>
          </cell>
          <cell r="B11">
            <v>7</v>
          </cell>
          <cell r="C11">
            <v>3</v>
          </cell>
        </row>
        <row r="12">
          <cell r="A12" t="str">
            <v>Aug</v>
          </cell>
          <cell r="B12">
            <v>8</v>
          </cell>
          <cell r="C12">
            <v>3</v>
          </cell>
        </row>
        <row r="13">
          <cell r="A13" t="str">
            <v>Sep</v>
          </cell>
          <cell r="B13">
            <v>9</v>
          </cell>
          <cell r="C13">
            <v>3</v>
          </cell>
        </row>
        <row r="14">
          <cell r="A14" t="str">
            <v>Oct</v>
          </cell>
          <cell r="B14">
            <v>10</v>
          </cell>
          <cell r="C14">
            <v>4</v>
          </cell>
        </row>
        <row r="15">
          <cell r="A15" t="str">
            <v>Nov</v>
          </cell>
          <cell r="B15">
            <v>11</v>
          </cell>
          <cell r="C15">
            <v>4</v>
          </cell>
        </row>
        <row r="16">
          <cell r="A16" t="str">
            <v>Dec</v>
          </cell>
          <cell r="B16">
            <v>12</v>
          </cell>
          <cell r="C16">
            <v>4</v>
          </cell>
        </row>
      </sheetData>
      <sheetData sheetId="1">
        <row r="5">
          <cell r="A5" t="str">
            <v>Jan</v>
          </cell>
        </row>
      </sheetData>
      <sheetData sheetId="2">
        <row r="5">
          <cell r="A5" t="str">
            <v>Jan</v>
          </cell>
        </row>
      </sheetData>
      <sheetData sheetId="3">
        <row r="5">
          <cell r="A5" t="str">
            <v>Jan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5.6- PaidEdu Overall View"/>
      <sheetName val="5.7- PE Enrollment by Channel"/>
      <sheetName val="5.8-PE Enroll Rev by Channel"/>
      <sheetName val="5.9- PE Payment by Channel"/>
      <sheetName val="5.10 PE Paymnt Rev By Channel"/>
      <sheetName val="Home"/>
      <sheetName val="Weekly Callout"/>
      <sheetName val="5.1-Service by Amazon_Total"/>
      <sheetName val="5.2- Service By Amazon_Pipeline"/>
      <sheetName val="5.4-PaidEdu Traffic"/>
      <sheetName val="5.5-Ecommerce Attach"/>
      <sheetName val="5.3- Paid Education_Pipeline"/>
      <sheetName val="Education Enrollment"/>
      <sheetName val="SBA Goal"/>
      <sheetName val="Satisfaction"/>
      <sheetName val="Service Revenue"/>
      <sheetName val="PAS-data"/>
      <sheetName val="Pipeline data"/>
      <sheetName val="Hubble"/>
      <sheetName val="Attach Rate"/>
      <sheetName val="Revenue"/>
      <sheetName val="Enrollment Team"/>
      <sheetName val="JQ WBR Schedule"/>
      <sheetName val="Pipelinemanual"/>
      <sheetName val="3.City Rating"/>
    </sheetNames>
    <sheetDataSet>
      <sheetData sheetId="0">
        <row r="2">
          <cell r="AM2">
            <v>3.2126865671641793</v>
          </cell>
        </row>
        <row r="21">
          <cell r="AM21" t="str">
            <v>-</v>
          </cell>
        </row>
        <row r="24">
          <cell r="AM24" t="str">
            <v>-</v>
          </cell>
        </row>
        <row r="27">
          <cell r="AM27">
            <v>0</v>
          </cell>
        </row>
        <row r="30">
          <cell r="AM30" t="str">
            <v>-</v>
          </cell>
        </row>
        <row r="33">
          <cell r="AM33" t="str">
            <v>-</v>
          </cell>
        </row>
      </sheetData>
      <sheetData sheetId="1">
        <row r="2">
          <cell r="AM2" t="str">
            <v>-</v>
          </cell>
          <cell r="AZ2" t="e">
            <v>#VALUE!</v>
          </cell>
        </row>
        <row r="3">
          <cell r="AZ3" t="e">
            <v>#VALUE!</v>
          </cell>
        </row>
        <row r="5">
          <cell r="AM5" t="str">
            <v>-</v>
          </cell>
          <cell r="AZ5" t="e">
            <v>#VALUE!</v>
          </cell>
        </row>
        <row r="6">
          <cell r="AZ6">
            <v>0</v>
          </cell>
        </row>
        <row r="8">
          <cell r="AM8" t="str">
            <v>-</v>
          </cell>
          <cell r="AZ8" t="e">
            <v>#VALUE!</v>
          </cell>
        </row>
        <row r="9">
          <cell r="AZ9">
            <v>0</v>
          </cell>
        </row>
        <row r="11">
          <cell r="D11" t="e">
            <v>#VALUE!</v>
          </cell>
          <cell r="E11" t="e">
            <v>#VALUE!</v>
          </cell>
          <cell r="F11" t="e">
            <v>#VALUE!</v>
          </cell>
          <cell r="G11" t="e">
            <v>#VALUE!</v>
          </cell>
          <cell r="H11" t="e">
            <v>#VALUE!</v>
          </cell>
          <cell r="I11" t="e">
            <v>#VALUE!</v>
          </cell>
          <cell r="J11" t="e">
            <v>#VALUE!</v>
          </cell>
          <cell r="K11" t="e">
            <v>#VALUE!</v>
          </cell>
          <cell r="L11" t="e">
            <v>#VALUE!</v>
          </cell>
          <cell r="M11" t="e">
            <v>#VALUE!</v>
          </cell>
          <cell r="N11" t="e">
            <v>#VALUE!</v>
          </cell>
          <cell r="O11" t="e">
            <v>#VALUE!</v>
          </cell>
          <cell r="P11" t="e">
            <v>#VALUE!</v>
          </cell>
          <cell r="Q11" t="e">
            <v>#VALUE!</v>
          </cell>
          <cell r="R11" t="e">
            <v>#VALUE!</v>
          </cell>
          <cell r="S11" t="e">
            <v>#VALUE!</v>
          </cell>
          <cell r="T11" t="e">
            <v>#VALUE!</v>
          </cell>
          <cell r="U11" t="e">
            <v>#VALUE!</v>
          </cell>
          <cell r="V11" t="e">
            <v>#VALUE!</v>
          </cell>
          <cell r="W11" t="e">
            <v>#VALUE!</v>
          </cell>
          <cell r="X11" t="e">
            <v>#VALUE!</v>
          </cell>
          <cell r="Y11" t="e">
            <v>#VALUE!</v>
          </cell>
          <cell r="Z11" t="e">
            <v>#VALUE!</v>
          </cell>
          <cell r="AA11" t="e">
            <v>#VALUE!</v>
          </cell>
          <cell r="AB11" t="e">
            <v>#VALUE!</v>
          </cell>
          <cell r="AC11" t="e">
            <v>#VALUE!</v>
          </cell>
          <cell r="AD11" t="e">
            <v>#VALUE!</v>
          </cell>
          <cell r="AE11" t="e">
            <v>#VALUE!</v>
          </cell>
          <cell r="AF11" t="e">
            <v>#VALUE!</v>
          </cell>
          <cell r="AG11" t="e">
            <v>#VALUE!</v>
          </cell>
          <cell r="AH11" t="e">
            <v>#VALUE!</v>
          </cell>
          <cell r="AI11" t="e">
            <v>#VALUE!</v>
          </cell>
          <cell r="AJ11" t="e">
            <v>#VALUE!</v>
          </cell>
          <cell r="AK11" t="e">
            <v>#VALUE!</v>
          </cell>
          <cell r="AL11" t="e">
            <v>#VALUE!</v>
          </cell>
          <cell r="AM11" t="str">
            <v>-</v>
          </cell>
          <cell r="AZ11" t="e">
            <v>#VALUE!</v>
          </cell>
        </row>
        <row r="12">
          <cell r="AZ12">
            <v>0</v>
          </cell>
        </row>
        <row r="14">
          <cell r="D14" t="e">
            <v>#VALUE!</v>
          </cell>
          <cell r="E14" t="e">
            <v>#VALUE!</v>
          </cell>
          <cell r="F14" t="e">
            <v>#VALUE!</v>
          </cell>
          <cell r="G14" t="e">
            <v>#VALUE!</v>
          </cell>
          <cell r="H14" t="e">
            <v>#VALUE!</v>
          </cell>
          <cell r="I14" t="e">
            <v>#VALUE!</v>
          </cell>
          <cell r="J14" t="e">
            <v>#VALUE!</v>
          </cell>
          <cell r="K14" t="e">
            <v>#VALUE!</v>
          </cell>
          <cell r="L14" t="e">
            <v>#VALUE!</v>
          </cell>
          <cell r="M14" t="e">
            <v>#VALUE!</v>
          </cell>
          <cell r="N14" t="e">
            <v>#VALUE!</v>
          </cell>
          <cell r="O14" t="e">
            <v>#VALUE!</v>
          </cell>
          <cell r="P14" t="e">
            <v>#VALUE!</v>
          </cell>
          <cell r="Q14" t="e">
            <v>#VALUE!</v>
          </cell>
          <cell r="R14" t="e">
            <v>#VALUE!</v>
          </cell>
          <cell r="S14" t="e">
            <v>#VALUE!</v>
          </cell>
          <cell r="T14" t="e">
            <v>#VALUE!</v>
          </cell>
          <cell r="U14" t="e">
            <v>#VALUE!</v>
          </cell>
          <cell r="V14" t="e">
            <v>#VALUE!</v>
          </cell>
          <cell r="W14" t="e">
            <v>#VALUE!</v>
          </cell>
          <cell r="X14" t="e">
            <v>#VALUE!</v>
          </cell>
          <cell r="Y14" t="e">
            <v>#VALUE!</v>
          </cell>
          <cell r="Z14" t="e">
            <v>#VALUE!</v>
          </cell>
          <cell r="AA14" t="e">
            <v>#VALUE!</v>
          </cell>
          <cell r="AB14" t="e">
            <v>#VALUE!</v>
          </cell>
          <cell r="AC14" t="e">
            <v>#VALUE!</v>
          </cell>
          <cell r="AD14" t="e">
            <v>#VALUE!</v>
          </cell>
          <cell r="AE14" t="e">
            <v>#VALUE!</v>
          </cell>
          <cell r="AF14" t="e">
            <v>#VALUE!</v>
          </cell>
          <cell r="AG14" t="e">
            <v>#VALUE!</v>
          </cell>
          <cell r="AH14" t="e">
            <v>#VALUE!</v>
          </cell>
          <cell r="AI14" t="e">
            <v>#VALUE!</v>
          </cell>
          <cell r="AJ14" t="e">
            <v>#VALUE!</v>
          </cell>
          <cell r="AK14" t="e">
            <v>#VALUE!</v>
          </cell>
          <cell r="AL14" t="e">
            <v>#VALUE!</v>
          </cell>
          <cell r="AM14" t="str">
            <v>-</v>
          </cell>
          <cell r="AZ14" t="e">
            <v>#VALUE!</v>
          </cell>
        </row>
        <row r="15">
          <cell r="AZ15">
            <v>0</v>
          </cell>
        </row>
        <row r="17">
          <cell r="D17" t="e">
            <v>#VALUE!</v>
          </cell>
          <cell r="E17" t="e">
            <v>#VALUE!</v>
          </cell>
          <cell r="F17" t="e">
            <v>#VALUE!</v>
          </cell>
          <cell r="G17" t="e">
            <v>#VALUE!</v>
          </cell>
          <cell r="H17" t="e">
            <v>#VALUE!</v>
          </cell>
          <cell r="I17" t="e">
            <v>#VALUE!</v>
          </cell>
          <cell r="J17" t="e">
            <v>#VALUE!</v>
          </cell>
          <cell r="K17" t="e">
            <v>#VALUE!</v>
          </cell>
          <cell r="L17" t="e">
            <v>#VALUE!</v>
          </cell>
          <cell r="M17" t="e">
            <v>#VALUE!</v>
          </cell>
          <cell r="N17" t="e">
            <v>#VALUE!</v>
          </cell>
          <cell r="O17" t="e">
            <v>#VALUE!</v>
          </cell>
          <cell r="P17" t="e">
            <v>#VALUE!</v>
          </cell>
          <cell r="Q17" t="e">
            <v>#VALUE!</v>
          </cell>
          <cell r="R17" t="e">
            <v>#VALUE!</v>
          </cell>
          <cell r="S17" t="e">
            <v>#VALUE!</v>
          </cell>
          <cell r="T17" t="e">
            <v>#VALUE!</v>
          </cell>
          <cell r="U17" t="e">
            <v>#VALUE!</v>
          </cell>
          <cell r="V17" t="e">
            <v>#VALUE!</v>
          </cell>
          <cell r="W17" t="e">
            <v>#VALUE!</v>
          </cell>
          <cell r="X17" t="e">
            <v>#VALUE!</v>
          </cell>
          <cell r="Y17" t="e">
            <v>#VALUE!</v>
          </cell>
          <cell r="Z17" t="e">
            <v>#VALUE!</v>
          </cell>
          <cell r="AA17" t="e">
            <v>#VALUE!</v>
          </cell>
          <cell r="AB17" t="e">
            <v>#VALUE!</v>
          </cell>
          <cell r="AC17" t="e">
            <v>#VALUE!</v>
          </cell>
          <cell r="AD17" t="e">
            <v>#VALUE!</v>
          </cell>
          <cell r="AE17" t="e">
            <v>#VALUE!</v>
          </cell>
          <cell r="AF17" t="e">
            <v>#VALUE!</v>
          </cell>
          <cell r="AG17" t="e">
            <v>#VALUE!</v>
          </cell>
          <cell r="AH17" t="e">
            <v>#VALUE!</v>
          </cell>
          <cell r="AI17" t="e">
            <v>#VALUE!</v>
          </cell>
          <cell r="AJ17" t="e">
            <v>#VALUE!</v>
          </cell>
          <cell r="AK17" t="e">
            <v>#VALUE!</v>
          </cell>
          <cell r="AL17" t="e">
            <v>#VALUE!</v>
          </cell>
          <cell r="AM17" t="str">
            <v>-</v>
          </cell>
          <cell r="AZ17" t="e">
            <v>#VALUE!</v>
          </cell>
        </row>
        <row r="18">
          <cell r="AZ18">
            <v>0</v>
          </cell>
        </row>
        <row r="20">
          <cell r="D20" t="e">
            <v>#VALUE!</v>
          </cell>
          <cell r="E20" t="e">
            <v>#VALUE!</v>
          </cell>
          <cell r="F20" t="e">
            <v>#VALUE!</v>
          </cell>
          <cell r="G20" t="e">
            <v>#VALUE!</v>
          </cell>
          <cell r="H20" t="e">
            <v>#VALUE!</v>
          </cell>
          <cell r="I20" t="e">
            <v>#VALUE!</v>
          </cell>
          <cell r="J20" t="e">
            <v>#VALUE!</v>
          </cell>
          <cell r="K20" t="e">
            <v>#VALUE!</v>
          </cell>
          <cell r="L20" t="e">
            <v>#VALUE!</v>
          </cell>
          <cell r="M20" t="e">
            <v>#VALUE!</v>
          </cell>
          <cell r="N20" t="e">
            <v>#VALUE!</v>
          </cell>
          <cell r="O20" t="e">
            <v>#VALUE!</v>
          </cell>
          <cell r="P20" t="e">
            <v>#VALUE!</v>
          </cell>
          <cell r="Q20" t="e">
            <v>#VALUE!</v>
          </cell>
          <cell r="R20" t="e">
            <v>#VALUE!</v>
          </cell>
          <cell r="S20" t="e">
            <v>#VALUE!</v>
          </cell>
          <cell r="T20" t="e">
            <v>#VALUE!</v>
          </cell>
          <cell r="U20" t="e">
            <v>#VALUE!</v>
          </cell>
          <cell r="V20" t="e">
            <v>#VALUE!</v>
          </cell>
          <cell r="W20" t="e">
            <v>#VALUE!</v>
          </cell>
          <cell r="X20" t="e">
            <v>#VALUE!</v>
          </cell>
          <cell r="Y20" t="e">
            <v>#VALUE!</v>
          </cell>
          <cell r="Z20" t="e">
            <v>#VALUE!</v>
          </cell>
          <cell r="AA20" t="e">
            <v>#VALUE!</v>
          </cell>
          <cell r="AB20" t="e">
            <v>#VALUE!</v>
          </cell>
          <cell r="AC20" t="e">
            <v>#VALUE!</v>
          </cell>
          <cell r="AD20" t="e">
            <v>#VALUE!</v>
          </cell>
          <cell r="AE20" t="e">
            <v>#VALUE!</v>
          </cell>
          <cell r="AF20" t="e">
            <v>#VALUE!</v>
          </cell>
          <cell r="AG20" t="e">
            <v>#VALUE!</v>
          </cell>
          <cell r="AH20" t="e">
            <v>#VALUE!</v>
          </cell>
          <cell r="AI20" t="e">
            <v>#VALUE!</v>
          </cell>
          <cell r="AJ20" t="e">
            <v>#VALUE!</v>
          </cell>
          <cell r="AK20" t="e">
            <v>#VALUE!</v>
          </cell>
          <cell r="AL20" t="e">
            <v>#VALUE!</v>
          </cell>
          <cell r="AM20" t="str">
            <v>-</v>
          </cell>
          <cell r="AZ20" t="e">
            <v>#VALUE!</v>
          </cell>
        </row>
        <row r="21">
          <cell r="AZ21">
            <v>0</v>
          </cell>
        </row>
        <row r="23">
          <cell r="AM23" t="str">
            <v>-</v>
          </cell>
          <cell r="AZ23" t="e">
            <v>#VALUE!</v>
          </cell>
        </row>
        <row r="24">
          <cell r="AZ24">
            <v>0</v>
          </cell>
        </row>
        <row r="26">
          <cell r="D26" t="e">
            <v>#VALUE!</v>
          </cell>
          <cell r="E26" t="e">
            <v>#VALUE!</v>
          </cell>
          <cell r="F26" t="e">
            <v>#VALUE!</v>
          </cell>
          <cell r="G26" t="e">
            <v>#VALUE!</v>
          </cell>
          <cell r="H26" t="e">
            <v>#VALUE!</v>
          </cell>
          <cell r="I26" t="e">
            <v>#VALUE!</v>
          </cell>
          <cell r="J26" t="e">
            <v>#VALUE!</v>
          </cell>
          <cell r="K26" t="e">
            <v>#VALUE!</v>
          </cell>
          <cell r="L26" t="e">
            <v>#VALUE!</v>
          </cell>
          <cell r="M26" t="e">
            <v>#VALUE!</v>
          </cell>
          <cell r="N26" t="e">
            <v>#VALUE!</v>
          </cell>
          <cell r="O26" t="e">
            <v>#VALUE!</v>
          </cell>
          <cell r="P26" t="e">
            <v>#VALUE!</v>
          </cell>
          <cell r="Q26" t="e">
            <v>#VALUE!</v>
          </cell>
          <cell r="R26" t="e">
            <v>#VALUE!</v>
          </cell>
          <cell r="S26" t="e">
            <v>#VALUE!</v>
          </cell>
          <cell r="T26" t="e">
            <v>#VALUE!</v>
          </cell>
          <cell r="U26" t="e">
            <v>#VALUE!</v>
          </cell>
          <cell r="V26" t="e">
            <v>#VALUE!</v>
          </cell>
          <cell r="W26" t="e">
            <v>#VALUE!</v>
          </cell>
          <cell r="X26" t="e">
            <v>#VALUE!</v>
          </cell>
          <cell r="Y26" t="e">
            <v>#VALUE!</v>
          </cell>
          <cell r="Z26" t="e">
            <v>#VALUE!</v>
          </cell>
          <cell r="AA26" t="e">
            <v>#VALUE!</v>
          </cell>
          <cell r="AB26" t="e">
            <v>#VALUE!</v>
          </cell>
          <cell r="AC26" t="e">
            <v>#VALUE!</v>
          </cell>
          <cell r="AD26" t="e">
            <v>#VALUE!</v>
          </cell>
          <cell r="AE26" t="e">
            <v>#VALUE!</v>
          </cell>
          <cell r="AF26" t="e">
            <v>#VALUE!</v>
          </cell>
          <cell r="AG26" t="e">
            <v>#VALUE!</v>
          </cell>
          <cell r="AH26" t="e">
            <v>#VALUE!</v>
          </cell>
          <cell r="AI26" t="e">
            <v>#VALUE!</v>
          </cell>
          <cell r="AJ26" t="e">
            <v>#VALUE!</v>
          </cell>
          <cell r="AK26" t="e">
            <v>#VALUE!</v>
          </cell>
          <cell r="AL26" t="e">
            <v>#VALUE!</v>
          </cell>
          <cell r="AM26" t="str">
            <v>-</v>
          </cell>
          <cell r="AZ26" t="e">
            <v>#VALUE!</v>
          </cell>
        </row>
        <row r="27">
          <cell r="AZ27">
            <v>0</v>
          </cell>
        </row>
        <row r="29">
          <cell r="D29" t="e">
            <v>#VALUE!</v>
          </cell>
          <cell r="E29" t="e">
            <v>#VALUE!</v>
          </cell>
          <cell r="F29" t="e">
            <v>#VALUE!</v>
          </cell>
          <cell r="G29" t="e">
            <v>#VALUE!</v>
          </cell>
          <cell r="H29" t="e">
            <v>#VALUE!</v>
          </cell>
          <cell r="I29" t="e">
            <v>#VALUE!</v>
          </cell>
          <cell r="J29" t="e">
            <v>#VALUE!</v>
          </cell>
          <cell r="K29" t="e">
            <v>#VALUE!</v>
          </cell>
          <cell r="L29" t="e">
            <v>#VALUE!</v>
          </cell>
          <cell r="M29" t="e">
            <v>#VALUE!</v>
          </cell>
          <cell r="N29" t="e">
            <v>#VALUE!</v>
          </cell>
          <cell r="O29" t="e">
            <v>#VALUE!</v>
          </cell>
          <cell r="P29" t="e">
            <v>#VALUE!</v>
          </cell>
          <cell r="Q29" t="e">
            <v>#VALUE!</v>
          </cell>
          <cell r="R29" t="e">
            <v>#VALUE!</v>
          </cell>
          <cell r="S29" t="e">
            <v>#VALUE!</v>
          </cell>
          <cell r="T29" t="e">
            <v>#VALUE!</v>
          </cell>
          <cell r="U29" t="e">
            <v>#VALUE!</v>
          </cell>
          <cell r="V29" t="e">
            <v>#VALUE!</v>
          </cell>
          <cell r="W29" t="e">
            <v>#VALUE!</v>
          </cell>
          <cell r="X29" t="e">
            <v>#VALUE!</v>
          </cell>
          <cell r="Y29" t="e">
            <v>#VALUE!</v>
          </cell>
          <cell r="Z29" t="e">
            <v>#VALUE!</v>
          </cell>
          <cell r="AA29" t="e">
            <v>#VALUE!</v>
          </cell>
          <cell r="AB29" t="e">
            <v>#VALUE!</v>
          </cell>
          <cell r="AC29" t="e">
            <v>#VALUE!</v>
          </cell>
          <cell r="AD29" t="e">
            <v>#VALUE!</v>
          </cell>
          <cell r="AE29" t="e">
            <v>#VALUE!</v>
          </cell>
          <cell r="AF29" t="e">
            <v>#VALUE!</v>
          </cell>
          <cell r="AG29" t="e">
            <v>#VALUE!</v>
          </cell>
          <cell r="AH29" t="e">
            <v>#VALUE!</v>
          </cell>
          <cell r="AI29" t="e">
            <v>#VALUE!</v>
          </cell>
          <cell r="AJ29" t="e">
            <v>#VALUE!</v>
          </cell>
          <cell r="AK29" t="e">
            <v>#VALUE!</v>
          </cell>
          <cell r="AL29" t="e">
            <v>#VALUE!</v>
          </cell>
          <cell r="AM29" t="str">
            <v>-</v>
          </cell>
          <cell r="AZ29" t="e">
            <v>#VALUE!</v>
          </cell>
        </row>
        <row r="30">
          <cell r="AZ30">
            <v>0</v>
          </cell>
        </row>
        <row r="32">
          <cell r="D32" t="e">
            <v>#VALUE!</v>
          </cell>
          <cell r="E32" t="e">
            <v>#VALUE!</v>
          </cell>
          <cell r="F32" t="e">
            <v>#VALUE!</v>
          </cell>
          <cell r="G32" t="e">
            <v>#VALUE!</v>
          </cell>
          <cell r="H32" t="e">
            <v>#VALUE!</v>
          </cell>
          <cell r="I32" t="e">
            <v>#VALUE!</v>
          </cell>
          <cell r="J32" t="e">
            <v>#VALUE!</v>
          </cell>
          <cell r="K32" t="e">
            <v>#VALUE!</v>
          </cell>
          <cell r="L32" t="e">
            <v>#VALUE!</v>
          </cell>
          <cell r="M32" t="e">
            <v>#VALUE!</v>
          </cell>
          <cell r="N32" t="e">
            <v>#VALUE!</v>
          </cell>
          <cell r="O32" t="e">
            <v>#VALUE!</v>
          </cell>
          <cell r="P32" t="e">
            <v>#VALUE!</v>
          </cell>
          <cell r="Q32" t="e">
            <v>#VALUE!</v>
          </cell>
          <cell r="R32" t="e">
            <v>#VALUE!</v>
          </cell>
          <cell r="S32" t="e">
            <v>#VALUE!</v>
          </cell>
          <cell r="T32" t="e">
            <v>#VALUE!</v>
          </cell>
          <cell r="U32" t="e">
            <v>#VALUE!</v>
          </cell>
          <cell r="V32" t="e">
            <v>#VALUE!</v>
          </cell>
          <cell r="W32" t="e">
            <v>#VALUE!</v>
          </cell>
          <cell r="X32" t="e">
            <v>#VALUE!</v>
          </cell>
          <cell r="Y32" t="e">
            <v>#VALUE!</v>
          </cell>
          <cell r="Z32" t="e">
            <v>#VALUE!</v>
          </cell>
          <cell r="AA32" t="e">
            <v>#VALUE!</v>
          </cell>
          <cell r="AB32" t="e">
            <v>#VALUE!</v>
          </cell>
          <cell r="AC32" t="e">
            <v>#VALUE!</v>
          </cell>
          <cell r="AD32" t="e">
            <v>#VALUE!</v>
          </cell>
          <cell r="AE32" t="e">
            <v>#VALUE!</v>
          </cell>
          <cell r="AF32" t="e">
            <v>#VALUE!</v>
          </cell>
          <cell r="AG32" t="e">
            <v>#VALUE!</v>
          </cell>
          <cell r="AH32" t="e">
            <v>#VALUE!</v>
          </cell>
          <cell r="AI32" t="e">
            <v>#VALUE!</v>
          </cell>
          <cell r="AJ32" t="e">
            <v>#VALUE!</v>
          </cell>
          <cell r="AK32" t="e">
            <v>#VALUE!</v>
          </cell>
          <cell r="AL32" t="e">
            <v>#VALUE!</v>
          </cell>
          <cell r="AM32" t="str">
            <v>-</v>
          </cell>
          <cell r="AZ32" t="e">
            <v>#VALUE!</v>
          </cell>
        </row>
        <row r="33">
          <cell r="AZ33">
            <v>0</v>
          </cell>
        </row>
        <row r="35">
          <cell r="D35" t="e">
            <v>#VALUE!</v>
          </cell>
          <cell r="E35" t="e">
            <v>#VALUE!</v>
          </cell>
          <cell r="F35" t="e">
            <v>#VALUE!</v>
          </cell>
          <cell r="G35" t="e">
            <v>#VALUE!</v>
          </cell>
          <cell r="H35" t="e">
            <v>#VALUE!</v>
          </cell>
          <cell r="I35" t="e">
            <v>#VALUE!</v>
          </cell>
          <cell r="J35" t="e">
            <v>#VALUE!</v>
          </cell>
          <cell r="K35" t="e">
            <v>#VALUE!</v>
          </cell>
          <cell r="L35" t="e">
            <v>#VALUE!</v>
          </cell>
          <cell r="M35" t="e">
            <v>#VALUE!</v>
          </cell>
          <cell r="N35" t="e">
            <v>#VALUE!</v>
          </cell>
          <cell r="O35" t="e">
            <v>#VALUE!</v>
          </cell>
          <cell r="P35" t="e">
            <v>#VALUE!</v>
          </cell>
          <cell r="Q35" t="e">
            <v>#VALUE!</v>
          </cell>
          <cell r="R35" t="e">
            <v>#VALUE!</v>
          </cell>
          <cell r="S35" t="e">
            <v>#VALUE!</v>
          </cell>
          <cell r="T35" t="e">
            <v>#VALUE!</v>
          </cell>
          <cell r="U35" t="e">
            <v>#VALUE!</v>
          </cell>
          <cell r="V35" t="e">
            <v>#VALUE!</v>
          </cell>
          <cell r="W35" t="e">
            <v>#VALUE!</v>
          </cell>
          <cell r="X35" t="e">
            <v>#VALUE!</v>
          </cell>
          <cell r="Y35" t="e">
            <v>#VALUE!</v>
          </cell>
          <cell r="Z35" t="e">
            <v>#VALUE!</v>
          </cell>
          <cell r="AA35" t="e">
            <v>#VALUE!</v>
          </cell>
          <cell r="AB35" t="e">
            <v>#VALUE!</v>
          </cell>
          <cell r="AC35" t="e">
            <v>#VALUE!</v>
          </cell>
          <cell r="AD35" t="e">
            <v>#VALUE!</v>
          </cell>
          <cell r="AE35" t="e">
            <v>#VALUE!</v>
          </cell>
          <cell r="AF35" t="e">
            <v>#VALUE!</v>
          </cell>
          <cell r="AG35" t="e">
            <v>#VALUE!</v>
          </cell>
          <cell r="AH35" t="e">
            <v>#VALUE!</v>
          </cell>
          <cell r="AI35" t="e">
            <v>#VALUE!</v>
          </cell>
          <cell r="AJ35" t="e">
            <v>#VALUE!</v>
          </cell>
          <cell r="AK35" t="e">
            <v>#VALUE!</v>
          </cell>
          <cell r="AL35" t="e">
            <v>#VALUE!</v>
          </cell>
          <cell r="AM35" t="str">
            <v>-</v>
          </cell>
          <cell r="AZ35" t="e">
            <v>#VALUE!</v>
          </cell>
        </row>
        <row r="36">
          <cell r="AZ36">
            <v>0</v>
          </cell>
        </row>
        <row r="38">
          <cell r="D38" t="e">
            <v>#VALUE!</v>
          </cell>
          <cell r="E38" t="e">
            <v>#VALUE!</v>
          </cell>
          <cell r="F38" t="e">
            <v>#VALUE!</v>
          </cell>
          <cell r="G38" t="e">
            <v>#VALUE!</v>
          </cell>
          <cell r="H38" t="e">
            <v>#VALUE!</v>
          </cell>
          <cell r="I38" t="e">
            <v>#VALUE!</v>
          </cell>
          <cell r="J38" t="e">
            <v>#VALUE!</v>
          </cell>
          <cell r="K38" t="e">
            <v>#VALUE!</v>
          </cell>
          <cell r="L38" t="e">
            <v>#VALUE!</v>
          </cell>
          <cell r="M38" t="e">
            <v>#VALUE!</v>
          </cell>
          <cell r="N38" t="e">
            <v>#VALUE!</v>
          </cell>
          <cell r="O38" t="e">
            <v>#VALUE!</v>
          </cell>
          <cell r="P38" t="e">
            <v>#VALUE!</v>
          </cell>
          <cell r="Q38" t="e">
            <v>#VALUE!</v>
          </cell>
          <cell r="R38" t="e">
            <v>#VALUE!</v>
          </cell>
          <cell r="S38" t="e">
            <v>#VALUE!</v>
          </cell>
          <cell r="T38" t="e">
            <v>#VALUE!</v>
          </cell>
          <cell r="U38" t="e">
            <v>#VALUE!</v>
          </cell>
          <cell r="V38" t="e">
            <v>#VALUE!</v>
          </cell>
          <cell r="W38" t="e">
            <v>#VALUE!</v>
          </cell>
          <cell r="X38" t="e">
            <v>#VALUE!</v>
          </cell>
          <cell r="Y38" t="e">
            <v>#VALUE!</v>
          </cell>
          <cell r="Z38" t="e">
            <v>#VALUE!</v>
          </cell>
          <cell r="AA38" t="e">
            <v>#VALUE!</v>
          </cell>
          <cell r="AB38" t="e">
            <v>#VALUE!</v>
          </cell>
          <cell r="AC38" t="e">
            <v>#VALUE!</v>
          </cell>
          <cell r="AD38" t="e">
            <v>#VALUE!</v>
          </cell>
          <cell r="AE38" t="e">
            <v>#VALUE!</v>
          </cell>
          <cell r="AF38" t="e">
            <v>#VALUE!</v>
          </cell>
          <cell r="AG38" t="e">
            <v>#VALUE!</v>
          </cell>
          <cell r="AH38" t="e">
            <v>#VALUE!</v>
          </cell>
          <cell r="AI38" t="e">
            <v>#VALUE!</v>
          </cell>
          <cell r="AJ38" t="e">
            <v>#VALUE!</v>
          </cell>
          <cell r="AK38" t="e">
            <v>#VALUE!</v>
          </cell>
          <cell r="AL38" t="e">
            <v>#VALUE!</v>
          </cell>
          <cell r="AM38" t="str">
            <v>-</v>
          </cell>
          <cell r="AZ38" t="e">
            <v>#VALUE!</v>
          </cell>
        </row>
        <row r="39">
          <cell r="AZ39" t="e">
            <v>#VALUE!</v>
          </cell>
        </row>
      </sheetData>
      <sheetData sheetId="2">
        <row r="2">
          <cell r="AM2" t="str">
            <v>-</v>
          </cell>
          <cell r="AZ2" t="e">
            <v>#VALUE!</v>
          </cell>
        </row>
        <row r="3">
          <cell r="AZ3" t="e">
            <v>#VALUE!</v>
          </cell>
        </row>
        <row r="5">
          <cell r="AM5" t="str">
            <v>-</v>
          </cell>
          <cell r="AZ5" t="e">
            <v>#VALUE!</v>
          </cell>
        </row>
        <row r="6">
          <cell r="AZ6">
            <v>0</v>
          </cell>
        </row>
        <row r="8">
          <cell r="AM8" t="str">
            <v>-</v>
          </cell>
          <cell r="AZ8" t="e">
            <v>#VALUE!</v>
          </cell>
        </row>
        <row r="9">
          <cell r="AZ9">
            <v>0</v>
          </cell>
        </row>
        <row r="11">
          <cell r="D11" t="e">
            <v>#VALUE!</v>
          </cell>
          <cell r="E11" t="e">
            <v>#VALUE!</v>
          </cell>
          <cell r="F11" t="e">
            <v>#VALUE!</v>
          </cell>
          <cell r="G11" t="e">
            <v>#VALUE!</v>
          </cell>
          <cell r="H11" t="e">
            <v>#VALUE!</v>
          </cell>
          <cell r="I11" t="e">
            <v>#VALUE!</v>
          </cell>
          <cell r="J11" t="e">
            <v>#VALUE!</v>
          </cell>
          <cell r="K11" t="e">
            <v>#VALUE!</v>
          </cell>
          <cell r="L11" t="e">
            <v>#VALUE!</v>
          </cell>
          <cell r="M11" t="e">
            <v>#VALUE!</v>
          </cell>
          <cell r="N11" t="e">
            <v>#VALUE!</v>
          </cell>
          <cell r="O11" t="e">
            <v>#VALUE!</v>
          </cell>
          <cell r="P11" t="e">
            <v>#VALUE!</v>
          </cell>
          <cell r="Q11" t="e">
            <v>#VALUE!</v>
          </cell>
          <cell r="R11" t="e">
            <v>#VALUE!</v>
          </cell>
          <cell r="S11" t="e">
            <v>#VALUE!</v>
          </cell>
          <cell r="T11" t="e">
            <v>#VALUE!</v>
          </cell>
          <cell r="U11" t="e">
            <v>#VALUE!</v>
          </cell>
          <cell r="V11" t="e">
            <v>#VALUE!</v>
          </cell>
          <cell r="W11" t="e">
            <v>#VALUE!</v>
          </cell>
          <cell r="X11" t="e">
            <v>#VALUE!</v>
          </cell>
          <cell r="Y11" t="e">
            <v>#VALUE!</v>
          </cell>
          <cell r="Z11" t="e">
            <v>#VALUE!</v>
          </cell>
          <cell r="AA11" t="e">
            <v>#VALUE!</v>
          </cell>
          <cell r="AB11" t="e">
            <v>#VALUE!</v>
          </cell>
          <cell r="AC11" t="e">
            <v>#VALUE!</v>
          </cell>
          <cell r="AD11" t="e">
            <v>#VALUE!</v>
          </cell>
          <cell r="AE11" t="e">
            <v>#VALUE!</v>
          </cell>
          <cell r="AF11" t="e">
            <v>#VALUE!</v>
          </cell>
          <cell r="AG11" t="e">
            <v>#VALUE!</v>
          </cell>
          <cell r="AH11" t="e">
            <v>#VALUE!</v>
          </cell>
          <cell r="AI11" t="e">
            <v>#VALUE!</v>
          </cell>
          <cell r="AJ11" t="e">
            <v>#VALUE!</v>
          </cell>
          <cell r="AK11" t="e">
            <v>#VALUE!</v>
          </cell>
          <cell r="AL11" t="e">
            <v>#VALUE!</v>
          </cell>
          <cell r="AM11" t="str">
            <v>-</v>
          </cell>
          <cell r="AZ11" t="e">
            <v>#VALUE!</v>
          </cell>
        </row>
        <row r="12">
          <cell r="AZ12">
            <v>0</v>
          </cell>
        </row>
        <row r="14">
          <cell r="D14" t="e">
            <v>#VALUE!</v>
          </cell>
          <cell r="E14" t="e">
            <v>#VALUE!</v>
          </cell>
          <cell r="F14" t="e">
            <v>#VALUE!</v>
          </cell>
          <cell r="G14" t="e">
            <v>#VALUE!</v>
          </cell>
          <cell r="H14" t="e">
            <v>#VALUE!</v>
          </cell>
          <cell r="I14" t="e">
            <v>#VALUE!</v>
          </cell>
          <cell r="J14" t="e">
            <v>#VALUE!</v>
          </cell>
          <cell r="K14" t="e">
            <v>#VALUE!</v>
          </cell>
          <cell r="L14" t="e">
            <v>#VALUE!</v>
          </cell>
          <cell r="M14" t="e">
            <v>#VALUE!</v>
          </cell>
          <cell r="N14" t="e">
            <v>#VALUE!</v>
          </cell>
          <cell r="O14" t="e">
            <v>#VALUE!</v>
          </cell>
          <cell r="P14" t="e">
            <v>#VALUE!</v>
          </cell>
          <cell r="Q14" t="e">
            <v>#VALUE!</v>
          </cell>
          <cell r="R14" t="e">
            <v>#VALUE!</v>
          </cell>
          <cell r="S14" t="e">
            <v>#VALUE!</v>
          </cell>
          <cell r="T14" t="e">
            <v>#VALUE!</v>
          </cell>
          <cell r="U14" t="e">
            <v>#VALUE!</v>
          </cell>
          <cell r="V14" t="e">
            <v>#VALUE!</v>
          </cell>
          <cell r="W14" t="e">
            <v>#VALUE!</v>
          </cell>
          <cell r="X14" t="e">
            <v>#VALUE!</v>
          </cell>
          <cell r="Y14" t="e">
            <v>#VALUE!</v>
          </cell>
          <cell r="Z14" t="e">
            <v>#VALUE!</v>
          </cell>
          <cell r="AA14" t="e">
            <v>#VALUE!</v>
          </cell>
          <cell r="AB14" t="e">
            <v>#VALUE!</v>
          </cell>
          <cell r="AC14" t="e">
            <v>#VALUE!</v>
          </cell>
          <cell r="AD14" t="e">
            <v>#VALUE!</v>
          </cell>
          <cell r="AE14" t="e">
            <v>#VALUE!</v>
          </cell>
          <cell r="AF14" t="e">
            <v>#VALUE!</v>
          </cell>
          <cell r="AG14" t="e">
            <v>#VALUE!</v>
          </cell>
          <cell r="AH14" t="e">
            <v>#VALUE!</v>
          </cell>
          <cell r="AI14" t="e">
            <v>#VALUE!</v>
          </cell>
          <cell r="AJ14" t="e">
            <v>#VALUE!</v>
          </cell>
          <cell r="AK14" t="e">
            <v>#VALUE!</v>
          </cell>
          <cell r="AL14" t="e">
            <v>#VALUE!</v>
          </cell>
          <cell r="AM14" t="str">
            <v>-</v>
          </cell>
          <cell r="AZ14" t="e">
            <v>#VALUE!</v>
          </cell>
        </row>
        <row r="15">
          <cell r="AZ15">
            <v>0</v>
          </cell>
        </row>
        <row r="17">
          <cell r="D17" t="e">
            <v>#VALUE!</v>
          </cell>
          <cell r="E17" t="e">
            <v>#VALUE!</v>
          </cell>
          <cell r="F17" t="e">
            <v>#VALUE!</v>
          </cell>
          <cell r="G17" t="e">
            <v>#VALUE!</v>
          </cell>
          <cell r="H17" t="e">
            <v>#VALUE!</v>
          </cell>
          <cell r="I17" t="e">
            <v>#VALUE!</v>
          </cell>
          <cell r="J17" t="e">
            <v>#VALUE!</v>
          </cell>
          <cell r="K17" t="e">
            <v>#VALUE!</v>
          </cell>
          <cell r="L17" t="e">
            <v>#VALUE!</v>
          </cell>
          <cell r="M17" t="e">
            <v>#VALUE!</v>
          </cell>
          <cell r="N17" t="e">
            <v>#VALUE!</v>
          </cell>
          <cell r="O17" t="e">
            <v>#VALUE!</v>
          </cell>
          <cell r="P17" t="e">
            <v>#VALUE!</v>
          </cell>
          <cell r="Q17" t="e">
            <v>#VALUE!</v>
          </cell>
          <cell r="R17" t="e">
            <v>#VALUE!</v>
          </cell>
          <cell r="S17" t="e">
            <v>#VALUE!</v>
          </cell>
          <cell r="T17" t="e">
            <v>#VALUE!</v>
          </cell>
          <cell r="U17" t="e">
            <v>#VALUE!</v>
          </cell>
          <cell r="V17" t="e">
            <v>#VALUE!</v>
          </cell>
          <cell r="W17" t="e">
            <v>#VALUE!</v>
          </cell>
          <cell r="X17" t="e">
            <v>#VALUE!</v>
          </cell>
          <cell r="Y17" t="e">
            <v>#VALUE!</v>
          </cell>
          <cell r="Z17" t="e">
            <v>#VALUE!</v>
          </cell>
          <cell r="AA17" t="e">
            <v>#VALUE!</v>
          </cell>
          <cell r="AB17" t="e">
            <v>#VALUE!</v>
          </cell>
          <cell r="AC17" t="e">
            <v>#VALUE!</v>
          </cell>
          <cell r="AD17" t="e">
            <v>#VALUE!</v>
          </cell>
          <cell r="AE17" t="e">
            <v>#VALUE!</v>
          </cell>
          <cell r="AF17" t="e">
            <v>#VALUE!</v>
          </cell>
          <cell r="AG17" t="e">
            <v>#VALUE!</v>
          </cell>
          <cell r="AH17" t="e">
            <v>#VALUE!</v>
          </cell>
          <cell r="AI17" t="e">
            <v>#VALUE!</v>
          </cell>
          <cell r="AJ17" t="e">
            <v>#VALUE!</v>
          </cell>
          <cell r="AK17" t="e">
            <v>#VALUE!</v>
          </cell>
          <cell r="AL17" t="e">
            <v>#VALUE!</v>
          </cell>
          <cell r="AM17" t="str">
            <v>-</v>
          </cell>
          <cell r="AZ17" t="e">
            <v>#VALUE!</v>
          </cell>
        </row>
        <row r="18">
          <cell r="AZ18">
            <v>0</v>
          </cell>
        </row>
        <row r="20">
          <cell r="D20" t="e">
            <v>#VALUE!</v>
          </cell>
          <cell r="E20" t="e">
            <v>#VALUE!</v>
          </cell>
          <cell r="F20" t="e">
            <v>#VALUE!</v>
          </cell>
          <cell r="G20" t="e">
            <v>#VALUE!</v>
          </cell>
          <cell r="H20" t="e">
            <v>#VALUE!</v>
          </cell>
          <cell r="I20" t="e">
            <v>#VALUE!</v>
          </cell>
          <cell r="J20" t="e">
            <v>#VALUE!</v>
          </cell>
          <cell r="K20" t="e">
            <v>#VALUE!</v>
          </cell>
          <cell r="L20" t="e">
            <v>#VALUE!</v>
          </cell>
          <cell r="M20" t="e">
            <v>#VALUE!</v>
          </cell>
          <cell r="N20" t="e">
            <v>#VALUE!</v>
          </cell>
          <cell r="O20" t="e">
            <v>#VALUE!</v>
          </cell>
          <cell r="P20" t="e">
            <v>#VALUE!</v>
          </cell>
          <cell r="Q20" t="e">
            <v>#VALUE!</v>
          </cell>
          <cell r="R20" t="e">
            <v>#VALUE!</v>
          </cell>
          <cell r="S20" t="e">
            <v>#VALUE!</v>
          </cell>
          <cell r="T20" t="e">
            <v>#VALUE!</v>
          </cell>
          <cell r="U20" t="e">
            <v>#VALUE!</v>
          </cell>
          <cell r="V20" t="e">
            <v>#VALUE!</v>
          </cell>
          <cell r="W20" t="e">
            <v>#VALUE!</v>
          </cell>
          <cell r="X20" t="e">
            <v>#VALUE!</v>
          </cell>
          <cell r="Y20" t="e">
            <v>#VALUE!</v>
          </cell>
          <cell r="Z20" t="e">
            <v>#VALUE!</v>
          </cell>
          <cell r="AA20" t="e">
            <v>#VALUE!</v>
          </cell>
          <cell r="AB20" t="e">
            <v>#VALUE!</v>
          </cell>
          <cell r="AC20" t="e">
            <v>#VALUE!</v>
          </cell>
          <cell r="AD20" t="e">
            <v>#VALUE!</v>
          </cell>
          <cell r="AE20" t="e">
            <v>#VALUE!</v>
          </cell>
          <cell r="AF20" t="e">
            <v>#VALUE!</v>
          </cell>
          <cell r="AG20" t="e">
            <v>#VALUE!</v>
          </cell>
          <cell r="AH20" t="e">
            <v>#VALUE!</v>
          </cell>
          <cell r="AI20" t="e">
            <v>#VALUE!</v>
          </cell>
          <cell r="AJ20" t="e">
            <v>#VALUE!</v>
          </cell>
          <cell r="AK20" t="e">
            <v>#VALUE!</v>
          </cell>
          <cell r="AL20" t="e">
            <v>#VALUE!</v>
          </cell>
          <cell r="AM20" t="str">
            <v>-</v>
          </cell>
          <cell r="AZ20" t="e">
            <v>#VALUE!</v>
          </cell>
        </row>
        <row r="21">
          <cell r="AZ21">
            <v>0</v>
          </cell>
        </row>
        <row r="23">
          <cell r="AM23" t="str">
            <v>-</v>
          </cell>
          <cell r="AZ23" t="e">
            <v>#VALUE!</v>
          </cell>
        </row>
        <row r="24">
          <cell r="AZ24">
            <v>0</v>
          </cell>
        </row>
        <row r="26">
          <cell r="D26" t="e">
            <v>#VALUE!</v>
          </cell>
          <cell r="E26" t="e">
            <v>#VALUE!</v>
          </cell>
          <cell r="F26" t="e">
            <v>#VALUE!</v>
          </cell>
          <cell r="G26" t="e">
            <v>#VALUE!</v>
          </cell>
          <cell r="H26" t="e">
            <v>#VALUE!</v>
          </cell>
          <cell r="I26" t="e">
            <v>#VALUE!</v>
          </cell>
          <cell r="J26" t="e">
            <v>#VALUE!</v>
          </cell>
          <cell r="K26" t="e">
            <v>#VALUE!</v>
          </cell>
          <cell r="L26" t="e">
            <v>#VALUE!</v>
          </cell>
          <cell r="M26" t="e">
            <v>#VALUE!</v>
          </cell>
          <cell r="N26" t="e">
            <v>#VALUE!</v>
          </cell>
          <cell r="O26" t="e">
            <v>#VALUE!</v>
          </cell>
          <cell r="P26" t="e">
            <v>#VALUE!</v>
          </cell>
          <cell r="Q26" t="e">
            <v>#VALUE!</v>
          </cell>
          <cell r="R26" t="e">
            <v>#VALUE!</v>
          </cell>
          <cell r="S26" t="e">
            <v>#VALUE!</v>
          </cell>
          <cell r="T26" t="e">
            <v>#VALUE!</v>
          </cell>
          <cell r="U26" t="e">
            <v>#VALUE!</v>
          </cell>
          <cell r="V26" t="e">
            <v>#VALUE!</v>
          </cell>
          <cell r="W26" t="e">
            <v>#VALUE!</v>
          </cell>
          <cell r="X26" t="e">
            <v>#VALUE!</v>
          </cell>
          <cell r="Y26" t="e">
            <v>#VALUE!</v>
          </cell>
          <cell r="Z26" t="e">
            <v>#VALUE!</v>
          </cell>
          <cell r="AA26" t="e">
            <v>#VALUE!</v>
          </cell>
          <cell r="AB26" t="e">
            <v>#VALUE!</v>
          </cell>
          <cell r="AC26" t="e">
            <v>#VALUE!</v>
          </cell>
          <cell r="AD26" t="e">
            <v>#VALUE!</v>
          </cell>
          <cell r="AE26" t="e">
            <v>#VALUE!</v>
          </cell>
          <cell r="AF26" t="e">
            <v>#VALUE!</v>
          </cell>
          <cell r="AG26" t="e">
            <v>#VALUE!</v>
          </cell>
          <cell r="AH26" t="e">
            <v>#VALUE!</v>
          </cell>
          <cell r="AI26" t="e">
            <v>#VALUE!</v>
          </cell>
          <cell r="AJ26" t="e">
            <v>#VALUE!</v>
          </cell>
          <cell r="AK26" t="e">
            <v>#VALUE!</v>
          </cell>
          <cell r="AL26" t="e">
            <v>#VALUE!</v>
          </cell>
          <cell r="AM26" t="str">
            <v>-</v>
          </cell>
          <cell r="AZ26" t="e">
            <v>#VALUE!</v>
          </cell>
        </row>
        <row r="27">
          <cell r="AZ27">
            <v>0</v>
          </cell>
        </row>
        <row r="29">
          <cell r="D29" t="e">
            <v>#VALUE!</v>
          </cell>
          <cell r="E29" t="e">
            <v>#VALUE!</v>
          </cell>
          <cell r="F29" t="e">
            <v>#VALUE!</v>
          </cell>
          <cell r="G29" t="e">
            <v>#VALUE!</v>
          </cell>
          <cell r="H29" t="e">
            <v>#VALUE!</v>
          </cell>
          <cell r="I29" t="e">
            <v>#VALUE!</v>
          </cell>
          <cell r="J29" t="e">
            <v>#VALUE!</v>
          </cell>
          <cell r="K29" t="e">
            <v>#VALUE!</v>
          </cell>
          <cell r="L29" t="e">
            <v>#VALUE!</v>
          </cell>
          <cell r="M29" t="e">
            <v>#VALUE!</v>
          </cell>
          <cell r="N29" t="e">
            <v>#VALUE!</v>
          </cell>
          <cell r="O29" t="e">
            <v>#VALUE!</v>
          </cell>
          <cell r="P29" t="e">
            <v>#VALUE!</v>
          </cell>
          <cell r="Q29" t="e">
            <v>#VALUE!</v>
          </cell>
          <cell r="R29" t="e">
            <v>#VALUE!</v>
          </cell>
          <cell r="S29" t="e">
            <v>#VALUE!</v>
          </cell>
          <cell r="T29" t="e">
            <v>#VALUE!</v>
          </cell>
          <cell r="U29" t="e">
            <v>#VALUE!</v>
          </cell>
          <cell r="V29" t="e">
            <v>#VALUE!</v>
          </cell>
          <cell r="W29" t="e">
            <v>#VALUE!</v>
          </cell>
          <cell r="X29" t="e">
            <v>#VALUE!</v>
          </cell>
          <cell r="Y29" t="e">
            <v>#VALUE!</v>
          </cell>
          <cell r="Z29" t="e">
            <v>#VALUE!</v>
          </cell>
          <cell r="AA29" t="e">
            <v>#VALUE!</v>
          </cell>
          <cell r="AB29" t="e">
            <v>#VALUE!</v>
          </cell>
          <cell r="AC29" t="e">
            <v>#VALUE!</v>
          </cell>
          <cell r="AD29" t="e">
            <v>#VALUE!</v>
          </cell>
          <cell r="AE29" t="e">
            <v>#VALUE!</v>
          </cell>
          <cell r="AF29" t="e">
            <v>#VALUE!</v>
          </cell>
          <cell r="AG29" t="e">
            <v>#VALUE!</v>
          </cell>
          <cell r="AH29" t="e">
            <v>#VALUE!</v>
          </cell>
          <cell r="AI29" t="e">
            <v>#VALUE!</v>
          </cell>
          <cell r="AJ29" t="e">
            <v>#VALUE!</v>
          </cell>
          <cell r="AK29" t="e">
            <v>#VALUE!</v>
          </cell>
          <cell r="AL29" t="e">
            <v>#VALUE!</v>
          </cell>
          <cell r="AM29" t="str">
            <v>-</v>
          </cell>
          <cell r="AZ29" t="e">
            <v>#VALUE!</v>
          </cell>
        </row>
        <row r="30">
          <cell r="AZ30">
            <v>0</v>
          </cell>
        </row>
        <row r="32">
          <cell r="D32" t="e">
            <v>#VALUE!</v>
          </cell>
          <cell r="E32" t="e">
            <v>#VALUE!</v>
          </cell>
          <cell r="F32" t="e">
            <v>#VALUE!</v>
          </cell>
          <cell r="G32" t="e">
            <v>#VALUE!</v>
          </cell>
          <cell r="H32" t="e">
            <v>#VALUE!</v>
          </cell>
          <cell r="I32" t="e">
            <v>#VALUE!</v>
          </cell>
          <cell r="J32" t="e">
            <v>#VALUE!</v>
          </cell>
          <cell r="K32" t="e">
            <v>#VALUE!</v>
          </cell>
          <cell r="L32" t="e">
            <v>#VALUE!</v>
          </cell>
          <cell r="M32" t="e">
            <v>#VALUE!</v>
          </cell>
          <cell r="N32" t="e">
            <v>#VALUE!</v>
          </cell>
          <cell r="O32" t="e">
            <v>#VALUE!</v>
          </cell>
          <cell r="P32" t="e">
            <v>#VALUE!</v>
          </cell>
          <cell r="Q32" t="e">
            <v>#VALUE!</v>
          </cell>
          <cell r="R32" t="e">
            <v>#VALUE!</v>
          </cell>
          <cell r="S32" t="e">
            <v>#VALUE!</v>
          </cell>
          <cell r="T32" t="e">
            <v>#VALUE!</v>
          </cell>
          <cell r="U32" t="e">
            <v>#VALUE!</v>
          </cell>
          <cell r="V32" t="e">
            <v>#VALUE!</v>
          </cell>
          <cell r="W32" t="e">
            <v>#VALUE!</v>
          </cell>
          <cell r="X32" t="e">
            <v>#VALUE!</v>
          </cell>
          <cell r="Y32" t="e">
            <v>#VALUE!</v>
          </cell>
          <cell r="Z32" t="e">
            <v>#VALUE!</v>
          </cell>
          <cell r="AA32" t="e">
            <v>#VALUE!</v>
          </cell>
          <cell r="AB32" t="e">
            <v>#VALUE!</v>
          </cell>
          <cell r="AC32" t="e">
            <v>#VALUE!</v>
          </cell>
          <cell r="AD32" t="e">
            <v>#VALUE!</v>
          </cell>
          <cell r="AE32" t="e">
            <v>#VALUE!</v>
          </cell>
          <cell r="AF32" t="e">
            <v>#VALUE!</v>
          </cell>
          <cell r="AG32" t="e">
            <v>#VALUE!</v>
          </cell>
          <cell r="AH32" t="e">
            <v>#VALUE!</v>
          </cell>
          <cell r="AI32" t="e">
            <v>#VALUE!</v>
          </cell>
          <cell r="AJ32" t="e">
            <v>#VALUE!</v>
          </cell>
          <cell r="AK32" t="e">
            <v>#VALUE!</v>
          </cell>
          <cell r="AL32" t="e">
            <v>#VALUE!</v>
          </cell>
          <cell r="AM32" t="str">
            <v>-</v>
          </cell>
          <cell r="AZ32" t="e">
            <v>#VALUE!</v>
          </cell>
        </row>
        <row r="33">
          <cell r="AZ33">
            <v>0</v>
          </cell>
        </row>
        <row r="35">
          <cell r="D35" t="e">
            <v>#VALUE!</v>
          </cell>
          <cell r="E35" t="e">
            <v>#VALUE!</v>
          </cell>
          <cell r="F35" t="e">
            <v>#VALUE!</v>
          </cell>
          <cell r="G35" t="e">
            <v>#VALUE!</v>
          </cell>
          <cell r="H35" t="e">
            <v>#VALUE!</v>
          </cell>
          <cell r="I35" t="e">
            <v>#VALUE!</v>
          </cell>
          <cell r="J35" t="e">
            <v>#VALUE!</v>
          </cell>
          <cell r="K35" t="e">
            <v>#VALUE!</v>
          </cell>
          <cell r="L35" t="e">
            <v>#VALUE!</v>
          </cell>
          <cell r="M35" t="e">
            <v>#VALUE!</v>
          </cell>
          <cell r="N35" t="e">
            <v>#VALUE!</v>
          </cell>
          <cell r="O35" t="e">
            <v>#VALUE!</v>
          </cell>
          <cell r="P35" t="e">
            <v>#VALUE!</v>
          </cell>
          <cell r="Q35" t="e">
            <v>#VALUE!</v>
          </cell>
          <cell r="R35" t="e">
            <v>#VALUE!</v>
          </cell>
          <cell r="S35" t="e">
            <v>#VALUE!</v>
          </cell>
          <cell r="T35" t="e">
            <v>#VALUE!</v>
          </cell>
          <cell r="U35" t="e">
            <v>#VALUE!</v>
          </cell>
          <cell r="V35" t="e">
            <v>#VALUE!</v>
          </cell>
          <cell r="W35" t="e">
            <v>#VALUE!</v>
          </cell>
          <cell r="X35" t="e">
            <v>#VALUE!</v>
          </cell>
          <cell r="Y35" t="e">
            <v>#VALUE!</v>
          </cell>
          <cell r="Z35" t="e">
            <v>#VALUE!</v>
          </cell>
          <cell r="AA35" t="e">
            <v>#VALUE!</v>
          </cell>
          <cell r="AB35" t="e">
            <v>#VALUE!</v>
          </cell>
          <cell r="AC35" t="e">
            <v>#VALUE!</v>
          </cell>
          <cell r="AD35" t="e">
            <v>#VALUE!</v>
          </cell>
          <cell r="AE35" t="e">
            <v>#VALUE!</v>
          </cell>
          <cell r="AF35" t="e">
            <v>#VALUE!</v>
          </cell>
          <cell r="AG35" t="e">
            <v>#VALUE!</v>
          </cell>
          <cell r="AH35" t="e">
            <v>#VALUE!</v>
          </cell>
          <cell r="AI35" t="e">
            <v>#VALUE!</v>
          </cell>
          <cell r="AJ35" t="e">
            <v>#VALUE!</v>
          </cell>
          <cell r="AK35" t="e">
            <v>#VALUE!</v>
          </cell>
          <cell r="AL35" t="e">
            <v>#VALUE!</v>
          </cell>
          <cell r="AM35" t="str">
            <v>-</v>
          </cell>
          <cell r="AZ35" t="e">
            <v>#VALUE!</v>
          </cell>
        </row>
        <row r="36">
          <cell r="AZ36">
            <v>0</v>
          </cell>
        </row>
        <row r="38">
          <cell r="D38" t="e">
            <v>#VALUE!</v>
          </cell>
          <cell r="E38" t="e">
            <v>#VALUE!</v>
          </cell>
          <cell r="F38" t="e">
            <v>#VALUE!</v>
          </cell>
          <cell r="G38" t="e">
            <v>#VALUE!</v>
          </cell>
          <cell r="H38" t="e">
            <v>#VALUE!</v>
          </cell>
          <cell r="I38" t="e">
            <v>#VALUE!</v>
          </cell>
          <cell r="J38" t="e">
            <v>#VALUE!</v>
          </cell>
          <cell r="K38" t="e">
            <v>#VALUE!</v>
          </cell>
          <cell r="L38" t="e">
            <v>#VALUE!</v>
          </cell>
          <cell r="M38" t="e">
            <v>#VALUE!</v>
          </cell>
          <cell r="N38" t="e">
            <v>#VALUE!</v>
          </cell>
          <cell r="O38" t="e">
            <v>#VALUE!</v>
          </cell>
          <cell r="P38" t="e">
            <v>#VALUE!</v>
          </cell>
          <cell r="Q38" t="e">
            <v>#VALUE!</v>
          </cell>
          <cell r="R38" t="e">
            <v>#VALUE!</v>
          </cell>
          <cell r="S38" t="e">
            <v>#VALUE!</v>
          </cell>
          <cell r="T38" t="e">
            <v>#VALUE!</v>
          </cell>
          <cell r="U38" t="e">
            <v>#VALUE!</v>
          </cell>
          <cell r="V38" t="e">
            <v>#VALUE!</v>
          </cell>
          <cell r="W38" t="e">
            <v>#VALUE!</v>
          </cell>
          <cell r="X38" t="e">
            <v>#VALUE!</v>
          </cell>
          <cell r="Y38" t="e">
            <v>#VALUE!</v>
          </cell>
          <cell r="Z38" t="e">
            <v>#VALUE!</v>
          </cell>
          <cell r="AA38" t="e">
            <v>#VALUE!</v>
          </cell>
          <cell r="AB38" t="e">
            <v>#VALUE!</v>
          </cell>
          <cell r="AC38" t="e">
            <v>#VALUE!</v>
          </cell>
          <cell r="AD38" t="e">
            <v>#VALUE!</v>
          </cell>
          <cell r="AE38" t="e">
            <v>#VALUE!</v>
          </cell>
          <cell r="AF38" t="e">
            <v>#VALUE!</v>
          </cell>
          <cell r="AG38" t="e">
            <v>#VALUE!</v>
          </cell>
          <cell r="AH38" t="e">
            <v>#VALUE!</v>
          </cell>
          <cell r="AI38" t="e">
            <v>#VALUE!</v>
          </cell>
          <cell r="AJ38" t="e">
            <v>#VALUE!</v>
          </cell>
          <cell r="AK38" t="e">
            <v>#VALUE!</v>
          </cell>
          <cell r="AL38" t="e">
            <v>#VALUE!</v>
          </cell>
          <cell r="AM38" t="str">
            <v>-</v>
          </cell>
          <cell r="AZ38" t="e">
            <v>#VALUE!</v>
          </cell>
        </row>
        <row r="39">
          <cell r="AZ39" t="e">
            <v>#VALUE!</v>
          </cell>
        </row>
      </sheetData>
      <sheetData sheetId="3">
        <row r="2">
          <cell r="AM2" t="str">
            <v>-</v>
          </cell>
          <cell r="AZ2" t="e">
            <v>#VALUE!</v>
          </cell>
        </row>
        <row r="3">
          <cell r="AZ3" t="e">
            <v>#VALUE!</v>
          </cell>
        </row>
        <row r="5">
          <cell r="AM5" t="str">
            <v>-</v>
          </cell>
          <cell r="AZ5" t="e">
            <v>#VALUE!</v>
          </cell>
        </row>
        <row r="6">
          <cell r="AZ6">
            <v>141.60000000000002</v>
          </cell>
        </row>
        <row r="8">
          <cell r="AM8" t="str">
            <v>-</v>
          </cell>
          <cell r="AZ8" t="e">
            <v>#VALUE!</v>
          </cell>
        </row>
        <row r="9">
          <cell r="AZ9">
            <v>90.600000000000009</v>
          </cell>
        </row>
        <row r="11">
          <cell r="D11" t="e">
            <v>#VALUE!</v>
          </cell>
          <cell r="E11" t="e">
            <v>#VALUE!</v>
          </cell>
          <cell r="F11" t="e">
            <v>#VALUE!</v>
          </cell>
          <cell r="G11" t="e">
            <v>#VALUE!</v>
          </cell>
          <cell r="H11" t="e">
            <v>#VALUE!</v>
          </cell>
          <cell r="I11" t="e">
            <v>#VALUE!</v>
          </cell>
          <cell r="J11" t="e">
            <v>#VALUE!</v>
          </cell>
          <cell r="K11" t="e">
            <v>#VALUE!</v>
          </cell>
          <cell r="L11" t="e">
            <v>#VALUE!</v>
          </cell>
          <cell r="M11" t="e">
            <v>#VALUE!</v>
          </cell>
          <cell r="N11" t="e">
            <v>#VALUE!</v>
          </cell>
          <cell r="O11" t="e">
            <v>#VALUE!</v>
          </cell>
          <cell r="P11" t="e">
            <v>#VALUE!</v>
          </cell>
          <cell r="Q11" t="e">
            <v>#VALUE!</v>
          </cell>
          <cell r="R11" t="e">
            <v>#VALUE!</v>
          </cell>
          <cell r="S11" t="e">
            <v>#VALUE!</v>
          </cell>
          <cell r="T11" t="e">
            <v>#VALUE!</v>
          </cell>
          <cell r="U11" t="e">
            <v>#VALUE!</v>
          </cell>
          <cell r="V11" t="e">
            <v>#VALUE!</v>
          </cell>
          <cell r="W11" t="e">
            <v>#VALUE!</v>
          </cell>
          <cell r="X11" t="e">
            <v>#VALUE!</v>
          </cell>
          <cell r="Y11" t="e">
            <v>#VALUE!</v>
          </cell>
          <cell r="Z11" t="e">
            <v>#VALUE!</v>
          </cell>
          <cell r="AA11" t="e">
            <v>#VALUE!</v>
          </cell>
          <cell r="AB11" t="e">
            <v>#VALUE!</v>
          </cell>
          <cell r="AC11" t="e">
            <v>#VALUE!</v>
          </cell>
          <cell r="AD11" t="e">
            <v>#VALUE!</v>
          </cell>
          <cell r="AE11" t="e">
            <v>#VALUE!</v>
          </cell>
          <cell r="AF11" t="e">
            <v>#VALUE!</v>
          </cell>
          <cell r="AG11" t="e">
            <v>#VALUE!</v>
          </cell>
          <cell r="AH11" t="e">
            <v>#VALUE!</v>
          </cell>
          <cell r="AI11" t="e">
            <v>#VALUE!</v>
          </cell>
          <cell r="AJ11" t="e">
            <v>#VALUE!</v>
          </cell>
          <cell r="AK11" t="e">
            <v>#VALUE!</v>
          </cell>
          <cell r="AL11" t="e">
            <v>#VALUE!</v>
          </cell>
          <cell r="AM11" t="str">
            <v>-</v>
          </cell>
          <cell r="AZ11" t="e">
            <v>#VALUE!</v>
          </cell>
        </row>
        <row r="12">
          <cell r="AZ12">
            <v>51.600000000000009</v>
          </cell>
        </row>
        <row r="14">
          <cell r="D14" t="e">
            <v>#VALUE!</v>
          </cell>
          <cell r="E14" t="e">
            <v>#VALUE!</v>
          </cell>
          <cell r="F14" t="e">
            <v>#VALUE!</v>
          </cell>
          <cell r="G14" t="e">
            <v>#VALUE!</v>
          </cell>
          <cell r="H14" t="e">
            <v>#VALUE!</v>
          </cell>
          <cell r="I14" t="e">
            <v>#VALUE!</v>
          </cell>
          <cell r="J14" t="e">
            <v>#VALUE!</v>
          </cell>
          <cell r="K14" t="e">
            <v>#VALUE!</v>
          </cell>
          <cell r="L14" t="e">
            <v>#VALUE!</v>
          </cell>
          <cell r="M14" t="e">
            <v>#VALUE!</v>
          </cell>
          <cell r="N14" t="e">
            <v>#VALUE!</v>
          </cell>
          <cell r="O14" t="e">
            <v>#VALUE!</v>
          </cell>
          <cell r="P14" t="e">
            <v>#VALUE!</v>
          </cell>
          <cell r="Q14" t="e">
            <v>#VALUE!</v>
          </cell>
          <cell r="R14" t="e">
            <v>#VALUE!</v>
          </cell>
          <cell r="S14" t="e">
            <v>#VALUE!</v>
          </cell>
          <cell r="T14" t="e">
            <v>#VALUE!</v>
          </cell>
          <cell r="U14" t="e">
            <v>#VALUE!</v>
          </cell>
          <cell r="V14" t="e">
            <v>#VALUE!</v>
          </cell>
          <cell r="W14" t="e">
            <v>#VALUE!</v>
          </cell>
          <cell r="X14" t="e">
            <v>#VALUE!</v>
          </cell>
          <cell r="Y14" t="e">
            <v>#VALUE!</v>
          </cell>
          <cell r="Z14" t="e">
            <v>#VALUE!</v>
          </cell>
          <cell r="AA14" t="e">
            <v>#VALUE!</v>
          </cell>
          <cell r="AB14" t="e">
            <v>#VALUE!</v>
          </cell>
          <cell r="AC14" t="e">
            <v>#VALUE!</v>
          </cell>
          <cell r="AD14" t="e">
            <v>#VALUE!</v>
          </cell>
          <cell r="AE14" t="e">
            <v>#VALUE!</v>
          </cell>
          <cell r="AF14" t="e">
            <v>#VALUE!</v>
          </cell>
          <cell r="AG14" t="e">
            <v>#VALUE!</v>
          </cell>
          <cell r="AH14" t="e">
            <v>#VALUE!</v>
          </cell>
          <cell r="AI14" t="e">
            <v>#VALUE!</v>
          </cell>
          <cell r="AJ14" t="e">
            <v>#VALUE!</v>
          </cell>
          <cell r="AK14" t="e">
            <v>#VALUE!</v>
          </cell>
          <cell r="AL14" t="e">
            <v>#VALUE!</v>
          </cell>
          <cell r="AM14" t="str">
            <v>-</v>
          </cell>
          <cell r="AZ14" t="e">
            <v>#VALUE!</v>
          </cell>
        </row>
        <row r="15">
          <cell r="AZ15">
            <v>12.600000000000001</v>
          </cell>
        </row>
        <row r="17">
          <cell r="D17" t="e">
            <v>#VALUE!</v>
          </cell>
          <cell r="E17" t="e">
            <v>#VALUE!</v>
          </cell>
          <cell r="F17" t="e">
            <v>#VALUE!</v>
          </cell>
          <cell r="G17" t="e">
            <v>#VALUE!</v>
          </cell>
          <cell r="H17" t="e">
            <v>#VALUE!</v>
          </cell>
          <cell r="I17" t="e">
            <v>#VALUE!</v>
          </cell>
          <cell r="J17" t="e">
            <v>#VALUE!</v>
          </cell>
          <cell r="K17" t="e">
            <v>#VALUE!</v>
          </cell>
          <cell r="L17" t="e">
            <v>#VALUE!</v>
          </cell>
          <cell r="M17" t="e">
            <v>#VALUE!</v>
          </cell>
          <cell r="N17" t="e">
            <v>#VALUE!</v>
          </cell>
          <cell r="O17" t="e">
            <v>#VALUE!</v>
          </cell>
          <cell r="P17" t="e">
            <v>#VALUE!</v>
          </cell>
          <cell r="Q17" t="e">
            <v>#VALUE!</v>
          </cell>
          <cell r="R17" t="e">
            <v>#VALUE!</v>
          </cell>
          <cell r="S17" t="e">
            <v>#VALUE!</v>
          </cell>
          <cell r="T17" t="e">
            <v>#VALUE!</v>
          </cell>
          <cell r="U17" t="e">
            <v>#VALUE!</v>
          </cell>
          <cell r="V17" t="e">
            <v>#VALUE!</v>
          </cell>
          <cell r="W17" t="e">
            <v>#VALUE!</v>
          </cell>
          <cell r="X17" t="e">
            <v>#VALUE!</v>
          </cell>
          <cell r="Y17" t="e">
            <v>#VALUE!</v>
          </cell>
          <cell r="Z17" t="e">
            <v>#VALUE!</v>
          </cell>
          <cell r="AA17" t="e">
            <v>#VALUE!</v>
          </cell>
          <cell r="AB17" t="e">
            <v>#VALUE!</v>
          </cell>
          <cell r="AC17" t="e">
            <v>#VALUE!</v>
          </cell>
          <cell r="AD17" t="e">
            <v>#VALUE!</v>
          </cell>
          <cell r="AE17" t="e">
            <v>#VALUE!</v>
          </cell>
          <cell r="AF17" t="e">
            <v>#VALUE!</v>
          </cell>
          <cell r="AG17" t="e">
            <v>#VALUE!</v>
          </cell>
          <cell r="AH17" t="e">
            <v>#VALUE!</v>
          </cell>
          <cell r="AI17" t="e">
            <v>#VALUE!</v>
          </cell>
          <cell r="AJ17" t="e">
            <v>#VALUE!</v>
          </cell>
          <cell r="AK17" t="e">
            <v>#VALUE!</v>
          </cell>
          <cell r="AL17" t="e">
            <v>#VALUE!</v>
          </cell>
          <cell r="AM17" t="str">
            <v>-</v>
          </cell>
          <cell r="AZ17" t="e">
            <v>#VALUE!</v>
          </cell>
        </row>
        <row r="18">
          <cell r="AZ18">
            <v>17.100000000000001</v>
          </cell>
        </row>
        <row r="20">
          <cell r="D20" t="e">
            <v>#VALUE!</v>
          </cell>
          <cell r="E20" t="e">
            <v>#VALUE!</v>
          </cell>
          <cell r="F20" t="e">
            <v>#VALUE!</v>
          </cell>
          <cell r="G20" t="e">
            <v>#VALUE!</v>
          </cell>
          <cell r="H20" t="e">
            <v>#VALUE!</v>
          </cell>
          <cell r="I20" t="e">
            <v>#VALUE!</v>
          </cell>
          <cell r="J20" t="e">
            <v>#VALUE!</v>
          </cell>
          <cell r="K20" t="e">
            <v>#VALUE!</v>
          </cell>
          <cell r="L20" t="e">
            <v>#VALUE!</v>
          </cell>
          <cell r="M20" t="e">
            <v>#VALUE!</v>
          </cell>
          <cell r="N20" t="e">
            <v>#VALUE!</v>
          </cell>
          <cell r="O20" t="e">
            <v>#VALUE!</v>
          </cell>
          <cell r="P20" t="e">
            <v>#VALUE!</v>
          </cell>
          <cell r="Q20" t="e">
            <v>#VALUE!</v>
          </cell>
          <cell r="R20" t="e">
            <v>#VALUE!</v>
          </cell>
          <cell r="S20" t="e">
            <v>#VALUE!</v>
          </cell>
          <cell r="T20" t="e">
            <v>#VALUE!</v>
          </cell>
          <cell r="U20" t="e">
            <v>#VALUE!</v>
          </cell>
          <cell r="V20" t="e">
            <v>#VALUE!</v>
          </cell>
          <cell r="W20" t="e">
            <v>#VALUE!</v>
          </cell>
          <cell r="X20" t="e">
            <v>#VALUE!</v>
          </cell>
          <cell r="Y20" t="e">
            <v>#VALUE!</v>
          </cell>
          <cell r="Z20" t="e">
            <v>#VALUE!</v>
          </cell>
          <cell r="AA20" t="e">
            <v>#VALUE!</v>
          </cell>
          <cell r="AB20" t="e">
            <v>#VALUE!</v>
          </cell>
          <cell r="AC20" t="e">
            <v>#VALUE!</v>
          </cell>
          <cell r="AD20" t="e">
            <v>#VALUE!</v>
          </cell>
          <cell r="AE20" t="e">
            <v>#VALUE!</v>
          </cell>
          <cell r="AF20" t="e">
            <v>#VALUE!</v>
          </cell>
          <cell r="AG20" t="e">
            <v>#VALUE!</v>
          </cell>
          <cell r="AH20" t="e">
            <v>#VALUE!</v>
          </cell>
          <cell r="AI20" t="e">
            <v>#VALUE!</v>
          </cell>
          <cell r="AJ20" t="e">
            <v>#VALUE!</v>
          </cell>
          <cell r="AK20" t="e">
            <v>#VALUE!</v>
          </cell>
          <cell r="AL20" t="e">
            <v>#VALUE!</v>
          </cell>
          <cell r="AM20" t="str">
            <v>-</v>
          </cell>
          <cell r="AZ20" t="e">
            <v>#VALUE!</v>
          </cell>
        </row>
        <row r="21">
          <cell r="AZ21">
            <v>9.3000000000000007</v>
          </cell>
        </row>
        <row r="23">
          <cell r="AM23" t="str">
            <v>-</v>
          </cell>
          <cell r="AZ23" t="e">
            <v>#VALUE!</v>
          </cell>
        </row>
        <row r="24">
          <cell r="AZ24">
            <v>37.800000000000004</v>
          </cell>
        </row>
        <row r="26">
          <cell r="D26" t="e">
            <v>#VALUE!</v>
          </cell>
          <cell r="E26" t="e">
            <v>#VALUE!</v>
          </cell>
          <cell r="F26" t="e">
            <v>#VALUE!</v>
          </cell>
          <cell r="G26" t="e">
            <v>#VALUE!</v>
          </cell>
          <cell r="H26" t="e">
            <v>#VALUE!</v>
          </cell>
          <cell r="I26" t="e">
            <v>#VALUE!</v>
          </cell>
          <cell r="J26" t="e">
            <v>#VALUE!</v>
          </cell>
          <cell r="K26" t="e">
            <v>#VALUE!</v>
          </cell>
          <cell r="L26" t="e">
            <v>#VALUE!</v>
          </cell>
          <cell r="M26" t="e">
            <v>#VALUE!</v>
          </cell>
          <cell r="N26" t="e">
            <v>#VALUE!</v>
          </cell>
          <cell r="O26" t="e">
            <v>#VALUE!</v>
          </cell>
          <cell r="P26" t="e">
            <v>#VALUE!</v>
          </cell>
          <cell r="Q26" t="e">
            <v>#VALUE!</v>
          </cell>
          <cell r="R26" t="e">
            <v>#VALUE!</v>
          </cell>
          <cell r="S26" t="e">
            <v>#VALUE!</v>
          </cell>
          <cell r="T26" t="e">
            <v>#VALUE!</v>
          </cell>
          <cell r="U26" t="e">
            <v>#VALUE!</v>
          </cell>
          <cell r="V26" t="e">
            <v>#VALUE!</v>
          </cell>
          <cell r="W26" t="e">
            <v>#VALUE!</v>
          </cell>
          <cell r="X26" t="e">
            <v>#VALUE!</v>
          </cell>
          <cell r="Y26" t="e">
            <v>#VALUE!</v>
          </cell>
          <cell r="Z26" t="e">
            <v>#VALUE!</v>
          </cell>
          <cell r="AA26" t="e">
            <v>#VALUE!</v>
          </cell>
          <cell r="AB26" t="e">
            <v>#VALUE!</v>
          </cell>
          <cell r="AC26" t="e">
            <v>#VALUE!</v>
          </cell>
          <cell r="AD26" t="e">
            <v>#VALUE!</v>
          </cell>
          <cell r="AE26" t="e">
            <v>#VALUE!</v>
          </cell>
          <cell r="AF26" t="e">
            <v>#VALUE!</v>
          </cell>
          <cell r="AG26" t="e">
            <v>#VALUE!</v>
          </cell>
          <cell r="AH26" t="e">
            <v>#VALUE!</v>
          </cell>
          <cell r="AI26" t="e">
            <v>#VALUE!</v>
          </cell>
          <cell r="AJ26" t="e">
            <v>#VALUE!</v>
          </cell>
          <cell r="AK26" t="e">
            <v>#VALUE!</v>
          </cell>
          <cell r="AL26" t="e">
            <v>#VALUE!</v>
          </cell>
          <cell r="AM26" t="str">
            <v>-</v>
          </cell>
          <cell r="AZ26" t="e">
            <v>#VALUE!</v>
          </cell>
        </row>
        <row r="27">
          <cell r="AZ27">
            <v>21</v>
          </cell>
        </row>
        <row r="29">
          <cell r="D29" t="e">
            <v>#VALUE!</v>
          </cell>
          <cell r="E29" t="e">
            <v>#VALUE!</v>
          </cell>
          <cell r="F29" t="e">
            <v>#VALUE!</v>
          </cell>
          <cell r="G29" t="e">
            <v>#VALUE!</v>
          </cell>
          <cell r="H29" t="e">
            <v>#VALUE!</v>
          </cell>
          <cell r="I29" t="e">
            <v>#VALUE!</v>
          </cell>
          <cell r="J29" t="e">
            <v>#VALUE!</v>
          </cell>
          <cell r="K29" t="e">
            <v>#VALUE!</v>
          </cell>
          <cell r="L29" t="e">
            <v>#VALUE!</v>
          </cell>
          <cell r="M29" t="e">
            <v>#VALUE!</v>
          </cell>
          <cell r="N29" t="e">
            <v>#VALUE!</v>
          </cell>
          <cell r="O29" t="e">
            <v>#VALUE!</v>
          </cell>
          <cell r="P29" t="e">
            <v>#VALUE!</v>
          </cell>
          <cell r="Q29" t="e">
            <v>#VALUE!</v>
          </cell>
          <cell r="R29" t="e">
            <v>#VALUE!</v>
          </cell>
          <cell r="S29" t="e">
            <v>#VALUE!</v>
          </cell>
          <cell r="T29" t="e">
            <v>#VALUE!</v>
          </cell>
          <cell r="U29" t="e">
            <v>#VALUE!</v>
          </cell>
          <cell r="V29" t="e">
            <v>#VALUE!</v>
          </cell>
          <cell r="W29" t="e">
            <v>#VALUE!</v>
          </cell>
          <cell r="X29" t="e">
            <v>#VALUE!</v>
          </cell>
          <cell r="Y29" t="e">
            <v>#VALUE!</v>
          </cell>
          <cell r="Z29" t="e">
            <v>#VALUE!</v>
          </cell>
          <cell r="AA29" t="e">
            <v>#VALUE!</v>
          </cell>
          <cell r="AB29" t="e">
            <v>#VALUE!</v>
          </cell>
          <cell r="AC29" t="e">
            <v>#VALUE!</v>
          </cell>
          <cell r="AD29" t="e">
            <v>#VALUE!</v>
          </cell>
          <cell r="AE29" t="e">
            <v>#VALUE!</v>
          </cell>
          <cell r="AF29" t="e">
            <v>#VALUE!</v>
          </cell>
          <cell r="AG29" t="e">
            <v>#VALUE!</v>
          </cell>
          <cell r="AH29" t="e">
            <v>#VALUE!</v>
          </cell>
          <cell r="AI29" t="e">
            <v>#VALUE!</v>
          </cell>
          <cell r="AJ29" t="e">
            <v>#VALUE!</v>
          </cell>
          <cell r="AK29" t="e">
            <v>#VALUE!</v>
          </cell>
          <cell r="AL29" t="e">
            <v>#VALUE!</v>
          </cell>
          <cell r="AM29" t="str">
            <v>-</v>
          </cell>
          <cell r="AZ29" t="e">
            <v>#VALUE!</v>
          </cell>
        </row>
        <row r="30">
          <cell r="AZ30">
            <v>15.3</v>
          </cell>
        </row>
        <row r="32">
          <cell r="D32" t="e">
            <v>#VALUE!</v>
          </cell>
          <cell r="E32" t="e">
            <v>#VALUE!</v>
          </cell>
          <cell r="F32" t="e">
            <v>#VALUE!</v>
          </cell>
          <cell r="G32" t="e">
            <v>#VALUE!</v>
          </cell>
          <cell r="H32" t="e">
            <v>#VALUE!</v>
          </cell>
          <cell r="I32" t="e">
            <v>#VALUE!</v>
          </cell>
          <cell r="J32" t="e">
            <v>#VALUE!</v>
          </cell>
          <cell r="K32" t="e">
            <v>#VALUE!</v>
          </cell>
          <cell r="L32" t="e">
            <v>#VALUE!</v>
          </cell>
          <cell r="M32" t="e">
            <v>#VALUE!</v>
          </cell>
          <cell r="N32" t="e">
            <v>#VALUE!</v>
          </cell>
          <cell r="O32" t="e">
            <v>#VALUE!</v>
          </cell>
          <cell r="P32" t="e">
            <v>#VALUE!</v>
          </cell>
          <cell r="Q32" t="e">
            <v>#VALUE!</v>
          </cell>
          <cell r="R32" t="e">
            <v>#VALUE!</v>
          </cell>
          <cell r="S32" t="e">
            <v>#VALUE!</v>
          </cell>
          <cell r="T32" t="e">
            <v>#VALUE!</v>
          </cell>
          <cell r="U32" t="e">
            <v>#VALUE!</v>
          </cell>
          <cell r="V32" t="e">
            <v>#VALUE!</v>
          </cell>
          <cell r="W32" t="e">
            <v>#VALUE!</v>
          </cell>
          <cell r="X32" t="e">
            <v>#VALUE!</v>
          </cell>
          <cell r="Y32" t="e">
            <v>#VALUE!</v>
          </cell>
          <cell r="Z32" t="e">
            <v>#VALUE!</v>
          </cell>
          <cell r="AA32" t="e">
            <v>#VALUE!</v>
          </cell>
          <cell r="AB32" t="e">
            <v>#VALUE!</v>
          </cell>
          <cell r="AC32" t="e">
            <v>#VALUE!</v>
          </cell>
          <cell r="AD32" t="e">
            <v>#VALUE!</v>
          </cell>
          <cell r="AE32" t="e">
            <v>#VALUE!</v>
          </cell>
          <cell r="AF32" t="e">
            <v>#VALUE!</v>
          </cell>
          <cell r="AG32" t="e">
            <v>#VALUE!</v>
          </cell>
          <cell r="AH32" t="e">
            <v>#VALUE!</v>
          </cell>
          <cell r="AI32" t="e">
            <v>#VALUE!</v>
          </cell>
          <cell r="AJ32" t="e">
            <v>#VALUE!</v>
          </cell>
          <cell r="AK32" t="e">
            <v>#VALUE!</v>
          </cell>
          <cell r="AL32" t="e">
            <v>#VALUE!</v>
          </cell>
          <cell r="AM32" t="str">
            <v>-</v>
          </cell>
          <cell r="AZ32" t="e">
            <v>#VALUE!</v>
          </cell>
        </row>
        <row r="33">
          <cell r="AZ33">
            <v>1.5</v>
          </cell>
        </row>
        <row r="35">
          <cell r="D35" t="e">
            <v>#VALUE!</v>
          </cell>
          <cell r="E35" t="e">
            <v>#VALUE!</v>
          </cell>
          <cell r="F35" t="e">
            <v>#VALUE!</v>
          </cell>
          <cell r="G35" t="e">
            <v>#VALUE!</v>
          </cell>
          <cell r="H35" t="e">
            <v>#VALUE!</v>
          </cell>
          <cell r="I35" t="e">
            <v>#VALUE!</v>
          </cell>
          <cell r="J35" t="e">
            <v>#VALUE!</v>
          </cell>
          <cell r="K35" t="e">
            <v>#VALUE!</v>
          </cell>
          <cell r="L35" t="e">
            <v>#VALUE!</v>
          </cell>
          <cell r="M35" t="e">
            <v>#VALUE!</v>
          </cell>
          <cell r="N35" t="e">
            <v>#VALUE!</v>
          </cell>
          <cell r="O35" t="e">
            <v>#VALUE!</v>
          </cell>
          <cell r="P35" t="e">
            <v>#VALUE!</v>
          </cell>
          <cell r="Q35" t="e">
            <v>#VALUE!</v>
          </cell>
          <cell r="R35" t="e">
            <v>#VALUE!</v>
          </cell>
          <cell r="S35" t="e">
            <v>#VALUE!</v>
          </cell>
          <cell r="T35" t="e">
            <v>#VALUE!</v>
          </cell>
          <cell r="U35" t="e">
            <v>#VALUE!</v>
          </cell>
          <cell r="V35" t="e">
            <v>#VALUE!</v>
          </cell>
          <cell r="W35" t="e">
            <v>#VALUE!</v>
          </cell>
          <cell r="X35" t="e">
            <v>#VALUE!</v>
          </cell>
          <cell r="Y35" t="e">
            <v>#VALUE!</v>
          </cell>
          <cell r="Z35" t="e">
            <v>#VALUE!</v>
          </cell>
          <cell r="AA35" t="e">
            <v>#VALUE!</v>
          </cell>
          <cell r="AB35" t="e">
            <v>#VALUE!</v>
          </cell>
          <cell r="AC35" t="e">
            <v>#VALUE!</v>
          </cell>
          <cell r="AD35" t="e">
            <v>#VALUE!</v>
          </cell>
          <cell r="AE35" t="e">
            <v>#VALUE!</v>
          </cell>
          <cell r="AF35" t="e">
            <v>#VALUE!</v>
          </cell>
          <cell r="AG35" t="e">
            <v>#VALUE!</v>
          </cell>
          <cell r="AH35" t="e">
            <v>#VALUE!</v>
          </cell>
          <cell r="AI35" t="e">
            <v>#VALUE!</v>
          </cell>
          <cell r="AJ35" t="e">
            <v>#VALUE!</v>
          </cell>
          <cell r="AK35" t="e">
            <v>#VALUE!</v>
          </cell>
          <cell r="AL35" t="e">
            <v>#VALUE!</v>
          </cell>
          <cell r="AM35" t="str">
            <v>-</v>
          </cell>
          <cell r="AZ35" t="e">
            <v>#VALUE!</v>
          </cell>
        </row>
        <row r="36">
          <cell r="AZ36">
            <v>13.2</v>
          </cell>
        </row>
        <row r="38">
          <cell r="D38" t="e">
            <v>#VALUE!</v>
          </cell>
          <cell r="E38" t="e">
            <v>#VALUE!</v>
          </cell>
          <cell r="F38" t="e">
            <v>#VALUE!</v>
          </cell>
          <cell r="G38" t="e">
            <v>#VALUE!</v>
          </cell>
          <cell r="H38" t="e">
            <v>#VALUE!</v>
          </cell>
          <cell r="I38" t="e">
            <v>#VALUE!</v>
          </cell>
          <cell r="J38" t="e">
            <v>#VALUE!</v>
          </cell>
          <cell r="K38" t="e">
            <v>#VALUE!</v>
          </cell>
          <cell r="L38" t="e">
            <v>#VALUE!</v>
          </cell>
          <cell r="M38" t="e">
            <v>#VALUE!</v>
          </cell>
          <cell r="N38" t="e">
            <v>#VALUE!</v>
          </cell>
          <cell r="O38" t="e">
            <v>#VALUE!</v>
          </cell>
          <cell r="P38" t="e">
            <v>#VALUE!</v>
          </cell>
          <cell r="Q38" t="e">
            <v>#VALUE!</v>
          </cell>
          <cell r="R38" t="e">
            <v>#VALUE!</v>
          </cell>
          <cell r="S38" t="e">
            <v>#VALUE!</v>
          </cell>
          <cell r="T38" t="e">
            <v>#VALUE!</v>
          </cell>
          <cell r="U38" t="e">
            <v>#VALUE!</v>
          </cell>
          <cell r="V38" t="e">
            <v>#VALUE!</v>
          </cell>
          <cell r="W38" t="e">
            <v>#VALUE!</v>
          </cell>
          <cell r="X38" t="e">
            <v>#VALUE!</v>
          </cell>
          <cell r="Y38" t="e">
            <v>#VALUE!</v>
          </cell>
          <cell r="Z38" t="e">
            <v>#VALUE!</v>
          </cell>
          <cell r="AA38" t="e">
            <v>#VALUE!</v>
          </cell>
          <cell r="AB38" t="e">
            <v>#VALUE!</v>
          </cell>
          <cell r="AC38" t="e">
            <v>#VALUE!</v>
          </cell>
          <cell r="AD38" t="e">
            <v>#VALUE!</v>
          </cell>
          <cell r="AE38" t="e">
            <v>#VALUE!</v>
          </cell>
          <cell r="AF38" t="e">
            <v>#VALUE!</v>
          </cell>
          <cell r="AG38" t="e">
            <v>#VALUE!</v>
          </cell>
          <cell r="AH38" t="e">
            <v>#VALUE!</v>
          </cell>
          <cell r="AI38" t="e">
            <v>#VALUE!</v>
          </cell>
          <cell r="AJ38" t="e">
            <v>#VALUE!</v>
          </cell>
          <cell r="AK38" t="e">
            <v>#VALUE!</v>
          </cell>
          <cell r="AL38" t="e">
            <v>#VALUE!</v>
          </cell>
          <cell r="AM38" t="str">
            <v>-</v>
          </cell>
          <cell r="AZ38" t="e">
            <v>#VALUE!</v>
          </cell>
        </row>
        <row r="39">
          <cell r="AZ39" t="e">
            <v>#VALUE!</v>
          </cell>
        </row>
      </sheetData>
      <sheetData sheetId="4">
        <row r="2">
          <cell r="AM2" t="str">
            <v>-</v>
          </cell>
          <cell r="AZ2" t="e">
            <v>#VALUE!</v>
          </cell>
        </row>
        <row r="3">
          <cell r="AZ3" t="e">
            <v>#VALUE!</v>
          </cell>
        </row>
        <row r="5">
          <cell r="AM5" t="str">
            <v>-</v>
          </cell>
          <cell r="AZ5" t="e">
            <v>#VALUE!</v>
          </cell>
        </row>
        <row r="6">
          <cell r="AZ6">
            <v>110625</v>
          </cell>
        </row>
        <row r="8">
          <cell r="AM8" t="str">
            <v>-</v>
          </cell>
          <cell r="AZ8" t="e">
            <v>#VALUE!</v>
          </cell>
        </row>
        <row r="9">
          <cell r="AZ9">
            <v>70781.25</v>
          </cell>
        </row>
        <row r="11">
          <cell r="D11" t="e">
            <v>#VALUE!</v>
          </cell>
          <cell r="E11" t="e">
            <v>#VALUE!</v>
          </cell>
          <cell r="F11" t="e">
            <v>#VALUE!</v>
          </cell>
          <cell r="G11" t="e">
            <v>#VALUE!</v>
          </cell>
          <cell r="H11" t="e">
            <v>#VALUE!</v>
          </cell>
          <cell r="I11" t="e">
            <v>#VALUE!</v>
          </cell>
          <cell r="J11" t="e">
            <v>#VALUE!</v>
          </cell>
          <cell r="K11" t="e">
            <v>#VALUE!</v>
          </cell>
          <cell r="L11" t="e">
            <v>#VALUE!</v>
          </cell>
          <cell r="M11" t="e">
            <v>#VALUE!</v>
          </cell>
          <cell r="N11" t="e">
            <v>#VALUE!</v>
          </cell>
          <cell r="O11" t="e">
            <v>#VALUE!</v>
          </cell>
          <cell r="P11" t="e">
            <v>#VALUE!</v>
          </cell>
          <cell r="Q11" t="e">
            <v>#VALUE!</v>
          </cell>
          <cell r="R11" t="e">
            <v>#VALUE!</v>
          </cell>
          <cell r="S11" t="e">
            <v>#VALUE!</v>
          </cell>
          <cell r="T11" t="e">
            <v>#VALUE!</v>
          </cell>
          <cell r="U11" t="e">
            <v>#VALUE!</v>
          </cell>
          <cell r="V11" t="e">
            <v>#VALUE!</v>
          </cell>
          <cell r="W11" t="e">
            <v>#VALUE!</v>
          </cell>
          <cell r="X11" t="e">
            <v>#VALUE!</v>
          </cell>
          <cell r="Y11" t="e">
            <v>#VALUE!</v>
          </cell>
          <cell r="Z11" t="e">
            <v>#VALUE!</v>
          </cell>
          <cell r="AA11" t="e">
            <v>#VALUE!</v>
          </cell>
          <cell r="AB11" t="e">
            <v>#VALUE!</v>
          </cell>
          <cell r="AC11" t="e">
            <v>#VALUE!</v>
          </cell>
          <cell r="AD11" t="e">
            <v>#VALUE!</v>
          </cell>
          <cell r="AE11" t="e">
            <v>#VALUE!</v>
          </cell>
          <cell r="AF11" t="e">
            <v>#VALUE!</v>
          </cell>
          <cell r="AG11" t="e">
            <v>#VALUE!</v>
          </cell>
          <cell r="AH11" t="e">
            <v>#VALUE!</v>
          </cell>
          <cell r="AI11" t="e">
            <v>#VALUE!</v>
          </cell>
          <cell r="AJ11" t="e">
            <v>#VALUE!</v>
          </cell>
          <cell r="AK11" t="e">
            <v>#VALUE!</v>
          </cell>
          <cell r="AL11" t="e">
            <v>#VALUE!</v>
          </cell>
          <cell r="AM11" t="str">
            <v>-</v>
          </cell>
          <cell r="AZ11" t="e">
            <v>#VALUE!</v>
          </cell>
        </row>
        <row r="12">
          <cell r="AZ12">
            <v>40312.500000000007</v>
          </cell>
        </row>
        <row r="14">
          <cell r="D14" t="e">
            <v>#VALUE!</v>
          </cell>
          <cell r="E14" t="e">
            <v>#VALUE!</v>
          </cell>
          <cell r="F14" t="e">
            <v>#VALUE!</v>
          </cell>
          <cell r="G14" t="e">
            <v>#VALUE!</v>
          </cell>
          <cell r="H14" t="e">
            <v>#VALUE!</v>
          </cell>
          <cell r="I14" t="e">
            <v>#VALUE!</v>
          </cell>
          <cell r="J14" t="e">
            <v>#VALUE!</v>
          </cell>
          <cell r="K14" t="e">
            <v>#VALUE!</v>
          </cell>
          <cell r="L14" t="e">
            <v>#VALUE!</v>
          </cell>
          <cell r="M14" t="e">
            <v>#VALUE!</v>
          </cell>
          <cell r="N14" t="e">
            <v>#VALUE!</v>
          </cell>
          <cell r="O14" t="e">
            <v>#VALUE!</v>
          </cell>
          <cell r="P14" t="e">
            <v>#VALUE!</v>
          </cell>
          <cell r="Q14" t="e">
            <v>#VALUE!</v>
          </cell>
          <cell r="R14" t="e">
            <v>#VALUE!</v>
          </cell>
          <cell r="S14" t="e">
            <v>#VALUE!</v>
          </cell>
          <cell r="T14" t="e">
            <v>#VALUE!</v>
          </cell>
          <cell r="U14" t="e">
            <v>#VALUE!</v>
          </cell>
          <cell r="V14" t="e">
            <v>#VALUE!</v>
          </cell>
          <cell r="W14" t="e">
            <v>#VALUE!</v>
          </cell>
          <cell r="X14" t="e">
            <v>#VALUE!</v>
          </cell>
          <cell r="Y14" t="e">
            <v>#VALUE!</v>
          </cell>
          <cell r="Z14" t="e">
            <v>#VALUE!</v>
          </cell>
          <cell r="AA14" t="e">
            <v>#VALUE!</v>
          </cell>
          <cell r="AB14" t="e">
            <v>#VALUE!</v>
          </cell>
          <cell r="AC14" t="e">
            <v>#VALUE!</v>
          </cell>
          <cell r="AD14" t="e">
            <v>#VALUE!</v>
          </cell>
          <cell r="AE14" t="e">
            <v>#VALUE!</v>
          </cell>
          <cell r="AF14" t="e">
            <v>#VALUE!</v>
          </cell>
          <cell r="AG14" t="e">
            <v>#VALUE!</v>
          </cell>
          <cell r="AH14" t="e">
            <v>#VALUE!</v>
          </cell>
          <cell r="AI14" t="e">
            <v>#VALUE!</v>
          </cell>
          <cell r="AJ14" t="e">
            <v>#VALUE!</v>
          </cell>
          <cell r="AK14" t="e">
            <v>#VALUE!</v>
          </cell>
          <cell r="AL14" t="e">
            <v>#VALUE!</v>
          </cell>
          <cell r="AM14" t="str">
            <v>-</v>
          </cell>
          <cell r="AZ14" t="e">
            <v>#VALUE!</v>
          </cell>
        </row>
        <row r="15">
          <cell r="AZ15">
            <v>9843.75</v>
          </cell>
        </row>
        <row r="17">
          <cell r="D17" t="e">
            <v>#VALUE!</v>
          </cell>
          <cell r="E17" t="e">
            <v>#VALUE!</v>
          </cell>
          <cell r="F17" t="e">
            <v>#VALUE!</v>
          </cell>
          <cell r="G17" t="e">
            <v>#VALUE!</v>
          </cell>
          <cell r="H17" t="e">
            <v>#VALUE!</v>
          </cell>
          <cell r="I17" t="e">
            <v>#VALUE!</v>
          </cell>
          <cell r="J17" t="e">
            <v>#VALUE!</v>
          </cell>
          <cell r="K17" t="e">
            <v>#VALUE!</v>
          </cell>
          <cell r="L17" t="e">
            <v>#VALUE!</v>
          </cell>
          <cell r="M17" t="e">
            <v>#VALUE!</v>
          </cell>
          <cell r="N17" t="e">
            <v>#VALUE!</v>
          </cell>
          <cell r="O17" t="e">
            <v>#VALUE!</v>
          </cell>
          <cell r="P17" t="e">
            <v>#VALUE!</v>
          </cell>
          <cell r="Q17" t="e">
            <v>#VALUE!</v>
          </cell>
          <cell r="R17" t="e">
            <v>#VALUE!</v>
          </cell>
          <cell r="S17" t="e">
            <v>#VALUE!</v>
          </cell>
          <cell r="T17" t="e">
            <v>#VALUE!</v>
          </cell>
          <cell r="U17" t="e">
            <v>#VALUE!</v>
          </cell>
          <cell r="V17" t="e">
            <v>#VALUE!</v>
          </cell>
          <cell r="W17" t="e">
            <v>#VALUE!</v>
          </cell>
          <cell r="X17" t="e">
            <v>#VALUE!</v>
          </cell>
          <cell r="Y17" t="e">
            <v>#VALUE!</v>
          </cell>
          <cell r="Z17" t="e">
            <v>#VALUE!</v>
          </cell>
          <cell r="AA17" t="e">
            <v>#VALUE!</v>
          </cell>
          <cell r="AB17" t="e">
            <v>#VALUE!</v>
          </cell>
          <cell r="AC17" t="e">
            <v>#VALUE!</v>
          </cell>
          <cell r="AD17" t="e">
            <v>#VALUE!</v>
          </cell>
          <cell r="AE17" t="e">
            <v>#VALUE!</v>
          </cell>
          <cell r="AF17" t="e">
            <v>#VALUE!</v>
          </cell>
          <cell r="AG17" t="e">
            <v>#VALUE!</v>
          </cell>
          <cell r="AH17" t="e">
            <v>#VALUE!</v>
          </cell>
          <cell r="AI17" t="e">
            <v>#VALUE!</v>
          </cell>
          <cell r="AJ17" t="e">
            <v>#VALUE!</v>
          </cell>
          <cell r="AK17" t="e">
            <v>#VALUE!</v>
          </cell>
          <cell r="AL17" t="e">
            <v>#VALUE!</v>
          </cell>
          <cell r="AM17" t="str">
            <v>-</v>
          </cell>
          <cell r="AZ17" t="e">
            <v>#VALUE!</v>
          </cell>
        </row>
        <row r="18">
          <cell r="AZ18">
            <v>13359.375</v>
          </cell>
        </row>
        <row r="20">
          <cell r="D20" t="e">
            <v>#VALUE!</v>
          </cell>
          <cell r="E20" t="e">
            <v>#VALUE!</v>
          </cell>
          <cell r="F20" t="e">
            <v>#VALUE!</v>
          </cell>
          <cell r="G20" t="e">
            <v>#VALUE!</v>
          </cell>
          <cell r="H20" t="e">
            <v>#VALUE!</v>
          </cell>
          <cell r="I20" t="e">
            <v>#VALUE!</v>
          </cell>
          <cell r="J20" t="e">
            <v>#VALUE!</v>
          </cell>
          <cell r="K20" t="e">
            <v>#VALUE!</v>
          </cell>
          <cell r="L20" t="e">
            <v>#VALUE!</v>
          </cell>
          <cell r="M20" t="e">
            <v>#VALUE!</v>
          </cell>
          <cell r="N20" t="e">
            <v>#VALUE!</v>
          </cell>
          <cell r="O20" t="e">
            <v>#VALUE!</v>
          </cell>
          <cell r="P20" t="e">
            <v>#VALUE!</v>
          </cell>
          <cell r="Q20" t="e">
            <v>#VALUE!</v>
          </cell>
          <cell r="R20" t="e">
            <v>#VALUE!</v>
          </cell>
          <cell r="S20" t="e">
            <v>#VALUE!</v>
          </cell>
          <cell r="T20" t="e">
            <v>#VALUE!</v>
          </cell>
          <cell r="U20" t="e">
            <v>#VALUE!</v>
          </cell>
          <cell r="V20" t="e">
            <v>#VALUE!</v>
          </cell>
          <cell r="W20" t="e">
            <v>#VALUE!</v>
          </cell>
          <cell r="X20" t="e">
            <v>#VALUE!</v>
          </cell>
          <cell r="Y20" t="e">
            <v>#VALUE!</v>
          </cell>
          <cell r="Z20" t="e">
            <v>#VALUE!</v>
          </cell>
          <cell r="AA20" t="e">
            <v>#VALUE!</v>
          </cell>
          <cell r="AB20" t="e">
            <v>#VALUE!</v>
          </cell>
          <cell r="AC20" t="e">
            <v>#VALUE!</v>
          </cell>
          <cell r="AD20" t="e">
            <v>#VALUE!</v>
          </cell>
          <cell r="AE20" t="e">
            <v>#VALUE!</v>
          </cell>
          <cell r="AF20" t="e">
            <v>#VALUE!</v>
          </cell>
          <cell r="AG20" t="e">
            <v>#VALUE!</v>
          </cell>
          <cell r="AH20" t="e">
            <v>#VALUE!</v>
          </cell>
          <cell r="AI20" t="e">
            <v>#VALUE!</v>
          </cell>
          <cell r="AJ20" t="e">
            <v>#VALUE!</v>
          </cell>
          <cell r="AK20" t="e">
            <v>#VALUE!</v>
          </cell>
          <cell r="AL20" t="e">
            <v>#VALUE!</v>
          </cell>
          <cell r="AM20" t="str">
            <v>-</v>
          </cell>
          <cell r="AZ20" t="e">
            <v>#VALUE!</v>
          </cell>
        </row>
        <row r="21">
          <cell r="AZ21">
            <v>7265.625</v>
          </cell>
        </row>
        <row r="23">
          <cell r="AM23" t="str">
            <v>-</v>
          </cell>
          <cell r="AZ23" t="e">
            <v>#VALUE!</v>
          </cell>
        </row>
        <row r="24">
          <cell r="AZ24">
            <v>29531.25</v>
          </cell>
        </row>
        <row r="26">
          <cell r="D26" t="e">
            <v>#VALUE!</v>
          </cell>
          <cell r="E26" t="e">
            <v>#VALUE!</v>
          </cell>
          <cell r="F26" t="e">
            <v>#VALUE!</v>
          </cell>
          <cell r="G26" t="e">
            <v>#VALUE!</v>
          </cell>
          <cell r="H26" t="e">
            <v>#VALUE!</v>
          </cell>
          <cell r="I26" t="e">
            <v>#VALUE!</v>
          </cell>
          <cell r="J26" t="e">
            <v>#VALUE!</v>
          </cell>
          <cell r="K26" t="e">
            <v>#VALUE!</v>
          </cell>
          <cell r="L26" t="e">
            <v>#VALUE!</v>
          </cell>
          <cell r="M26" t="e">
            <v>#VALUE!</v>
          </cell>
          <cell r="N26" t="e">
            <v>#VALUE!</v>
          </cell>
          <cell r="O26" t="e">
            <v>#VALUE!</v>
          </cell>
          <cell r="P26" t="e">
            <v>#VALUE!</v>
          </cell>
          <cell r="Q26" t="e">
            <v>#VALUE!</v>
          </cell>
          <cell r="R26" t="e">
            <v>#VALUE!</v>
          </cell>
          <cell r="S26" t="e">
            <v>#VALUE!</v>
          </cell>
          <cell r="T26" t="e">
            <v>#VALUE!</v>
          </cell>
          <cell r="U26" t="e">
            <v>#VALUE!</v>
          </cell>
          <cell r="V26" t="e">
            <v>#VALUE!</v>
          </cell>
          <cell r="W26" t="e">
            <v>#VALUE!</v>
          </cell>
          <cell r="X26" t="e">
            <v>#VALUE!</v>
          </cell>
          <cell r="Y26" t="e">
            <v>#VALUE!</v>
          </cell>
          <cell r="Z26" t="e">
            <v>#VALUE!</v>
          </cell>
          <cell r="AA26" t="e">
            <v>#VALUE!</v>
          </cell>
          <cell r="AB26" t="e">
            <v>#VALUE!</v>
          </cell>
          <cell r="AC26" t="e">
            <v>#VALUE!</v>
          </cell>
          <cell r="AD26" t="e">
            <v>#VALUE!</v>
          </cell>
          <cell r="AE26" t="e">
            <v>#VALUE!</v>
          </cell>
          <cell r="AF26" t="e">
            <v>#VALUE!</v>
          </cell>
          <cell r="AG26" t="e">
            <v>#VALUE!</v>
          </cell>
          <cell r="AH26" t="e">
            <v>#VALUE!</v>
          </cell>
          <cell r="AI26" t="e">
            <v>#VALUE!</v>
          </cell>
          <cell r="AJ26" t="e">
            <v>#VALUE!</v>
          </cell>
          <cell r="AK26" t="e">
            <v>#VALUE!</v>
          </cell>
          <cell r="AL26" t="e">
            <v>#VALUE!</v>
          </cell>
          <cell r="AM26" t="str">
            <v>-</v>
          </cell>
          <cell r="AZ26" t="e">
            <v>#VALUE!</v>
          </cell>
        </row>
        <row r="27">
          <cell r="AZ27">
            <v>16406.25</v>
          </cell>
        </row>
        <row r="29">
          <cell r="D29" t="e">
            <v>#VALUE!</v>
          </cell>
          <cell r="E29" t="e">
            <v>#VALUE!</v>
          </cell>
          <cell r="F29" t="e">
            <v>#VALUE!</v>
          </cell>
          <cell r="G29" t="e">
            <v>#VALUE!</v>
          </cell>
          <cell r="H29" t="e">
            <v>#VALUE!</v>
          </cell>
          <cell r="I29" t="e">
            <v>#VALUE!</v>
          </cell>
          <cell r="J29" t="e">
            <v>#VALUE!</v>
          </cell>
          <cell r="K29" t="e">
            <v>#VALUE!</v>
          </cell>
          <cell r="L29" t="e">
            <v>#VALUE!</v>
          </cell>
          <cell r="M29" t="e">
            <v>#VALUE!</v>
          </cell>
          <cell r="N29" t="e">
            <v>#VALUE!</v>
          </cell>
          <cell r="O29" t="e">
            <v>#VALUE!</v>
          </cell>
          <cell r="P29" t="e">
            <v>#VALUE!</v>
          </cell>
          <cell r="Q29" t="e">
            <v>#VALUE!</v>
          </cell>
          <cell r="R29" t="e">
            <v>#VALUE!</v>
          </cell>
          <cell r="S29" t="e">
            <v>#VALUE!</v>
          </cell>
          <cell r="T29" t="e">
            <v>#VALUE!</v>
          </cell>
          <cell r="U29" t="e">
            <v>#VALUE!</v>
          </cell>
          <cell r="V29" t="e">
            <v>#VALUE!</v>
          </cell>
          <cell r="W29" t="e">
            <v>#VALUE!</v>
          </cell>
          <cell r="X29" t="e">
            <v>#VALUE!</v>
          </cell>
          <cell r="Y29" t="e">
            <v>#VALUE!</v>
          </cell>
          <cell r="Z29" t="e">
            <v>#VALUE!</v>
          </cell>
          <cell r="AA29" t="e">
            <v>#VALUE!</v>
          </cell>
          <cell r="AB29" t="e">
            <v>#VALUE!</v>
          </cell>
          <cell r="AC29" t="e">
            <v>#VALUE!</v>
          </cell>
          <cell r="AD29" t="e">
            <v>#VALUE!</v>
          </cell>
          <cell r="AE29" t="e">
            <v>#VALUE!</v>
          </cell>
          <cell r="AF29" t="e">
            <v>#VALUE!</v>
          </cell>
          <cell r="AG29" t="e">
            <v>#VALUE!</v>
          </cell>
          <cell r="AH29" t="e">
            <v>#VALUE!</v>
          </cell>
          <cell r="AI29" t="e">
            <v>#VALUE!</v>
          </cell>
          <cell r="AJ29" t="e">
            <v>#VALUE!</v>
          </cell>
          <cell r="AK29" t="e">
            <v>#VALUE!</v>
          </cell>
          <cell r="AL29" t="e">
            <v>#VALUE!</v>
          </cell>
          <cell r="AM29" t="str">
            <v>-</v>
          </cell>
          <cell r="AZ29" t="e">
            <v>#VALUE!</v>
          </cell>
        </row>
        <row r="30">
          <cell r="AZ30">
            <v>11953.125000000002</v>
          </cell>
        </row>
        <row r="32">
          <cell r="D32" t="e">
            <v>#VALUE!</v>
          </cell>
          <cell r="E32" t="e">
            <v>#VALUE!</v>
          </cell>
          <cell r="F32" t="e">
            <v>#VALUE!</v>
          </cell>
          <cell r="G32" t="e">
            <v>#VALUE!</v>
          </cell>
          <cell r="H32" t="e">
            <v>#VALUE!</v>
          </cell>
          <cell r="I32" t="e">
            <v>#VALUE!</v>
          </cell>
          <cell r="J32" t="e">
            <v>#VALUE!</v>
          </cell>
          <cell r="K32" t="e">
            <v>#VALUE!</v>
          </cell>
          <cell r="L32" t="e">
            <v>#VALUE!</v>
          </cell>
          <cell r="M32" t="e">
            <v>#VALUE!</v>
          </cell>
          <cell r="N32" t="e">
            <v>#VALUE!</v>
          </cell>
          <cell r="O32" t="e">
            <v>#VALUE!</v>
          </cell>
          <cell r="P32" t="e">
            <v>#VALUE!</v>
          </cell>
          <cell r="Q32" t="e">
            <v>#VALUE!</v>
          </cell>
          <cell r="R32" t="e">
            <v>#VALUE!</v>
          </cell>
          <cell r="S32" t="e">
            <v>#VALUE!</v>
          </cell>
          <cell r="T32" t="e">
            <v>#VALUE!</v>
          </cell>
          <cell r="U32" t="e">
            <v>#VALUE!</v>
          </cell>
          <cell r="V32" t="e">
            <v>#VALUE!</v>
          </cell>
          <cell r="W32" t="e">
            <v>#VALUE!</v>
          </cell>
          <cell r="X32" t="e">
            <v>#VALUE!</v>
          </cell>
          <cell r="Y32" t="e">
            <v>#VALUE!</v>
          </cell>
          <cell r="Z32" t="e">
            <v>#VALUE!</v>
          </cell>
          <cell r="AA32" t="e">
            <v>#VALUE!</v>
          </cell>
          <cell r="AB32" t="e">
            <v>#VALUE!</v>
          </cell>
          <cell r="AC32" t="e">
            <v>#VALUE!</v>
          </cell>
          <cell r="AD32" t="e">
            <v>#VALUE!</v>
          </cell>
          <cell r="AE32" t="e">
            <v>#VALUE!</v>
          </cell>
          <cell r="AF32" t="e">
            <v>#VALUE!</v>
          </cell>
          <cell r="AG32" t="e">
            <v>#VALUE!</v>
          </cell>
          <cell r="AH32" t="e">
            <v>#VALUE!</v>
          </cell>
          <cell r="AI32" t="e">
            <v>#VALUE!</v>
          </cell>
          <cell r="AJ32" t="e">
            <v>#VALUE!</v>
          </cell>
          <cell r="AK32" t="e">
            <v>#VALUE!</v>
          </cell>
          <cell r="AL32" t="e">
            <v>#VALUE!</v>
          </cell>
          <cell r="AM32" t="str">
            <v>-</v>
          </cell>
          <cell r="AZ32" t="e">
            <v>#VALUE!</v>
          </cell>
        </row>
        <row r="33">
          <cell r="AZ33">
            <v>1171.875</v>
          </cell>
        </row>
        <row r="35">
          <cell r="D35" t="e">
            <v>#VALUE!</v>
          </cell>
          <cell r="E35" t="e">
            <v>#VALUE!</v>
          </cell>
          <cell r="F35" t="e">
            <v>#VALUE!</v>
          </cell>
          <cell r="G35" t="e">
            <v>#VALUE!</v>
          </cell>
          <cell r="H35" t="e">
            <v>#VALUE!</v>
          </cell>
          <cell r="I35" t="e">
            <v>#VALUE!</v>
          </cell>
          <cell r="J35" t="e">
            <v>#VALUE!</v>
          </cell>
          <cell r="K35" t="e">
            <v>#VALUE!</v>
          </cell>
          <cell r="L35" t="e">
            <v>#VALUE!</v>
          </cell>
          <cell r="M35" t="e">
            <v>#VALUE!</v>
          </cell>
          <cell r="N35" t="e">
            <v>#VALUE!</v>
          </cell>
          <cell r="O35" t="e">
            <v>#VALUE!</v>
          </cell>
          <cell r="P35" t="e">
            <v>#VALUE!</v>
          </cell>
          <cell r="Q35" t="e">
            <v>#VALUE!</v>
          </cell>
          <cell r="R35" t="e">
            <v>#VALUE!</v>
          </cell>
          <cell r="S35" t="e">
            <v>#VALUE!</v>
          </cell>
          <cell r="T35" t="e">
            <v>#VALUE!</v>
          </cell>
          <cell r="U35" t="e">
            <v>#VALUE!</v>
          </cell>
          <cell r="V35" t="e">
            <v>#VALUE!</v>
          </cell>
          <cell r="W35" t="e">
            <v>#VALUE!</v>
          </cell>
          <cell r="X35" t="e">
            <v>#VALUE!</v>
          </cell>
          <cell r="Y35" t="e">
            <v>#VALUE!</v>
          </cell>
          <cell r="Z35" t="e">
            <v>#VALUE!</v>
          </cell>
          <cell r="AA35" t="e">
            <v>#VALUE!</v>
          </cell>
          <cell r="AB35" t="e">
            <v>#VALUE!</v>
          </cell>
          <cell r="AC35" t="e">
            <v>#VALUE!</v>
          </cell>
          <cell r="AD35" t="e">
            <v>#VALUE!</v>
          </cell>
          <cell r="AE35" t="e">
            <v>#VALUE!</v>
          </cell>
          <cell r="AF35" t="e">
            <v>#VALUE!</v>
          </cell>
          <cell r="AG35" t="e">
            <v>#VALUE!</v>
          </cell>
          <cell r="AH35" t="e">
            <v>#VALUE!</v>
          </cell>
          <cell r="AI35" t="e">
            <v>#VALUE!</v>
          </cell>
          <cell r="AJ35" t="e">
            <v>#VALUE!</v>
          </cell>
          <cell r="AK35" t="e">
            <v>#VALUE!</v>
          </cell>
          <cell r="AL35" t="e">
            <v>#VALUE!</v>
          </cell>
          <cell r="AM35" t="str">
            <v>-</v>
          </cell>
          <cell r="AZ35" t="e">
            <v>#VALUE!</v>
          </cell>
        </row>
        <row r="36">
          <cell r="AZ36">
            <v>10312.499999999996</v>
          </cell>
        </row>
        <row r="38">
          <cell r="D38" t="e">
            <v>#VALUE!</v>
          </cell>
          <cell r="E38" t="e">
            <v>#VALUE!</v>
          </cell>
          <cell r="F38" t="e">
            <v>#VALUE!</v>
          </cell>
          <cell r="G38" t="e">
            <v>#VALUE!</v>
          </cell>
          <cell r="H38" t="e">
            <v>#VALUE!</v>
          </cell>
          <cell r="I38" t="e">
            <v>#VALUE!</v>
          </cell>
          <cell r="J38" t="e">
            <v>#VALUE!</v>
          </cell>
          <cell r="K38" t="e">
            <v>#VALUE!</v>
          </cell>
          <cell r="L38" t="e">
            <v>#VALUE!</v>
          </cell>
          <cell r="M38" t="e">
            <v>#VALUE!</v>
          </cell>
          <cell r="N38" t="e">
            <v>#VALUE!</v>
          </cell>
          <cell r="O38" t="e">
            <v>#VALUE!</v>
          </cell>
          <cell r="P38" t="e">
            <v>#VALUE!</v>
          </cell>
          <cell r="Q38" t="e">
            <v>#VALUE!</v>
          </cell>
          <cell r="R38" t="e">
            <v>#VALUE!</v>
          </cell>
          <cell r="S38" t="e">
            <v>#VALUE!</v>
          </cell>
          <cell r="T38" t="e">
            <v>#VALUE!</v>
          </cell>
          <cell r="U38" t="e">
            <v>#VALUE!</v>
          </cell>
          <cell r="V38" t="e">
            <v>#VALUE!</v>
          </cell>
          <cell r="W38" t="e">
            <v>#VALUE!</v>
          </cell>
          <cell r="X38" t="e">
            <v>#VALUE!</v>
          </cell>
          <cell r="Y38" t="e">
            <v>#VALUE!</v>
          </cell>
          <cell r="Z38" t="e">
            <v>#VALUE!</v>
          </cell>
          <cell r="AA38" t="e">
            <v>#VALUE!</v>
          </cell>
          <cell r="AB38" t="e">
            <v>#VALUE!</v>
          </cell>
          <cell r="AC38" t="e">
            <v>#VALUE!</v>
          </cell>
          <cell r="AD38" t="e">
            <v>#VALUE!</v>
          </cell>
          <cell r="AE38" t="e">
            <v>#VALUE!</v>
          </cell>
          <cell r="AF38" t="e">
            <v>#VALUE!</v>
          </cell>
          <cell r="AG38" t="e">
            <v>#VALUE!</v>
          </cell>
          <cell r="AH38" t="e">
            <v>#VALUE!</v>
          </cell>
          <cell r="AI38" t="e">
            <v>#VALUE!</v>
          </cell>
          <cell r="AJ38" t="e">
            <v>#VALUE!</v>
          </cell>
          <cell r="AK38" t="e">
            <v>#VALUE!</v>
          </cell>
          <cell r="AL38" t="e">
            <v>#VALUE!</v>
          </cell>
          <cell r="AM38" t="str">
            <v>-</v>
          </cell>
          <cell r="AZ38" t="e">
            <v>#VALUE!</v>
          </cell>
        </row>
        <row r="39">
          <cell r="AZ39" t="e">
            <v>#VALUE!</v>
          </cell>
        </row>
      </sheetData>
      <sheetData sheetId="5">
        <row r="2">
          <cell r="AM2">
            <v>0.8</v>
          </cell>
        </row>
      </sheetData>
      <sheetData sheetId="6">
        <row r="2">
          <cell r="AM2">
            <v>1.5</v>
          </cell>
        </row>
      </sheetData>
      <sheetData sheetId="7">
        <row r="2">
          <cell r="AM2">
            <v>3.2126865671641793</v>
          </cell>
        </row>
      </sheetData>
      <sheetData sheetId="8">
        <row r="2">
          <cell r="AM2">
            <v>0.8</v>
          </cell>
        </row>
      </sheetData>
      <sheetData sheetId="9">
        <row r="2">
          <cell r="AM2">
            <v>1.5015200208460002</v>
          </cell>
        </row>
      </sheetData>
      <sheetData sheetId="10">
        <row r="2">
          <cell r="AM2">
            <v>0.8</v>
          </cell>
        </row>
      </sheetData>
      <sheetData sheetId="11">
        <row r="2">
          <cell r="AM2">
            <v>1.5015200208460002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Chart"/>
      <sheetName val="Summary"/>
      <sheetName val="IP Transit"/>
      <sheetName val="AT&amp;T"/>
      <sheetName val="att issues"/>
      <sheetName val="Deutsche Telekom"/>
      <sheetName val="ELI"/>
      <sheetName val="ELI issues"/>
      <sheetName val="France Telecom"/>
      <sheetName val="Internap"/>
      <sheetName val="Westin"/>
      <sheetName val="MFN"/>
      <sheetName val="NevadaBell"/>
      <sheetName val="NTT"/>
      <sheetName val="Qwest-USWest"/>
      <sheetName val="qwest issues"/>
      <sheetName val="Southwestern Bell"/>
      <sheetName val="Sprint"/>
      <sheetName val="Telewest"/>
      <sheetName val="Verio"/>
      <sheetName val="Verizon"/>
      <sheetName val="Worldcom-UUNET-MFS"/>
      <sheetName val="wcom issues"/>
      <sheetName val="Lists"/>
      <sheetName val="Contracts Cheatsheet"/>
      <sheetName val="Category Model"/>
      <sheetName val="Output"/>
      <sheetName val="Data"/>
      <sheetName val="Rev Prior Yr"/>
      <sheetName val="BkLogPLInput"/>
      <sheetName val="CurEstRevSeas"/>
      <sheetName val="Input"/>
      <sheetName val="NetRev"/>
      <sheetName val="Benefit Costs"/>
      <sheetName val="Internal History"/>
      <sheetName val="FX"/>
      <sheetName val="Key Drivers"/>
      <sheetName val="IS-Ext"/>
      <sheetName val="ListOfChoice"/>
      <sheetName val="Options"/>
      <sheetName val="Q399 Outlook"/>
      <sheetName val="02-8E"/>
      <sheetName val="Macro Registry"/>
      <sheetName val="Nudge"/>
      <sheetName val="QBR"/>
      <sheetName val="Toy Daily output"/>
      <sheetName val="Trend DE"/>
      <sheetName val="2012_OP1"/>
      <sheetName val="FR 3Y Keyfacts (2)"/>
      <sheetName val="Summary_Chart1"/>
      <sheetName val="IP_Transit1"/>
      <sheetName val="att_issues1"/>
      <sheetName val="Deutsche_Telekom1"/>
      <sheetName val="ELI_issues1"/>
      <sheetName val="France_Telecom1"/>
      <sheetName val="qwest_issues1"/>
      <sheetName val="Southwestern_Bell1"/>
      <sheetName val="wcom_issues1"/>
      <sheetName val="Contracts_Cheatsheet1"/>
      <sheetName val="FR_3Y_Keyfacts_(2)1"/>
      <sheetName val="Summary_Chart"/>
      <sheetName val="IP_Transit"/>
      <sheetName val="att_issues"/>
      <sheetName val="Deutsche_Telekom"/>
      <sheetName val="ELI_issues"/>
      <sheetName val="France_Telecom"/>
      <sheetName val="qwest_issues"/>
      <sheetName val="Southwestern_Bell"/>
      <sheetName val="wcom_issues"/>
      <sheetName val="Contracts_Cheatsheet"/>
      <sheetName val="FR_3Y_Keyfacts_(2)"/>
      <sheetName val="Summary_Chart2"/>
      <sheetName val="IP_Transit2"/>
      <sheetName val="att_issues2"/>
      <sheetName val="Deutsche_Telekom2"/>
      <sheetName val="ELI_issues2"/>
      <sheetName val="France_Telecom2"/>
      <sheetName val="qwest_issues2"/>
      <sheetName val="Southwestern_Bell2"/>
      <sheetName val="wcom_issues2"/>
      <sheetName val="Contracts_Cheatsheet2"/>
      <sheetName val="FR_3Y_Keyfacts_(2)2"/>
      <sheetName val="Summary_Chart3"/>
      <sheetName val="IP_Transit3"/>
      <sheetName val="att_issues3"/>
      <sheetName val="Deutsche_Telekom3"/>
      <sheetName val="ELI_issues3"/>
      <sheetName val="France_Telecom3"/>
      <sheetName val="qwest_issues3"/>
      <sheetName val="Southwestern_Bell3"/>
      <sheetName val="wcom_issues3"/>
      <sheetName val="Contracts_Cheatsheet3"/>
      <sheetName val="FR_3Y_Keyfacts_(2)3"/>
      <sheetName val="Summary_Chart4"/>
      <sheetName val="IP_Transit4"/>
      <sheetName val="att_issues4"/>
      <sheetName val="Deutsche_Telekom4"/>
      <sheetName val="ELI_issues4"/>
      <sheetName val="France_Telecom4"/>
      <sheetName val="qwest_issues4"/>
      <sheetName val="Southwestern_Bell4"/>
      <sheetName val="wcom_issues4"/>
      <sheetName val="Contracts_Cheatsheet4"/>
      <sheetName val="FR_3Y_Keyfacts_(2)4"/>
      <sheetName val="Assumptions"/>
      <sheetName val="input OP1"/>
      <sheetName val="Output RnO"/>
      <sheetName val="LTN March 09 Summary"/>
      <sheetName val="%_PLAN"/>
      <sheetName val="Calcs (Satellite)"/>
      <sheetName val="Plan Q2Q3"/>
      <sheetName val="Essbase Pull"/>
      <sheetName val="Receipts Data"/>
      <sheetName val="Receipts Pivot"/>
      <sheetName val="Essbase 99 00"/>
      <sheetName val="Cover"/>
      <sheetName val="FY 00 ActsFcst"/>
      <sheetName val="Rev Points"/>
      <sheetName val="PPM Points"/>
      <sheetName val="GM Points (add comp)"/>
      <sheetName val="GM Points (Inv-AP)"/>
      <sheetName val="GM Points - Ship-GW"/>
      <sheetName val="FY2001"/>
      <sheetName val="Q3 GM to PPM Waterfall"/>
      <sheetName val="GM Dec"/>
      <sheetName val="Jan Waterfall"/>
      <sheetName val="GM Q4"/>
      <sheetName val="Q4 Waterfall "/>
      <sheetName val="GM Charts"/>
      <sheetName val="Op Income"/>
      <sheetName val="Customers"/>
      <sheetName val="Customer Data"/>
      <sheetName val="Customer Pivot"/>
      <sheetName val="DSS Customer Query"/>
      <sheetName val="Units"/>
      <sheetName val="Sheet1 (2)"/>
      <sheetName val="BackUp"/>
      <sheetName val="Metrics"/>
      <sheetName val="US Revenue"/>
      <sheetName val="GM%"/>
      <sheetName val="GM$"/>
      <sheetName val="Snapshot"/>
      <sheetName val="Category Sales"/>
      <sheetName val="PPM by Category"/>
      <sheetName val="Category Data"/>
      <sheetName val="Purchase Discounts"/>
      <sheetName val="Op Cycle "/>
      <sheetName val="Inventory Aging"/>
      <sheetName val="HeadCount"/>
      <sheetName val="Global Scorecards"/>
      <sheetName val="Scorecard"/>
      <sheetName val="General Assumptions"/>
      <sheetName val="Essbas"/>
      <sheetName val="Opex"/>
      <sheetName val="Metrics Query"/>
      <sheetName val="INPC"/>
      <sheetName val="TRAB REV"/>
      <sheetName val="Balance Sheet "/>
      <sheetName val="Tabelle2"/>
      <sheetName val="5.1a"/>
      <sheetName val="4.1a"/>
      <sheetName val="2.3"/>
      <sheetName val="DD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pCache"/>
      <sheetName val="BneWorkBookProperties"/>
      <sheetName val="BneLog"/>
      <sheetName val="Sheet1"/>
      <sheetName val="5.6- PaidEdu Overall View"/>
      <sheetName val="5.7- PE Enrollment by Channel"/>
      <sheetName val="5.8-PE Enroll Rev by Channel"/>
      <sheetName val="5.9- PE Payment by Channel"/>
      <sheetName val="5.10 PE Paymnt Rev By Channel"/>
    </sheetNames>
    <sheetDataSet>
      <sheetData sheetId="0" refreshError="1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s"/>
      <sheetName val="US OP1"/>
      <sheetName val="US2 OP1"/>
      <sheetName val="US3 OP1"/>
      <sheetName val="US4 OP1"/>
      <sheetName val="US5 OP1"/>
      <sheetName val="2012 OP2 Variable Costs NA"/>
      <sheetName val="Variable Opex"/>
      <sheetName val="US Headcount"/>
      <sheetName val="ASINs Offers GMS by Cat"/>
      <sheetName val="Data Sheet"/>
      <sheetName val="Data Page - Direct Sales"/>
      <sheetName val="Data Page - SSR and Individuals"/>
      <sheetName val="2011 Variable Costs OP2 NA"/>
      <sheetName val="2012 OP1 Variable Costs NA"/>
      <sheetName val="2012 OP1.5 Variable Costs NA"/>
      <sheetName val="2011 Variable Costs Act NA"/>
      <sheetName val="Headcount 2012 OP1"/>
      <sheetName val="Headcount 2012 OP1.5"/>
      <sheetName val="Headcount 2010 Actual"/>
      <sheetName val="Headcount 2012 Actual"/>
      <sheetName val="2010 Variable Costs US Actual"/>
      <sheetName val="2011 Variable Costs CE3 NA"/>
      <sheetName val="2013 Variable Costs Est NA"/>
      <sheetName val="2014 Variable Costs Est NA"/>
      <sheetName val="2011 Variable Costs Rev Est."/>
      <sheetName val="Cognos Pull Admin Expenses"/>
      <sheetName val="Cognos Pull Employee Exp"/>
      <sheetName val="Cognos Pull Opex"/>
      <sheetName val="Cognos Pull Headcount"/>
      <sheetName val="Year Round Petco Employee List"/>
      <sheetName val="Headcount 2011 Actual"/>
      <sheetName val="Headcount 2012 OP2"/>
      <sheetName val="Headcount 2012 CE3"/>
      <sheetName val="Headcount 2013 OP1"/>
      <sheetName val="LAUNCHES"/>
      <sheetName val="TOTAL VALUE"/>
      <sheetName val="BUYABLE OFFERS"/>
      <sheetName val="ASINS CREATED"/>
      <sheetName val="M@ Goal Tracker"/>
      <sheetName val="Auto Total View"/>
      <sheetName val="Sheet1"/>
      <sheetName val="DD List"/>
      <sheetName val="Traffic"/>
      <sheetName val="CurrYear_V1"/>
      <sheetName val="V2"/>
      <sheetName val="Lists"/>
      <sheetName val="Sheet2"/>
      <sheetName val="Inpu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dmin"/>
      <sheetName val="CN_5PG"/>
      <sheetName val="CN"/>
      <sheetName val="Media"/>
      <sheetName val="CE"/>
      <sheetName val="Sheet1"/>
      <sheetName val="OtherHL"/>
      <sheetName val="Softlines"/>
      <sheetName val="Consumables"/>
      <sheetName val="Other Adj"/>
      <sheetName val="Books"/>
      <sheetName val="Music"/>
      <sheetName val="DVD"/>
      <sheetName val="SW"/>
      <sheetName val="VG"/>
      <sheetName val="AV"/>
      <sheetName val="Camera"/>
      <sheetName val="MobileElec"/>
      <sheetName val="MusicalInstruments"/>
      <sheetName val="Office"/>
      <sheetName val="PC"/>
      <sheetName val="Wireless"/>
      <sheetName val="Kitchen"/>
      <sheetName val="MA"/>
      <sheetName val="Home"/>
      <sheetName val="Pets"/>
      <sheetName val="HomeImprovement"/>
      <sheetName val="Sports"/>
      <sheetName val="Toys"/>
      <sheetName val="Auto"/>
      <sheetName val="Lawn&amp;Garden"/>
      <sheetName val="Shoes"/>
      <sheetName val="Apparel"/>
      <sheetName val="Luggage"/>
      <sheetName val="Jewelry"/>
      <sheetName val="Watches"/>
      <sheetName val="Beauty"/>
      <sheetName val="HPC"/>
      <sheetName val="Baby"/>
      <sheetName val="Grocery"/>
      <sheetName val="Liquor"/>
      <sheetName val="PCA"/>
      <sheetName val="Pantry"/>
      <sheetName val="Other Fixed"/>
      <sheetName val="Other Fixed Emg"/>
      <sheetName val="Other Variables"/>
      <sheetName val="Other Variables Emg"/>
      <sheetName val="DATA_IS"/>
      <sheetName val="DATA_Other"/>
      <sheetName val="DATA_BS"/>
      <sheetName val="DATA_Depr_Capex"/>
      <sheetName val="Cover"/>
      <sheetName val="Intl Est"/>
      <sheetName val="Intl Emg"/>
      <sheetName val="Intl Emg Core"/>
      <sheetName val="Summary"/>
      <sheetName val="B1"/>
      <sheetName val="B2"/>
      <sheetName val="PopCache"/>
      <sheetName val="V1"/>
      <sheetName val="V2"/>
      <sheetName val="Subs_V1"/>
      <sheetName val="Subs_Other_Fixed_Variable"/>
      <sheetName val="Subs_DATA"/>
      <sheetName val="Subs_Manual_Adj"/>
      <sheetName val="Subs_BS"/>
      <sheetName val="Subs_Depr_Capex"/>
      <sheetName val="NA Est"/>
      <sheetName val="NA Emg"/>
      <sheetName val="NA Core"/>
      <sheetName val="Intl Est Core"/>
      <sheetName val="EU5"/>
      <sheetName val="EU3"/>
      <sheetName val="Summary_NA_Emg"/>
      <sheetName val="Subs Check MTH"/>
      <sheetName val="Subs Check YTD"/>
      <sheetName val="CurrYear_V1"/>
    </sheetNames>
    <sheetDataSet>
      <sheetData sheetId="0">
        <row r="2">
          <cell r="E2">
            <v>2015</v>
          </cell>
        </row>
        <row r="7">
          <cell r="B7" t="str">
            <v>Physical Consumer</v>
          </cell>
        </row>
        <row r="8">
          <cell r="B8" t="str">
            <v>Media</v>
          </cell>
        </row>
        <row r="9">
          <cell r="B9" t="str">
            <v>Books</v>
          </cell>
        </row>
        <row r="10">
          <cell r="B10" t="str">
            <v>Ent. Media</v>
          </cell>
        </row>
        <row r="11">
          <cell r="B11" t="str">
            <v>Hardlines</v>
          </cell>
        </row>
        <row r="12">
          <cell r="B12" t="str">
            <v>Total CE</v>
          </cell>
        </row>
        <row r="13">
          <cell r="B13" t="str">
            <v>Other Hardlines</v>
          </cell>
        </row>
        <row r="14">
          <cell r="B14" t="str">
            <v>Softlines</v>
          </cell>
        </row>
        <row r="15">
          <cell r="B15" t="str">
            <v>Consumables</v>
          </cell>
        </row>
        <row r="16">
          <cell r="B16" t="str">
            <v>Health &amp; Beauty</v>
          </cell>
        </row>
        <row r="17">
          <cell r="B17" t="str">
            <v>Other Consumables</v>
          </cell>
        </row>
        <row r="18">
          <cell r="B18">
            <v>0</v>
          </cell>
        </row>
        <row r="19">
          <cell r="B19" t="str">
            <v>Media</v>
          </cell>
        </row>
        <row r="20">
          <cell r="B20" t="str">
            <v>Books</v>
          </cell>
        </row>
        <row r="21">
          <cell r="B21" t="str">
            <v>Ent. Media</v>
          </cell>
        </row>
        <row r="22">
          <cell r="B22" t="str">
            <v>Music</v>
          </cell>
        </row>
        <row r="23">
          <cell r="B23" t="str">
            <v>DVD</v>
          </cell>
        </row>
        <row r="24">
          <cell r="B24" t="str">
            <v>Software</v>
          </cell>
        </row>
        <row r="25">
          <cell r="B25" t="str">
            <v>Video Games</v>
          </cell>
        </row>
        <row r="26">
          <cell r="B26">
            <v>0</v>
          </cell>
        </row>
        <row r="27">
          <cell r="B27" t="str">
            <v>Hardlines</v>
          </cell>
        </row>
        <row r="28">
          <cell r="B28" t="str">
            <v>Total CE</v>
          </cell>
        </row>
        <row r="29">
          <cell r="B29" t="str">
            <v>Consumer Electronics</v>
          </cell>
        </row>
        <row r="30">
          <cell r="B30" t="str">
            <v>Home Entertainment</v>
          </cell>
        </row>
        <row r="31">
          <cell r="B31" t="str">
            <v>Camera</v>
          </cell>
        </row>
        <row r="32">
          <cell r="B32" t="str">
            <v>Mobile Electronics</v>
          </cell>
        </row>
        <row r="33">
          <cell r="B33" t="str">
            <v>PC</v>
          </cell>
        </row>
        <row r="34">
          <cell r="B34" t="str">
            <v>Office Products</v>
          </cell>
        </row>
        <row r="35">
          <cell r="B35" t="str">
            <v>Musical Instruments</v>
          </cell>
        </row>
        <row r="36">
          <cell r="B36" t="str">
            <v>Wireless</v>
          </cell>
        </row>
        <row r="37">
          <cell r="B37" t="str">
            <v>Other Hardlines</v>
          </cell>
        </row>
        <row r="38">
          <cell r="B38" t="str">
            <v>BISS</v>
          </cell>
        </row>
        <row r="39">
          <cell r="B39" t="str">
            <v>Auto</v>
          </cell>
        </row>
        <row r="40">
          <cell r="B40" t="str">
            <v>Home &amp; Garden</v>
          </cell>
        </row>
        <row r="41">
          <cell r="B41" t="str">
            <v>Kitchen</v>
          </cell>
        </row>
        <row r="42">
          <cell r="B42" t="str">
            <v>Home &amp; Garden - Outdoor</v>
          </cell>
        </row>
        <row r="43">
          <cell r="B43" t="str">
            <v>Home</v>
          </cell>
        </row>
        <row r="44">
          <cell r="B44" t="str">
            <v>Major Appliances</v>
          </cell>
        </row>
        <row r="45">
          <cell r="B45" t="str">
            <v>Pets Products</v>
          </cell>
        </row>
        <row r="46">
          <cell r="B46" t="str">
            <v>Tools Ttl.</v>
          </cell>
        </row>
        <row r="47">
          <cell r="B47" t="str">
            <v>Home Improvement</v>
          </cell>
        </row>
        <row r="48">
          <cell r="B48" t="str">
            <v>Tools</v>
          </cell>
        </row>
        <row r="49">
          <cell r="B49" t="str">
            <v>Sports</v>
          </cell>
        </row>
        <row r="50">
          <cell r="B50" t="str">
            <v>Sporting Goods</v>
          </cell>
        </row>
        <row r="51">
          <cell r="B51" t="str">
            <v>Outdoor Recreation</v>
          </cell>
        </row>
        <row r="52">
          <cell r="B52" t="str">
            <v>Toys</v>
          </cell>
        </row>
        <row r="53">
          <cell r="B53">
            <v>0</v>
          </cell>
        </row>
        <row r="54">
          <cell r="B54" t="str">
            <v>Softlines</v>
          </cell>
        </row>
        <row r="55">
          <cell r="B55" t="str">
            <v>Shoes</v>
          </cell>
        </row>
        <row r="56">
          <cell r="B56" t="str">
            <v>Total Apparel</v>
          </cell>
        </row>
        <row r="57">
          <cell r="B57" t="str">
            <v>Apparel</v>
          </cell>
        </row>
        <row r="58">
          <cell r="B58" t="str">
            <v>Luggage</v>
          </cell>
        </row>
        <row r="59">
          <cell r="B59" t="str">
            <v>Total Jewelry</v>
          </cell>
        </row>
        <row r="60">
          <cell r="B60" t="str">
            <v>Jewelry</v>
          </cell>
        </row>
        <row r="61">
          <cell r="B61" t="str">
            <v>Watches</v>
          </cell>
        </row>
        <row r="62">
          <cell r="B62" t="str">
            <v>Loose Stones</v>
          </cell>
        </row>
        <row r="63">
          <cell r="B63">
            <v>0</v>
          </cell>
        </row>
        <row r="64">
          <cell r="B64" t="str">
            <v>Consumables</v>
          </cell>
        </row>
        <row r="65">
          <cell r="B65" t="str">
            <v>Health &amp; Beauty</v>
          </cell>
        </row>
        <row r="66">
          <cell r="B66" t="str">
            <v>Beauty</v>
          </cell>
        </row>
        <row r="67">
          <cell r="B67" t="str">
            <v>Luxury Beauty</v>
          </cell>
        </row>
        <row r="68">
          <cell r="B68" t="str">
            <v>HPC</v>
          </cell>
        </row>
        <row r="69">
          <cell r="B69" t="str">
            <v>PCA</v>
          </cell>
        </row>
        <row r="70">
          <cell r="B70" t="str">
            <v>Other Consumables</v>
          </cell>
        </row>
        <row r="71">
          <cell r="B71" t="str">
            <v>Baby</v>
          </cell>
        </row>
        <row r="72">
          <cell r="B72" t="str">
            <v>Pantry</v>
          </cell>
        </row>
        <row r="73">
          <cell r="B73" t="str">
            <v>Food</v>
          </cell>
        </row>
        <row r="74">
          <cell r="B74" t="str">
            <v>Wine</v>
          </cell>
        </row>
        <row r="75">
          <cell r="B75" t="str">
            <v>Grocery</v>
          </cell>
        </row>
        <row r="76">
          <cell r="B76">
            <v>0</v>
          </cell>
        </row>
        <row r="77">
          <cell r="B77" t="str">
            <v>Digital SW &amp; VG</v>
          </cell>
        </row>
        <row r="78">
          <cell r="B78" t="str">
            <v>Digital Software</v>
          </cell>
        </row>
        <row r="79">
          <cell r="B79" t="str">
            <v>Digital Video Games</v>
          </cell>
        </row>
      </sheetData>
      <sheetData sheetId="1">
        <row r="6">
          <cell r="D6" t="str">
            <v>Month</v>
          </cell>
        </row>
      </sheetData>
      <sheetData sheetId="2">
        <row r="6">
          <cell r="D6" t="str">
            <v>Month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>
        <row r="19">
          <cell r="Q19">
            <v>9.8531794218599145E-2</v>
          </cell>
        </row>
      </sheetData>
      <sheetData sheetId="39">
        <row r="19">
          <cell r="Q19">
            <v>9.8531794218599145E-2</v>
          </cell>
        </row>
      </sheetData>
      <sheetData sheetId="40">
        <row r="19">
          <cell r="Q19">
            <v>9.8531794218599145E-2</v>
          </cell>
        </row>
      </sheetData>
      <sheetData sheetId="41">
        <row r="19">
          <cell r="Q19">
            <v>9.8531794218599145E-2</v>
          </cell>
        </row>
      </sheetData>
      <sheetData sheetId="42">
        <row r="4">
          <cell r="C4" t="str">
            <v>Apr</v>
          </cell>
        </row>
      </sheetData>
      <sheetData sheetId="43">
        <row r="4">
          <cell r="C4" t="str">
            <v>Apr</v>
          </cell>
        </row>
      </sheetData>
      <sheetData sheetId="44">
        <row r="4">
          <cell r="C4" t="str">
            <v>FY</v>
          </cell>
        </row>
      </sheetData>
      <sheetData sheetId="45">
        <row r="2">
          <cell r="B2" t="str">
            <v>Paste from row 3 only.</v>
          </cell>
        </row>
      </sheetData>
      <sheetData sheetId="46">
        <row r="2">
          <cell r="B2" t="str">
            <v>Paste from row 3 only.</v>
          </cell>
        </row>
      </sheetData>
      <sheetData sheetId="47">
        <row r="1">
          <cell r="A1">
            <v>1</v>
          </cell>
        </row>
      </sheetData>
      <sheetData sheetId="48">
        <row r="1">
          <cell r="A1">
            <v>1</v>
          </cell>
        </row>
      </sheetData>
      <sheetData sheetId="49">
        <row r="1">
          <cell r="A1">
            <v>1</v>
          </cell>
        </row>
      </sheetData>
      <sheetData sheetId="50">
        <row r="1">
          <cell r="A1">
            <v>1</v>
          </cell>
        </row>
      </sheetData>
      <sheetData sheetId="51">
        <row r="1">
          <cell r="A1">
            <v>1</v>
          </cell>
        </row>
      </sheetData>
      <sheetData sheetId="52">
        <row r="1">
          <cell r="A1">
            <v>1</v>
          </cell>
        </row>
      </sheetData>
      <sheetData sheetId="53"/>
      <sheetData sheetId="54"/>
      <sheetData sheetId="55"/>
      <sheetData sheetId="56">
        <row r="6">
          <cell r="D6" t="str">
            <v>Month</v>
          </cell>
        </row>
      </sheetData>
      <sheetData sheetId="57">
        <row r="2">
          <cell r="E2">
            <v>2015</v>
          </cell>
        </row>
      </sheetData>
      <sheetData sheetId="58" refreshError="1"/>
      <sheetData sheetId="59">
        <row r="3">
          <cell r="B3" t="str">
            <v>US</v>
          </cell>
        </row>
      </sheetData>
      <sheetData sheetId="60">
        <row r="3">
          <cell r="F3" t="str">
            <v>2015 Apr Act</v>
          </cell>
        </row>
      </sheetData>
      <sheetData sheetId="61">
        <row r="3">
          <cell r="F3" t="str">
            <v>Apr</v>
          </cell>
        </row>
      </sheetData>
      <sheetData sheetId="62">
        <row r="3">
          <cell r="F3" t="str">
            <v>Apr</v>
          </cell>
        </row>
      </sheetData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me"/>
      <sheetName val="Template"/>
      <sheetName val="Flash"/>
      <sheetName val="Clothing SixBoxer"/>
      <sheetName val="BizDev SixBoxer"/>
      <sheetName val="Launches"/>
      <sheetName val="GMS"/>
      <sheetName val="Offers"/>
      <sheetName val="Units"/>
      <sheetName val="FBO"/>
      <sheetName val="LDR"/>
      <sheetName val="Quarantine"/>
      <sheetName val="Suspension"/>
      <sheetName val="AwaGV"/>
      <sheetName val="AwaSale"/>
      <sheetName val="ASP"/>
      <sheetName val="M &amp; S"/>
      <sheetName val="FBA"/>
      <sheetName val="RDR"/>
      <sheetName val="Traffic"/>
      <sheetName val="PCA"/>
      <sheetName val="FBA ASINs"/>
      <sheetName val="Category"/>
      <sheetName val="Brands"/>
      <sheetName val="Seller"/>
      <sheetName val="Sellers by Cat"/>
      <sheetName val="Top ASINs"/>
      <sheetName val="Clothing FlexBoxer"/>
      <sheetName val="BizDev FlexBoxer"/>
      <sheetName val="Offers Pivot"/>
      <sheetName val="3P Offers"/>
      <sheetName val="3P Offers PY "/>
      <sheetName val="3P Offers MS"/>
      <sheetName val="3P Offers Brands"/>
      <sheetName val="NS Offers MS"/>
      <sheetName val="NS Offers"/>
      <sheetName val="NS Offers PY"/>
      <sheetName val="NS Offers PC CY"/>
      <sheetName val="FBO Pivot"/>
      <sheetName val="3P FBO"/>
      <sheetName val="3P FBO PY"/>
      <sheetName val="3P FBO MS"/>
      <sheetName val="3P FBO Brands"/>
      <sheetName val="NS FBO MS"/>
      <sheetName val="NS FBO"/>
      <sheetName val="NS FBO PY"/>
      <sheetName val="NS FBO PC CY"/>
      <sheetName val="GMS Pivot"/>
      <sheetName val="3P GMS"/>
      <sheetName val="3P GMS PY"/>
      <sheetName val="3P GMS MS"/>
      <sheetName val="NS GMS"/>
      <sheetName val="NS GMS MS"/>
      <sheetName val="NS GMS PY"/>
      <sheetName val="NS GMS PC CY"/>
      <sheetName val="3P GMS Brands"/>
      <sheetName val="GMS YTD Pivot"/>
      <sheetName val="3P GMS YTD"/>
      <sheetName val="3P GMS PY YTD"/>
      <sheetName val="3P GMS YTD MS"/>
      <sheetName val="NS GMS YTD"/>
      <sheetName val="NS GMS PY YTD"/>
      <sheetName val="NS GMS PC YTD"/>
      <sheetName val="3P GMS Brands YTD"/>
      <sheetName val="LDR Pivot"/>
      <sheetName val="3P LDR"/>
      <sheetName val="3P LDR PY"/>
      <sheetName val="3P LDR MS"/>
      <sheetName val="3P LDR Brands"/>
      <sheetName val="NS LDR"/>
      <sheetName val="NS LDR MS"/>
      <sheetName val="NS LDR PY"/>
      <sheetName val="NS LDR PC CY"/>
      <sheetName val="AwaSale Pivot"/>
      <sheetName val="3P AwaSale"/>
      <sheetName val="3P AwaSale PY"/>
      <sheetName val="NS AwaSale"/>
      <sheetName val="NS AwaSale PY"/>
      <sheetName val="NS AwaSale PC CY"/>
      <sheetName val="3P AwaSale Brands"/>
      <sheetName val="AwaGV Pivot"/>
      <sheetName val="3P AwaGV"/>
      <sheetName val="3P AwaGV PY"/>
      <sheetName val="3P AwaGV MS"/>
      <sheetName val="NS AwaGV"/>
      <sheetName val="NS AwaGV MS"/>
      <sheetName val="NS AwaGV PY"/>
      <sheetName val="NS AwaGV PC CY"/>
      <sheetName val="3P AwaGV Brands"/>
      <sheetName val="Launch Pivot"/>
      <sheetName val="NS Launches"/>
      <sheetName val="NS Launches PY"/>
      <sheetName val="NS Launches YTD"/>
      <sheetName val="NS Launches PY YTD"/>
      <sheetName val="NS Launches FBA YTD"/>
      <sheetName val="NS Launches FBA PY YTD"/>
      <sheetName val="NS Launches Alltime"/>
      <sheetName val="NS Launches WBA YTD"/>
      <sheetName val="NS Launches WBA PY YTD"/>
      <sheetName val="NS Launches CBA YTD"/>
      <sheetName val="NS Launches CBA PY YTD"/>
      <sheetName val="Quarantine Pivot"/>
      <sheetName val="MS Pivot"/>
      <sheetName val="3P Top ASIN Data"/>
      <sheetName val="3P Top Parent ASIN Data"/>
      <sheetName val="NS Top ASIN Data"/>
      <sheetName val="NS Top Parent ASIN Data"/>
      <sheetName val="BB Eligibility Data"/>
      <sheetName val="3P Top Sellers"/>
      <sheetName val="NS Top Sellers"/>
      <sheetName val="3P ZM Data"/>
      <sheetName val="3P Quarantine MS"/>
      <sheetName val="Suspension Pivot"/>
      <sheetName val="Suspension Data"/>
      <sheetName val="Lists"/>
      <sheetName val="Controls"/>
    </sheetNames>
    <sheetDataSet>
      <sheetData sheetId="0"/>
      <sheetData sheetId="1">
        <row r="7">
          <cell r="C7" t="str">
            <v>wk 50</v>
          </cell>
        </row>
      </sheetData>
      <sheetData sheetId="2"/>
      <sheetData sheetId="3"/>
      <sheetData sheetId="4"/>
      <sheetData sheetId="5"/>
      <sheetData sheetId="6">
        <row r="4">
          <cell r="A4">
            <v>0</v>
          </cell>
          <cell r="B4" t="str">
            <v>Unique</v>
          </cell>
          <cell r="C4">
            <v>0</v>
          </cell>
          <cell r="D4">
            <v>0</v>
          </cell>
          <cell r="E4">
            <v>0</v>
          </cell>
          <cell r="F4">
            <v>11072.626709999993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</row>
        <row r="5">
          <cell r="A5">
            <v>0</v>
          </cell>
          <cell r="B5" t="str">
            <v>Overlap</v>
          </cell>
          <cell r="C5">
            <v>0</v>
          </cell>
          <cell r="D5">
            <v>0</v>
          </cell>
          <cell r="E5">
            <v>0</v>
          </cell>
          <cell r="F5">
            <v>356.25245999999999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</row>
        <row r="9">
          <cell r="A9">
            <v>0</v>
          </cell>
          <cell r="B9" t="str">
            <v>Unique</v>
          </cell>
          <cell r="C9">
            <v>0</v>
          </cell>
          <cell r="D9">
            <v>0</v>
          </cell>
          <cell r="E9">
            <v>0</v>
          </cell>
          <cell r="F9">
            <v>4274.1692200000007</v>
          </cell>
          <cell r="G9">
            <v>0</v>
          </cell>
          <cell r="H9" t="str">
            <v>-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</row>
        <row r="10">
          <cell r="A10">
            <v>0</v>
          </cell>
          <cell r="B10" t="str">
            <v>Overlap</v>
          </cell>
          <cell r="C10">
            <v>0</v>
          </cell>
          <cell r="D10">
            <v>0</v>
          </cell>
          <cell r="E10">
            <v>0</v>
          </cell>
          <cell r="F10">
            <v>3066.3050200000002</v>
          </cell>
          <cell r="G10">
            <v>0</v>
          </cell>
          <cell r="H10" t="str">
            <v>-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</row>
        <row r="14">
          <cell r="A14">
            <v>0</v>
          </cell>
          <cell r="B14" t="str">
            <v>Unique</v>
          </cell>
          <cell r="C14">
            <v>0</v>
          </cell>
          <cell r="D14">
            <v>0</v>
          </cell>
          <cell r="E14">
            <v>0</v>
          </cell>
          <cell r="F14">
            <v>1234.1030900000001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</row>
        <row r="15">
          <cell r="A15">
            <v>0</v>
          </cell>
          <cell r="B15" t="str">
            <v>Overlap</v>
          </cell>
          <cell r="C15">
            <v>0</v>
          </cell>
          <cell r="D15">
            <v>0</v>
          </cell>
          <cell r="E15">
            <v>0</v>
          </cell>
          <cell r="F15" t="str">
            <v>-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</row>
        <row r="19">
          <cell r="A19">
            <v>0</v>
          </cell>
          <cell r="B19" t="str">
            <v>Unique</v>
          </cell>
          <cell r="C19">
            <v>0</v>
          </cell>
          <cell r="D19">
            <v>0</v>
          </cell>
          <cell r="E19">
            <v>0</v>
          </cell>
          <cell r="F19">
            <v>9838.5236199999963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</row>
        <row r="20">
          <cell r="A20">
            <v>0</v>
          </cell>
          <cell r="B20" t="str">
            <v>Overlap</v>
          </cell>
          <cell r="C20">
            <v>0</v>
          </cell>
          <cell r="D20">
            <v>0</v>
          </cell>
          <cell r="E20">
            <v>0</v>
          </cell>
          <cell r="F20">
            <v>356.2524600000001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5">
          <cell r="C5" t="str">
            <v>GMS</v>
          </cell>
        </row>
      </sheetData>
      <sheetData sheetId="23"/>
      <sheetData sheetId="24">
        <row r="5">
          <cell r="C5" t="str">
            <v>GMS</v>
          </cell>
        </row>
      </sheetData>
      <sheetData sheetId="25"/>
      <sheetData sheetId="26"/>
      <sheetData sheetId="27"/>
      <sheetData sheetId="28"/>
      <sheetData sheetId="29"/>
      <sheetData sheetId="30"/>
      <sheetData sheetId="31"/>
      <sheetData sheetId="32">
        <row r="1">
          <cell r="A1" t="str">
            <v>merchant_customer_id</v>
          </cell>
        </row>
      </sheetData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>
        <row r="1">
          <cell r="A1" t="str">
            <v>merchant_customer_id</v>
          </cell>
        </row>
      </sheetData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>
        <row r="1">
          <cell r="A1" t="str">
            <v>merchant_customer_id</v>
          </cell>
        </row>
      </sheetData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>
        <row r="1">
          <cell r="A1" t="str">
            <v>merchant_customer_id</v>
          </cell>
        </row>
      </sheetData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 refreshError="1"/>
      <sheetData sheetId="115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 U.S. Infrastructure"/>
      <sheetName val="Total U.S. Infrastructure 1999"/>
      <sheetName val="Misc Detail"/>
      <sheetName val="Allocated Detail"/>
      <sheetName val="4300 Brand Detail"/>
      <sheetName val="4350 Cust Exp Detail"/>
      <sheetName val="Lists"/>
      <sheetName val="Essbase(HIDE)"/>
      <sheetName val="RawData"/>
      <sheetName val="Controls"/>
      <sheetName val="US_FR_FC_DPMO"/>
      <sheetName val="Internal History"/>
      <sheetName val="Dec 2009 ETB"/>
      <sheetName val="US_Data"/>
      <sheetName val="Maintenence"/>
      <sheetName val="IS-Ext"/>
      <sheetName val="Scorecard"/>
      <sheetName val="General Assumptions"/>
      <sheetName val="3M"/>
      <sheetName val="2010 ETB"/>
      <sheetName val="Index"/>
      <sheetName val="2000 Plan"/>
      <sheetName val="PopCache_Sheet1"/>
      <sheetName val="High Level Summary"/>
      <sheetName val="Data"/>
      <sheetName val="2009 ETB"/>
      <sheetName val="2002 Exp"/>
      <sheetName val="VG Data for summary"/>
      <sheetName val="Imaginarium Daily output"/>
      <sheetName val="Other Data for summary"/>
      <sheetName val="AMZN Daily output "/>
      <sheetName val="VG Revenue essbase 2001"/>
      <sheetName val="Baby Revenue essbase 2001"/>
      <sheetName val="ToysRUs essbase 2001"/>
      <sheetName val="Toys Revenue essbase 2001"/>
      <sheetName val="BabyRUs essbase 2001"/>
      <sheetName val="Toy Daily output"/>
      <sheetName val="VG Daily output"/>
      <sheetName val="Inventory"/>
      <sheetName val="Baby Daily output"/>
      <sheetName val="Toys Dashboard"/>
      <sheetName val="Baby Dashboard"/>
      <sheetName val="VG Dashboard"/>
      <sheetName val="OOS &amp; Rotos"/>
      <sheetName val="FOR TRU"/>
      <sheetName val="TRU Outbound Forecast - GMS"/>
      <sheetName val="2000 Data - Toys"/>
      <sheetName val="ToysRUs essbase 2000"/>
      <sheetName val="Toys Revenue essbase 2000"/>
      <sheetName val="VG Revenue essbase 2000"/>
      <sheetName val="Total_U_S__Infrastructure1"/>
      <sheetName val="Total_U_S__Infrastructure_19991"/>
      <sheetName val="Misc_Detail1"/>
      <sheetName val="Allocated_Detail1"/>
      <sheetName val="Total_U_S__Infrastructure"/>
      <sheetName val="Total_U_S__Infrastructure_1999"/>
      <sheetName val="Misc_Detail"/>
      <sheetName val="Allocated_Detail"/>
      <sheetName val="Total_U_S__Infrastructure2"/>
      <sheetName val="Total_U_S__Infrastructure_19992"/>
      <sheetName val="Misc_Detail2"/>
      <sheetName val="Allocated_Detail2"/>
      <sheetName val="Total_U_S__Infrastructure3"/>
      <sheetName val="Total_U_S__Infrastructure_19993"/>
      <sheetName val="Misc_Detail3"/>
      <sheetName val="Allocated_Detail3"/>
      <sheetName val="Total_U_S__Infrastructure4"/>
      <sheetName val="Total_U_S__Infrastructure_19994"/>
      <sheetName val="Misc_Detail4"/>
      <sheetName val="Allocated_Detail4"/>
      <sheetName val="Cover"/>
      <sheetName val="Retail-Whole"/>
      <sheetName val="Control"/>
      <sheetName val="PopCache"/>
      <sheetName val="Workings"/>
      <sheetName val="Tabelle2"/>
      <sheetName val="GMS"/>
      <sheetName val="Seller"/>
      <sheetName val="Category"/>
    </sheetNames>
    <sheetDataSet>
      <sheetData sheetId="0" refreshError="1">
        <row r="108">
          <cell r="E108" t="str">
            <v>US Core Businesses</v>
          </cell>
        </row>
        <row r="109">
          <cell r="E109" t="str">
            <v>Project</v>
          </cell>
        </row>
        <row r="110">
          <cell r="E110" t="str">
            <v>Total Products</v>
          </cell>
        </row>
        <row r="111">
          <cell r="E111" t="str">
            <v>Tech - Infrastructure</v>
          </cell>
        </row>
        <row r="112">
          <cell r="E112" t="str">
            <v>FY2001</v>
          </cell>
          <cell r="F112" t="str">
            <v>FY2001</v>
          </cell>
          <cell r="G112" t="str">
            <v>FY2001</v>
          </cell>
          <cell r="H112" t="str">
            <v>FY2001</v>
          </cell>
          <cell r="I112" t="str">
            <v>FY2001</v>
          </cell>
          <cell r="J112" t="str">
            <v>FY2001</v>
          </cell>
          <cell r="K112" t="str">
            <v>FY2001</v>
          </cell>
          <cell r="L112" t="str">
            <v>FY2001</v>
          </cell>
          <cell r="M112" t="str">
            <v>FY2001</v>
          </cell>
          <cell r="N112" t="str">
            <v>FY2001</v>
          </cell>
          <cell r="O112" t="str">
            <v>FY2001</v>
          </cell>
          <cell r="P112" t="str">
            <v>FY2001</v>
          </cell>
        </row>
        <row r="113">
          <cell r="E113" t="str">
            <v>Actuals</v>
          </cell>
          <cell r="F113" t="str">
            <v>Actuals</v>
          </cell>
          <cell r="G113" t="str">
            <v>Actuals</v>
          </cell>
          <cell r="H113" t="str">
            <v>Actuals</v>
          </cell>
          <cell r="I113" t="str">
            <v>Actuals</v>
          </cell>
          <cell r="J113" t="str">
            <v>Actuals</v>
          </cell>
          <cell r="K113" t="str">
            <v>Actuals</v>
          </cell>
          <cell r="L113" t="str">
            <v>Actuals</v>
          </cell>
          <cell r="M113" t="str">
            <v>Actuals</v>
          </cell>
          <cell r="N113" t="str">
            <v>Actuals</v>
          </cell>
          <cell r="O113" t="str">
            <v>Actuals</v>
          </cell>
          <cell r="P113" t="str">
            <v>Actuals</v>
          </cell>
        </row>
        <row r="114">
          <cell r="E114" t="str">
            <v>Jan</v>
          </cell>
          <cell r="F114" t="str">
            <v>Feb</v>
          </cell>
          <cell r="G114" t="str">
            <v>Mar</v>
          </cell>
          <cell r="H114" t="str">
            <v>Apr</v>
          </cell>
          <cell r="I114" t="str">
            <v>May</v>
          </cell>
          <cell r="J114" t="str">
            <v>Jun</v>
          </cell>
          <cell r="K114" t="str">
            <v>Jul</v>
          </cell>
          <cell r="L114" t="str">
            <v>Aug</v>
          </cell>
          <cell r="M114" t="str">
            <v>Sep</v>
          </cell>
          <cell r="N114" t="str">
            <v>Oct</v>
          </cell>
          <cell r="O114" t="str">
            <v>Nov</v>
          </cell>
          <cell r="P114" t="str">
            <v>Dec</v>
          </cell>
        </row>
        <row r="116">
          <cell r="C116" t="str">
            <v>Total Locations</v>
          </cell>
          <cell r="D116" t="str">
            <v>Total Heads</v>
          </cell>
          <cell r="E116">
            <v>330</v>
          </cell>
          <cell r="F116">
            <v>276</v>
          </cell>
          <cell r="G116">
            <v>265</v>
          </cell>
          <cell r="H116">
            <v>263</v>
          </cell>
          <cell r="I116">
            <v>261</v>
          </cell>
          <cell r="J116">
            <v>263</v>
          </cell>
          <cell r="K116">
            <v>269</v>
          </cell>
          <cell r="L116">
            <v>268</v>
          </cell>
          <cell r="M116" t="str">
            <v>0</v>
          </cell>
          <cell r="N116" t="str">
            <v>0</v>
          </cell>
          <cell r="O116" t="str">
            <v>0</v>
          </cell>
          <cell r="P116" t="str">
            <v>0</v>
          </cell>
        </row>
        <row r="117">
          <cell r="D117" t="str">
            <v>Regular Heads</v>
          </cell>
          <cell r="E117">
            <v>323</v>
          </cell>
          <cell r="F117">
            <v>271</v>
          </cell>
          <cell r="G117">
            <v>263</v>
          </cell>
          <cell r="H117">
            <v>260</v>
          </cell>
          <cell r="I117">
            <v>257</v>
          </cell>
          <cell r="J117">
            <v>256</v>
          </cell>
          <cell r="K117">
            <v>262</v>
          </cell>
          <cell r="L117">
            <v>263</v>
          </cell>
          <cell r="M117" t="str">
            <v>0</v>
          </cell>
          <cell r="N117" t="str">
            <v>0</v>
          </cell>
          <cell r="O117" t="str">
            <v>0</v>
          </cell>
          <cell r="P117" t="str">
            <v>0</v>
          </cell>
        </row>
        <row r="118">
          <cell r="D118" t="str">
            <v>Total Temps</v>
          </cell>
          <cell r="E118">
            <v>2</v>
          </cell>
          <cell r="F118">
            <v>2</v>
          </cell>
          <cell r="G118">
            <v>2</v>
          </cell>
          <cell r="H118">
            <v>3</v>
          </cell>
          <cell r="I118">
            <v>4</v>
          </cell>
          <cell r="J118">
            <v>7</v>
          </cell>
          <cell r="K118">
            <v>5</v>
          </cell>
          <cell r="L118">
            <v>3</v>
          </cell>
          <cell r="M118" t="str">
            <v>0</v>
          </cell>
          <cell r="N118" t="str">
            <v>0</v>
          </cell>
          <cell r="O118" t="str">
            <v>0</v>
          </cell>
          <cell r="P118" t="str">
            <v>0</v>
          </cell>
        </row>
        <row r="119">
          <cell r="D119" t="str">
            <v>Third Party Contractors</v>
          </cell>
          <cell r="E119">
            <v>3</v>
          </cell>
          <cell r="F119">
            <v>1</v>
          </cell>
          <cell r="G119" t="str">
            <v>0</v>
          </cell>
          <cell r="H119" t="str">
            <v>0</v>
          </cell>
          <cell r="I119" t="str">
            <v>0</v>
          </cell>
          <cell r="J119" t="str">
            <v>0</v>
          </cell>
          <cell r="K119">
            <v>2</v>
          </cell>
          <cell r="L119">
            <v>2</v>
          </cell>
          <cell r="M119" t="str">
            <v>0</v>
          </cell>
          <cell r="N119" t="str">
            <v>0</v>
          </cell>
          <cell r="O119" t="str">
            <v>0</v>
          </cell>
          <cell r="P119" t="str">
            <v>0</v>
          </cell>
        </row>
        <row r="120">
          <cell r="D120" t="str">
            <v>Independent Contractors</v>
          </cell>
          <cell r="E120">
            <v>2</v>
          </cell>
          <cell r="F120">
            <v>2</v>
          </cell>
          <cell r="G120" t="str">
            <v>0</v>
          </cell>
          <cell r="H120" t="str">
            <v>0</v>
          </cell>
          <cell r="I120" t="str">
            <v>0</v>
          </cell>
          <cell r="J120" t="str">
            <v>0</v>
          </cell>
          <cell r="K120" t="str">
            <v>0</v>
          </cell>
          <cell r="L120" t="str">
            <v>0</v>
          </cell>
          <cell r="M120" t="str">
            <v>0</v>
          </cell>
          <cell r="N120" t="str">
            <v>0</v>
          </cell>
          <cell r="O120" t="str">
            <v>0</v>
          </cell>
          <cell r="P120" t="str">
            <v>0</v>
          </cell>
        </row>
        <row r="122">
          <cell r="C122" t="str">
            <v>(Hide)</v>
          </cell>
          <cell r="D122" t="str">
            <v>(Hide)</v>
          </cell>
          <cell r="E122" t="str">
            <v>Actl</v>
          </cell>
          <cell r="F122" t="str">
            <v>Actl</v>
          </cell>
          <cell r="G122" t="str">
            <v>Actl</v>
          </cell>
          <cell r="H122" t="str">
            <v>Actl</v>
          </cell>
          <cell r="I122" t="str">
            <v>Actl</v>
          </cell>
          <cell r="J122" t="str">
            <v>Actl</v>
          </cell>
          <cell r="K122" t="str">
            <v>Actl</v>
          </cell>
          <cell r="L122" t="str">
            <v>Actl</v>
          </cell>
          <cell r="M122" t="str">
            <v>Actl</v>
          </cell>
          <cell r="N122" t="str">
            <v>Actl</v>
          </cell>
          <cell r="O122" t="str">
            <v>Actl</v>
          </cell>
          <cell r="P122" t="str">
            <v>Actl</v>
          </cell>
        </row>
        <row r="123">
          <cell r="E123">
            <v>36892</v>
          </cell>
          <cell r="F123">
            <v>36923</v>
          </cell>
          <cell r="G123">
            <v>36951</v>
          </cell>
          <cell r="H123">
            <v>36982</v>
          </cell>
          <cell r="I123">
            <v>37012</v>
          </cell>
          <cell r="J123">
            <v>37043</v>
          </cell>
          <cell r="K123">
            <v>37073</v>
          </cell>
          <cell r="L123">
            <v>37104</v>
          </cell>
          <cell r="M123">
            <v>37135</v>
          </cell>
          <cell r="N123">
            <v>37165</v>
          </cell>
          <cell r="O123">
            <v>37196</v>
          </cell>
          <cell r="P123">
            <v>37226</v>
          </cell>
        </row>
        <row r="126">
          <cell r="C126" t="str">
            <v>Total Locations</v>
          </cell>
          <cell r="D126" t="str">
            <v>Salaries</v>
          </cell>
          <cell r="E126">
            <v>1149754.47</v>
          </cell>
          <cell r="F126">
            <v>1078486.27</v>
          </cell>
          <cell r="G126">
            <v>970052.45</v>
          </cell>
          <cell r="H126">
            <v>1050082.44</v>
          </cell>
          <cell r="I126">
            <v>988068.31</v>
          </cell>
          <cell r="J126">
            <v>1033918.86</v>
          </cell>
          <cell r="K126">
            <v>1001334.48</v>
          </cell>
          <cell r="L126">
            <v>1022859.89</v>
          </cell>
          <cell r="M126" t="str">
            <v>0</v>
          </cell>
          <cell r="N126" t="str">
            <v>0</v>
          </cell>
          <cell r="O126" t="str">
            <v>0</v>
          </cell>
          <cell r="P126" t="str">
            <v>0</v>
          </cell>
        </row>
        <row r="127">
          <cell r="C127" t="str">
            <v>Total Locations</v>
          </cell>
          <cell r="D127" t="str">
            <v>Hourly Wages</v>
          </cell>
          <cell r="E127">
            <v>238763.44</v>
          </cell>
          <cell r="F127">
            <v>250311.47</v>
          </cell>
          <cell r="G127">
            <v>236767.17</v>
          </cell>
          <cell r="H127">
            <v>223689.72</v>
          </cell>
          <cell r="I127">
            <v>218066.78</v>
          </cell>
          <cell r="J127">
            <v>192358.59</v>
          </cell>
          <cell r="K127">
            <v>222573.96</v>
          </cell>
          <cell r="L127">
            <v>234907.48</v>
          </cell>
          <cell r="M127" t="str">
            <v>0</v>
          </cell>
          <cell r="N127" t="str">
            <v>0</v>
          </cell>
          <cell r="O127" t="str">
            <v>0</v>
          </cell>
          <cell r="P127" t="str">
            <v>0</v>
          </cell>
        </row>
        <row r="128">
          <cell r="C128" t="str">
            <v>Total Locations</v>
          </cell>
          <cell r="D128" t="str">
            <v>Overtime</v>
          </cell>
          <cell r="E128">
            <v>37733.86</v>
          </cell>
          <cell r="F128">
            <v>30691.54</v>
          </cell>
          <cell r="G128">
            <v>24336.36</v>
          </cell>
          <cell r="H128">
            <v>26798.67</v>
          </cell>
          <cell r="I128">
            <v>27113.49</v>
          </cell>
          <cell r="J128">
            <v>30321.22</v>
          </cell>
          <cell r="K128">
            <v>31600.54</v>
          </cell>
          <cell r="L128">
            <v>35484.410000000003</v>
          </cell>
          <cell r="M128" t="str">
            <v>0</v>
          </cell>
          <cell r="N128" t="str">
            <v>0</v>
          </cell>
          <cell r="O128" t="str">
            <v>0</v>
          </cell>
          <cell r="P128" t="str">
            <v>0</v>
          </cell>
        </row>
        <row r="129">
          <cell r="C129" t="str">
            <v>Total Locations</v>
          </cell>
          <cell r="D129" t="str">
            <v>Holidays</v>
          </cell>
          <cell r="E129">
            <v>74706.77</v>
          </cell>
          <cell r="F129">
            <v>142.80000000000001</v>
          </cell>
          <cell r="G129" t="str">
            <v>0</v>
          </cell>
          <cell r="H129" t="str">
            <v>0</v>
          </cell>
          <cell r="I129">
            <v>56800.05</v>
          </cell>
          <cell r="J129">
            <v>4915</v>
          </cell>
          <cell r="K129">
            <v>61644.3</v>
          </cell>
          <cell r="L129" t="str">
            <v>0</v>
          </cell>
          <cell r="M129" t="str">
            <v>0</v>
          </cell>
          <cell r="N129" t="str">
            <v>0</v>
          </cell>
          <cell r="O129" t="str">
            <v>0</v>
          </cell>
          <cell r="P129" t="str">
            <v>0</v>
          </cell>
        </row>
        <row r="130">
          <cell r="C130" t="str">
            <v>Total Locations</v>
          </cell>
          <cell r="D130" t="str">
            <v>Vacation</v>
          </cell>
          <cell r="E130">
            <v>19453</v>
          </cell>
          <cell r="F130">
            <v>143392.43</v>
          </cell>
          <cell r="G130">
            <v>83562.23</v>
          </cell>
          <cell r="H130">
            <v>119513.29</v>
          </cell>
          <cell r="I130">
            <v>73083.23</v>
          </cell>
          <cell r="J130">
            <v>81811.92</v>
          </cell>
          <cell r="K130">
            <v>85402.61</v>
          </cell>
          <cell r="L130">
            <v>75174.16</v>
          </cell>
          <cell r="M130" t="str">
            <v>0</v>
          </cell>
          <cell r="N130" t="str">
            <v>0</v>
          </cell>
          <cell r="O130" t="str">
            <v>0</v>
          </cell>
          <cell r="P130" t="str">
            <v>0</v>
          </cell>
        </row>
        <row r="131">
          <cell r="C131" t="str">
            <v>Total Locations</v>
          </cell>
          <cell r="D131" t="str">
            <v>Sick Leave</v>
          </cell>
          <cell r="E131">
            <v>11569.46</v>
          </cell>
          <cell r="F131">
            <v>27247.8</v>
          </cell>
          <cell r="G131">
            <v>26128.29</v>
          </cell>
          <cell r="H131">
            <v>19737.36</v>
          </cell>
          <cell r="I131">
            <v>16779.88</v>
          </cell>
          <cell r="J131">
            <v>12750.37</v>
          </cell>
          <cell r="K131">
            <v>11402.3</v>
          </cell>
          <cell r="L131">
            <v>21905.41</v>
          </cell>
          <cell r="M131" t="str">
            <v>0</v>
          </cell>
          <cell r="N131" t="str">
            <v>0</v>
          </cell>
          <cell r="O131" t="str">
            <v>0</v>
          </cell>
          <cell r="P131" t="str">
            <v>0</v>
          </cell>
        </row>
        <row r="132">
          <cell r="C132" t="str">
            <v>Total Locations</v>
          </cell>
          <cell r="D132" t="str">
            <v>Contra - Salary Expense</v>
          </cell>
          <cell r="E132" t="str">
            <v>0</v>
          </cell>
          <cell r="F132" t="str">
            <v>0</v>
          </cell>
          <cell r="G132" t="str">
            <v>0</v>
          </cell>
          <cell r="H132" t="str">
            <v>0</v>
          </cell>
          <cell r="I132" t="str">
            <v>0</v>
          </cell>
          <cell r="J132" t="str">
            <v>0</v>
          </cell>
          <cell r="K132" t="str">
            <v>0</v>
          </cell>
          <cell r="L132" t="str">
            <v>0</v>
          </cell>
          <cell r="M132" t="str">
            <v>0</v>
          </cell>
          <cell r="N132" t="str">
            <v>0</v>
          </cell>
          <cell r="O132" t="str">
            <v>0</v>
          </cell>
          <cell r="P132" t="str">
            <v>0</v>
          </cell>
        </row>
        <row r="133">
          <cell r="C133" t="str">
            <v>Total Locations</v>
          </cell>
          <cell r="D133" t="str">
            <v>Temporary Employees</v>
          </cell>
          <cell r="E133">
            <v>-2821.54</v>
          </cell>
          <cell r="F133">
            <v>42727.32</v>
          </cell>
          <cell r="G133">
            <v>9438.68</v>
          </cell>
          <cell r="H133">
            <v>4049.14</v>
          </cell>
          <cell r="I133">
            <v>9279.7099999999991</v>
          </cell>
          <cell r="J133">
            <v>64.040000000000006</v>
          </cell>
          <cell r="K133">
            <v>2675.9</v>
          </cell>
          <cell r="L133">
            <v>396</v>
          </cell>
          <cell r="M133" t="str">
            <v>0</v>
          </cell>
          <cell r="N133" t="str">
            <v>0</v>
          </cell>
          <cell r="O133" t="str">
            <v>0</v>
          </cell>
          <cell r="P133" t="str">
            <v>0</v>
          </cell>
        </row>
        <row r="134">
          <cell r="C134" t="str">
            <v>Total Locations</v>
          </cell>
          <cell r="D134" t="str">
            <v>Total Bonuses</v>
          </cell>
          <cell r="E134">
            <v>216299.98</v>
          </cell>
          <cell r="F134">
            <v>168710.36</v>
          </cell>
          <cell r="G134">
            <v>136483.85</v>
          </cell>
          <cell r="H134">
            <v>304972.96999999997</v>
          </cell>
          <cell r="I134">
            <v>96391.61</v>
          </cell>
          <cell r="J134">
            <v>153206.14000000001</v>
          </cell>
          <cell r="K134">
            <v>142211.44</v>
          </cell>
          <cell r="L134">
            <v>138812.59</v>
          </cell>
          <cell r="M134" t="str">
            <v>0</v>
          </cell>
          <cell r="N134" t="str">
            <v>0</v>
          </cell>
          <cell r="O134" t="str">
            <v>0</v>
          </cell>
          <cell r="P134" t="str">
            <v>0</v>
          </cell>
        </row>
        <row r="135">
          <cell r="C135" t="str">
            <v>Total Locations</v>
          </cell>
          <cell r="D135" t="str">
            <v>Payroll Taxes</v>
          </cell>
          <cell r="E135">
            <v>178440.29</v>
          </cell>
          <cell r="F135">
            <v>162983.28</v>
          </cell>
          <cell r="G135">
            <v>134357.35999999999</v>
          </cell>
          <cell r="H135">
            <v>175966.76</v>
          </cell>
          <cell r="I135">
            <v>143878.44</v>
          </cell>
          <cell r="J135">
            <v>-33437.699999999997</v>
          </cell>
          <cell r="K135">
            <v>117081.2</v>
          </cell>
          <cell r="L135">
            <v>123225.02</v>
          </cell>
          <cell r="M135" t="str">
            <v>0</v>
          </cell>
          <cell r="N135" t="str">
            <v>0</v>
          </cell>
          <cell r="O135" t="str">
            <v>0</v>
          </cell>
          <cell r="P135" t="str">
            <v>0</v>
          </cell>
        </row>
        <row r="136">
          <cell r="C136" t="str">
            <v>Total Locations</v>
          </cell>
          <cell r="D136" t="str">
            <v>Total Medical Benefits</v>
          </cell>
          <cell r="E136">
            <v>70417.009999999995</v>
          </cell>
          <cell r="F136">
            <v>59080.01</v>
          </cell>
          <cell r="G136">
            <v>67167.33</v>
          </cell>
          <cell r="H136">
            <v>63651.29</v>
          </cell>
          <cell r="I136">
            <v>57900.23</v>
          </cell>
          <cell r="J136">
            <v>58862.31</v>
          </cell>
          <cell r="K136">
            <v>59732.31</v>
          </cell>
          <cell r="L136">
            <v>68593.78</v>
          </cell>
          <cell r="M136" t="str">
            <v>0</v>
          </cell>
          <cell r="N136" t="str">
            <v>0</v>
          </cell>
          <cell r="O136" t="str">
            <v>0</v>
          </cell>
          <cell r="P136" t="str">
            <v>0</v>
          </cell>
        </row>
        <row r="137">
          <cell r="C137" t="str">
            <v>Total Locations</v>
          </cell>
          <cell r="D137" t="str">
            <v>Metro Bus Passes</v>
          </cell>
          <cell r="E137">
            <v>7502.13</v>
          </cell>
          <cell r="F137">
            <v>5489.37</v>
          </cell>
          <cell r="G137">
            <v>5685.17</v>
          </cell>
          <cell r="H137">
            <v>5791.31</v>
          </cell>
          <cell r="I137">
            <v>6813.33</v>
          </cell>
          <cell r="J137">
            <v>7153.21</v>
          </cell>
          <cell r="K137">
            <v>22010.76</v>
          </cell>
          <cell r="L137">
            <v>8843.2099999999991</v>
          </cell>
          <cell r="M137" t="str">
            <v>0</v>
          </cell>
          <cell r="N137" t="str">
            <v>0</v>
          </cell>
          <cell r="O137" t="str">
            <v>0</v>
          </cell>
          <cell r="P137" t="str">
            <v>0</v>
          </cell>
        </row>
        <row r="138">
          <cell r="C138" t="str">
            <v>Total Locations</v>
          </cell>
          <cell r="D138" t="str">
            <v>Employee Relations</v>
          </cell>
          <cell r="E138" t="str">
            <v>0</v>
          </cell>
          <cell r="F138" t="str">
            <v>0</v>
          </cell>
          <cell r="G138" t="str">
            <v>0</v>
          </cell>
          <cell r="H138" t="str">
            <v>0</v>
          </cell>
          <cell r="I138" t="str">
            <v>0</v>
          </cell>
          <cell r="J138" t="str">
            <v>0</v>
          </cell>
          <cell r="K138">
            <v>3273.52</v>
          </cell>
          <cell r="L138" t="str">
            <v>0</v>
          </cell>
          <cell r="M138" t="str">
            <v>0</v>
          </cell>
          <cell r="N138" t="str">
            <v>0</v>
          </cell>
          <cell r="O138" t="str">
            <v>0</v>
          </cell>
          <cell r="P138" t="str">
            <v>0</v>
          </cell>
        </row>
        <row r="139">
          <cell r="C139" t="str">
            <v>Total Locations</v>
          </cell>
          <cell r="D139" t="str">
            <v>Employee Awards</v>
          </cell>
          <cell r="E139" t="str">
            <v>0</v>
          </cell>
          <cell r="F139" t="str">
            <v>0</v>
          </cell>
          <cell r="G139" t="str">
            <v>0</v>
          </cell>
          <cell r="H139">
            <v>1263.6600000000001</v>
          </cell>
          <cell r="I139">
            <v>51.42</v>
          </cell>
          <cell r="J139">
            <v>446.04</v>
          </cell>
          <cell r="K139">
            <v>26.11</v>
          </cell>
          <cell r="L139">
            <v>941.05</v>
          </cell>
          <cell r="M139" t="str">
            <v>0</v>
          </cell>
          <cell r="N139" t="str">
            <v>0</v>
          </cell>
          <cell r="O139" t="str">
            <v>0</v>
          </cell>
          <cell r="P139" t="str">
            <v>0</v>
          </cell>
        </row>
        <row r="140">
          <cell r="C140" t="str">
            <v>Total Locations</v>
          </cell>
          <cell r="D140" t="str">
            <v>Parking Withheld from Payroll</v>
          </cell>
          <cell r="E140" t="str">
            <v>0</v>
          </cell>
          <cell r="F140" t="str">
            <v>0</v>
          </cell>
          <cell r="G140" t="str">
            <v>0</v>
          </cell>
          <cell r="H140" t="str">
            <v>0</v>
          </cell>
          <cell r="I140" t="str">
            <v>0</v>
          </cell>
          <cell r="J140" t="str">
            <v>0</v>
          </cell>
          <cell r="K140" t="str">
            <v>0</v>
          </cell>
          <cell r="L140" t="str">
            <v>0</v>
          </cell>
          <cell r="M140" t="str">
            <v>0</v>
          </cell>
          <cell r="N140" t="str">
            <v>0</v>
          </cell>
          <cell r="O140" t="str">
            <v>0</v>
          </cell>
          <cell r="P140" t="str">
            <v>0</v>
          </cell>
        </row>
        <row r="141">
          <cell r="C141" t="str">
            <v>Total Locations</v>
          </cell>
          <cell r="D141" t="str">
            <v>Employee Deductions</v>
          </cell>
          <cell r="E141" t="str">
            <v>0</v>
          </cell>
          <cell r="F141" t="str">
            <v>0</v>
          </cell>
          <cell r="G141" t="str">
            <v>0</v>
          </cell>
          <cell r="H141" t="str">
            <v>0</v>
          </cell>
          <cell r="I141" t="str">
            <v>0</v>
          </cell>
          <cell r="J141" t="str">
            <v>0</v>
          </cell>
          <cell r="K141" t="str">
            <v>0</v>
          </cell>
          <cell r="L141" t="str">
            <v>0</v>
          </cell>
          <cell r="M141" t="str">
            <v>0</v>
          </cell>
          <cell r="N141" t="str">
            <v>0</v>
          </cell>
          <cell r="O141" t="str">
            <v>0</v>
          </cell>
          <cell r="P141" t="str">
            <v>0</v>
          </cell>
        </row>
        <row r="142">
          <cell r="C142" t="str">
            <v>Total Locations</v>
          </cell>
          <cell r="D142" t="str">
            <v>Training and Education</v>
          </cell>
          <cell r="E142">
            <v>137024</v>
          </cell>
          <cell r="F142" t="str">
            <v>0</v>
          </cell>
          <cell r="G142">
            <v>4100</v>
          </cell>
          <cell r="H142">
            <v>3300</v>
          </cell>
          <cell r="I142">
            <v>1975</v>
          </cell>
          <cell r="J142">
            <v>11437.88</v>
          </cell>
          <cell r="K142" t="str">
            <v>0</v>
          </cell>
          <cell r="L142">
            <v>3900.03</v>
          </cell>
          <cell r="M142" t="str">
            <v>0</v>
          </cell>
          <cell r="N142" t="str">
            <v>0</v>
          </cell>
          <cell r="O142" t="str">
            <v>0</v>
          </cell>
          <cell r="P142" t="str">
            <v>0</v>
          </cell>
        </row>
        <row r="143">
          <cell r="C143" t="str">
            <v>Total Locations</v>
          </cell>
          <cell r="D143" t="str">
            <v>New Hire Orientation</v>
          </cell>
          <cell r="E143" t="str">
            <v>0</v>
          </cell>
          <cell r="F143" t="str">
            <v>0</v>
          </cell>
          <cell r="G143" t="str">
            <v>0</v>
          </cell>
          <cell r="H143" t="str">
            <v>0</v>
          </cell>
          <cell r="I143" t="str">
            <v>0</v>
          </cell>
          <cell r="J143" t="str">
            <v>0</v>
          </cell>
          <cell r="K143" t="str">
            <v>0</v>
          </cell>
          <cell r="L143" t="str">
            <v>0</v>
          </cell>
          <cell r="M143" t="str">
            <v>0</v>
          </cell>
          <cell r="N143" t="str">
            <v>0</v>
          </cell>
          <cell r="O143" t="str">
            <v>0</v>
          </cell>
          <cell r="P143" t="str">
            <v>0</v>
          </cell>
        </row>
        <row r="144">
          <cell r="C144" t="str">
            <v>Total Locations</v>
          </cell>
          <cell r="D144" t="str">
            <v>Program Development - Training</v>
          </cell>
          <cell r="E144" t="str">
            <v>0</v>
          </cell>
          <cell r="F144" t="str">
            <v>0</v>
          </cell>
          <cell r="G144" t="str">
            <v>0</v>
          </cell>
          <cell r="H144" t="str">
            <v>0</v>
          </cell>
          <cell r="I144" t="str">
            <v>0</v>
          </cell>
          <cell r="J144" t="str">
            <v>0</v>
          </cell>
          <cell r="K144" t="str">
            <v>0</v>
          </cell>
          <cell r="L144" t="str">
            <v>0</v>
          </cell>
          <cell r="M144" t="str">
            <v>0</v>
          </cell>
          <cell r="N144" t="str">
            <v>0</v>
          </cell>
          <cell r="O144" t="str">
            <v>0</v>
          </cell>
          <cell r="P144" t="str">
            <v>0</v>
          </cell>
        </row>
        <row r="145">
          <cell r="C145" t="str">
            <v>Total Locations</v>
          </cell>
          <cell r="D145" t="str">
            <v>Stock Compensation Charges</v>
          </cell>
          <cell r="E145" t="str">
            <v>0</v>
          </cell>
          <cell r="F145" t="str">
            <v>0</v>
          </cell>
          <cell r="G145" t="str">
            <v>0</v>
          </cell>
          <cell r="H145" t="str">
            <v>0</v>
          </cell>
          <cell r="I145" t="str">
            <v>0</v>
          </cell>
          <cell r="J145" t="str">
            <v>0</v>
          </cell>
          <cell r="K145" t="str">
            <v>0</v>
          </cell>
          <cell r="L145" t="str">
            <v>0</v>
          </cell>
          <cell r="M145" t="str">
            <v>0</v>
          </cell>
          <cell r="N145" t="str">
            <v>0</v>
          </cell>
          <cell r="O145" t="str">
            <v>0</v>
          </cell>
          <cell r="P145" t="str">
            <v>0</v>
          </cell>
        </row>
        <row r="146">
          <cell r="C146" t="str">
            <v>Total Locations</v>
          </cell>
          <cell r="D146" t="str">
            <v>Recruiting</v>
          </cell>
          <cell r="E146">
            <v>24691.5</v>
          </cell>
          <cell r="F146">
            <v>14499.9</v>
          </cell>
          <cell r="G146">
            <v>50861.7</v>
          </cell>
          <cell r="H146">
            <v>10458.32</v>
          </cell>
          <cell r="I146">
            <v>26064.78</v>
          </cell>
          <cell r="J146">
            <v>27254.16</v>
          </cell>
          <cell r="K146">
            <v>4382.51</v>
          </cell>
          <cell r="L146">
            <v>68236.009999999995</v>
          </cell>
          <cell r="M146" t="str">
            <v>0</v>
          </cell>
          <cell r="N146" t="str">
            <v>0</v>
          </cell>
          <cell r="O146" t="str">
            <v>0</v>
          </cell>
          <cell r="P146" t="str">
            <v>0</v>
          </cell>
        </row>
        <row r="147">
          <cell r="C147" t="str">
            <v>Total Locations</v>
          </cell>
          <cell r="D147" t="str">
            <v>Contra Employee Exp</v>
          </cell>
          <cell r="E147" t="str">
            <v>0</v>
          </cell>
          <cell r="F147" t="str">
            <v>0</v>
          </cell>
          <cell r="G147">
            <v>915</v>
          </cell>
          <cell r="H147" t="str">
            <v>0</v>
          </cell>
          <cell r="I147" t="str">
            <v>0</v>
          </cell>
          <cell r="J147" t="str">
            <v>0</v>
          </cell>
          <cell r="K147" t="str">
            <v>0</v>
          </cell>
          <cell r="L147" t="str">
            <v>0</v>
          </cell>
          <cell r="M147" t="str">
            <v>0</v>
          </cell>
          <cell r="N147" t="str">
            <v>0</v>
          </cell>
          <cell r="O147" t="str">
            <v>0</v>
          </cell>
          <cell r="P147" t="str">
            <v>0</v>
          </cell>
        </row>
        <row r="148">
          <cell r="E148" t="str">
            <v>-</v>
          </cell>
          <cell r="F148" t="str">
            <v>-</v>
          </cell>
          <cell r="G148" t="str">
            <v>-</v>
          </cell>
          <cell r="H148" t="str">
            <v>-</v>
          </cell>
          <cell r="I148" t="str">
            <v>-</v>
          </cell>
          <cell r="J148" t="str">
            <v>-</v>
          </cell>
          <cell r="K148" t="str">
            <v>-</v>
          </cell>
          <cell r="L148" t="str">
            <v>-</v>
          </cell>
          <cell r="M148" t="str">
            <v>-</v>
          </cell>
          <cell r="N148" t="str">
            <v>-</v>
          </cell>
          <cell r="O148" t="str">
            <v>-</v>
          </cell>
          <cell r="P148" t="str">
            <v>-</v>
          </cell>
        </row>
        <row r="149">
          <cell r="C149" t="str">
            <v>Total Locations</v>
          </cell>
          <cell r="D149" t="str">
            <v>Employee Expenses</v>
          </cell>
          <cell r="E149">
            <v>2163534.37</v>
          </cell>
          <cell r="F149">
            <v>1983762.55</v>
          </cell>
          <cell r="G149">
            <v>1749855.59</v>
          </cell>
          <cell r="H149">
            <v>2009274.93</v>
          </cell>
          <cell r="I149">
            <v>1722266.26</v>
          </cell>
          <cell r="J149">
            <v>1581062.04</v>
          </cell>
          <cell r="K149">
            <v>1765351.94</v>
          </cell>
          <cell r="L149">
            <v>1803279.04</v>
          </cell>
          <cell r="M149" t="str">
            <v>0</v>
          </cell>
          <cell r="N149" t="str">
            <v>0</v>
          </cell>
          <cell r="O149" t="str">
            <v>0</v>
          </cell>
          <cell r="P149" t="str">
            <v>0</v>
          </cell>
        </row>
        <row r="152">
          <cell r="C152" t="str">
            <v>Total Locations</v>
          </cell>
          <cell r="D152" t="str">
            <v>Facility Costs</v>
          </cell>
          <cell r="E152">
            <v>359998.71999999997</v>
          </cell>
          <cell r="F152">
            <v>474546.89</v>
          </cell>
          <cell r="G152">
            <v>510855.79</v>
          </cell>
          <cell r="H152">
            <v>418315.49</v>
          </cell>
          <cell r="I152">
            <v>419642.1</v>
          </cell>
          <cell r="J152">
            <v>353165.87</v>
          </cell>
          <cell r="K152">
            <v>480338.95</v>
          </cell>
          <cell r="L152">
            <v>254787.91</v>
          </cell>
          <cell r="M152" t="str">
            <v>0</v>
          </cell>
          <cell r="N152" t="str">
            <v>0</v>
          </cell>
          <cell r="O152" t="str">
            <v>0</v>
          </cell>
          <cell r="P152" t="str">
            <v>0</v>
          </cell>
        </row>
        <row r="153">
          <cell r="C153" t="str">
            <v>Total Locations</v>
          </cell>
          <cell r="D153" t="str">
            <v>Selling Expense</v>
          </cell>
          <cell r="E153" t="str">
            <v>0</v>
          </cell>
          <cell r="F153" t="str">
            <v>0</v>
          </cell>
          <cell r="G153" t="str">
            <v>0</v>
          </cell>
          <cell r="H153" t="str">
            <v>0</v>
          </cell>
          <cell r="I153" t="str">
            <v>0</v>
          </cell>
          <cell r="J153" t="str">
            <v>0</v>
          </cell>
          <cell r="K153" t="str">
            <v>0</v>
          </cell>
          <cell r="L153" t="str">
            <v>0</v>
          </cell>
          <cell r="M153" t="str">
            <v>0</v>
          </cell>
          <cell r="N153" t="str">
            <v>0</v>
          </cell>
          <cell r="O153" t="str">
            <v>0</v>
          </cell>
          <cell r="P153" t="str">
            <v>0</v>
          </cell>
        </row>
        <row r="154">
          <cell r="C154" t="str">
            <v>Total Locations</v>
          </cell>
          <cell r="D154" t="str">
            <v>Leasehold Depreciation Expense</v>
          </cell>
          <cell r="E154">
            <v>255892.06</v>
          </cell>
          <cell r="F154">
            <v>251666.08</v>
          </cell>
          <cell r="G154">
            <v>243627.42</v>
          </cell>
          <cell r="H154">
            <v>190047.35999999999</v>
          </cell>
          <cell r="I154">
            <v>182405.52</v>
          </cell>
          <cell r="J154">
            <v>184747.68</v>
          </cell>
          <cell r="K154">
            <v>181410.42</v>
          </cell>
          <cell r="L154">
            <v>64711.17</v>
          </cell>
          <cell r="M154" t="str">
            <v>0</v>
          </cell>
          <cell r="N154" t="str">
            <v>0</v>
          </cell>
          <cell r="O154" t="str">
            <v>0</v>
          </cell>
          <cell r="P154" t="str">
            <v>0</v>
          </cell>
        </row>
        <row r="155">
          <cell r="C155" t="str">
            <v>Total Locations</v>
          </cell>
          <cell r="D155" t="str">
            <v>Leasehold Depreciation Expense - Direct</v>
          </cell>
          <cell r="E155" t="str">
            <v>0</v>
          </cell>
          <cell r="F155" t="str">
            <v>0</v>
          </cell>
          <cell r="G155" t="str">
            <v>0</v>
          </cell>
          <cell r="H155" t="str">
            <v>0</v>
          </cell>
          <cell r="I155" t="str">
            <v>0</v>
          </cell>
          <cell r="J155" t="str">
            <v>0</v>
          </cell>
          <cell r="K155" t="str">
            <v>0</v>
          </cell>
          <cell r="L155">
            <v>125083.85</v>
          </cell>
          <cell r="M155" t="str">
            <v>0</v>
          </cell>
          <cell r="N155" t="str">
            <v>0</v>
          </cell>
          <cell r="O155" t="str">
            <v>0</v>
          </cell>
          <cell r="P155" t="str">
            <v>0</v>
          </cell>
        </row>
        <row r="156">
          <cell r="C156" t="str">
            <v>Total Locations</v>
          </cell>
          <cell r="D156" t="str">
            <v>Deprec Expense - F&amp;F - Allocated</v>
          </cell>
          <cell r="E156">
            <v>4394.32</v>
          </cell>
          <cell r="F156">
            <v>4146.82</v>
          </cell>
          <cell r="G156">
            <v>4116.41</v>
          </cell>
          <cell r="H156">
            <v>4231.17</v>
          </cell>
          <cell r="I156">
            <v>4099.37</v>
          </cell>
          <cell r="J156">
            <v>4488.4399999999996</v>
          </cell>
          <cell r="K156">
            <v>3911.93</v>
          </cell>
          <cell r="L156">
            <v>3649.87</v>
          </cell>
          <cell r="M156" t="str">
            <v>0</v>
          </cell>
          <cell r="N156" t="str">
            <v>0</v>
          </cell>
          <cell r="O156" t="str">
            <v>0</v>
          </cell>
          <cell r="P156" t="str">
            <v>0</v>
          </cell>
        </row>
        <row r="157">
          <cell r="C157" t="str">
            <v>Total Locations</v>
          </cell>
          <cell r="D157" t="str">
            <v>Deprec Expense - Equipment - Allocated</v>
          </cell>
          <cell r="E157">
            <v>1848.47</v>
          </cell>
          <cell r="F157">
            <v>1712.04</v>
          </cell>
          <cell r="G157">
            <v>1948.8</v>
          </cell>
          <cell r="H157">
            <v>2029.4</v>
          </cell>
          <cell r="I157">
            <v>2231.83</v>
          </cell>
          <cell r="J157">
            <v>3034.77</v>
          </cell>
          <cell r="K157">
            <v>2404.77</v>
          </cell>
          <cell r="L157">
            <v>2699.95</v>
          </cell>
          <cell r="M157" t="str">
            <v>0</v>
          </cell>
          <cell r="N157" t="str">
            <v>0</v>
          </cell>
          <cell r="O157" t="str">
            <v>0</v>
          </cell>
          <cell r="P157" t="str">
            <v>0</v>
          </cell>
        </row>
        <row r="158">
          <cell r="C158" t="str">
            <v>Total Locations</v>
          </cell>
          <cell r="D158" t="str">
            <v>Deprec Expense - HC Contingent Assets - Direct</v>
          </cell>
          <cell r="E158">
            <v>4215.54</v>
          </cell>
          <cell r="F158">
            <v>5559.12</v>
          </cell>
          <cell r="G158">
            <v>-2871.96</v>
          </cell>
          <cell r="H158">
            <v>1343.58</v>
          </cell>
          <cell r="I158">
            <v>1343.58</v>
          </cell>
          <cell r="J158">
            <v>2585.37</v>
          </cell>
          <cell r="K158">
            <v>2767.78</v>
          </cell>
          <cell r="L158">
            <v>1830.37</v>
          </cell>
          <cell r="M158" t="str">
            <v>0</v>
          </cell>
          <cell r="N158" t="str">
            <v>0</v>
          </cell>
          <cell r="O158" t="str">
            <v>0</v>
          </cell>
          <cell r="P158" t="str">
            <v>0</v>
          </cell>
        </row>
        <row r="159">
          <cell r="C159" t="str">
            <v>Total Locations</v>
          </cell>
          <cell r="D159" t="str">
            <v>Deprec Expense - Vehicles</v>
          </cell>
          <cell r="E159">
            <v>212.72</v>
          </cell>
          <cell r="F159">
            <v>197.04</v>
          </cell>
          <cell r="G159">
            <v>198.2</v>
          </cell>
          <cell r="H159">
            <v>208.38</v>
          </cell>
          <cell r="I159">
            <v>229.18</v>
          </cell>
          <cell r="J159">
            <v>250</v>
          </cell>
          <cell r="K159">
            <v>258.27999999999997</v>
          </cell>
          <cell r="L159">
            <v>261.17</v>
          </cell>
          <cell r="M159" t="str">
            <v>0</v>
          </cell>
          <cell r="N159" t="str">
            <v>0</v>
          </cell>
          <cell r="O159" t="str">
            <v>0</v>
          </cell>
          <cell r="P159" t="str">
            <v>0</v>
          </cell>
        </row>
        <row r="160">
          <cell r="C160" t="str">
            <v>Total Locations</v>
          </cell>
          <cell r="D160" t="str">
            <v>Deprec Expense - HC Contingent Assets - Allocated</v>
          </cell>
          <cell r="E160">
            <v>42611.12</v>
          </cell>
          <cell r="F160">
            <v>35682.92</v>
          </cell>
          <cell r="G160">
            <v>39433.75</v>
          </cell>
          <cell r="H160">
            <v>34528.29</v>
          </cell>
          <cell r="I160">
            <v>33524.720000000001</v>
          </cell>
          <cell r="J160">
            <v>29416.26</v>
          </cell>
          <cell r="K160">
            <v>28625.360000000001</v>
          </cell>
          <cell r="L160">
            <v>28816.83</v>
          </cell>
          <cell r="M160" t="str">
            <v>0</v>
          </cell>
          <cell r="N160" t="str">
            <v>0</v>
          </cell>
          <cell r="O160" t="str">
            <v>0</v>
          </cell>
          <cell r="P160" t="str">
            <v>0</v>
          </cell>
        </row>
        <row r="161">
          <cell r="C161" t="str">
            <v>Total Locations</v>
          </cell>
          <cell r="D161" t="str">
            <v>Deprec Expense - Low Value Computer Equip - Direct</v>
          </cell>
          <cell r="E161">
            <v>134780.20000000001</v>
          </cell>
          <cell r="F161">
            <v>133162.47</v>
          </cell>
          <cell r="G161">
            <v>78793.41</v>
          </cell>
          <cell r="H161">
            <v>95720.82</v>
          </cell>
          <cell r="I161">
            <v>93523.69</v>
          </cell>
          <cell r="J161">
            <v>86705.1</v>
          </cell>
          <cell r="K161">
            <v>81442.039999999994</v>
          </cell>
          <cell r="L161">
            <v>75751.289999999994</v>
          </cell>
          <cell r="M161" t="str">
            <v>0</v>
          </cell>
          <cell r="N161" t="str">
            <v>0</v>
          </cell>
          <cell r="O161" t="str">
            <v>0</v>
          </cell>
          <cell r="P161" t="str">
            <v>0</v>
          </cell>
        </row>
        <row r="162">
          <cell r="C162" t="str">
            <v>Total Locations</v>
          </cell>
          <cell r="D162" t="str">
            <v>Deprec Expense - Technology Infrastructure</v>
          </cell>
          <cell r="E162">
            <v>400785.36</v>
          </cell>
          <cell r="F162">
            <v>400785.3</v>
          </cell>
          <cell r="G162">
            <v>381732.94</v>
          </cell>
          <cell r="H162">
            <v>394323.06</v>
          </cell>
          <cell r="I162">
            <v>395358.41</v>
          </cell>
          <cell r="J162">
            <v>236796.2</v>
          </cell>
          <cell r="K162">
            <v>327112.61</v>
          </cell>
          <cell r="L162">
            <v>405771.7</v>
          </cell>
          <cell r="M162" t="str">
            <v>0</v>
          </cell>
          <cell r="N162" t="str">
            <v>0</v>
          </cell>
          <cell r="O162" t="str">
            <v>0</v>
          </cell>
          <cell r="P162" t="str">
            <v>0</v>
          </cell>
        </row>
        <row r="163">
          <cell r="C163" t="str">
            <v>Total Locations</v>
          </cell>
          <cell r="D163" t="str">
            <v>Deprec Expense - Internal Software Develop Salaries</v>
          </cell>
          <cell r="E163">
            <v>3781.46</v>
          </cell>
          <cell r="F163">
            <v>3781.46</v>
          </cell>
          <cell r="G163">
            <v>-3781.46</v>
          </cell>
          <cell r="H163" t="str">
            <v>0</v>
          </cell>
          <cell r="I163" t="str">
            <v>0</v>
          </cell>
          <cell r="J163" t="str">
            <v>0</v>
          </cell>
          <cell r="K163" t="str">
            <v>0</v>
          </cell>
          <cell r="L163" t="str">
            <v>0</v>
          </cell>
          <cell r="M163" t="str">
            <v>0</v>
          </cell>
          <cell r="N163" t="str">
            <v>0</v>
          </cell>
          <cell r="O163" t="str">
            <v>0</v>
          </cell>
          <cell r="P163" t="str">
            <v>0</v>
          </cell>
        </row>
        <row r="164">
          <cell r="C164" t="str">
            <v>Total Locations</v>
          </cell>
          <cell r="D164" t="str">
            <v>Deprec Expense - Software</v>
          </cell>
          <cell r="E164">
            <v>61973.91</v>
          </cell>
          <cell r="F164">
            <v>56973.9</v>
          </cell>
          <cell r="G164">
            <v>14973.12</v>
          </cell>
          <cell r="H164">
            <v>32998.449999999997</v>
          </cell>
          <cell r="I164">
            <v>9778.59</v>
          </cell>
          <cell r="J164">
            <v>9778.59</v>
          </cell>
          <cell r="K164">
            <v>8689.59</v>
          </cell>
          <cell r="L164">
            <v>2439.59</v>
          </cell>
          <cell r="M164" t="str">
            <v>0</v>
          </cell>
          <cell r="N164" t="str">
            <v>0</v>
          </cell>
          <cell r="O164" t="str">
            <v>0</v>
          </cell>
          <cell r="P164" t="str">
            <v>0</v>
          </cell>
        </row>
        <row r="165">
          <cell r="C165" t="str">
            <v>Total Locations</v>
          </cell>
          <cell r="D165" t="str">
            <v>Deprec Expense - F&amp;F - Direct</v>
          </cell>
          <cell r="E165">
            <v>2972.22</v>
          </cell>
          <cell r="F165">
            <v>2972.22</v>
          </cell>
          <cell r="G165">
            <v>1216.6500000000001</v>
          </cell>
          <cell r="H165">
            <v>1216.6500000000001</v>
          </cell>
          <cell r="I165">
            <v>1216.6500000000001</v>
          </cell>
          <cell r="J165">
            <v>1216.6500000000001</v>
          </cell>
          <cell r="K165">
            <v>1216.6500000000001</v>
          </cell>
          <cell r="L165">
            <v>1216.6500000000001</v>
          </cell>
          <cell r="M165" t="str">
            <v>0</v>
          </cell>
          <cell r="N165" t="str">
            <v>0</v>
          </cell>
          <cell r="O165" t="str">
            <v>0</v>
          </cell>
          <cell r="P165" t="str">
            <v>0</v>
          </cell>
        </row>
        <row r="166">
          <cell r="C166" t="str">
            <v>Total Locations</v>
          </cell>
          <cell r="D166" t="str">
            <v>Deprec Expense - Equipment - Direct</v>
          </cell>
          <cell r="E166">
            <v>105521.97</v>
          </cell>
          <cell r="F166">
            <v>105521.98</v>
          </cell>
          <cell r="G166">
            <v>88079.69</v>
          </cell>
          <cell r="H166">
            <v>90076.55</v>
          </cell>
          <cell r="I166">
            <v>90210.94</v>
          </cell>
          <cell r="J166">
            <v>90210.94</v>
          </cell>
          <cell r="K166">
            <v>81471.06</v>
          </cell>
          <cell r="L166">
            <v>48075.73</v>
          </cell>
          <cell r="M166" t="str">
            <v>0</v>
          </cell>
          <cell r="N166" t="str">
            <v>0</v>
          </cell>
          <cell r="O166" t="str">
            <v>0</v>
          </cell>
          <cell r="P166" t="str">
            <v>0</v>
          </cell>
        </row>
        <row r="167">
          <cell r="C167" t="str">
            <v>Total Locations</v>
          </cell>
          <cell r="D167" t="str">
            <v>Deprec Expense - Heavy Equipment</v>
          </cell>
          <cell r="E167" t="str">
            <v>0</v>
          </cell>
          <cell r="F167" t="str">
            <v>0</v>
          </cell>
          <cell r="G167" t="str">
            <v>0</v>
          </cell>
          <cell r="H167" t="str">
            <v>0</v>
          </cell>
          <cell r="I167" t="str">
            <v>0</v>
          </cell>
          <cell r="J167" t="str">
            <v>0</v>
          </cell>
          <cell r="K167" t="str">
            <v>0</v>
          </cell>
          <cell r="L167" t="str">
            <v>0</v>
          </cell>
          <cell r="M167" t="str">
            <v>0</v>
          </cell>
          <cell r="N167" t="str">
            <v>0</v>
          </cell>
          <cell r="O167" t="str">
            <v>0</v>
          </cell>
          <cell r="P167" t="str">
            <v>0</v>
          </cell>
        </row>
        <row r="168">
          <cell r="C168" t="str">
            <v>Total Locations</v>
          </cell>
          <cell r="D168" t="str">
            <v>Deprec Expense - Capital Lease</v>
          </cell>
          <cell r="E168">
            <v>481692.64</v>
          </cell>
          <cell r="F168">
            <v>429760.71</v>
          </cell>
          <cell r="G168">
            <v>528167.15</v>
          </cell>
          <cell r="H168">
            <v>516718.1</v>
          </cell>
          <cell r="I168">
            <v>498710.16</v>
          </cell>
          <cell r="J168">
            <v>498627.52</v>
          </cell>
          <cell r="K168">
            <v>108394.58</v>
          </cell>
          <cell r="L168">
            <v>142132.44</v>
          </cell>
          <cell r="M168" t="str">
            <v>0</v>
          </cell>
          <cell r="N168" t="str">
            <v>0</v>
          </cell>
          <cell r="O168" t="str">
            <v>0</v>
          </cell>
          <cell r="P168" t="str">
            <v>0</v>
          </cell>
        </row>
        <row r="170">
          <cell r="C170" t="str">
            <v>(Hide)</v>
          </cell>
          <cell r="D170" t="str">
            <v>(Hide)</v>
          </cell>
          <cell r="E170" t="str">
            <v>Actl</v>
          </cell>
          <cell r="F170" t="str">
            <v>Actl</v>
          </cell>
          <cell r="G170" t="str">
            <v>Actl</v>
          </cell>
          <cell r="H170" t="str">
            <v>Actl</v>
          </cell>
          <cell r="I170" t="str">
            <v>Actl</v>
          </cell>
          <cell r="J170" t="str">
            <v>Actl</v>
          </cell>
          <cell r="K170" t="str">
            <v>Actl</v>
          </cell>
          <cell r="L170" t="str">
            <v>Actl</v>
          </cell>
          <cell r="M170" t="str">
            <v>Actl</v>
          </cell>
          <cell r="N170" t="str">
            <v>Actl</v>
          </cell>
          <cell r="O170" t="str">
            <v>Actl</v>
          </cell>
          <cell r="P170" t="str">
            <v>Actl</v>
          </cell>
        </row>
        <row r="171">
          <cell r="E171">
            <v>36892</v>
          </cell>
          <cell r="F171">
            <v>36923</v>
          </cell>
          <cell r="G171">
            <v>36951</v>
          </cell>
          <cell r="H171">
            <v>36982</v>
          </cell>
          <cell r="I171">
            <v>37012</v>
          </cell>
          <cell r="J171">
            <v>37043</v>
          </cell>
          <cell r="K171">
            <v>37073</v>
          </cell>
          <cell r="L171">
            <v>37104</v>
          </cell>
          <cell r="M171">
            <v>37135</v>
          </cell>
          <cell r="N171">
            <v>37165</v>
          </cell>
          <cell r="O171">
            <v>37196</v>
          </cell>
          <cell r="P171">
            <v>37226</v>
          </cell>
        </row>
        <row r="173">
          <cell r="C173" t="str">
            <v>Total Locations</v>
          </cell>
          <cell r="D173" t="str">
            <v>Operating Leases - Technology Infrastructure</v>
          </cell>
          <cell r="E173">
            <v>3560141.21</v>
          </cell>
          <cell r="F173">
            <v>3457694.39</v>
          </cell>
          <cell r="G173">
            <v>3875714.41</v>
          </cell>
          <cell r="H173">
            <v>3872175.31</v>
          </cell>
          <cell r="I173">
            <v>4394963.2699999996</v>
          </cell>
          <cell r="J173">
            <v>4312358.51</v>
          </cell>
          <cell r="K173">
            <v>1399172.15</v>
          </cell>
          <cell r="L173">
            <v>2168934.23</v>
          </cell>
          <cell r="M173" t="str">
            <v>0</v>
          </cell>
          <cell r="N173" t="str">
            <v>0</v>
          </cell>
          <cell r="O173" t="str">
            <v>0</v>
          </cell>
          <cell r="P173" t="str">
            <v>0</v>
          </cell>
        </row>
        <row r="174">
          <cell r="C174" t="str">
            <v>Total Locations</v>
          </cell>
          <cell r="D174" t="str">
            <v>Operating Leases - Computer</v>
          </cell>
          <cell r="E174" t="str">
            <v>0</v>
          </cell>
          <cell r="F174" t="str">
            <v>0</v>
          </cell>
          <cell r="G174" t="str">
            <v>0</v>
          </cell>
          <cell r="H174" t="str">
            <v>0</v>
          </cell>
          <cell r="I174" t="str">
            <v>0</v>
          </cell>
          <cell r="J174" t="str">
            <v>0</v>
          </cell>
          <cell r="K174" t="str">
            <v>0</v>
          </cell>
          <cell r="L174" t="str">
            <v>0</v>
          </cell>
          <cell r="M174" t="str">
            <v>0</v>
          </cell>
          <cell r="N174" t="str">
            <v>0</v>
          </cell>
          <cell r="O174" t="str">
            <v>0</v>
          </cell>
          <cell r="P174" t="str">
            <v>0</v>
          </cell>
        </row>
        <row r="175">
          <cell r="C175" t="str">
            <v>Total Locations</v>
          </cell>
          <cell r="D175" t="str">
            <v>Operating Leases - Equipment</v>
          </cell>
          <cell r="E175">
            <v>149.82</v>
          </cell>
          <cell r="F175">
            <v>138.75</v>
          </cell>
          <cell r="G175">
            <v>139.57</v>
          </cell>
          <cell r="H175">
            <v>146.79</v>
          </cell>
          <cell r="I175">
            <v>161.38</v>
          </cell>
          <cell r="J175">
            <v>176.08</v>
          </cell>
          <cell r="K175">
            <v>181.91</v>
          </cell>
          <cell r="L175">
            <v>183.97</v>
          </cell>
          <cell r="M175" t="str">
            <v>0</v>
          </cell>
          <cell r="N175" t="str">
            <v>0</v>
          </cell>
          <cell r="O175" t="str">
            <v>0</v>
          </cell>
          <cell r="P175" t="str">
            <v>0</v>
          </cell>
        </row>
        <row r="176">
          <cell r="C176" t="str">
            <v>Total Locations</v>
          </cell>
          <cell r="D176" t="str">
            <v>Office Relocation Expense</v>
          </cell>
          <cell r="E176">
            <v>1256.46</v>
          </cell>
          <cell r="F176">
            <v>594.79</v>
          </cell>
          <cell r="G176" t="str">
            <v>0</v>
          </cell>
          <cell r="H176">
            <v>4584.05</v>
          </cell>
          <cell r="I176">
            <v>2366.15</v>
          </cell>
          <cell r="J176">
            <v>1521.08</v>
          </cell>
          <cell r="K176">
            <v>12116.09</v>
          </cell>
          <cell r="L176">
            <v>10609.85</v>
          </cell>
          <cell r="M176" t="str">
            <v>0</v>
          </cell>
          <cell r="N176" t="str">
            <v>0</v>
          </cell>
          <cell r="O176" t="str">
            <v>0</v>
          </cell>
          <cell r="P176" t="str">
            <v>0</v>
          </cell>
        </row>
        <row r="177">
          <cell r="C177" t="str">
            <v>Total Locations</v>
          </cell>
          <cell r="D177" t="str">
            <v>Software Expense</v>
          </cell>
          <cell r="E177">
            <v>-326.02</v>
          </cell>
          <cell r="F177">
            <v>133880.51999999999</v>
          </cell>
          <cell r="G177">
            <v>531.04999999999995</v>
          </cell>
          <cell r="H177">
            <v>11558.51</v>
          </cell>
          <cell r="I177">
            <v>11797.05</v>
          </cell>
          <cell r="J177">
            <v>37444.230000000003</v>
          </cell>
          <cell r="K177">
            <v>738.93</v>
          </cell>
          <cell r="L177" t="str">
            <v>0</v>
          </cell>
          <cell r="M177" t="str">
            <v>0</v>
          </cell>
          <cell r="N177" t="str">
            <v>0</v>
          </cell>
          <cell r="O177" t="str">
            <v>0</v>
          </cell>
          <cell r="P177" t="str">
            <v>0</v>
          </cell>
        </row>
        <row r="178">
          <cell r="C178" t="str">
            <v>Total Locations</v>
          </cell>
          <cell r="D178" t="str">
            <v>Software Licenses</v>
          </cell>
          <cell r="E178">
            <v>13588.29</v>
          </cell>
          <cell r="F178">
            <v>14202.11</v>
          </cell>
          <cell r="G178">
            <v>19180.62</v>
          </cell>
          <cell r="H178">
            <v>13172.93</v>
          </cell>
          <cell r="I178">
            <v>36203.56</v>
          </cell>
          <cell r="J178">
            <v>13686.57</v>
          </cell>
          <cell r="K178">
            <v>23290.799999999999</v>
          </cell>
          <cell r="L178">
            <v>17768.46</v>
          </cell>
          <cell r="M178" t="str">
            <v>0</v>
          </cell>
          <cell r="N178" t="str">
            <v>0</v>
          </cell>
          <cell r="O178" t="str">
            <v>0</v>
          </cell>
          <cell r="P178" t="str">
            <v>0</v>
          </cell>
        </row>
        <row r="179">
          <cell r="C179" t="str">
            <v>Total Locations</v>
          </cell>
          <cell r="D179" t="str">
            <v>Software &amp; Hardware Maintenance</v>
          </cell>
          <cell r="E179">
            <v>733399.46</v>
          </cell>
          <cell r="F179">
            <v>692787.16</v>
          </cell>
          <cell r="G179">
            <v>805430.26</v>
          </cell>
          <cell r="H179">
            <v>792347.72</v>
          </cell>
          <cell r="I179">
            <v>662867.28</v>
          </cell>
          <cell r="J179">
            <v>841635.96</v>
          </cell>
          <cell r="K179">
            <v>80336.5</v>
          </cell>
          <cell r="L179">
            <v>525714.31999999995</v>
          </cell>
          <cell r="M179" t="str">
            <v>0</v>
          </cell>
          <cell r="N179" t="str">
            <v>0</v>
          </cell>
          <cell r="O179" t="str">
            <v>0</v>
          </cell>
          <cell r="P179" t="str">
            <v>0</v>
          </cell>
        </row>
        <row r="180">
          <cell r="C180" t="str">
            <v>Total Locations</v>
          </cell>
          <cell r="D180" t="str">
            <v>Equipment &lt; $2,000 - Direct</v>
          </cell>
          <cell r="E180">
            <v>-7585.68</v>
          </cell>
          <cell r="F180">
            <v>40827.230000000003</v>
          </cell>
          <cell r="G180">
            <v>265.76000000000147</v>
          </cell>
          <cell r="H180">
            <v>40949.1</v>
          </cell>
          <cell r="I180">
            <v>27907.58</v>
          </cell>
          <cell r="J180">
            <v>91501.41</v>
          </cell>
          <cell r="K180">
            <v>20647.25</v>
          </cell>
          <cell r="L180">
            <v>35850.43</v>
          </cell>
          <cell r="M180" t="str">
            <v>0</v>
          </cell>
          <cell r="N180" t="str">
            <v>0</v>
          </cell>
          <cell r="O180" t="str">
            <v>0</v>
          </cell>
          <cell r="P180" t="str">
            <v>0</v>
          </cell>
        </row>
        <row r="181">
          <cell r="C181" t="str">
            <v>Total Locations</v>
          </cell>
          <cell r="D181" t="str">
            <v>IT Equipment &lt; $2000 - Allocated</v>
          </cell>
          <cell r="E181" t="str">
            <v>0</v>
          </cell>
          <cell r="F181" t="str">
            <v>0</v>
          </cell>
          <cell r="G181" t="str">
            <v>0</v>
          </cell>
          <cell r="H181" t="str">
            <v>0</v>
          </cell>
          <cell r="I181" t="str">
            <v>0</v>
          </cell>
          <cell r="J181">
            <v>1934.63</v>
          </cell>
          <cell r="K181">
            <v>1767.22</v>
          </cell>
          <cell r="L181" t="str">
            <v>0</v>
          </cell>
          <cell r="M181" t="str">
            <v>0</v>
          </cell>
          <cell r="N181" t="str">
            <v>0</v>
          </cell>
          <cell r="O181" t="str">
            <v>0</v>
          </cell>
          <cell r="P181" t="str">
            <v>0</v>
          </cell>
        </row>
        <row r="182">
          <cell r="C182" t="str">
            <v>Total Locations</v>
          </cell>
          <cell r="D182" t="str">
            <v>Equipment &lt; $2,000 - Allocated</v>
          </cell>
          <cell r="E182">
            <v>39.090000000000003</v>
          </cell>
          <cell r="F182">
            <v>994.14</v>
          </cell>
          <cell r="G182">
            <v>227.64</v>
          </cell>
          <cell r="H182" t="str">
            <v>0</v>
          </cell>
          <cell r="I182" t="str">
            <v>0</v>
          </cell>
          <cell r="J182">
            <v>31.41</v>
          </cell>
          <cell r="K182" t="str">
            <v>0</v>
          </cell>
          <cell r="L182">
            <v>162.81</v>
          </cell>
          <cell r="M182" t="str">
            <v>0</v>
          </cell>
          <cell r="N182" t="str">
            <v>0</v>
          </cell>
          <cell r="O182" t="str">
            <v>0</v>
          </cell>
          <cell r="P182" t="str">
            <v>0</v>
          </cell>
        </row>
        <row r="183">
          <cell r="C183" t="str">
            <v>Total Locations</v>
          </cell>
          <cell r="D183" t="str">
            <v>Low Valued Equipment</v>
          </cell>
          <cell r="E183" t="str">
            <v>0</v>
          </cell>
          <cell r="F183" t="str">
            <v>0</v>
          </cell>
          <cell r="G183" t="str">
            <v>0</v>
          </cell>
          <cell r="H183">
            <v>1337.96</v>
          </cell>
          <cell r="I183" t="str">
            <v>0</v>
          </cell>
          <cell r="J183">
            <v>19.600000000000001</v>
          </cell>
          <cell r="K183" t="str">
            <v>0</v>
          </cell>
          <cell r="L183" t="str">
            <v>0</v>
          </cell>
          <cell r="M183" t="str">
            <v>0</v>
          </cell>
          <cell r="N183" t="str">
            <v>0</v>
          </cell>
          <cell r="O183" t="str">
            <v>0</v>
          </cell>
          <cell r="P183" t="str">
            <v>0</v>
          </cell>
        </row>
        <row r="184">
          <cell r="C184" t="str">
            <v>Total Locations</v>
          </cell>
          <cell r="D184" t="str">
            <v>LEC Charges - Voice</v>
          </cell>
          <cell r="E184">
            <v>26320.13</v>
          </cell>
          <cell r="F184">
            <v>29863.279999999999</v>
          </cell>
          <cell r="G184">
            <v>15984.18</v>
          </cell>
          <cell r="H184">
            <v>7243.15</v>
          </cell>
          <cell r="I184">
            <v>4837.8599999999997</v>
          </cell>
          <cell r="J184">
            <v>65966.100000000006</v>
          </cell>
          <cell r="K184">
            <v>-58472.66</v>
          </cell>
          <cell r="L184">
            <v>-9163.65</v>
          </cell>
          <cell r="M184" t="str">
            <v>0</v>
          </cell>
          <cell r="N184" t="str">
            <v>0</v>
          </cell>
          <cell r="O184" t="str">
            <v>0</v>
          </cell>
          <cell r="P184" t="str">
            <v>0</v>
          </cell>
        </row>
        <row r="185">
          <cell r="C185" t="str">
            <v>Total Locations</v>
          </cell>
          <cell r="D185" t="str">
            <v>Telephone - Dial-up 800 Service</v>
          </cell>
          <cell r="E185">
            <v>-147.80000000000001</v>
          </cell>
          <cell r="F185">
            <v>8645.2500000000146</v>
          </cell>
          <cell r="G185">
            <v>2148.9899999999998</v>
          </cell>
          <cell r="H185">
            <v>4328.0000000000073</v>
          </cell>
          <cell r="I185">
            <v>46857.53</v>
          </cell>
          <cell r="J185">
            <v>-39233.760000000002</v>
          </cell>
          <cell r="K185">
            <v>7945.8900000000067</v>
          </cell>
          <cell r="L185">
            <v>6920.28</v>
          </cell>
          <cell r="M185" t="str">
            <v>0</v>
          </cell>
          <cell r="N185" t="str">
            <v>0</v>
          </cell>
          <cell r="O185" t="str">
            <v>0</v>
          </cell>
          <cell r="P185" t="str">
            <v>0</v>
          </cell>
        </row>
        <row r="186">
          <cell r="C186" t="str">
            <v>Total Locations</v>
          </cell>
          <cell r="D186" t="str">
            <v>Telephone - Dial-up Hub Service</v>
          </cell>
          <cell r="E186" t="str">
            <v>0</v>
          </cell>
          <cell r="F186" t="str">
            <v>0</v>
          </cell>
          <cell r="G186" t="str">
            <v>0</v>
          </cell>
          <cell r="H186" t="str">
            <v>0</v>
          </cell>
          <cell r="I186" t="str">
            <v>0</v>
          </cell>
          <cell r="J186" t="str">
            <v>0</v>
          </cell>
          <cell r="K186" t="str">
            <v>0</v>
          </cell>
          <cell r="L186" t="str">
            <v>0</v>
          </cell>
          <cell r="M186" t="str">
            <v>0</v>
          </cell>
          <cell r="N186" t="str">
            <v>0</v>
          </cell>
          <cell r="O186" t="str">
            <v>0</v>
          </cell>
          <cell r="P186" t="str">
            <v>0</v>
          </cell>
        </row>
        <row r="187">
          <cell r="C187" t="str">
            <v>Total Locations</v>
          </cell>
          <cell r="D187" t="str">
            <v>Telephone - Long Distance</v>
          </cell>
          <cell r="E187">
            <v>5905.68</v>
          </cell>
          <cell r="F187">
            <v>7067.9599999999919</v>
          </cell>
          <cell r="G187">
            <v>6084.99</v>
          </cell>
          <cell r="H187">
            <v>4022.3799999999901</v>
          </cell>
          <cell r="I187">
            <v>5271.52</v>
          </cell>
          <cell r="J187">
            <v>5305.0400000000081</v>
          </cell>
          <cell r="K187">
            <v>4265.28</v>
          </cell>
          <cell r="L187">
            <v>5481.25</v>
          </cell>
          <cell r="M187" t="str">
            <v>0</v>
          </cell>
          <cell r="N187" t="str">
            <v>0</v>
          </cell>
          <cell r="O187" t="str">
            <v>0</v>
          </cell>
          <cell r="P187" t="str">
            <v>0</v>
          </cell>
        </row>
        <row r="188">
          <cell r="C188" t="str">
            <v>Total Locations</v>
          </cell>
          <cell r="D188" t="str">
            <v>Telephone - Pagers</v>
          </cell>
          <cell r="E188">
            <v>-388.93</v>
          </cell>
          <cell r="F188">
            <v>5141.6400000000003</v>
          </cell>
          <cell r="G188">
            <v>6518.5200000000114</v>
          </cell>
          <cell r="H188">
            <v>1196.77</v>
          </cell>
          <cell r="I188">
            <v>1548.81</v>
          </cell>
          <cell r="J188">
            <v>2149.1999999999998</v>
          </cell>
          <cell r="K188">
            <v>1749.57</v>
          </cell>
          <cell r="L188">
            <v>1611.53</v>
          </cell>
          <cell r="M188" t="str">
            <v>0</v>
          </cell>
          <cell r="N188" t="str">
            <v>0</v>
          </cell>
          <cell r="O188" t="str">
            <v>0</v>
          </cell>
          <cell r="P188" t="str">
            <v>0</v>
          </cell>
        </row>
        <row r="189">
          <cell r="C189" t="str">
            <v>Total Locations</v>
          </cell>
          <cell r="D189" t="str">
            <v>Telephone - Direct</v>
          </cell>
          <cell r="E189">
            <v>346154.31</v>
          </cell>
          <cell r="F189">
            <v>334.05</v>
          </cell>
          <cell r="G189">
            <v>242.62</v>
          </cell>
          <cell r="H189">
            <v>152.75</v>
          </cell>
          <cell r="I189">
            <v>357.75</v>
          </cell>
          <cell r="J189">
            <v>467.9</v>
          </cell>
          <cell r="K189">
            <v>1737.81</v>
          </cell>
          <cell r="L189">
            <v>1014.91</v>
          </cell>
          <cell r="M189" t="str">
            <v>0</v>
          </cell>
          <cell r="N189" t="str">
            <v>0</v>
          </cell>
          <cell r="O189" t="str">
            <v>0</v>
          </cell>
          <cell r="P189" t="str">
            <v>0</v>
          </cell>
        </row>
        <row r="190">
          <cell r="C190" t="str">
            <v>Total Locations</v>
          </cell>
          <cell r="D190" t="str">
            <v>800 # Charges</v>
          </cell>
          <cell r="E190" t="str">
            <v>0</v>
          </cell>
          <cell r="F190" t="str">
            <v>0</v>
          </cell>
          <cell r="G190" t="str">
            <v>0</v>
          </cell>
          <cell r="H190" t="str">
            <v>0</v>
          </cell>
          <cell r="I190" t="str">
            <v>0</v>
          </cell>
          <cell r="J190" t="str">
            <v>0</v>
          </cell>
          <cell r="K190" t="str">
            <v>0</v>
          </cell>
          <cell r="L190" t="str">
            <v>0</v>
          </cell>
          <cell r="M190" t="str">
            <v>0</v>
          </cell>
          <cell r="N190" t="str">
            <v>0</v>
          </cell>
          <cell r="O190" t="str">
            <v>0</v>
          </cell>
          <cell r="P190" t="str">
            <v>0</v>
          </cell>
        </row>
        <row r="191">
          <cell r="C191" t="str">
            <v>Total Locations</v>
          </cell>
          <cell r="D191" t="str">
            <v>Audio &amp; Video Conferencing</v>
          </cell>
          <cell r="E191">
            <v>16511.75</v>
          </cell>
          <cell r="F191">
            <v>-4876.9200000000055</v>
          </cell>
          <cell r="G191">
            <v>1831.67</v>
          </cell>
          <cell r="H191">
            <v>2434.6</v>
          </cell>
          <cell r="I191">
            <v>1861.18</v>
          </cell>
          <cell r="J191">
            <v>2954.85</v>
          </cell>
          <cell r="K191">
            <v>3185.9200000000055</v>
          </cell>
          <cell r="L191">
            <v>2970.84</v>
          </cell>
          <cell r="M191" t="str">
            <v>0</v>
          </cell>
          <cell r="N191" t="str">
            <v>0</v>
          </cell>
          <cell r="O191" t="str">
            <v>0</v>
          </cell>
          <cell r="P191" t="str">
            <v>0</v>
          </cell>
        </row>
        <row r="192">
          <cell r="C192" t="str">
            <v>Total Locations</v>
          </cell>
          <cell r="D192" t="str">
            <v>Cellular Service</v>
          </cell>
          <cell r="E192">
            <v>32025.34</v>
          </cell>
          <cell r="F192">
            <v>13954.2</v>
          </cell>
          <cell r="G192">
            <v>10950.31</v>
          </cell>
          <cell r="H192">
            <v>8986.98</v>
          </cell>
          <cell r="I192">
            <v>6446.01</v>
          </cell>
          <cell r="J192">
            <v>6044.91</v>
          </cell>
          <cell r="K192">
            <v>9462.5300000000007</v>
          </cell>
          <cell r="L192">
            <v>1822.61</v>
          </cell>
          <cell r="M192" t="str">
            <v>0</v>
          </cell>
          <cell r="N192" t="str">
            <v>0</v>
          </cell>
          <cell r="O192" t="str">
            <v>0</v>
          </cell>
          <cell r="P192" t="str">
            <v>0</v>
          </cell>
        </row>
        <row r="193">
          <cell r="C193" t="str">
            <v>Total Locations</v>
          </cell>
          <cell r="D193" t="str">
            <v>Internet Service Provider Charges</v>
          </cell>
          <cell r="E193">
            <v>-158440.82</v>
          </cell>
          <cell r="F193">
            <v>610343.94999999995</v>
          </cell>
          <cell r="G193">
            <v>154072.46</v>
          </cell>
          <cell r="H193">
            <v>373063.2</v>
          </cell>
          <cell r="I193">
            <v>-8172.74</v>
          </cell>
          <cell r="J193">
            <v>209362.8</v>
          </cell>
          <cell r="K193">
            <v>140339</v>
          </cell>
          <cell r="L193">
            <v>109030.21</v>
          </cell>
          <cell r="M193" t="str">
            <v>0</v>
          </cell>
          <cell r="N193" t="str">
            <v>0</v>
          </cell>
          <cell r="O193" t="str">
            <v>0</v>
          </cell>
          <cell r="P193" t="str">
            <v>0</v>
          </cell>
        </row>
        <row r="194">
          <cell r="C194" t="str">
            <v>Total Locations</v>
          </cell>
          <cell r="D194" t="str">
            <v>LEC Charges</v>
          </cell>
          <cell r="E194">
            <v>12264.01</v>
          </cell>
          <cell r="F194">
            <v>88755.18</v>
          </cell>
          <cell r="G194">
            <v>18473</v>
          </cell>
          <cell r="H194">
            <v>27945.82</v>
          </cell>
          <cell r="I194">
            <v>114959.7</v>
          </cell>
          <cell r="J194">
            <v>89198.39</v>
          </cell>
          <cell r="K194">
            <v>89027.28</v>
          </cell>
          <cell r="L194">
            <v>83476.47</v>
          </cell>
          <cell r="M194" t="str">
            <v>0</v>
          </cell>
          <cell r="N194" t="str">
            <v>0</v>
          </cell>
          <cell r="O194" t="str">
            <v>0</v>
          </cell>
          <cell r="P194" t="str">
            <v>0</v>
          </cell>
        </row>
        <row r="195">
          <cell r="C195" t="str">
            <v>Total Locations</v>
          </cell>
          <cell r="D195" t="str">
            <v>IXC Charges</v>
          </cell>
          <cell r="E195">
            <v>782854.53</v>
          </cell>
          <cell r="F195">
            <v>862585.74</v>
          </cell>
          <cell r="G195">
            <v>681379.76</v>
          </cell>
          <cell r="H195">
            <v>853635.24</v>
          </cell>
          <cell r="I195">
            <v>300546.44</v>
          </cell>
          <cell r="J195">
            <v>303163.03999999998</v>
          </cell>
          <cell r="K195">
            <v>195942.06</v>
          </cell>
          <cell r="L195">
            <v>159841.23000000001</v>
          </cell>
          <cell r="M195" t="str">
            <v>0</v>
          </cell>
          <cell r="N195" t="str">
            <v>0</v>
          </cell>
          <cell r="O195" t="str">
            <v>0</v>
          </cell>
          <cell r="P195" t="str">
            <v>0</v>
          </cell>
        </row>
        <row r="196">
          <cell r="C196" t="str">
            <v>Total Locations</v>
          </cell>
          <cell r="D196" t="str">
            <v>VOX Voice Connection Charges (History 6/97 - 2/99)</v>
          </cell>
          <cell r="E196">
            <v>-55000</v>
          </cell>
          <cell r="F196">
            <v>34881.040000000001</v>
          </cell>
          <cell r="G196">
            <v>14198.29</v>
          </cell>
          <cell r="H196">
            <v>12923.69</v>
          </cell>
          <cell r="I196">
            <v>-3579.04</v>
          </cell>
          <cell r="J196">
            <v>4867.2</v>
          </cell>
          <cell r="K196">
            <v>9900.9699999999993</v>
          </cell>
          <cell r="L196">
            <v>9971.4599999999991</v>
          </cell>
          <cell r="M196" t="str">
            <v>0</v>
          </cell>
          <cell r="N196" t="str">
            <v>0</v>
          </cell>
          <cell r="O196" t="str">
            <v>0</v>
          </cell>
          <cell r="P196" t="str">
            <v>0</v>
          </cell>
        </row>
        <row r="197">
          <cell r="C197" t="str">
            <v>Total Locations</v>
          </cell>
          <cell r="D197" t="str">
            <v>Operating Leases - Telecom</v>
          </cell>
          <cell r="E197">
            <v>368705.5</v>
          </cell>
          <cell r="F197">
            <v>251021.7</v>
          </cell>
          <cell r="G197">
            <v>250932.16</v>
          </cell>
          <cell r="H197">
            <v>250932.16</v>
          </cell>
          <cell r="I197">
            <v>269476.44</v>
          </cell>
          <cell r="J197">
            <v>238999.98</v>
          </cell>
          <cell r="K197">
            <v>259566.49</v>
          </cell>
          <cell r="L197">
            <v>259244.43</v>
          </cell>
          <cell r="M197" t="str">
            <v>0</v>
          </cell>
          <cell r="N197" t="str">
            <v>0</v>
          </cell>
          <cell r="O197" t="str">
            <v>0</v>
          </cell>
          <cell r="P197" t="str">
            <v>0</v>
          </cell>
        </row>
        <row r="198">
          <cell r="C198" t="str">
            <v>Total Locations</v>
          </cell>
          <cell r="D198" t="str">
            <v>Office Supplies - Allocated</v>
          </cell>
          <cell r="E198">
            <v>5467.35</v>
          </cell>
          <cell r="F198">
            <v>1649.69</v>
          </cell>
          <cell r="G198">
            <v>6247</v>
          </cell>
          <cell r="H198">
            <v>654.29</v>
          </cell>
          <cell r="I198">
            <v>3217.24</v>
          </cell>
          <cell r="J198">
            <v>3734.34</v>
          </cell>
          <cell r="K198">
            <v>1219.31</v>
          </cell>
          <cell r="L198">
            <v>6689.64</v>
          </cell>
          <cell r="M198" t="str">
            <v>0</v>
          </cell>
          <cell r="N198" t="str">
            <v>0</v>
          </cell>
          <cell r="O198" t="str">
            <v>0</v>
          </cell>
          <cell r="P198" t="str">
            <v>0</v>
          </cell>
        </row>
        <row r="199">
          <cell r="C199" t="str">
            <v>Total Locations</v>
          </cell>
          <cell r="D199" t="str">
            <v>Office Supplies - Direct</v>
          </cell>
          <cell r="E199">
            <v>3094.16</v>
          </cell>
          <cell r="F199">
            <v>1976.58</v>
          </cell>
          <cell r="G199">
            <v>2505.3000000000002</v>
          </cell>
          <cell r="H199">
            <v>1888.63</v>
          </cell>
          <cell r="I199">
            <v>4962.16</v>
          </cell>
          <cell r="J199">
            <v>4746.6899999999996</v>
          </cell>
          <cell r="K199">
            <v>1873.08</v>
          </cell>
          <cell r="L199">
            <v>4116.1000000000004</v>
          </cell>
          <cell r="M199" t="str">
            <v>0</v>
          </cell>
          <cell r="N199" t="str">
            <v>0</v>
          </cell>
          <cell r="O199" t="str">
            <v>0</v>
          </cell>
          <cell r="P199" t="str">
            <v>0</v>
          </cell>
        </row>
        <row r="200">
          <cell r="C200" t="str">
            <v>Total Locations</v>
          </cell>
          <cell r="D200" t="str">
            <v>Warehouse Supplies</v>
          </cell>
          <cell r="E200" t="str">
            <v>0</v>
          </cell>
          <cell r="F200" t="str">
            <v>0</v>
          </cell>
          <cell r="G200" t="str">
            <v>0</v>
          </cell>
          <cell r="H200" t="str">
            <v>0</v>
          </cell>
          <cell r="I200" t="str">
            <v>0</v>
          </cell>
          <cell r="J200" t="str">
            <v>0</v>
          </cell>
          <cell r="K200" t="str">
            <v>0</v>
          </cell>
          <cell r="L200" t="str">
            <v>0</v>
          </cell>
          <cell r="M200" t="str">
            <v>0</v>
          </cell>
          <cell r="N200" t="str">
            <v>0</v>
          </cell>
          <cell r="O200" t="str">
            <v>0</v>
          </cell>
          <cell r="P200" t="str">
            <v>0</v>
          </cell>
        </row>
        <row r="201">
          <cell r="C201" t="str">
            <v>Total Locations</v>
          </cell>
          <cell r="D201" t="str">
            <v>Safety Supplies</v>
          </cell>
          <cell r="E201" t="str">
            <v>0</v>
          </cell>
          <cell r="F201" t="str">
            <v>0</v>
          </cell>
          <cell r="G201" t="str">
            <v>0</v>
          </cell>
          <cell r="H201" t="str">
            <v>0</v>
          </cell>
          <cell r="I201" t="str">
            <v>0</v>
          </cell>
          <cell r="J201" t="str">
            <v>0</v>
          </cell>
          <cell r="K201" t="str">
            <v>0</v>
          </cell>
          <cell r="L201" t="str">
            <v>0</v>
          </cell>
          <cell r="M201" t="str">
            <v>0</v>
          </cell>
          <cell r="N201" t="str">
            <v>0</v>
          </cell>
          <cell r="O201" t="str">
            <v>0</v>
          </cell>
          <cell r="P201" t="str">
            <v>0</v>
          </cell>
        </row>
        <row r="202">
          <cell r="C202" t="str">
            <v>Total Locations</v>
          </cell>
          <cell r="D202" t="str">
            <v>Postage - US Postmaster</v>
          </cell>
          <cell r="E202" t="str">
            <v>0</v>
          </cell>
          <cell r="F202">
            <v>3292.9</v>
          </cell>
          <cell r="G202">
            <v>1500.29</v>
          </cell>
          <cell r="H202">
            <v>32.119999999999997</v>
          </cell>
          <cell r="I202" t="str">
            <v>0</v>
          </cell>
          <cell r="J202">
            <v>1520.58</v>
          </cell>
          <cell r="K202">
            <v>1775.67</v>
          </cell>
          <cell r="L202">
            <v>762.09</v>
          </cell>
          <cell r="M202" t="str">
            <v>0</v>
          </cell>
          <cell r="N202" t="str">
            <v>0</v>
          </cell>
          <cell r="O202" t="str">
            <v>0</v>
          </cell>
          <cell r="P202" t="str">
            <v>0</v>
          </cell>
        </row>
        <row r="203">
          <cell r="C203" t="str">
            <v>Total Locations</v>
          </cell>
          <cell r="D203" t="str">
            <v>Fed-Ex Charges</v>
          </cell>
          <cell r="E203">
            <v>2719.22</v>
          </cell>
          <cell r="F203">
            <v>3444.31</v>
          </cell>
          <cell r="G203">
            <v>1000.98</v>
          </cell>
          <cell r="H203">
            <v>923.18</v>
          </cell>
          <cell r="I203">
            <v>736.95</v>
          </cell>
          <cell r="J203">
            <v>439.32</v>
          </cell>
          <cell r="K203">
            <v>481.51</v>
          </cell>
          <cell r="L203">
            <v>1390.91</v>
          </cell>
          <cell r="M203" t="str">
            <v>0</v>
          </cell>
          <cell r="N203" t="str">
            <v>0</v>
          </cell>
          <cell r="O203" t="str">
            <v>0</v>
          </cell>
          <cell r="P203" t="str">
            <v>0</v>
          </cell>
        </row>
        <row r="204">
          <cell r="C204" t="str">
            <v>Total Locations</v>
          </cell>
          <cell r="D204" t="str">
            <v>UPS Charges</v>
          </cell>
          <cell r="E204" t="str">
            <v>0</v>
          </cell>
          <cell r="F204" t="str">
            <v>0</v>
          </cell>
          <cell r="G204" t="str">
            <v>0</v>
          </cell>
          <cell r="H204" t="str">
            <v>0</v>
          </cell>
          <cell r="I204" t="str">
            <v>0</v>
          </cell>
          <cell r="J204" t="str">
            <v>0</v>
          </cell>
          <cell r="K204" t="str">
            <v>0</v>
          </cell>
          <cell r="L204" t="str">
            <v>0</v>
          </cell>
          <cell r="M204" t="str">
            <v>0</v>
          </cell>
          <cell r="N204" t="str">
            <v>0</v>
          </cell>
          <cell r="O204" t="str">
            <v>0</v>
          </cell>
          <cell r="P204" t="str">
            <v>0</v>
          </cell>
        </row>
        <row r="205">
          <cell r="C205" t="str">
            <v>Total Locations</v>
          </cell>
          <cell r="D205" t="str">
            <v>Courier Charges</v>
          </cell>
          <cell r="E205" t="str">
            <v>0</v>
          </cell>
          <cell r="F205" t="str">
            <v>0</v>
          </cell>
          <cell r="G205">
            <v>10</v>
          </cell>
          <cell r="H205" t="str">
            <v>0</v>
          </cell>
          <cell r="I205" t="str">
            <v>0</v>
          </cell>
          <cell r="J205">
            <v>72.55</v>
          </cell>
          <cell r="K205">
            <v>98.19</v>
          </cell>
          <cell r="L205">
            <v>253</v>
          </cell>
          <cell r="M205" t="str">
            <v>0</v>
          </cell>
          <cell r="N205" t="str">
            <v>0</v>
          </cell>
          <cell r="O205" t="str">
            <v>0</v>
          </cell>
          <cell r="P205" t="str">
            <v>0</v>
          </cell>
        </row>
        <row r="206">
          <cell r="C206" t="str">
            <v>Total Locations</v>
          </cell>
          <cell r="D206" t="str">
            <v>Freight Non-Inventory</v>
          </cell>
          <cell r="E206">
            <v>2474.64</v>
          </cell>
          <cell r="F206">
            <v>3211.76</v>
          </cell>
          <cell r="G206">
            <v>4963.2700000000004</v>
          </cell>
          <cell r="H206" t="str">
            <v>0</v>
          </cell>
          <cell r="I206">
            <v>8827.17</v>
          </cell>
          <cell r="J206">
            <v>8031.65</v>
          </cell>
          <cell r="K206">
            <v>9078.86</v>
          </cell>
          <cell r="L206">
            <v>14126.28</v>
          </cell>
          <cell r="M206" t="str">
            <v>0</v>
          </cell>
          <cell r="N206" t="str">
            <v>0</v>
          </cell>
          <cell r="O206" t="str">
            <v>0</v>
          </cell>
          <cell r="P206" t="str">
            <v>0</v>
          </cell>
        </row>
        <row r="207">
          <cell r="C207" t="str">
            <v>Total Locations</v>
          </cell>
          <cell r="D207" t="str">
            <v>Taxes &amp; Licenses</v>
          </cell>
          <cell r="E207">
            <v>170</v>
          </cell>
          <cell r="F207" t="str">
            <v>0</v>
          </cell>
          <cell r="G207" t="str">
            <v>0</v>
          </cell>
          <cell r="H207" t="str">
            <v>0</v>
          </cell>
          <cell r="I207" t="str">
            <v>0</v>
          </cell>
          <cell r="J207" t="str">
            <v>0</v>
          </cell>
          <cell r="K207" t="str">
            <v>0</v>
          </cell>
          <cell r="L207" t="str">
            <v>0</v>
          </cell>
          <cell r="M207" t="str">
            <v>0</v>
          </cell>
          <cell r="N207" t="str">
            <v>0</v>
          </cell>
          <cell r="O207" t="str">
            <v>0</v>
          </cell>
          <cell r="P207" t="str">
            <v>0</v>
          </cell>
        </row>
        <row r="208">
          <cell r="C208" t="str">
            <v>Total Locations</v>
          </cell>
          <cell r="D208" t="str">
            <v>Insurance</v>
          </cell>
          <cell r="E208">
            <v>7442.78</v>
          </cell>
          <cell r="F208">
            <v>8651.5499999999993</v>
          </cell>
          <cell r="G208">
            <v>7378.15</v>
          </cell>
          <cell r="H208">
            <v>8932.2900000000009</v>
          </cell>
          <cell r="I208">
            <v>8367.2000000000007</v>
          </cell>
          <cell r="J208">
            <v>24495.93</v>
          </cell>
          <cell r="K208">
            <v>146135.62</v>
          </cell>
          <cell r="L208">
            <v>88666.32</v>
          </cell>
          <cell r="M208" t="str">
            <v>0</v>
          </cell>
          <cell r="N208" t="str">
            <v>0</v>
          </cell>
          <cell r="O208" t="str">
            <v>0</v>
          </cell>
          <cell r="P208" t="str">
            <v>0</v>
          </cell>
        </row>
        <row r="209">
          <cell r="C209" t="str">
            <v>Total Locations</v>
          </cell>
          <cell r="D209" t="str">
            <v>Bank and Other Charges</v>
          </cell>
          <cell r="E209" t="str">
            <v>0</v>
          </cell>
          <cell r="F209" t="str">
            <v>0</v>
          </cell>
          <cell r="G209" t="str">
            <v>0</v>
          </cell>
          <cell r="H209" t="str">
            <v>0</v>
          </cell>
          <cell r="I209" t="str">
            <v>0</v>
          </cell>
          <cell r="J209" t="str">
            <v>0</v>
          </cell>
          <cell r="K209" t="str">
            <v>0</v>
          </cell>
          <cell r="L209" t="str">
            <v>0</v>
          </cell>
          <cell r="M209" t="str">
            <v>0</v>
          </cell>
          <cell r="N209" t="str">
            <v>0</v>
          </cell>
          <cell r="O209" t="str">
            <v>0</v>
          </cell>
          <cell r="P209" t="str">
            <v>0</v>
          </cell>
        </row>
        <row r="210">
          <cell r="C210" t="str">
            <v>Total Locations</v>
          </cell>
          <cell r="D210" t="str">
            <v>Bad Debt Expenses</v>
          </cell>
          <cell r="E210" t="str">
            <v>0</v>
          </cell>
          <cell r="F210" t="str">
            <v>0</v>
          </cell>
          <cell r="G210" t="str">
            <v>0</v>
          </cell>
          <cell r="H210" t="str">
            <v>0</v>
          </cell>
          <cell r="I210" t="str">
            <v>0</v>
          </cell>
          <cell r="J210" t="str">
            <v>0</v>
          </cell>
          <cell r="K210" t="str">
            <v>0</v>
          </cell>
          <cell r="L210" t="str">
            <v>0</v>
          </cell>
          <cell r="M210" t="str">
            <v>0</v>
          </cell>
          <cell r="N210" t="str">
            <v>0</v>
          </cell>
          <cell r="O210" t="str">
            <v>0</v>
          </cell>
          <cell r="P210" t="str">
            <v>0</v>
          </cell>
        </row>
        <row r="211">
          <cell r="C211" t="str">
            <v>Total Locations</v>
          </cell>
          <cell r="D211" t="str">
            <v>Travel &amp; Entertainment</v>
          </cell>
          <cell r="E211">
            <v>8840.7800000000007</v>
          </cell>
          <cell r="F211">
            <v>-47222.95</v>
          </cell>
          <cell r="G211">
            <v>55982.39</v>
          </cell>
          <cell r="H211">
            <v>60386.28</v>
          </cell>
          <cell r="I211">
            <v>19189.03</v>
          </cell>
          <cell r="J211">
            <v>46904.3</v>
          </cell>
          <cell r="K211">
            <v>34963.71</v>
          </cell>
          <cell r="L211">
            <v>46074.47</v>
          </cell>
          <cell r="M211" t="str">
            <v>0</v>
          </cell>
          <cell r="N211" t="str">
            <v>0</v>
          </cell>
          <cell r="O211" t="str">
            <v>0</v>
          </cell>
          <cell r="P211" t="str">
            <v>0</v>
          </cell>
        </row>
        <row r="212">
          <cell r="C212" t="str">
            <v>Total Locations</v>
          </cell>
          <cell r="D212" t="str">
            <v>Legal Fees</v>
          </cell>
          <cell r="E212" t="str">
            <v>0</v>
          </cell>
          <cell r="F212" t="str">
            <v>0</v>
          </cell>
          <cell r="G212" t="str">
            <v>0</v>
          </cell>
          <cell r="H212" t="str">
            <v>0</v>
          </cell>
          <cell r="I212" t="str">
            <v>0</v>
          </cell>
          <cell r="J212" t="str">
            <v>0</v>
          </cell>
          <cell r="K212" t="str">
            <v>0</v>
          </cell>
          <cell r="L212">
            <v>3645</v>
          </cell>
          <cell r="M212" t="str">
            <v>0</v>
          </cell>
          <cell r="N212" t="str">
            <v>0</v>
          </cell>
          <cell r="O212" t="str">
            <v>0</v>
          </cell>
          <cell r="P212" t="str">
            <v>0</v>
          </cell>
        </row>
        <row r="213">
          <cell r="C213" t="str">
            <v>Total Locations</v>
          </cell>
          <cell r="D213" t="str">
            <v>Public Company Charges</v>
          </cell>
          <cell r="E213">
            <v>51.88</v>
          </cell>
          <cell r="F213" t="str">
            <v>0</v>
          </cell>
          <cell r="G213" t="str">
            <v>0</v>
          </cell>
          <cell r="H213">
            <v>106.05</v>
          </cell>
          <cell r="I213" t="str">
            <v>0</v>
          </cell>
          <cell r="J213">
            <v>487.42</v>
          </cell>
          <cell r="K213" t="str">
            <v>0</v>
          </cell>
          <cell r="L213" t="str">
            <v>0</v>
          </cell>
          <cell r="M213" t="str">
            <v>0</v>
          </cell>
          <cell r="N213" t="str">
            <v>0</v>
          </cell>
          <cell r="O213" t="str">
            <v>0</v>
          </cell>
          <cell r="P213" t="str">
            <v>0</v>
          </cell>
        </row>
        <row r="214">
          <cell r="C214" t="str">
            <v>Total Locations</v>
          </cell>
          <cell r="D214" t="str">
            <v>Professional Consulting</v>
          </cell>
          <cell r="E214">
            <v>-1297.21</v>
          </cell>
          <cell r="F214">
            <v>86.49</v>
          </cell>
          <cell r="G214" t="str">
            <v>0</v>
          </cell>
          <cell r="H214" t="str">
            <v>0</v>
          </cell>
          <cell r="I214" t="str">
            <v>0</v>
          </cell>
          <cell r="J214" t="str">
            <v>0</v>
          </cell>
          <cell r="K214" t="str">
            <v>0</v>
          </cell>
          <cell r="L214">
            <v>4100</v>
          </cell>
          <cell r="M214" t="str">
            <v>0</v>
          </cell>
          <cell r="N214" t="str">
            <v>0</v>
          </cell>
          <cell r="O214" t="str">
            <v>0</v>
          </cell>
          <cell r="P214" t="str">
            <v>0</v>
          </cell>
        </row>
        <row r="215">
          <cell r="C215" t="str">
            <v>Total Locations</v>
          </cell>
          <cell r="D215" t="str">
            <v>Outside Services</v>
          </cell>
          <cell r="E215">
            <v>33770.97</v>
          </cell>
          <cell r="F215">
            <v>-946.34</v>
          </cell>
          <cell r="G215">
            <v>95423.07</v>
          </cell>
          <cell r="H215">
            <v>7416.27</v>
          </cell>
          <cell r="I215">
            <v>22664.97</v>
          </cell>
          <cell r="J215">
            <v>40082.32</v>
          </cell>
          <cell r="K215">
            <v>26198.15</v>
          </cell>
          <cell r="L215">
            <v>14595.53</v>
          </cell>
          <cell r="M215" t="str">
            <v>0</v>
          </cell>
          <cell r="N215" t="str">
            <v>0</v>
          </cell>
          <cell r="O215" t="str">
            <v>0</v>
          </cell>
          <cell r="P215" t="str">
            <v>0</v>
          </cell>
        </row>
        <row r="216">
          <cell r="C216" t="str">
            <v>Total Locations</v>
          </cell>
          <cell r="D216" t="str">
            <v>Accounting Fees</v>
          </cell>
          <cell r="E216" t="str">
            <v>0</v>
          </cell>
          <cell r="F216" t="str">
            <v>0</v>
          </cell>
          <cell r="G216" t="str">
            <v>0</v>
          </cell>
          <cell r="H216" t="str">
            <v>0</v>
          </cell>
          <cell r="I216" t="str">
            <v>0</v>
          </cell>
          <cell r="J216" t="str">
            <v>0</v>
          </cell>
          <cell r="K216" t="str">
            <v>0</v>
          </cell>
          <cell r="L216" t="str">
            <v>0</v>
          </cell>
          <cell r="M216" t="str">
            <v>0</v>
          </cell>
          <cell r="N216" t="str">
            <v>0</v>
          </cell>
          <cell r="O216" t="str">
            <v>0</v>
          </cell>
          <cell r="P216" t="str">
            <v>0</v>
          </cell>
        </row>
        <row r="217">
          <cell r="C217" t="str">
            <v>Total Locations</v>
          </cell>
          <cell r="D217" t="str">
            <v>HR - Fees</v>
          </cell>
          <cell r="E217" t="str">
            <v>0</v>
          </cell>
          <cell r="F217" t="str">
            <v>0</v>
          </cell>
          <cell r="G217" t="str">
            <v>0</v>
          </cell>
          <cell r="H217" t="str">
            <v>0</v>
          </cell>
          <cell r="I217" t="str">
            <v>0</v>
          </cell>
          <cell r="J217" t="str">
            <v>0</v>
          </cell>
          <cell r="K217" t="str">
            <v>0</v>
          </cell>
          <cell r="L217" t="str">
            <v>0</v>
          </cell>
          <cell r="M217" t="str">
            <v>0</v>
          </cell>
          <cell r="N217" t="str">
            <v>0</v>
          </cell>
          <cell r="O217" t="str">
            <v>0</v>
          </cell>
          <cell r="P217" t="str">
            <v>0</v>
          </cell>
        </row>
        <row r="218">
          <cell r="C218" t="str">
            <v>Total Locations</v>
          </cell>
          <cell r="D218" t="str">
            <v>Special Projects</v>
          </cell>
          <cell r="E218" t="str">
            <v>0</v>
          </cell>
          <cell r="F218" t="str">
            <v>0</v>
          </cell>
          <cell r="G218" t="str">
            <v>0</v>
          </cell>
          <cell r="H218" t="str">
            <v>0</v>
          </cell>
          <cell r="I218" t="str">
            <v>0</v>
          </cell>
          <cell r="J218" t="str">
            <v>0</v>
          </cell>
          <cell r="K218" t="str">
            <v>0</v>
          </cell>
          <cell r="L218" t="str">
            <v>0</v>
          </cell>
          <cell r="M218" t="str">
            <v>0</v>
          </cell>
          <cell r="N218" t="str">
            <v>0</v>
          </cell>
          <cell r="O218" t="str">
            <v>0</v>
          </cell>
          <cell r="P218" t="str">
            <v>0</v>
          </cell>
        </row>
        <row r="219">
          <cell r="C219" t="str">
            <v>Total Locations</v>
          </cell>
          <cell r="D219" t="str">
            <v>Other Administrative Expenses</v>
          </cell>
          <cell r="E219">
            <v>4034.04</v>
          </cell>
          <cell r="F219">
            <v>1044.52</v>
          </cell>
          <cell r="G219">
            <v>1695.77</v>
          </cell>
          <cell r="H219">
            <v>32231.06</v>
          </cell>
          <cell r="I219">
            <v>1071.6099999999999</v>
          </cell>
          <cell r="J219">
            <v>4949.62</v>
          </cell>
          <cell r="K219">
            <v>690.24</v>
          </cell>
          <cell r="L219">
            <v>26499.27</v>
          </cell>
          <cell r="M219" t="str">
            <v>0</v>
          </cell>
          <cell r="N219" t="str">
            <v>0</v>
          </cell>
          <cell r="O219" t="str">
            <v>0</v>
          </cell>
          <cell r="P219" t="str">
            <v>0</v>
          </cell>
        </row>
        <row r="220">
          <cell r="E220" t="str">
            <v>-</v>
          </cell>
          <cell r="F220" t="str">
            <v>-</v>
          </cell>
          <cell r="G220" t="str">
            <v>-</v>
          </cell>
          <cell r="H220" t="str">
            <v>-</v>
          </cell>
          <cell r="I220" t="str">
            <v>-</v>
          </cell>
          <cell r="J220" t="str">
            <v>-</v>
          </cell>
          <cell r="K220" t="str">
            <v>-</v>
          </cell>
          <cell r="L220" t="str">
            <v>-</v>
          </cell>
          <cell r="M220" t="str">
            <v>-</v>
          </cell>
          <cell r="N220" t="str">
            <v>-</v>
          </cell>
          <cell r="O220" t="str">
            <v>-</v>
          </cell>
          <cell r="P220" t="str">
            <v>-</v>
          </cell>
        </row>
        <row r="221">
          <cell r="C221" t="str">
            <v>Total Locations</v>
          </cell>
          <cell r="D221" t="str">
            <v>Administrative Expenses</v>
          </cell>
          <cell r="E221">
            <v>7604875.6500000004</v>
          </cell>
          <cell r="F221">
            <v>8130493.6200000001</v>
          </cell>
          <cell r="G221">
            <v>7927502.3899999987</v>
          </cell>
          <cell r="H221">
            <v>8177464.5799999991</v>
          </cell>
          <cell r="I221">
            <v>7677988.8000000007</v>
          </cell>
          <cell r="J221">
            <v>7826043.2400000012</v>
          </cell>
          <cell r="K221">
            <v>3733459.35</v>
          </cell>
          <cell r="L221">
            <v>4759592.7699999996</v>
          </cell>
          <cell r="M221" t="str">
            <v>0</v>
          </cell>
          <cell r="N221" t="str">
            <v>0</v>
          </cell>
          <cell r="O221" t="str">
            <v>0</v>
          </cell>
          <cell r="P221" t="str">
            <v>0</v>
          </cell>
        </row>
        <row r="223">
          <cell r="C223" t="str">
            <v>Total Locations</v>
          </cell>
          <cell r="D223" t="str">
            <v>TRU-Contra Expenses (Parent)</v>
          </cell>
          <cell r="E223" t="str">
            <v>0</v>
          </cell>
          <cell r="F223">
            <v>-4164</v>
          </cell>
          <cell r="G223">
            <v>-4164</v>
          </cell>
          <cell r="H223" t="str">
            <v>0</v>
          </cell>
          <cell r="I223">
            <v>-3164</v>
          </cell>
          <cell r="J223">
            <v>-2082</v>
          </cell>
          <cell r="K223" t="str">
            <v>0</v>
          </cell>
          <cell r="L223">
            <v>-4164</v>
          </cell>
          <cell r="M223" t="str">
            <v>0</v>
          </cell>
          <cell r="N223" t="str">
            <v>0</v>
          </cell>
          <cell r="O223" t="str">
            <v>0</v>
          </cell>
          <cell r="P223" t="str">
            <v>0</v>
          </cell>
        </row>
        <row r="224">
          <cell r="C224" t="str">
            <v>Total Locations</v>
          </cell>
          <cell r="D224" t="str">
            <v>Unspecified OPEX</v>
          </cell>
          <cell r="E224" t="str">
            <v>0</v>
          </cell>
          <cell r="F224" t="str">
            <v>0</v>
          </cell>
          <cell r="G224" t="str">
            <v>0</v>
          </cell>
          <cell r="H224" t="str">
            <v>0</v>
          </cell>
          <cell r="I224" t="str">
            <v>0</v>
          </cell>
          <cell r="J224" t="str">
            <v>0</v>
          </cell>
          <cell r="K224" t="str">
            <v>0</v>
          </cell>
          <cell r="L224" t="str">
            <v>0</v>
          </cell>
          <cell r="M224" t="str">
            <v>0</v>
          </cell>
          <cell r="N224" t="str">
            <v>0</v>
          </cell>
          <cell r="O224" t="str">
            <v>0</v>
          </cell>
          <cell r="P224" t="str">
            <v>0</v>
          </cell>
        </row>
        <row r="225">
          <cell r="E225" t="str">
            <v>-</v>
          </cell>
          <cell r="F225" t="str">
            <v>-</v>
          </cell>
          <cell r="G225" t="str">
            <v>-</v>
          </cell>
          <cell r="H225" t="str">
            <v>-</v>
          </cell>
          <cell r="I225" t="str">
            <v>-</v>
          </cell>
          <cell r="J225" t="str">
            <v>-</v>
          </cell>
          <cell r="K225" t="str">
            <v>-</v>
          </cell>
          <cell r="L225" t="str">
            <v>-</v>
          </cell>
          <cell r="M225" t="str">
            <v>-</v>
          </cell>
          <cell r="N225" t="str">
            <v>-</v>
          </cell>
          <cell r="O225" t="str">
            <v>-</v>
          </cell>
          <cell r="P225" t="str">
            <v>-</v>
          </cell>
        </row>
        <row r="226">
          <cell r="C226" t="str">
            <v>Total Locations</v>
          </cell>
          <cell r="D226" t="str">
            <v>Operating Expenses</v>
          </cell>
          <cell r="E226">
            <v>9768410.0200000014</v>
          </cell>
          <cell r="F226">
            <v>10110092.17</v>
          </cell>
          <cell r="G226">
            <v>9673193.9799999986</v>
          </cell>
          <cell r="H226">
            <v>10186739.51</v>
          </cell>
          <cell r="I226">
            <v>9397091.0600000005</v>
          </cell>
          <cell r="J226">
            <v>9405023.2800000012</v>
          </cell>
          <cell r="K226">
            <v>5498811.2899999991</v>
          </cell>
          <cell r="L226">
            <v>6558707.8099999996</v>
          </cell>
          <cell r="M226" t="str">
            <v>0</v>
          </cell>
          <cell r="N226" t="str">
            <v>0</v>
          </cell>
          <cell r="O226" t="str">
            <v>0</v>
          </cell>
          <cell r="P226" t="str">
            <v>0</v>
          </cell>
        </row>
        <row r="272">
          <cell r="E272" t="str">
            <v>US Core Businesses</v>
          </cell>
        </row>
        <row r="273">
          <cell r="E273" t="str">
            <v>Project</v>
          </cell>
        </row>
        <row r="274">
          <cell r="E274" t="str">
            <v>Total Products</v>
          </cell>
        </row>
        <row r="275">
          <cell r="E275" t="str">
            <v>Tech - Infrastructure</v>
          </cell>
        </row>
        <row r="276">
          <cell r="E276" t="str">
            <v>FY2001</v>
          </cell>
          <cell r="F276" t="str">
            <v>FY2001</v>
          </cell>
          <cell r="G276" t="str">
            <v>FY2001</v>
          </cell>
          <cell r="H276" t="str">
            <v>FY2001</v>
          </cell>
          <cell r="I276" t="str">
            <v>FY2001</v>
          </cell>
          <cell r="J276" t="str">
            <v>FY2001</v>
          </cell>
          <cell r="K276" t="str">
            <v>FY2001</v>
          </cell>
          <cell r="L276" t="str">
            <v>FY2001</v>
          </cell>
          <cell r="M276" t="str">
            <v>FY2001</v>
          </cell>
          <cell r="N276" t="str">
            <v>FY2001</v>
          </cell>
          <cell r="O276" t="str">
            <v>FY2001</v>
          </cell>
          <cell r="P276" t="str">
            <v>FY2001</v>
          </cell>
        </row>
        <row r="277">
          <cell r="E277" t="str">
            <v>FY01 Plan</v>
          </cell>
          <cell r="F277" t="str">
            <v>FY01 Plan</v>
          </cell>
          <cell r="G277" t="str">
            <v>FY01 Plan</v>
          </cell>
          <cell r="H277" t="str">
            <v>FY01 Plan</v>
          </cell>
          <cell r="I277" t="str">
            <v>FY01 Plan</v>
          </cell>
          <cell r="J277" t="str">
            <v>FY01 Plan</v>
          </cell>
          <cell r="K277" t="str">
            <v>FY01 Plan</v>
          </cell>
          <cell r="L277" t="str">
            <v>FY01 Plan</v>
          </cell>
          <cell r="M277" t="str">
            <v>FY01 Plan</v>
          </cell>
          <cell r="N277" t="str">
            <v>FY01 Plan</v>
          </cell>
          <cell r="O277" t="str">
            <v>FY01 Plan</v>
          </cell>
          <cell r="P277" t="str">
            <v>FY01 Plan</v>
          </cell>
        </row>
        <row r="278">
          <cell r="E278" t="str">
            <v>Jan</v>
          </cell>
          <cell r="F278" t="str">
            <v>Feb</v>
          </cell>
          <cell r="G278" t="str">
            <v>Mar</v>
          </cell>
          <cell r="H278" t="str">
            <v>Apr</v>
          </cell>
          <cell r="I278" t="str">
            <v>May</v>
          </cell>
          <cell r="J278" t="str">
            <v>Jun</v>
          </cell>
          <cell r="K278" t="str">
            <v>Jul</v>
          </cell>
          <cell r="L278" t="str">
            <v>Aug</v>
          </cell>
          <cell r="M278" t="str">
            <v>Sep</v>
          </cell>
          <cell r="N278" t="str">
            <v>Oct</v>
          </cell>
          <cell r="O278" t="str">
            <v>Nov</v>
          </cell>
          <cell r="P278" t="str">
            <v>Dec</v>
          </cell>
        </row>
        <row r="280">
          <cell r="C280" t="str">
            <v>Total Locations</v>
          </cell>
          <cell r="D280" t="str">
            <v>Total Heads</v>
          </cell>
          <cell r="E280">
            <v>325</v>
          </cell>
          <cell r="F280">
            <v>273</v>
          </cell>
          <cell r="G280">
            <v>274</v>
          </cell>
          <cell r="H280">
            <v>279</v>
          </cell>
          <cell r="I280">
            <v>280</v>
          </cell>
          <cell r="J280">
            <v>280</v>
          </cell>
          <cell r="K280">
            <v>280</v>
          </cell>
          <cell r="L280">
            <v>280</v>
          </cell>
          <cell r="M280">
            <v>280</v>
          </cell>
          <cell r="N280">
            <v>280</v>
          </cell>
          <cell r="O280">
            <v>280</v>
          </cell>
          <cell r="P280">
            <v>280</v>
          </cell>
        </row>
        <row r="281">
          <cell r="D281" t="str">
            <v>Regular Heads</v>
          </cell>
          <cell r="E281">
            <v>324</v>
          </cell>
          <cell r="F281">
            <v>272</v>
          </cell>
          <cell r="G281">
            <v>273</v>
          </cell>
          <cell r="H281">
            <v>278</v>
          </cell>
          <cell r="I281">
            <v>279</v>
          </cell>
          <cell r="J281">
            <v>279</v>
          </cell>
          <cell r="K281">
            <v>279</v>
          </cell>
          <cell r="L281">
            <v>279</v>
          </cell>
          <cell r="M281">
            <v>279</v>
          </cell>
          <cell r="N281">
            <v>279</v>
          </cell>
          <cell r="O281">
            <v>279</v>
          </cell>
          <cell r="P281">
            <v>279</v>
          </cell>
        </row>
        <row r="282">
          <cell r="D282" t="str">
            <v>Total Temps</v>
          </cell>
          <cell r="E282">
            <v>1</v>
          </cell>
          <cell r="F282">
            <v>1</v>
          </cell>
          <cell r="G282">
            <v>1</v>
          </cell>
          <cell r="H282">
            <v>1</v>
          </cell>
          <cell r="I282">
            <v>1</v>
          </cell>
          <cell r="J282">
            <v>1</v>
          </cell>
          <cell r="K282">
            <v>1</v>
          </cell>
          <cell r="L282">
            <v>1</v>
          </cell>
          <cell r="M282">
            <v>1</v>
          </cell>
          <cell r="N282">
            <v>1</v>
          </cell>
          <cell r="O282">
            <v>1</v>
          </cell>
          <cell r="P282">
            <v>1</v>
          </cell>
        </row>
        <row r="283">
          <cell r="D283" t="str">
            <v>Third Party Contractors</v>
          </cell>
          <cell r="E283" t="str">
            <v>0</v>
          </cell>
          <cell r="F283" t="str">
            <v>0</v>
          </cell>
          <cell r="G283" t="str">
            <v>0</v>
          </cell>
          <cell r="H283" t="str">
            <v>0</v>
          </cell>
          <cell r="I283" t="str">
            <v>0</v>
          </cell>
          <cell r="J283" t="str">
            <v>0</v>
          </cell>
          <cell r="K283" t="str">
            <v>0</v>
          </cell>
          <cell r="L283" t="str">
            <v>0</v>
          </cell>
          <cell r="M283" t="str">
            <v>0</v>
          </cell>
          <cell r="N283" t="str">
            <v>0</v>
          </cell>
          <cell r="O283" t="str">
            <v>0</v>
          </cell>
          <cell r="P283" t="str">
            <v>0</v>
          </cell>
        </row>
        <row r="284">
          <cell r="D284" t="str">
            <v>Independent Contractors</v>
          </cell>
          <cell r="E284" t="str">
            <v>0</v>
          </cell>
          <cell r="F284" t="str">
            <v>0</v>
          </cell>
          <cell r="G284" t="str">
            <v>0</v>
          </cell>
          <cell r="H284" t="str">
            <v>0</v>
          </cell>
          <cell r="I284" t="str">
            <v>0</v>
          </cell>
          <cell r="J284" t="str">
            <v>0</v>
          </cell>
          <cell r="K284" t="str">
            <v>0</v>
          </cell>
          <cell r="L284" t="str">
            <v>0</v>
          </cell>
          <cell r="M284" t="str">
            <v>0</v>
          </cell>
          <cell r="N284" t="str">
            <v>0</v>
          </cell>
          <cell r="O284" t="str">
            <v>0</v>
          </cell>
          <cell r="P284" t="str">
            <v>0</v>
          </cell>
        </row>
        <row r="286">
          <cell r="C286" t="str">
            <v>(Hide)</v>
          </cell>
          <cell r="D286" t="str">
            <v>(Hide)</v>
          </cell>
          <cell r="E286" t="str">
            <v>Actl</v>
          </cell>
          <cell r="F286" t="str">
            <v>Actl</v>
          </cell>
          <cell r="G286" t="str">
            <v>Actl</v>
          </cell>
          <cell r="H286" t="str">
            <v>Actl</v>
          </cell>
          <cell r="I286" t="str">
            <v>Actl</v>
          </cell>
          <cell r="J286" t="str">
            <v>Actl</v>
          </cell>
          <cell r="K286" t="str">
            <v>Actl</v>
          </cell>
          <cell r="L286" t="str">
            <v>Actl</v>
          </cell>
          <cell r="M286" t="str">
            <v>Actl</v>
          </cell>
          <cell r="N286" t="str">
            <v>Actl</v>
          </cell>
          <cell r="O286" t="str">
            <v>Actl</v>
          </cell>
          <cell r="P286" t="str">
            <v>Actl</v>
          </cell>
        </row>
        <row r="287">
          <cell r="E287">
            <v>36892</v>
          </cell>
          <cell r="F287">
            <v>36923</v>
          </cell>
          <cell r="G287">
            <v>36951</v>
          </cell>
          <cell r="H287">
            <v>36982</v>
          </cell>
          <cell r="I287">
            <v>37012</v>
          </cell>
          <cell r="J287">
            <v>37043</v>
          </cell>
          <cell r="K287">
            <v>37073</v>
          </cell>
          <cell r="L287">
            <v>37104</v>
          </cell>
          <cell r="M287">
            <v>37135</v>
          </cell>
          <cell r="N287">
            <v>37165</v>
          </cell>
          <cell r="O287">
            <v>37196</v>
          </cell>
          <cell r="P287">
            <v>37226</v>
          </cell>
        </row>
        <row r="290">
          <cell r="C290" t="str">
            <v>Total Locations</v>
          </cell>
          <cell r="D290" t="str">
            <v>Salaries</v>
          </cell>
          <cell r="E290">
            <v>1531980.9882999999</v>
          </cell>
          <cell r="F290">
            <v>1530272.3241999999</v>
          </cell>
          <cell r="G290">
            <v>1351982.1825000001</v>
          </cell>
          <cell r="H290">
            <v>1655967.8838</v>
          </cell>
          <cell r="I290">
            <v>1662586.7588</v>
          </cell>
          <cell r="J290">
            <v>1662586.7588</v>
          </cell>
          <cell r="K290">
            <v>1662586.7588</v>
          </cell>
          <cell r="L290">
            <v>1662586.7588</v>
          </cell>
          <cell r="M290">
            <v>1662586.7588</v>
          </cell>
          <cell r="N290">
            <v>1662586.7588</v>
          </cell>
          <cell r="O290">
            <v>1662586.7588</v>
          </cell>
          <cell r="P290">
            <v>1662586.7588</v>
          </cell>
        </row>
        <row r="291">
          <cell r="C291" t="str">
            <v>Total Locations</v>
          </cell>
          <cell r="D291" t="str">
            <v>Hourly Wages</v>
          </cell>
          <cell r="E291" t="str">
            <v>0</v>
          </cell>
          <cell r="F291" t="str">
            <v>0</v>
          </cell>
          <cell r="G291" t="str">
            <v>0</v>
          </cell>
          <cell r="H291" t="str">
            <v>0</v>
          </cell>
          <cell r="I291" t="str">
            <v>0</v>
          </cell>
          <cell r="J291" t="str">
            <v>0</v>
          </cell>
          <cell r="K291" t="str">
            <v>0</v>
          </cell>
          <cell r="L291" t="str">
            <v>0</v>
          </cell>
          <cell r="M291" t="str">
            <v>0</v>
          </cell>
          <cell r="N291" t="str">
            <v>0</v>
          </cell>
          <cell r="O291" t="str">
            <v>0</v>
          </cell>
          <cell r="P291" t="str">
            <v>0</v>
          </cell>
        </row>
        <row r="292">
          <cell r="C292" t="str">
            <v>Total Locations</v>
          </cell>
          <cell r="D292" t="str">
            <v>Overtime</v>
          </cell>
          <cell r="E292" t="str">
            <v>0</v>
          </cell>
          <cell r="F292" t="str">
            <v>0</v>
          </cell>
          <cell r="G292" t="str">
            <v>0</v>
          </cell>
          <cell r="H292" t="str">
            <v>0</v>
          </cell>
          <cell r="I292" t="str">
            <v>0</v>
          </cell>
          <cell r="J292" t="str">
            <v>0</v>
          </cell>
          <cell r="K292" t="str">
            <v>0</v>
          </cell>
          <cell r="L292" t="str">
            <v>0</v>
          </cell>
          <cell r="M292" t="str">
            <v>0</v>
          </cell>
          <cell r="N292" t="str">
            <v>0</v>
          </cell>
          <cell r="O292" t="str">
            <v>0</v>
          </cell>
          <cell r="P292" t="str">
            <v>0</v>
          </cell>
        </row>
        <row r="293">
          <cell r="C293" t="str">
            <v>Total Locations</v>
          </cell>
          <cell r="D293" t="str">
            <v>Holidays</v>
          </cell>
          <cell r="E293" t="str">
            <v>0</v>
          </cell>
          <cell r="F293" t="str">
            <v>0</v>
          </cell>
          <cell r="G293" t="str">
            <v>0</v>
          </cell>
          <cell r="H293" t="str">
            <v>0</v>
          </cell>
          <cell r="I293" t="str">
            <v>0</v>
          </cell>
          <cell r="J293" t="str">
            <v>0</v>
          </cell>
          <cell r="K293" t="str">
            <v>0</v>
          </cell>
          <cell r="L293" t="str">
            <v>0</v>
          </cell>
          <cell r="M293" t="str">
            <v>0</v>
          </cell>
          <cell r="N293" t="str">
            <v>0</v>
          </cell>
          <cell r="O293" t="str">
            <v>0</v>
          </cell>
          <cell r="P293" t="str">
            <v>0</v>
          </cell>
        </row>
        <row r="294">
          <cell r="C294" t="str">
            <v>Total Locations</v>
          </cell>
          <cell r="D294" t="str">
            <v>Vacation</v>
          </cell>
          <cell r="E294" t="str">
            <v>0</v>
          </cell>
          <cell r="F294" t="str">
            <v>0</v>
          </cell>
          <cell r="G294" t="str">
            <v>0</v>
          </cell>
          <cell r="H294" t="str">
            <v>0</v>
          </cell>
          <cell r="I294" t="str">
            <v>0</v>
          </cell>
          <cell r="J294" t="str">
            <v>0</v>
          </cell>
          <cell r="K294" t="str">
            <v>0</v>
          </cell>
          <cell r="L294" t="str">
            <v>0</v>
          </cell>
          <cell r="M294" t="str">
            <v>0</v>
          </cell>
          <cell r="N294" t="str">
            <v>0</v>
          </cell>
          <cell r="O294" t="str">
            <v>0</v>
          </cell>
          <cell r="P294" t="str">
            <v>0</v>
          </cell>
        </row>
        <row r="295">
          <cell r="C295" t="str">
            <v>Total Locations</v>
          </cell>
          <cell r="D295" t="str">
            <v>Sick Leave</v>
          </cell>
          <cell r="E295" t="str">
            <v>0</v>
          </cell>
          <cell r="F295" t="str">
            <v>0</v>
          </cell>
          <cell r="G295" t="str">
            <v>0</v>
          </cell>
          <cell r="H295" t="str">
            <v>0</v>
          </cell>
          <cell r="I295" t="str">
            <v>0</v>
          </cell>
          <cell r="J295" t="str">
            <v>0</v>
          </cell>
          <cell r="K295" t="str">
            <v>0</v>
          </cell>
          <cell r="L295" t="str">
            <v>0</v>
          </cell>
          <cell r="M295" t="str">
            <v>0</v>
          </cell>
          <cell r="N295" t="str">
            <v>0</v>
          </cell>
          <cell r="O295" t="str">
            <v>0</v>
          </cell>
          <cell r="P295" t="str">
            <v>0</v>
          </cell>
        </row>
        <row r="296">
          <cell r="C296" t="str">
            <v>Total Locations</v>
          </cell>
          <cell r="D296" t="str">
            <v>Contra - Salary Expense</v>
          </cell>
          <cell r="E296" t="str">
            <v>0</v>
          </cell>
          <cell r="F296" t="str">
            <v>0</v>
          </cell>
          <cell r="G296" t="str">
            <v>0</v>
          </cell>
          <cell r="H296" t="str">
            <v>0</v>
          </cell>
          <cell r="I296" t="str">
            <v>0</v>
          </cell>
          <cell r="J296" t="str">
            <v>0</v>
          </cell>
          <cell r="K296" t="str">
            <v>0</v>
          </cell>
          <cell r="L296" t="str">
            <v>0</v>
          </cell>
          <cell r="M296" t="str">
            <v>0</v>
          </cell>
          <cell r="N296" t="str">
            <v>0</v>
          </cell>
          <cell r="O296" t="str">
            <v>0</v>
          </cell>
          <cell r="P296" t="str">
            <v>0</v>
          </cell>
        </row>
        <row r="297">
          <cell r="C297" t="str">
            <v>Total Locations</v>
          </cell>
          <cell r="D297" t="str">
            <v>Temporary Employees</v>
          </cell>
          <cell r="E297">
            <v>-2821.5401000000002</v>
          </cell>
          <cell r="F297">
            <v>42727.320099999997</v>
          </cell>
          <cell r="G297" t="str">
            <v>0</v>
          </cell>
          <cell r="H297">
            <v>3440</v>
          </cell>
          <cell r="I297">
            <v>3440</v>
          </cell>
          <cell r="J297">
            <v>3440</v>
          </cell>
          <cell r="K297">
            <v>3440</v>
          </cell>
          <cell r="L297">
            <v>3440</v>
          </cell>
          <cell r="M297">
            <v>3440</v>
          </cell>
          <cell r="N297">
            <v>3440</v>
          </cell>
          <cell r="O297">
            <v>3440</v>
          </cell>
          <cell r="P297">
            <v>3440</v>
          </cell>
        </row>
        <row r="298">
          <cell r="C298" t="str">
            <v>Total Locations</v>
          </cell>
          <cell r="D298" t="str">
            <v>Total Bonuses</v>
          </cell>
          <cell r="E298">
            <v>216299.9786</v>
          </cell>
          <cell r="F298">
            <v>168710.3622</v>
          </cell>
          <cell r="G298">
            <v>124714.05990000001</v>
          </cell>
          <cell r="H298">
            <v>139214.0594</v>
          </cell>
          <cell r="I298">
            <v>96714.0579</v>
          </cell>
          <cell r="J298">
            <v>84089.391900000002</v>
          </cell>
          <cell r="K298">
            <v>73163.22570000001</v>
          </cell>
          <cell r="L298">
            <v>59717.502399999998</v>
          </cell>
          <cell r="M298">
            <v>49533.167600000001</v>
          </cell>
          <cell r="N298">
            <v>45369.3341</v>
          </cell>
          <cell r="O298">
            <v>47036.001100000001</v>
          </cell>
          <cell r="P298">
            <v>42184.666800000006</v>
          </cell>
        </row>
        <row r="299">
          <cell r="C299" t="str">
            <v>Total Locations</v>
          </cell>
          <cell r="D299" t="str">
            <v>Payroll Taxes</v>
          </cell>
          <cell r="E299">
            <v>178440.28979999994</v>
          </cell>
          <cell r="F299">
            <v>162983.28219999999</v>
          </cell>
          <cell r="G299">
            <v>149035.56910000002</v>
          </cell>
          <cell r="H299">
            <v>194757.33149999997</v>
          </cell>
          <cell r="I299">
            <v>187097.91159999999</v>
          </cell>
          <cell r="J299">
            <v>185415.7905</v>
          </cell>
          <cell r="K299">
            <v>186457.56390000001</v>
          </cell>
          <cell r="L299">
            <v>187257.04439999998</v>
          </cell>
          <cell r="M299">
            <v>187697.04439999998</v>
          </cell>
          <cell r="N299">
            <v>187972.04439999998</v>
          </cell>
          <cell r="O299">
            <v>188247.04439999998</v>
          </cell>
          <cell r="P299">
            <v>188522.04439999998</v>
          </cell>
        </row>
        <row r="300">
          <cell r="C300" t="str">
            <v>Total Locations</v>
          </cell>
          <cell r="D300" t="str">
            <v>Total Medical Benefits</v>
          </cell>
          <cell r="E300">
            <v>62153.299199999994</v>
          </cell>
          <cell r="F300">
            <v>52551.06</v>
          </cell>
          <cell r="G300">
            <v>66010</v>
          </cell>
          <cell r="H300">
            <v>67850</v>
          </cell>
          <cell r="I300">
            <v>68770</v>
          </cell>
          <cell r="J300">
            <v>69460</v>
          </cell>
          <cell r="K300">
            <v>70150</v>
          </cell>
          <cell r="L300">
            <v>70840</v>
          </cell>
          <cell r="M300">
            <v>71530</v>
          </cell>
          <cell r="N300">
            <v>72220</v>
          </cell>
          <cell r="O300">
            <v>72910</v>
          </cell>
          <cell r="P300">
            <v>73600</v>
          </cell>
        </row>
        <row r="301">
          <cell r="C301" t="str">
            <v>Total Locations</v>
          </cell>
          <cell r="D301" t="str">
            <v>Metro Bus Passes</v>
          </cell>
          <cell r="E301" t="str">
            <v>0</v>
          </cell>
          <cell r="F301" t="str">
            <v>0</v>
          </cell>
          <cell r="G301" t="str">
            <v>0</v>
          </cell>
          <cell r="H301" t="str">
            <v>0</v>
          </cell>
          <cell r="I301" t="str">
            <v>0</v>
          </cell>
          <cell r="J301" t="str">
            <v>0</v>
          </cell>
          <cell r="K301" t="str">
            <v>0</v>
          </cell>
          <cell r="L301" t="str">
            <v>0</v>
          </cell>
          <cell r="M301" t="str">
            <v>0</v>
          </cell>
          <cell r="N301" t="str">
            <v>0</v>
          </cell>
          <cell r="O301" t="str">
            <v>0</v>
          </cell>
          <cell r="P301" t="str">
            <v>0</v>
          </cell>
        </row>
        <row r="302">
          <cell r="C302" t="str">
            <v>Total Locations</v>
          </cell>
          <cell r="D302" t="str">
            <v>Employee Relations</v>
          </cell>
          <cell r="E302" t="str">
            <v>0</v>
          </cell>
          <cell r="F302" t="str">
            <v>0</v>
          </cell>
          <cell r="G302" t="str">
            <v>0</v>
          </cell>
          <cell r="H302" t="str">
            <v>0</v>
          </cell>
          <cell r="I302" t="str">
            <v>0</v>
          </cell>
          <cell r="J302" t="str">
            <v>0</v>
          </cell>
          <cell r="K302" t="str">
            <v>0</v>
          </cell>
          <cell r="L302" t="str">
            <v>0</v>
          </cell>
          <cell r="M302" t="str">
            <v>0</v>
          </cell>
          <cell r="N302" t="str">
            <v>0</v>
          </cell>
          <cell r="O302" t="str">
            <v>0</v>
          </cell>
          <cell r="P302" t="str">
            <v>0</v>
          </cell>
        </row>
        <row r="303">
          <cell r="C303" t="str">
            <v>Total Locations</v>
          </cell>
          <cell r="D303" t="str">
            <v>Employee Awards</v>
          </cell>
          <cell r="E303" t="str">
            <v>0</v>
          </cell>
          <cell r="F303" t="str">
            <v>0</v>
          </cell>
          <cell r="G303" t="str">
            <v>0</v>
          </cell>
          <cell r="H303" t="str">
            <v>0</v>
          </cell>
          <cell r="I303" t="str">
            <v>0</v>
          </cell>
          <cell r="J303" t="str">
            <v>0</v>
          </cell>
          <cell r="K303" t="str">
            <v>0</v>
          </cell>
          <cell r="L303" t="str">
            <v>0</v>
          </cell>
          <cell r="M303" t="str">
            <v>0</v>
          </cell>
          <cell r="N303" t="str">
            <v>0</v>
          </cell>
          <cell r="O303" t="str">
            <v>0</v>
          </cell>
          <cell r="P303" t="str">
            <v>0</v>
          </cell>
        </row>
        <row r="304">
          <cell r="C304" t="str">
            <v>Total Locations</v>
          </cell>
          <cell r="D304" t="str">
            <v>Parking Withheld from Payroll</v>
          </cell>
          <cell r="E304" t="str">
            <v>0</v>
          </cell>
          <cell r="F304" t="str">
            <v>0</v>
          </cell>
          <cell r="G304" t="str">
            <v>0</v>
          </cell>
          <cell r="H304" t="str">
            <v>0</v>
          </cell>
          <cell r="I304" t="str">
            <v>0</v>
          </cell>
          <cell r="J304" t="str">
            <v>0</v>
          </cell>
          <cell r="K304" t="str">
            <v>0</v>
          </cell>
          <cell r="L304" t="str">
            <v>0</v>
          </cell>
          <cell r="M304" t="str">
            <v>0</v>
          </cell>
          <cell r="N304" t="str">
            <v>0</v>
          </cell>
          <cell r="O304" t="str">
            <v>0</v>
          </cell>
          <cell r="P304" t="str">
            <v>0</v>
          </cell>
        </row>
        <row r="305">
          <cell r="C305" t="str">
            <v>Total Locations</v>
          </cell>
          <cell r="D305" t="str">
            <v>Employee Deductions</v>
          </cell>
          <cell r="E305" t="str">
            <v>0</v>
          </cell>
          <cell r="F305" t="str">
            <v>0</v>
          </cell>
          <cell r="G305" t="str">
            <v>0</v>
          </cell>
          <cell r="H305" t="str">
            <v>0</v>
          </cell>
          <cell r="I305" t="str">
            <v>0</v>
          </cell>
          <cell r="J305" t="str">
            <v>0</v>
          </cell>
          <cell r="K305" t="str">
            <v>0</v>
          </cell>
          <cell r="L305" t="str">
            <v>0</v>
          </cell>
          <cell r="M305" t="str">
            <v>0</v>
          </cell>
          <cell r="N305" t="str">
            <v>0</v>
          </cell>
          <cell r="O305" t="str">
            <v>0</v>
          </cell>
          <cell r="P305" t="str">
            <v>0</v>
          </cell>
        </row>
        <row r="306">
          <cell r="C306" t="str">
            <v>Total Locations</v>
          </cell>
          <cell r="D306" t="str">
            <v>Training and Education</v>
          </cell>
          <cell r="E306">
            <v>144364.6471</v>
          </cell>
          <cell r="F306">
            <v>5423.45</v>
          </cell>
          <cell r="G306">
            <v>46761.712400000011</v>
          </cell>
          <cell r="H306">
            <v>47613.990600000012</v>
          </cell>
          <cell r="I306">
            <v>47778.414000000012</v>
          </cell>
          <cell r="J306">
            <v>47778.414000000012</v>
          </cell>
          <cell r="K306">
            <v>47778.414000000012</v>
          </cell>
          <cell r="L306">
            <v>47778.414000000012</v>
          </cell>
          <cell r="M306">
            <v>47778.414000000012</v>
          </cell>
          <cell r="N306">
            <v>47778.414000000012</v>
          </cell>
          <cell r="O306">
            <v>47778.414000000012</v>
          </cell>
          <cell r="P306">
            <v>47778.414000000012</v>
          </cell>
        </row>
        <row r="307">
          <cell r="C307" t="str">
            <v>Total Locations</v>
          </cell>
          <cell r="D307" t="str">
            <v>New Hire Orientation</v>
          </cell>
          <cell r="E307" t="str">
            <v>0</v>
          </cell>
          <cell r="F307" t="str">
            <v>0</v>
          </cell>
          <cell r="G307" t="str">
            <v>0</v>
          </cell>
          <cell r="H307" t="str">
            <v>0</v>
          </cell>
          <cell r="I307" t="str">
            <v>0</v>
          </cell>
          <cell r="J307" t="str">
            <v>0</v>
          </cell>
          <cell r="K307" t="str">
            <v>0</v>
          </cell>
          <cell r="L307" t="str">
            <v>0</v>
          </cell>
          <cell r="M307" t="str">
            <v>0</v>
          </cell>
          <cell r="N307" t="str">
            <v>0</v>
          </cell>
          <cell r="O307" t="str">
            <v>0</v>
          </cell>
          <cell r="P307" t="str">
            <v>0</v>
          </cell>
        </row>
        <row r="308">
          <cell r="C308" t="str">
            <v>Total Locations</v>
          </cell>
          <cell r="D308" t="str">
            <v>Program Development - Training</v>
          </cell>
          <cell r="E308" t="str">
            <v>0</v>
          </cell>
          <cell r="F308" t="str">
            <v>0</v>
          </cell>
          <cell r="G308" t="str">
            <v>0</v>
          </cell>
          <cell r="H308" t="str">
            <v>0</v>
          </cell>
          <cell r="I308" t="str">
            <v>0</v>
          </cell>
          <cell r="J308" t="str">
            <v>0</v>
          </cell>
          <cell r="K308" t="str">
            <v>0</v>
          </cell>
          <cell r="L308" t="str">
            <v>0</v>
          </cell>
          <cell r="M308" t="str">
            <v>0</v>
          </cell>
          <cell r="N308" t="str">
            <v>0</v>
          </cell>
          <cell r="O308" t="str">
            <v>0</v>
          </cell>
          <cell r="P308" t="str">
            <v>0</v>
          </cell>
        </row>
        <row r="309">
          <cell r="C309" t="str">
            <v>Total Locations</v>
          </cell>
          <cell r="D309" t="str">
            <v>Stock Compensation Charges</v>
          </cell>
          <cell r="E309" t="str">
            <v>0</v>
          </cell>
          <cell r="F309" t="str">
            <v>0</v>
          </cell>
          <cell r="G309" t="str">
            <v>0</v>
          </cell>
          <cell r="H309" t="str">
            <v>0</v>
          </cell>
          <cell r="I309" t="str">
            <v>0</v>
          </cell>
          <cell r="J309" t="str">
            <v>0</v>
          </cell>
          <cell r="K309" t="str">
            <v>0</v>
          </cell>
          <cell r="L309" t="str">
            <v>0</v>
          </cell>
          <cell r="M309" t="str">
            <v>0</v>
          </cell>
          <cell r="N309" t="str">
            <v>0</v>
          </cell>
          <cell r="O309" t="str">
            <v>0</v>
          </cell>
          <cell r="P309" t="str">
            <v>0</v>
          </cell>
        </row>
        <row r="310">
          <cell r="C310" t="str">
            <v>Total Locations</v>
          </cell>
          <cell r="D310" t="str">
            <v>Recruiting</v>
          </cell>
          <cell r="E310">
            <v>24691.500500000002</v>
          </cell>
          <cell r="F310">
            <v>14499.899899999999</v>
          </cell>
          <cell r="G310">
            <v>40000</v>
          </cell>
          <cell r="H310">
            <v>80000</v>
          </cell>
          <cell r="I310">
            <v>40000</v>
          </cell>
          <cell r="J310">
            <v>30000</v>
          </cell>
          <cell r="K310">
            <v>30000</v>
          </cell>
          <cell r="L310">
            <v>30000</v>
          </cell>
          <cell r="M310">
            <v>30000</v>
          </cell>
          <cell r="N310">
            <v>30000</v>
          </cell>
          <cell r="O310">
            <v>30000</v>
          </cell>
          <cell r="P310">
            <v>30000</v>
          </cell>
        </row>
        <row r="311">
          <cell r="C311" t="str">
            <v>Total Locations</v>
          </cell>
          <cell r="D311" t="str">
            <v>Contra Employee Exp</v>
          </cell>
          <cell r="E311" t="str">
            <v>0</v>
          </cell>
          <cell r="F311" t="str">
            <v>0</v>
          </cell>
          <cell r="G311" t="str">
            <v>0</v>
          </cell>
          <cell r="H311" t="str">
            <v>0</v>
          </cell>
          <cell r="I311" t="str">
            <v>0</v>
          </cell>
          <cell r="J311" t="str">
            <v>0</v>
          </cell>
          <cell r="K311" t="str">
            <v>0</v>
          </cell>
          <cell r="L311" t="str">
            <v>0</v>
          </cell>
          <cell r="M311" t="str">
            <v>0</v>
          </cell>
          <cell r="N311" t="str">
            <v>0</v>
          </cell>
          <cell r="O311" t="str">
            <v>0</v>
          </cell>
          <cell r="P311" t="str">
            <v>0</v>
          </cell>
        </row>
        <row r="312">
          <cell r="E312" t="str">
            <v>-</v>
          </cell>
          <cell r="F312" t="str">
            <v>-</v>
          </cell>
          <cell r="G312" t="str">
            <v>-</v>
          </cell>
          <cell r="H312" t="str">
            <v>-</v>
          </cell>
          <cell r="I312" t="str">
            <v>-</v>
          </cell>
          <cell r="J312" t="str">
            <v>-</v>
          </cell>
          <cell r="K312" t="str">
            <v>-</v>
          </cell>
          <cell r="L312" t="str">
            <v>-</v>
          </cell>
          <cell r="M312" t="str">
            <v>-</v>
          </cell>
          <cell r="N312" t="str">
            <v>-</v>
          </cell>
          <cell r="O312" t="str">
            <v>-</v>
          </cell>
          <cell r="P312" t="str">
            <v>-</v>
          </cell>
        </row>
        <row r="313">
          <cell r="C313" t="str">
            <v>Total Locations</v>
          </cell>
          <cell r="D313" t="str">
            <v>Employee Expenses</v>
          </cell>
          <cell r="E313">
            <v>2155109.1634</v>
          </cell>
          <cell r="F313">
            <v>1977167.6986</v>
          </cell>
          <cell r="G313">
            <v>1778503.5239000001</v>
          </cell>
          <cell r="H313">
            <v>2188843.2653000001</v>
          </cell>
          <cell r="I313">
            <v>2106387.1422999999</v>
          </cell>
          <cell r="J313">
            <v>2082770.3551999999</v>
          </cell>
          <cell r="K313">
            <v>2073575.9624000001</v>
          </cell>
          <cell r="L313">
            <v>2061619.7196000002</v>
          </cell>
          <cell r="M313">
            <v>2052565.3848000001</v>
          </cell>
          <cell r="N313">
            <v>2049366.5513000002</v>
          </cell>
          <cell r="O313">
            <v>2051998.2183000001</v>
          </cell>
          <cell r="P313">
            <v>2048111.8840000001</v>
          </cell>
        </row>
        <row r="316">
          <cell r="C316" t="str">
            <v>Total Locations</v>
          </cell>
          <cell r="D316" t="str">
            <v>Facility Costs</v>
          </cell>
          <cell r="E316">
            <v>689454.46310000005</v>
          </cell>
          <cell r="F316">
            <v>745805.35690000001</v>
          </cell>
          <cell r="G316">
            <v>557743.61119999993</v>
          </cell>
          <cell r="H316">
            <v>563804.11119999993</v>
          </cell>
          <cell r="I316">
            <v>565016.21120000002</v>
          </cell>
          <cell r="J316">
            <v>565016.21120000002</v>
          </cell>
          <cell r="K316">
            <v>565016.21120000002</v>
          </cell>
          <cell r="L316">
            <v>565016.21120000002</v>
          </cell>
          <cell r="M316">
            <v>565016.21120000002</v>
          </cell>
          <cell r="N316">
            <v>565016.21120000002</v>
          </cell>
          <cell r="O316">
            <v>565016.21120000002</v>
          </cell>
          <cell r="P316">
            <v>565016.21120000002</v>
          </cell>
        </row>
        <row r="317">
          <cell r="C317" t="str">
            <v>Total Locations</v>
          </cell>
          <cell r="D317" t="str">
            <v>Leasehold Depreciation Expense</v>
          </cell>
          <cell r="E317" t="str">
            <v>0</v>
          </cell>
          <cell r="F317" t="str">
            <v>0</v>
          </cell>
          <cell r="G317">
            <v>187829.82810000001</v>
          </cell>
          <cell r="H317">
            <v>158101.4062</v>
          </cell>
          <cell r="I317">
            <v>158101.4062</v>
          </cell>
          <cell r="J317">
            <v>158101.4062</v>
          </cell>
          <cell r="K317">
            <v>158101.4062</v>
          </cell>
          <cell r="L317">
            <v>158101.4062</v>
          </cell>
          <cell r="M317">
            <v>158101.4062</v>
          </cell>
          <cell r="N317">
            <v>158101.4062</v>
          </cell>
          <cell r="O317">
            <v>158101.4062</v>
          </cell>
          <cell r="P317">
            <v>158101.4062</v>
          </cell>
        </row>
        <row r="318">
          <cell r="C318" t="str">
            <v>Total Locations</v>
          </cell>
          <cell r="D318" t="str">
            <v>Deprec Expense - F&amp;F - Allocated</v>
          </cell>
          <cell r="E318" t="str">
            <v>0</v>
          </cell>
          <cell r="F318" t="str">
            <v>0</v>
          </cell>
          <cell r="G318" t="str">
            <v>0</v>
          </cell>
          <cell r="H318" t="str">
            <v>0</v>
          </cell>
          <cell r="I318" t="str">
            <v>0</v>
          </cell>
          <cell r="J318" t="str">
            <v>0</v>
          </cell>
          <cell r="K318" t="str">
            <v>0</v>
          </cell>
          <cell r="L318" t="str">
            <v>0</v>
          </cell>
          <cell r="M318" t="str">
            <v>0</v>
          </cell>
          <cell r="N318" t="str">
            <v>0</v>
          </cell>
          <cell r="O318" t="str">
            <v>0</v>
          </cell>
          <cell r="P318" t="str">
            <v>0</v>
          </cell>
        </row>
        <row r="319">
          <cell r="C319" t="str">
            <v>Total Locations</v>
          </cell>
          <cell r="D319" t="str">
            <v>Deprec Expense - Equipment - Allocated</v>
          </cell>
          <cell r="E319" t="str">
            <v>0</v>
          </cell>
          <cell r="F319" t="str">
            <v>0</v>
          </cell>
          <cell r="G319" t="str">
            <v>0</v>
          </cell>
          <cell r="H319" t="str">
            <v>0</v>
          </cell>
          <cell r="I319" t="str">
            <v>0</v>
          </cell>
          <cell r="J319" t="str">
            <v>0</v>
          </cell>
          <cell r="K319" t="str">
            <v>0</v>
          </cell>
          <cell r="L319" t="str">
            <v>0</v>
          </cell>
          <cell r="M319" t="str">
            <v>0</v>
          </cell>
          <cell r="N319" t="str">
            <v>0</v>
          </cell>
          <cell r="O319" t="str">
            <v>0</v>
          </cell>
          <cell r="P319" t="str">
            <v>0</v>
          </cell>
        </row>
        <row r="320">
          <cell r="C320" t="str">
            <v>Total Locations</v>
          </cell>
          <cell r="D320" t="str">
            <v>Deprec Expense - HC Contingent Assets - Direct</v>
          </cell>
          <cell r="E320" t="str">
            <v>0</v>
          </cell>
          <cell r="F320" t="str">
            <v>0</v>
          </cell>
          <cell r="G320" t="str">
            <v>0</v>
          </cell>
          <cell r="H320" t="str">
            <v>0</v>
          </cell>
          <cell r="I320" t="str">
            <v>0</v>
          </cell>
          <cell r="J320" t="str">
            <v>0</v>
          </cell>
          <cell r="K320" t="str">
            <v>0</v>
          </cell>
          <cell r="L320" t="str">
            <v>0</v>
          </cell>
          <cell r="M320" t="str">
            <v>0</v>
          </cell>
          <cell r="N320" t="str">
            <v>0</v>
          </cell>
          <cell r="O320" t="str">
            <v>0</v>
          </cell>
          <cell r="P320" t="str">
            <v>0</v>
          </cell>
        </row>
        <row r="321">
          <cell r="C321" t="str">
            <v>Total Locations</v>
          </cell>
          <cell r="D321" t="str">
            <v>Deprec Expense - Vehicles</v>
          </cell>
          <cell r="E321" t="str">
            <v>0</v>
          </cell>
          <cell r="F321" t="str">
            <v>0</v>
          </cell>
          <cell r="G321" t="str">
            <v>0</v>
          </cell>
          <cell r="H321" t="str">
            <v>0</v>
          </cell>
          <cell r="I321" t="str">
            <v>0</v>
          </cell>
          <cell r="J321" t="str">
            <v>0</v>
          </cell>
          <cell r="K321" t="str">
            <v>0</v>
          </cell>
          <cell r="L321" t="str">
            <v>0</v>
          </cell>
          <cell r="M321" t="str">
            <v>0</v>
          </cell>
          <cell r="N321" t="str">
            <v>0</v>
          </cell>
          <cell r="O321" t="str">
            <v>0</v>
          </cell>
          <cell r="P321" t="str">
            <v>0</v>
          </cell>
        </row>
        <row r="322">
          <cell r="C322" t="str">
            <v>Total Locations</v>
          </cell>
          <cell r="D322" t="str">
            <v>Deprec Expense - HC Contingent Assets - Allocated</v>
          </cell>
          <cell r="E322" t="str">
            <v>0</v>
          </cell>
          <cell r="F322" t="str">
            <v>0</v>
          </cell>
          <cell r="G322" t="str">
            <v>0</v>
          </cell>
          <cell r="H322" t="str">
            <v>0</v>
          </cell>
          <cell r="I322" t="str">
            <v>0</v>
          </cell>
          <cell r="J322" t="str">
            <v>0</v>
          </cell>
          <cell r="K322" t="str">
            <v>0</v>
          </cell>
          <cell r="L322" t="str">
            <v>0</v>
          </cell>
          <cell r="M322" t="str">
            <v>0</v>
          </cell>
          <cell r="N322" t="str">
            <v>0</v>
          </cell>
          <cell r="O322" t="str">
            <v>0</v>
          </cell>
          <cell r="P322" t="str">
            <v>0</v>
          </cell>
        </row>
        <row r="323">
          <cell r="C323" t="str">
            <v>Total Locations</v>
          </cell>
          <cell r="D323" t="str">
            <v>Deprec Expense - Low Value Computer Equip - Direct</v>
          </cell>
          <cell r="E323" t="str">
            <v>0</v>
          </cell>
          <cell r="F323" t="str">
            <v>0</v>
          </cell>
          <cell r="G323" t="str">
            <v>0</v>
          </cell>
          <cell r="H323" t="str">
            <v>0</v>
          </cell>
          <cell r="I323" t="str">
            <v>0</v>
          </cell>
          <cell r="J323" t="str">
            <v>0</v>
          </cell>
          <cell r="K323" t="str">
            <v>0</v>
          </cell>
          <cell r="L323" t="str">
            <v>0</v>
          </cell>
          <cell r="M323" t="str">
            <v>0</v>
          </cell>
          <cell r="N323" t="str">
            <v>0</v>
          </cell>
          <cell r="O323" t="str">
            <v>0</v>
          </cell>
          <cell r="P323" t="str">
            <v>0</v>
          </cell>
        </row>
        <row r="324">
          <cell r="C324" t="str">
            <v>Total Locations</v>
          </cell>
          <cell r="D324" t="str">
            <v>Deprec Expense - Technology Infrastructure</v>
          </cell>
          <cell r="E324" t="str">
            <v>0</v>
          </cell>
          <cell r="F324" t="str">
            <v>0</v>
          </cell>
          <cell r="G324" t="str">
            <v>0</v>
          </cell>
          <cell r="H324" t="str">
            <v>0</v>
          </cell>
          <cell r="I324" t="str">
            <v>0</v>
          </cell>
          <cell r="J324" t="str">
            <v>0</v>
          </cell>
          <cell r="K324" t="str">
            <v>0</v>
          </cell>
          <cell r="L324" t="str">
            <v>0</v>
          </cell>
          <cell r="M324" t="str">
            <v>0</v>
          </cell>
          <cell r="N324" t="str">
            <v>0</v>
          </cell>
          <cell r="O324" t="str">
            <v>0</v>
          </cell>
          <cell r="P324" t="str">
            <v>0</v>
          </cell>
        </row>
        <row r="325">
          <cell r="C325" t="str">
            <v>Total Locations</v>
          </cell>
          <cell r="D325" t="str">
            <v>Deprec Expense - Internal Software Develop Salaries</v>
          </cell>
          <cell r="E325" t="str">
            <v>0</v>
          </cell>
          <cell r="F325" t="str">
            <v>0</v>
          </cell>
          <cell r="G325" t="str">
            <v>0</v>
          </cell>
          <cell r="H325" t="str">
            <v>0</v>
          </cell>
          <cell r="I325" t="str">
            <v>0</v>
          </cell>
          <cell r="J325" t="str">
            <v>0</v>
          </cell>
          <cell r="K325" t="str">
            <v>0</v>
          </cell>
          <cell r="L325" t="str">
            <v>0</v>
          </cell>
          <cell r="M325" t="str">
            <v>0</v>
          </cell>
          <cell r="N325" t="str">
            <v>0</v>
          </cell>
          <cell r="O325" t="str">
            <v>0</v>
          </cell>
          <cell r="P325" t="str">
            <v>0</v>
          </cell>
        </row>
        <row r="326">
          <cell r="C326" t="str">
            <v>Total Locations</v>
          </cell>
          <cell r="D326" t="str">
            <v>Deprec Expense - Software</v>
          </cell>
          <cell r="E326" t="str">
            <v>0</v>
          </cell>
          <cell r="F326" t="str">
            <v>0</v>
          </cell>
          <cell r="G326" t="str">
            <v>0</v>
          </cell>
          <cell r="H326" t="str">
            <v>0</v>
          </cell>
          <cell r="I326" t="str">
            <v>0</v>
          </cell>
          <cell r="J326" t="str">
            <v>0</v>
          </cell>
          <cell r="K326" t="str">
            <v>0</v>
          </cell>
          <cell r="L326" t="str">
            <v>0</v>
          </cell>
          <cell r="M326" t="str">
            <v>0</v>
          </cell>
          <cell r="N326" t="str">
            <v>0</v>
          </cell>
          <cell r="O326" t="str">
            <v>0</v>
          </cell>
          <cell r="P326" t="str">
            <v>0</v>
          </cell>
        </row>
        <row r="327">
          <cell r="C327" t="str">
            <v>Total Locations</v>
          </cell>
          <cell r="D327" t="str">
            <v>Deprec Expense - F&amp;F - Direct</v>
          </cell>
          <cell r="E327" t="str">
            <v>0</v>
          </cell>
          <cell r="F327" t="str">
            <v>0</v>
          </cell>
          <cell r="G327" t="str">
            <v>0</v>
          </cell>
          <cell r="H327" t="str">
            <v>0</v>
          </cell>
          <cell r="I327" t="str">
            <v>0</v>
          </cell>
          <cell r="J327" t="str">
            <v>0</v>
          </cell>
          <cell r="K327" t="str">
            <v>0</v>
          </cell>
          <cell r="L327" t="str">
            <v>0</v>
          </cell>
          <cell r="M327" t="str">
            <v>0</v>
          </cell>
          <cell r="N327" t="str">
            <v>0</v>
          </cell>
          <cell r="O327" t="str">
            <v>0</v>
          </cell>
          <cell r="P327" t="str">
            <v>0</v>
          </cell>
        </row>
        <row r="328">
          <cell r="C328" t="str">
            <v>Total Locations</v>
          </cell>
          <cell r="D328" t="str">
            <v>Deprec Expense - Equipment - Direct</v>
          </cell>
          <cell r="E328">
            <v>1195723.2840999998</v>
          </cell>
          <cell r="F328">
            <v>1138517.2801999999</v>
          </cell>
          <cell r="G328">
            <v>1071827.6878</v>
          </cell>
          <cell r="H328">
            <v>1139063.0745000001</v>
          </cell>
          <cell r="I328">
            <v>1095546.2046000001</v>
          </cell>
          <cell r="J328">
            <v>1088413.9234</v>
          </cell>
          <cell r="K328">
            <v>705328.03469999996</v>
          </cell>
          <cell r="L328">
            <v>645376.74190000002</v>
          </cell>
          <cell r="M328">
            <v>641705.5915000001</v>
          </cell>
          <cell r="N328">
            <v>629168.549</v>
          </cell>
          <cell r="O328">
            <v>593156.49419999996</v>
          </cell>
          <cell r="P328">
            <v>582732.37399999995</v>
          </cell>
        </row>
        <row r="329">
          <cell r="C329" t="str">
            <v>Total Locations</v>
          </cell>
          <cell r="D329" t="str">
            <v>Deprec Expense - Heavy Equipment</v>
          </cell>
          <cell r="E329" t="str">
            <v>0</v>
          </cell>
          <cell r="F329" t="str">
            <v>0</v>
          </cell>
          <cell r="G329" t="str">
            <v>0</v>
          </cell>
          <cell r="H329" t="str">
            <v>0</v>
          </cell>
          <cell r="I329" t="str">
            <v>0</v>
          </cell>
          <cell r="J329" t="str">
            <v>0</v>
          </cell>
          <cell r="K329" t="str">
            <v>0</v>
          </cell>
          <cell r="L329" t="str">
            <v>0</v>
          </cell>
          <cell r="M329" t="str">
            <v>0</v>
          </cell>
          <cell r="N329" t="str">
            <v>0</v>
          </cell>
          <cell r="O329" t="str">
            <v>0</v>
          </cell>
          <cell r="P329" t="str">
            <v>0</v>
          </cell>
        </row>
        <row r="330">
          <cell r="C330" t="str">
            <v>Total Locations</v>
          </cell>
          <cell r="D330" t="str">
            <v>Deprec Expense - Capital Lease</v>
          </cell>
          <cell r="E330" t="str">
            <v>0</v>
          </cell>
          <cell r="F330" t="str">
            <v>0</v>
          </cell>
          <cell r="G330" t="str">
            <v>0</v>
          </cell>
          <cell r="H330" t="str">
            <v>0</v>
          </cell>
          <cell r="I330" t="str">
            <v>0</v>
          </cell>
          <cell r="J330" t="str">
            <v>0</v>
          </cell>
          <cell r="K330" t="str">
            <v>0</v>
          </cell>
          <cell r="L330" t="str">
            <v>0</v>
          </cell>
          <cell r="M330" t="str">
            <v>0</v>
          </cell>
          <cell r="N330" t="str">
            <v>0</v>
          </cell>
          <cell r="O330" t="str">
            <v>0</v>
          </cell>
          <cell r="P330" t="str">
            <v>0</v>
          </cell>
        </row>
        <row r="332">
          <cell r="C332" t="str">
            <v>(Hide)</v>
          </cell>
          <cell r="D332" t="str">
            <v>(Hide)</v>
          </cell>
          <cell r="E332" t="str">
            <v>Actl</v>
          </cell>
          <cell r="F332" t="str">
            <v>Actl</v>
          </cell>
          <cell r="G332" t="str">
            <v>Actl</v>
          </cell>
          <cell r="H332" t="str">
            <v>Actl</v>
          </cell>
          <cell r="I332" t="str">
            <v>Actl</v>
          </cell>
          <cell r="J332" t="str">
            <v>Actl</v>
          </cell>
          <cell r="K332" t="str">
            <v>Actl</v>
          </cell>
          <cell r="L332" t="str">
            <v>Actl</v>
          </cell>
          <cell r="M332" t="str">
            <v>Actl</v>
          </cell>
          <cell r="N332" t="str">
            <v>Actl</v>
          </cell>
          <cell r="O332" t="str">
            <v>Actl</v>
          </cell>
          <cell r="P332" t="str">
            <v>Actl</v>
          </cell>
        </row>
        <row r="333">
          <cell r="E333">
            <v>36892</v>
          </cell>
          <cell r="F333">
            <v>36923</v>
          </cell>
          <cell r="G333">
            <v>36951</v>
          </cell>
          <cell r="H333">
            <v>36982</v>
          </cell>
          <cell r="I333">
            <v>37012</v>
          </cell>
          <cell r="J333">
            <v>37043</v>
          </cell>
          <cell r="K333">
            <v>37073</v>
          </cell>
          <cell r="L333">
            <v>37104</v>
          </cell>
          <cell r="M333">
            <v>37135</v>
          </cell>
          <cell r="N333">
            <v>37165</v>
          </cell>
          <cell r="O333">
            <v>37196</v>
          </cell>
          <cell r="P333">
            <v>37226</v>
          </cell>
        </row>
        <row r="335">
          <cell r="C335" t="str">
            <v>Total Locations</v>
          </cell>
          <cell r="D335" t="str">
            <v>Operating Leases - Technology Infrastructure</v>
          </cell>
          <cell r="E335">
            <v>3928994.9240000001</v>
          </cell>
          <cell r="F335">
            <v>3708854.2549000001</v>
          </cell>
          <cell r="G335">
            <v>4273925.7969000004</v>
          </cell>
          <cell r="H335">
            <v>4305753.9219000004</v>
          </cell>
          <cell r="I335">
            <v>4400508.1719000004</v>
          </cell>
          <cell r="J335">
            <v>4588588.2344000004</v>
          </cell>
          <cell r="K335">
            <v>2780859.375</v>
          </cell>
          <cell r="L335">
            <v>2945859.375</v>
          </cell>
          <cell r="M335">
            <v>3090820.2656</v>
          </cell>
          <cell r="N335">
            <v>3180381.2969</v>
          </cell>
          <cell r="O335">
            <v>3265790.9844</v>
          </cell>
          <cell r="P335">
            <v>3268074.1562000001</v>
          </cell>
        </row>
        <row r="336">
          <cell r="C336" t="str">
            <v>Total Locations</v>
          </cell>
          <cell r="D336" t="str">
            <v>Operating Leases - Computer</v>
          </cell>
          <cell r="E336" t="str">
            <v>0</v>
          </cell>
          <cell r="F336" t="str">
            <v>0</v>
          </cell>
          <cell r="G336" t="str">
            <v>0</v>
          </cell>
          <cell r="H336" t="str">
            <v>0</v>
          </cell>
          <cell r="I336" t="str">
            <v>0</v>
          </cell>
          <cell r="J336" t="str">
            <v>0</v>
          </cell>
          <cell r="K336" t="str">
            <v>0</v>
          </cell>
          <cell r="L336" t="str">
            <v>0</v>
          </cell>
          <cell r="M336" t="str">
            <v>0</v>
          </cell>
          <cell r="N336" t="str">
            <v>0</v>
          </cell>
          <cell r="O336" t="str">
            <v>0</v>
          </cell>
          <cell r="P336" t="str">
            <v>0</v>
          </cell>
        </row>
        <row r="337">
          <cell r="C337" t="str">
            <v>Total Locations</v>
          </cell>
          <cell r="D337" t="str">
            <v>Operating Leases - Equipment</v>
          </cell>
          <cell r="E337" t="str">
            <v>0</v>
          </cell>
          <cell r="F337" t="str">
            <v>0</v>
          </cell>
          <cell r="G337" t="str">
            <v>0</v>
          </cell>
          <cell r="H337" t="str">
            <v>0</v>
          </cell>
          <cell r="I337" t="str">
            <v>0</v>
          </cell>
          <cell r="J337" t="str">
            <v>0</v>
          </cell>
          <cell r="K337" t="str">
            <v>0</v>
          </cell>
          <cell r="L337" t="str">
            <v>0</v>
          </cell>
          <cell r="M337" t="str">
            <v>0</v>
          </cell>
          <cell r="N337" t="str">
            <v>0</v>
          </cell>
          <cell r="O337" t="str">
            <v>0</v>
          </cell>
          <cell r="P337" t="str">
            <v>0</v>
          </cell>
        </row>
        <row r="338">
          <cell r="C338" t="str">
            <v>Total Locations</v>
          </cell>
          <cell r="D338" t="str">
            <v>Office Relocation Expense</v>
          </cell>
          <cell r="E338" t="str">
            <v>0</v>
          </cell>
          <cell r="F338" t="str">
            <v>0</v>
          </cell>
          <cell r="G338" t="str">
            <v>0</v>
          </cell>
          <cell r="H338" t="str">
            <v>0</v>
          </cell>
          <cell r="I338" t="str">
            <v>0</v>
          </cell>
          <cell r="J338" t="str">
            <v>0</v>
          </cell>
          <cell r="K338" t="str">
            <v>0</v>
          </cell>
          <cell r="L338" t="str">
            <v>0</v>
          </cell>
          <cell r="M338" t="str">
            <v>0</v>
          </cell>
          <cell r="N338" t="str">
            <v>0</v>
          </cell>
          <cell r="O338" t="str">
            <v>0</v>
          </cell>
          <cell r="P338" t="str">
            <v>0</v>
          </cell>
        </row>
        <row r="339">
          <cell r="C339" t="str">
            <v>Total Locations</v>
          </cell>
          <cell r="D339" t="str">
            <v>Software Expense</v>
          </cell>
          <cell r="E339" t="str">
            <v>0</v>
          </cell>
          <cell r="F339" t="str">
            <v>0</v>
          </cell>
          <cell r="G339" t="str">
            <v>0</v>
          </cell>
          <cell r="H339" t="str">
            <v>0</v>
          </cell>
          <cell r="I339" t="str">
            <v>0</v>
          </cell>
          <cell r="J339" t="str">
            <v>0</v>
          </cell>
          <cell r="K339" t="str">
            <v>0</v>
          </cell>
          <cell r="L339" t="str">
            <v>0</v>
          </cell>
          <cell r="M339" t="str">
            <v>0</v>
          </cell>
          <cell r="N339" t="str">
            <v>0</v>
          </cell>
          <cell r="O339" t="str">
            <v>0</v>
          </cell>
          <cell r="P339" t="str">
            <v>0</v>
          </cell>
        </row>
        <row r="340">
          <cell r="C340" t="str">
            <v>Total Locations</v>
          </cell>
          <cell r="D340" t="str">
            <v>Software Licenses</v>
          </cell>
          <cell r="E340">
            <v>100000</v>
          </cell>
          <cell r="F340">
            <v>100000</v>
          </cell>
          <cell r="G340">
            <v>100000</v>
          </cell>
          <cell r="H340">
            <v>100000</v>
          </cell>
          <cell r="I340">
            <v>100000</v>
          </cell>
          <cell r="J340">
            <v>100000</v>
          </cell>
          <cell r="K340">
            <v>100000</v>
          </cell>
          <cell r="L340">
            <v>100000</v>
          </cell>
          <cell r="M340">
            <v>100000</v>
          </cell>
          <cell r="N340">
            <v>100000</v>
          </cell>
          <cell r="O340">
            <v>100000</v>
          </cell>
          <cell r="P340">
            <v>100000</v>
          </cell>
        </row>
        <row r="341">
          <cell r="C341" t="str">
            <v>Total Locations</v>
          </cell>
          <cell r="D341" t="str">
            <v>Software &amp; Hardware Maintenance</v>
          </cell>
          <cell r="E341">
            <v>733399.45260000008</v>
          </cell>
          <cell r="F341">
            <v>692787.16910000006</v>
          </cell>
          <cell r="G341">
            <v>717222.98439999996</v>
          </cell>
          <cell r="H341">
            <v>753533.73439999996</v>
          </cell>
          <cell r="I341">
            <v>760344.48439999996</v>
          </cell>
          <cell r="J341">
            <v>767155.26569999999</v>
          </cell>
          <cell r="K341">
            <v>726301.85939999996</v>
          </cell>
          <cell r="L341">
            <v>729839.45310000004</v>
          </cell>
          <cell r="M341">
            <v>733377.04689999996</v>
          </cell>
          <cell r="N341">
            <v>722844.64069999999</v>
          </cell>
          <cell r="O341">
            <v>725062.26569999999</v>
          </cell>
          <cell r="P341">
            <v>676236.76569999999</v>
          </cell>
        </row>
        <row r="342">
          <cell r="C342" t="str">
            <v>Total Locations</v>
          </cell>
          <cell r="D342" t="str">
            <v>Equipment &lt; $2,000 - Direct</v>
          </cell>
          <cell r="E342">
            <v>-7585.6811999999991</v>
          </cell>
          <cell r="F342">
            <v>40827.230800000005</v>
          </cell>
          <cell r="G342">
            <v>57514.903299999998</v>
          </cell>
          <cell r="H342">
            <v>57514.903299999998</v>
          </cell>
          <cell r="I342">
            <v>57514.903299999998</v>
          </cell>
          <cell r="J342">
            <v>57514.903299999998</v>
          </cell>
          <cell r="K342">
            <v>57514.903299999998</v>
          </cell>
          <cell r="L342">
            <v>57514.903299999998</v>
          </cell>
          <cell r="M342">
            <v>57514.903299999998</v>
          </cell>
          <cell r="N342">
            <v>57514.903299999998</v>
          </cell>
          <cell r="O342">
            <v>57514.903299999998</v>
          </cell>
          <cell r="P342">
            <v>57514.903299999998</v>
          </cell>
        </row>
        <row r="343">
          <cell r="C343" t="str">
            <v>Total Locations</v>
          </cell>
          <cell r="D343" t="str">
            <v>Equipment &lt; $2,000 - Allocated</v>
          </cell>
          <cell r="E343" t="str">
            <v>0</v>
          </cell>
          <cell r="F343" t="str">
            <v>0</v>
          </cell>
          <cell r="G343" t="str">
            <v>0</v>
          </cell>
          <cell r="H343" t="str">
            <v>0</v>
          </cell>
          <cell r="I343" t="str">
            <v>0</v>
          </cell>
          <cell r="J343" t="str">
            <v>0</v>
          </cell>
          <cell r="K343" t="str">
            <v>0</v>
          </cell>
          <cell r="L343" t="str">
            <v>0</v>
          </cell>
          <cell r="M343" t="str">
            <v>0</v>
          </cell>
          <cell r="N343" t="str">
            <v>0</v>
          </cell>
          <cell r="O343" t="str">
            <v>0</v>
          </cell>
          <cell r="P343" t="str">
            <v>0</v>
          </cell>
        </row>
        <row r="344">
          <cell r="C344" t="str">
            <v>Total Locations</v>
          </cell>
          <cell r="D344" t="str">
            <v>Low Valued Equipment</v>
          </cell>
          <cell r="E344" t="str">
            <v>0</v>
          </cell>
          <cell r="F344" t="str">
            <v>0</v>
          </cell>
          <cell r="G344" t="str">
            <v>0</v>
          </cell>
          <cell r="H344" t="str">
            <v>0</v>
          </cell>
          <cell r="I344" t="str">
            <v>0</v>
          </cell>
          <cell r="J344" t="str">
            <v>0</v>
          </cell>
          <cell r="K344" t="str">
            <v>0</v>
          </cell>
          <cell r="L344" t="str">
            <v>0</v>
          </cell>
          <cell r="M344" t="str">
            <v>0</v>
          </cell>
          <cell r="N344" t="str">
            <v>0</v>
          </cell>
          <cell r="O344" t="str">
            <v>0</v>
          </cell>
          <cell r="P344" t="str">
            <v>0</v>
          </cell>
        </row>
        <row r="345">
          <cell r="C345" t="str">
            <v>Total Locations</v>
          </cell>
          <cell r="D345" t="str">
            <v>LEC Charges - Voice</v>
          </cell>
          <cell r="E345">
            <v>55000</v>
          </cell>
          <cell r="F345">
            <v>55000</v>
          </cell>
          <cell r="G345">
            <v>55000</v>
          </cell>
          <cell r="H345">
            <v>55000</v>
          </cell>
          <cell r="I345">
            <v>55000</v>
          </cell>
          <cell r="J345">
            <v>55000</v>
          </cell>
          <cell r="K345">
            <v>55000</v>
          </cell>
          <cell r="L345">
            <v>55000</v>
          </cell>
          <cell r="M345">
            <v>55000</v>
          </cell>
          <cell r="N345">
            <v>55000</v>
          </cell>
          <cell r="O345">
            <v>55000</v>
          </cell>
          <cell r="P345">
            <v>55000</v>
          </cell>
        </row>
        <row r="346">
          <cell r="C346" t="str">
            <v>Total Locations</v>
          </cell>
          <cell r="D346" t="str">
            <v>Telephone - Dial-up 800 Service</v>
          </cell>
          <cell r="E346">
            <v>68000</v>
          </cell>
          <cell r="F346">
            <v>61000</v>
          </cell>
          <cell r="G346">
            <v>56000</v>
          </cell>
          <cell r="H346">
            <v>49000</v>
          </cell>
          <cell r="I346">
            <v>49000</v>
          </cell>
          <cell r="J346">
            <v>49000</v>
          </cell>
          <cell r="K346">
            <v>49000</v>
          </cell>
          <cell r="L346">
            <v>49000</v>
          </cell>
          <cell r="M346">
            <v>49000</v>
          </cell>
          <cell r="N346">
            <v>55000</v>
          </cell>
          <cell r="O346">
            <v>60000</v>
          </cell>
          <cell r="P346">
            <v>60000</v>
          </cell>
        </row>
        <row r="347">
          <cell r="C347" t="str">
            <v>Total Locations</v>
          </cell>
          <cell r="D347" t="str">
            <v>Telephone - Dial-up Hub Service</v>
          </cell>
          <cell r="E347">
            <v>-427203.84000000003</v>
          </cell>
          <cell r="F347">
            <v>-385191.04</v>
          </cell>
          <cell r="G347">
            <v>-393151.36</v>
          </cell>
          <cell r="H347">
            <v>-394920.32</v>
          </cell>
          <cell r="I347">
            <v>-395583.68</v>
          </cell>
          <cell r="J347">
            <v>-393814.72</v>
          </cell>
          <cell r="K347">
            <v>-393814.72</v>
          </cell>
          <cell r="L347">
            <v>-384969.92</v>
          </cell>
          <cell r="M347">
            <v>-383864.32000000001</v>
          </cell>
          <cell r="N347">
            <v>-380326.40000000002</v>
          </cell>
          <cell r="O347">
            <v>-372587.2</v>
          </cell>
          <cell r="P347">
            <v>-373029.44</v>
          </cell>
        </row>
        <row r="348">
          <cell r="C348" t="str">
            <v>Total Locations</v>
          </cell>
          <cell r="D348" t="str">
            <v>Telephone - Long Distance</v>
          </cell>
          <cell r="E348">
            <v>65000</v>
          </cell>
          <cell r="F348">
            <v>52000</v>
          </cell>
          <cell r="G348">
            <v>48000</v>
          </cell>
          <cell r="H348">
            <v>48000</v>
          </cell>
          <cell r="I348">
            <v>48000</v>
          </cell>
          <cell r="J348">
            <v>48000</v>
          </cell>
          <cell r="K348">
            <v>48000</v>
          </cell>
          <cell r="L348">
            <v>48000</v>
          </cell>
          <cell r="M348">
            <v>-40000</v>
          </cell>
          <cell r="N348">
            <v>52000</v>
          </cell>
          <cell r="O348">
            <v>57000</v>
          </cell>
          <cell r="P348">
            <v>70000</v>
          </cell>
        </row>
        <row r="349">
          <cell r="C349" t="str">
            <v>Total Locations</v>
          </cell>
          <cell r="D349" t="str">
            <v>Telephone - Pagers</v>
          </cell>
          <cell r="E349">
            <v>48000</v>
          </cell>
          <cell r="F349">
            <v>35000</v>
          </cell>
          <cell r="G349">
            <v>32000</v>
          </cell>
          <cell r="H349">
            <v>31000</v>
          </cell>
          <cell r="I349">
            <v>31000</v>
          </cell>
          <cell r="J349">
            <v>31000</v>
          </cell>
          <cell r="K349">
            <v>31000</v>
          </cell>
          <cell r="L349">
            <v>31000</v>
          </cell>
          <cell r="M349">
            <v>31000</v>
          </cell>
          <cell r="N349">
            <v>36000</v>
          </cell>
          <cell r="O349">
            <v>44000</v>
          </cell>
          <cell r="P349">
            <v>44000</v>
          </cell>
        </row>
        <row r="350">
          <cell r="C350" t="str">
            <v>Total Locations</v>
          </cell>
          <cell r="D350" t="str">
            <v>Telephone - Direct</v>
          </cell>
          <cell r="E350" t="str">
            <v>0</v>
          </cell>
          <cell r="F350" t="str">
            <v>0</v>
          </cell>
          <cell r="G350" t="str">
            <v>0</v>
          </cell>
          <cell r="H350" t="str">
            <v>0</v>
          </cell>
          <cell r="I350" t="str">
            <v>0</v>
          </cell>
          <cell r="J350" t="str">
            <v>0</v>
          </cell>
          <cell r="K350" t="str">
            <v>0</v>
          </cell>
          <cell r="L350" t="str">
            <v>0</v>
          </cell>
          <cell r="M350" t="str">
            <v>0</v>
          </cell>
          <cell r="N350" t="str">
            <v>0</v>
          </cell>
          <cell r="O350" t="str">
            <v>0</v>
          </cell>
          <cell r="P350" t="str">
            <v>0</v>
          </cell>
        </row>
        <row r="351">
          <cell r="C351" t="str">
            <v>Total Locations</v>
          </cell>
          <cell r="D351" t="str">
            <v>800 # Charges</v>
          </cell>
          <cell r="E351" t="str">
            <v>0</v>
          </cell>
          <cell r="F351" t="str">
            <v>0</v>
          </cell>
          <cell r="G351" t="str">
            <v>0</v>
          </cell>
          <cell r="H351" t="str">
            <v>0</v>
          </cell>
          <cell r="I351" t="str">
            <v>0</v>
          </cell>
          <cell r="J351" t="str">
            <v>0</v>
          </cell>
          <cell r="K351" t="str">
            <v>0</v>
          </cell>
          <cell r="L351" t="str">
            <v>0</v>
          </cell>
          <cell r="M351" t="str">
            <v>0</v>
          </cell>
          <cell r="N351" t="str">
            <v>0</v>
          </cell>
          <cell r="O351" t="str">
            <v>0</v>
          </cell>
          <cell r="P351" t="str">
            <v>0</v>
          </cell>
        </row>
        <row r="352">
          <cell r="C352" t="str">
            <v>Total Locations</v>
          </cell>
          <cell r="D352" t="str">
            <v>Audio &amp; Video Conferencing</v>
          </cell>
          <cell r="E352">
            <v>62000</v>
          </cell>
          <cell r="F352">
            <v>58000</v>
          </cell>
          <cell r="G352">
            <v>32000</v>
          </cell>
          <cell r="H352">
            <v>32000</v>
          </cell>
          <cell r="I352">
            <v>32000</v>
          </cell>
          <cell r="J352">
            <v>32000</v>
          </cell>
          <cell r="K352">
            <v>32000</v>
          </cell>
          <cell r="L352">
            <v>32000</v>
          </cell>
          <cell r="M352">
            <v>32000</v>
          </cell>
          <cell r="N352">
            <v>32000</v>
          </cell>
          <cell r="O352">
            <v>50000</v>
          </cell>
          <cell r="P352">
            <v>68000</v>
          </cell>
        </row>
        <row r="353">
          <cell r="C353" t="str">
            <v>Total Locations</v>
          </cell>
          <cell r="D353" t="str">
            <v>Cellular Service</v>
          </cell>
          <cell r="E353">
            <v>135000</v>
          </cell>
          <cell r="F353">
            <v>112000</v>
          </cell>
          <cell r="G353">
            <v>112000</v>
          </cell>
          <cell r="H353">
            <v>112000</v>
          </cell>
          <cell r="I353">
            <v>112000</v>
          </cell>
          <cell r="J353">
            <v>112000</v>
          </cell>
          <cell r="K353">
            <v>112000</v>
          </cell>
          <cell r="L353">
            <v>112000</v>
          </cell>
          <cell r="M353">
            <v>112000</v>
          </cell>
          <cell r="N353">
            <v>112000</v>
          </cell>
          <cell r="O353">
            <v>112000</v>
          </cell>
          <cell r="P353">
            <v>112000</v>
          </cell>
        </row>
        <row r="354">
          <cell r="C354" t="str">
            <v>Total Locations</v>
          </cell>
          <cell r="D354" t="str">
            <v>Internet Service Provider Charges</v>
          </cell>
          <cell r="E354">
            <v>636677.75</v>
          </cell>
          <cell r="F354">
            <v>1561684.875</v>
          </cell>
          <cell r="G354">
            <v>1030000</v>
          </cell>
          <cell r="H354">
            <v>980000</v>
          </cell>
          <cell r="I354">
            <v>930000</v>
          </cell>
          <cell r="J354">
            <v>880000</v>
          </cell>
          <cell r="K354">
            <v>863333</v>
          </cell>
          <cell r="L354">
            <v>863333</v>
          </cell>
          <cell r="M354">
            <v>863334</v>
          </cell>
          <cell r="N354">
            <v>863333</v>
          </cell>
          <cell r="O354">
            <v>863333</v>
          </cell>
          <cell r="P354">
            <v>863334</v>
          </cell>
        </row>
        <row r="355">
          <cell r="C355" t="str">
            <v>Total Locations</v>
          </cell>
          <cell r="D355" t="str">
            <v>LEC Charges</v>
          </cell>
          <cell r="E355" t="str">
            <v>0</v>
          </cell>
          <cell r="F355" t="str">
            <v>0</v>
          </cell>
          <cell r="G355" t="str">
            <v>0</v>
          </cell>
          <cell r="H355" t="str">
            <v>0</v>
          </cell>
          <cell r="I355" t="str">
            <v>0</v>
          </cell>
          <cell r="J355" t="str">
            <v>0</v>
          </cell>
          <cell r="K355" t="str">
            <v>0</v>
          </cell>
          <cell r="L355" t="str">
            <v>0</v>
          </cell>
          <cell r="M355" t="str">
            <v>0</v>
          </cell>
          <cell r="N355" t="str">
            <v>0</v>
          </cell>
          <cell r="O355" t="str">
            <v>0</v>
          </cell>
          <cell r="P355" t="str">
            <v>0</v>
          </cell>
        </row>
        <row r="356">
          <cell r="C356" t="str">
            <v>Total Locations</v>
          </cell>
          <cell r="D356" t="str">
            <v>IXC Charges</v>
          </cell>
          <cell r="E356" t="str">
            <v>0</v>
          </cell>
          <cell r="F356" t="str">
            <v>0</v>
          </cell>
          <cell r="G356" t="str">
            <v>0</v>
          </cell>
          <cell r="H356" t="str">
            <v>0</v>
          </cell>
          <cell r="I356" t="str">
            <v>0</v>
          </cell>
          <cell r="J356" t="str">
            <v>0</v>
          </cell>
          <cell r="K356" t="str">
            <v>0</v>
          </cell>
          <cell r="L356" t="str">
            <v>0</v>
          </cell>
          <cell r="M356" t="str">
            <v>0</v>
          </cell>
          <cell r="N356" t="str">
            <v>0</v>
          </cell>
          <cell r="O356" t="str">
            <v>0</v>
          </cell>
          <cell r="P356" t="str">
            <v>0</v>
          </cell>
        </row>
        <row r="357">
          <cell r="C357" t="str">
            <v>Total Locations</v>
          </cell>
          <cell r="D357" t="str">
            <v>VOX Voice Connection Charges (History 6/97 - 2/99)</v>
          </cell>
          <cell r="E357" t="str">
            <v>0</v>
          </cell>
          <cell r="F357" t="str">
            <v>0</v>
          </cell>
          <cell r="G357" t="str">
            <v>0</v>
          </cell>
          <cell r="H357" t="str">
            <v>0</v>
          </cell>
          <cell r="I357" t="str">
            <v>0</v>
          </cell>
          <cell r="J357" t="str">
            <v>0</v>
          </cell>
          <cell r="K357" t="str">
            <v>0</v>
          </cell>
          <cell r="L357" t="str">
            <v>0</v>
          </cell>
          <cell r="M357" t="str">
            <v>0</v>
          </cell>
          <cell r="N357" t="str">
            <v>0</v>
          </cell>
          <cell r="O357" t="str">
            <v>0</v>
          </cell>
          <cell r="P357" t="str">
            <v>0</v>
          </cell>
        </row>
        <row r="358">
          <cell r="C358" t="str">
            <v>Total Locations</v>
          </cell>
          <cell r="D358" t="str">
            <v>Operating Leases - Telecom</v>
          </cell>
          <cell r="E358" t="str">
            <v>0</v>
          </cell>
          <cell r="F358" t="str">
            <v>0</v>
          </cell>
          <cell r="G358" t="str">
            <v>0</v>
          </cell>
          <cell r="H358" t="str">
            <v>0</v>
          </cell>
          <cell r="I358" t="str">
            <v>0</v>
          </cell>
          <cell r="J358" t="str">
            <v>0</v>
          </cell>
          <cell r="K358" t="str">
            <v>0</v>
          </cell>
          <cell r="L358" t="str">
            <v>0</v>
          </cell>
          <cell r="M358" t="str">
            <v>0</v>
          </cell>
          <cell r="N358" t="str">
            <v>0</v>
          </cell>
          <cell r="O358" t="str">
            <v>0</v>
          </cell>
          <cell r="P358" t="str">
            <v>0</v>
          </cell>
        </row>
        <row r="359">
          <cell r="C359" t="str">
            <v>Total Locations</v>
          </cell>
          <cell r="D359" t="str">
            <v>Office Supplies - Allocated</v>
          </cell>
          <cell r="E359" t="str">
            <v>0</v>
          </cell>
          <cell r="F359" t="str">
            <v>0</v>
          </cell>
          <cell r="G359" t="str">
            <v>0</v>
          </cell>
          <cell r="H359" t="str">
            <v>0</v>
          </cell>
          <cell r="I359" t="str">
            <v>0</v>
          </cell>
          <cell r="J359" t="str">
            <v>0</v>
          </cell>
          <cell r="K359" t="str">
            <v>0</v>
          </cell>
          <cell r="L359" t="str">
            <v>0</v>
          </cell>
          <cell r="M359" t="str">
            <v>0</v>
          </cell>
          <cell r="N359" t="str">
            <v>0</v>
          </cell>
          <cell r="O359" t="str">
            <v>0</v>
          </cell>
          <cell r="P359" t="str">
            <v>0</v>
          </cell>
        </row>
        <row r="360">
          <cell r="C360" t="str">
            <v>Total Locations</v>
          </cell>
          <cell r="D360" t="str">
            <v>Office Supplies - Direct</v>
          </cell>
          <cell r="E360" t="str">
            <v>0</v>
          </cell>
          <cell r="F360" t="str">
            <v>0</v>
          </cell>
          <cell r="G360" t="str">
            <v>0</v>
          </cell>
          <cell r="H360" t="str">
            <v>0</v>
          </cell>
          <cell r="I360" t="str">
            <v>0</v>
          </cell>
          <cell r="J360" t="str">
            <v>0</v>
          </cell>
          <cell r="K360" t="str">
            <v>0</v>
          </cell>
          <cell r="L360" t="str">
            <v>0</v>
          </cell>
          <cell r="M360" t="str">
            <v>0</v>
          </cell>
          <cell r="N360" t="str">
            <v>0</v>
          </cell>
          <cell r="O360" t="str">
            <v>0</v>
          </cell>
          <cell r="P360" t="str">
            <v>0</v>
          </cell>
        </row>
        <row r="361">
          <cell r="C361" t="str">
            <v>Total Locations</v>
          </cell>
          <cell r="D361" t="str">
            <v>Warehouse Supplies</v>
          </cell>
          <cell r="E361" t="str">
            <v>0</v>
          </cell>
          <cell r="F361" t="str">
            <v>0</v>
          </cell>
          <cell r="G361" t="str">
            <v>0</v>
          </cell>
          <cell r="H361" t="str">
            <v>0</v>
          </cell>
          <cell r="I361" t="str">
            <v>0</v>
          </cell>
          <cell r="J361" t="str">
            <v>0</v>
          </cell>
          <cell r="K361" t="str">
            <v>0</v>
          </cell>
          <cell r="L361" t="str">
            <v>0</v>
          </cell>
          <cell r="M361" t="str">
            <v>0</v>
          </cell>
          <cell r="N361" t="str">
            <v>0</v>
          </cell>
          <cell r="O361" t="str">
            <v>0</v>
          </cell>
          <cell r="P361" t="str">
            <v>0</v>
          </cell>
        </row>
        <row r="362">
          <cell r="C362" t="str">
            <v>Total Locations</v>
          </cell>
          <cell r="D362" t="str">
            <v>Safety Supplies</v>
          </cell>
          <cell r="E362" t="str">
            <v>0</v>
          </cell>
          <cell r="F362" t="str">
            <v>0</v>
          </cell>
          <cell r="G362" t="str">
            <v>0</v>
          </cell>
          <cell r="H362" t="str">
            <v>0</v>
          </cell>
          <cell r="I362" t="str">
            <v>0</v>
          </cell>
          <cell r="J362" t="str">
            <v>0</v>
          </cell>
          <cell r="K362" t="str">
            <v>0</v>
          </cell>
          <cell r="L362" t="str">
            <v>0</v>
          </cell>
          <cell r="M362" t="str">
            <v>0</v>
          </cell>
          <cell r="N362" t="str">
            <v>0</v>
          </cell>
          <cell r="O362" t="str">
            <v>0</v>
          </cell>
          <cell r="P362" t="str">
            <v>0</v>
          </cell>
        </row>
        <row r="363">
          <cell r="C363" t="str">
            <v>Total Locations</v>
          </cell>
          <cell r="D363" t="str">
            <v>Postage - US Postmaster</v>
          </cell>
          <cell r="E363" t="str">
            <v>0</v>
          </cell>
          <cell r="F363" t="str">
            <v>0</v>
          </cell>
          <cell r="G363" t="str">
            <v>0</v>
          </cell>
          <cell r="H363" t="str">
            <v>0</v>
          </cell>
          <cell r="I363" t="str">
            <v>0</v>
          </cell>
          <cell r="J363" t="str">
            <v>0</v>
          </cell>
          <cell r="K363" t="str">
            <v>0</v>
          </cell>
          <cell r="L363" t="str">
            <v>0</v>
          </cell>
          <cell r="M363" t="str">
            <v>0</v>
          </cell>
          <cell r="N363" t="str">
            <v>0</v>
          </cell>
          <cell r="O363" t="str">
            <v>0</v>
          </cell>
          <cell r="P363" t="str">
            <v>0</v>
          </cell>
        </row>
        <row r="364">
          <cell r="C364" t="str">
            <v>Total Locations</v>
          </cell>
          <cell r="D364" t="str">
            <v>Fed-Ex Charges</v>
          </cell>
          <cell r="E364" t="str">
            <v>0</v>
          </cell>
          <cell r="F364" t="str">
            <v>0</v>
          </cell>
          <cell r="G364" t="str">
            <v>0</v>
          </cell>
          <cell r="H364" t="str">
            <v>0</v>
          </cell>
          <cell r="I364" t="str">
            <v>0</v>
          </cell>
          <cell r="J364" t="str">
            <v>0</v>
          </cell>
          <cell r="K364" t="str">
            <v>0</v>
          </cell>
          <cell r="L364" t="str">
            <v>0</v>
          </cell>
          <cell r="M364" t="str">
            <v>0</v>
          </cell>
          <cell r="N364" t="str">
            <v>0</v>
          </cell>
          <cell r="O364" t="str">
            <v>0</v>
          </cell>
          <cell r="P364" t="str">
            <v>0</v>
          </cell>
        </row>
        <row r="365">
          <cell r="C365" t="str">
            <v>Total Locations</v>
          </cell>
          <cell r="D365" t="str">
            <v>UPS Charges</v>
          </cell>
          <cell r="E365" t="str">
            <v>0</v>
          </cell>
          <cell r="F365" t="str">
            <v>0</v>
          </cell>
          <cell r="G365" t="str">
            <v>0</v>
          </cell>
          <cell r="H365" t="str">
            <v>0</v>
          </cell>
          <cell r="I365" t="str">
            <v>0</v>
          </cell>
          <cell r="J365" t="str">
            <v>0</v>
          </cell>
          <cell r="K365" t="str">
            <v>0</v>
          </cell>
          <cell r="L365" t="str">
            <v>0</v>
          </cell>
          <cell r="M365" t="str">
            <v>0</v>
          </cell>
          <cell r="N365" t="str">
            <v>0</v>
          </cell>
          <cell r="O365" t="str">
            <v>0</v>
          </cell>
          <cell r="P365" t="str">
            <v>0</v>
          </cell>
        </row>
        <row r="366">
          <cell r="C366" t="str">
            <v>Total Locations</v>
          </cell>
          <cell r="D366" t="str">
            <v>Courier Charges</v>
          </cell>
          <cell r="E366" t="str">
            <v>0</v>
          </cell>
          <cell r="F366" t="str">
            <v>0</v>
          </cell>
          <cell r="G366" t="str">
            <v>0</v>
          </cell>
          <cell r="H366" t="str">
            <v>0</v>
          </cell>
          <cell r="I366" t="str">
            <v>0</v>
          </cell>
          <cell r="J366" t="str">
            <v>0</v>
          </cell>
          <cell r="K366" t="str">
            <v>0</v>
          </cell>
          <cell r="L366" t="str">
            <v>0</v>
          </cell>
          <cell r="M366" t="str">
            <v>0</v>
          </cell>
          <cell r="N366" t="str">
            <v>0</v>
          </cell>
          <cell r="O366" t="str">
            <v>0</v>
          </cell>
          <cell r="P366" t="str">
            <v>0</v>
          </cell>
        </row>
        <row r="367">
          <cell r="C367" t="str">
            <v>Total Locations</v>
          </cell>
          <cell r="D367" t="str">
            <v>Freight Non-Inventory</v>
          </cell>
          <cell r="E367" t="str">
            <v>0</v>
          </cell>
          <cell r="F367" t="str">
            <v>0</v>
          </cell>
          <cell r="G367" t="str">
            <v>0</v>
          </cell>
          <cell r="H367" t="str">
            <v>0</v>
          </cell>
          <cell r="I367" t="str">
            <v>0</v>
          </cell>
          <cell r="J367" t="str">
            <v>0</v>
          </cell>
          <cell r="K367" t="str">
            <v>0</v>
          </cell>
          <cell r="L367" t="str">
            <v>0</v>
          </cell>
          <cell r="M367" t="str">
            <v>0</v>
          </cell>
          <cell r="N367" t="str">
            <v>0</v>
          </cell>
          <cell r="O367" t="str">
            <v>0</v>
          </cell>
          <cell r="P367" t="str">
            <v>0</v>
          </cell>
        </row>
        <row r="368">
          <cell r="C368" t="str">
            <v>Total Locations</v>
          </cell>
          <cell r="D368" t="str">
            <v>Taxes &amp; Licenses</v>
          </cell>
          <cell r="E368" t="str">
            <v>0</v>
          </cell>
          <cell r="F368" t="str">
            <v>0</v>
          </cell>
          <cell r="G368" t="str">
            <v>0</v>
          </cell>
          <cell r="H368" t="str">
            <v>0</v>
          </cell>
          <cell r="I368" t="str">
            <v>0</v>
          </cell>
          <cell r="J368" t="str">
            <v>0</v>
          </cell>
          <cell r="K368" t="str">
            <v>0</v>
          </cell>
          <cell r="L368" t="str">
            <v>0</v>
          </cell>
          <cell r="M368" t="str">
            <v>0</v>
          </cell>
          <cell r="N368" t="str">
            <v>0</v>
          </cell>
          <cell r="O368" t="str">
            <v>0</v>
          </cell>
          <cell r="P368" t="str">
            <v>0</v>
          </cell>
        </row>
        <row r="369">
          <cell r="C369" t="str">
            <v>Total Locations</v>
          </cell>
          <cell r="D369" t="str">
            <v>Insurance</v>
          </cell>
          <cell r="E369" t="str">
            <v>0</v>
          </cell>
          <cell r="F369" t="str">
            <v>0</v>
          </cell>
          <cell r="G369" t="str">
            <v>0</v>
          </cell>
          <cell r="H369" t="str">
            <v>0</v>
          </cell>
          <cell r="I369" t="str">
            <v>0</v>
          </cell>
          <cell r="J369" t="str">
            <v>0</v>
          </cell>
          <cell r="K369" t="str">
            <v>0</v>
          </cell>
          <cell r="L369" t="str">
            <v>0</v>
          </cell>
          <cell r="M369" t="str">
            <v>0</v>
          </cell>
          <cell r="N369" t="str">
            <v>0</v>
          </cell>
          <cell r="O369" t="str">
            <v>0</v>
          </cell>
          <cell r="P369" t="str">
            <v>0</v>
          </cell>
        </row>
        <row r="370">
          <cell r="C370" t="str">
            <v>Total Locations</v>
          </cell>
          <cell r="D370" t="str">
            <v>Bank and Other Charges</v>
          </cell>
          <cell r="E370" t="str">
            <v>0</v>
          </cell>
          <cell r="F370" t="str">
            <v>0</v>
          </cell>
          <cell r="G370" t="str">
            <v>0</v>
          </cell>
          <cell r="H370" t="str">
            <v>0</v>
          </cell>
          <cell r="I370" t="str">
            <v>0</v>
          </cell>
          <cell r="J370" t="str">
            <v>0</v>
          </cell>
          <cell r="K370" t="str">
            <v>0</v>
          </cell>
          <cell r="L370" t="str">
            <v>0</v>
          </cell>
          <cell r="M370" t="str">
            <v>0</v>
          </cell>
          <cell r="N370" t="str">
            <v>0</v>
          </cell>
          <cell r="O370" t="str">
            <v>0</v>
          </cell>
          <cell r="P370" t="str">
            <v>0</v>
          </cell>
        </row>
        <row r="371">
          <cell r="C371" t="str">
            <v>Total Locations</v>
          </cell>
          <cell r="D371" t="str">
            <v>Bad Debt Expenses</v>
          </cell>
          <cell r="E371" t="str">
            <v>0</v>
          </cell>
          <cell r="F371" t="str">
            <v>0</v>
          </cell>
          <cell r="G371" t="str">
            <v>0</v>
          </cell>
          <cell r="H371" t="str">
            <v>0</v>
          </cell>
          <cell r="I371" t="str">
            <v>0</v>
          </cell>
          <cell r="J371" t="str">
            <v>0</v>
          </cell>
          <cell r="K371" t="str">
            <v>0</v>
          </cell>
          <cell r="L371" t="str">
            <v>0</v>
          </cell>
          <cell r="M371" t="str">
            <v>0</v>
          </cell>
          <cell r="N371" t="str">
            <v>0</v>
          </cell>
          <cell r="O371" t="str">
            <v>0</v>
          </cell>
          <cell r="P371" t="str">
            <v>0</v>
          </cell>
        </row>
        <row r="372">
          <cell r="C372" t="str">
            <v>Total Locations</v>
          </cell>
          <cell r="D372" t="str">
            <v>Travel &amp; Entertainment</v>
          </cell>
          <cell r="E372">
            <v>8840.7799000000032</v>
          </cell>
          <cell r="F372">
            <v>-47222.94920000001</v>
          </cell>
          <cell r="G372">
            <v>50091.143299999996</v>
          </cell>
          <cell r="H372">
            <v>51149.956099999996</v>
          </cell>
          <cell r="I372">
            <v>51877.352599999998</v>
          </cell>
          <cell r="J372">
            <v>51877.352599999998</v>
          </cell>
          <cell r="K372">
            <v>51877.352599999998</v>
          </cell>
          <cell r="L372">
            <v>51877.352599999998</v>
          </cell>
          <cell r="M372">
            <v>51877.352599999998</v>
          </cell>
          <cell r="N372">
            <v>51877.352599999998</v>
          </cell>
          <cell r="O372">
            <v>51877.352599999998</v>
          </cell>
          <cell r="P372">
            <v>51877.352599999998</v>
          </cell>
        </row>
        <row r="373">
          <cell r="C373" t="str">
            <v>Total Locations</v>
          </cell>
          <cell r="D373" t="str">
            <v>Legal Fees</v>
          </cell>
          <cell r="E373" t="str">
            <v>0</v>
          </cell>
          <cell r="F373" t="str">
            <v>0</v>
          </cell>
          <cell r="G373" t="str">
            <v>0</v>
          </cell>
          <cell r="H373" t="str">
            <v>0</v>
          </cell>
          <cell r="I373" t="str">
            <v>0</v>
          </cell>
          <cell r="J373" t="str">
            <v>0</v>
          </cell>
          <cell r="K373" t="str">
            <v>0</v>
          </cell>
          <cell r="L373" t="str">
            <v>0</v>
          </cell>
          <cell r="M373" t="str">
            <v>0</v>
          </cell>
          <cell r="N373" t="str">
            <v>0</v>
          </cell>
          <cell r="O373" t="str">
            <v>0</v>
          </cell>
          <cell r="P373" t="str">
            <v>0</v>
          </cell>
        </row>
        <row r="374">
          <cell r="C374" t="str">
            <v>Total Locations</v>
          </cell>
          <cell r="D374" t="str">
            <v>Public Company Charges</v>
          </cell>
          <cell r="E374" t="str">
            <v>0</v>
          </cell>
          <cell r="F374" t="str">
            <v>0</v>
          </cell>
          <cell r="G374" t="str">
            <v>0</v>
          </cell>
          <cell r="H374" t="str">
            <v>0</v>
          </cell>
          <cell r="I374" t="str">
            <v>0</v>
          </cell>
          <cell r="J374" t="str">
            <v>0</v>
          </cell>
          <cell r="K374" t="str">
            <v>0</v>
          </cell>
          <cell r="L374" t="str">
            <v>0</v>
          </cell>
          <cell r="M374" t="str">
            <v>0</v>
          </cell>
          <cell r="N374" t="str">
            <v>0</v>
          </cell>
          <cell r="O374" t="str">
            <v>0</v>
          </cell>
          <cell r="P374" t="str">
            <v>0</v>
          </cell>
        </row>
        <row r="375">
          <cell r="C375" t="str">
            <v>Total Locations</v>
          </cell>
          <cell r="D375" t="str">
            <v>Professional Consulting</v>
          </cell>
          <cell r="E375">
            <v>-1297.21</v>
          </cell>
          <cell r="F375">
            <v>86.49</v>
          </cell>
          <cell r="G375" t="str">
            <v>0</v>
          </cell>
          <cell r="H375" t="str">
            <v>0</v>
          </cell>
          <cell r="I375" t="str">
            <v>0</v>
          </cell>
          <cell r="J375" t="str">
            <v>0</v>
          </cell>
          <cell r="K375" t="str">
            <v>0</v>
          </cell>
          <cell r="L375" t="str">
            <v>0</v>
          </cell>
          <cell r="M375" t="str">
            <v>0</v>
          </cell>
          <cell r="N375" t="str">
            <v>0</v>
          </cell>
          <cell r="O375" t="str">
            <v>0</v>
          </cell>
          <cell r="P375" t="str">
            <v>0</v>
          </cell>
        </row>
        <row r="376">
          <cell r="C376" t="str">
            <v>Total Locations</v>
          </cell>
          <cell r="D376" t="str">
            <v>Outside Services</v>
          </cell>
          <cell r="E376" t="str">
            <v>0</v>
          </cell>
          <cell r="F376" t="str">
            <v>0</v>
          </cell>
          <cell r="G376" t="str">
            <v>0</v>
          </cell>
          <cell r="H376" t="str">
            <v>0</v>
          </cell>
          <cell r="I376" t="str">
            <v>0</v>
          </cell>
          <cell r="J376" t="str">
            <v>0</v>
          </cell>
          <cell r="K376" t="str">
            <v>0</v>
          </cell>
          <cell r="L376" t="str">
            <v>0</v>
          </cell>
          <cell r="M376" t="str">
            <v>0</v>
          </cell>
          <cell r="N376" t="str">
            <v>0</v>
          </cell>
          <cell r="O376" t="str">
            <v>0</v>
          </cell>
          <cell r="P376" t="str">
            <v>0</v>
          </cell>
        </row>
        <row r="377">
          <cell r="C377" t="str">
            <v>Total Locations</v>
          </cell>
          <cell r="D377" t="str">
            <v>Accounting Fees</v>
          </cell>
          <cell r="E377" t="str">
            <v>0</v>
          </cell>
          <cell r="F377" t="str">
            <v>0</v>
          </cell>
          <cell r="G377" t="str">
            <v>0</v>
          </cell>
          <cell r="H377" t="str">
            <v>0</v>
          </cell>
          <cell r="I377" t="str">
            <v>0</v>
          </cell>
          <cell r="J377" t="str">
            <v>0</v>
          </cell>
          <cell r="K377" t="str">
            <v>0</v>
          </cell>
          <cell r="L377" t="str">
            <v>0</v>
          </cell>
          <cell r="M377" t="str">
            <v>0</v>
          </cell>
          <cell r="N377" t="str">
            <v>0</v>
          </cell>
          <cell r="O377" t="str">
            <v>0</v>
          </cell>
          <cell r="P377" t="str">
            <v>0</v>
          </cell>
        </row>
        <row r="378">
          <cell r="C378" t="str">
            <v>Total Locations</v>
          </cell>
          <cell r="D378" t="str">
            <v>HR - Fees</v>
          </cell>
          <cell r="E378" t="str">
            <v>0</v>
          </cell>
          <cell r="F378" t="str">
            <v>0</v>
          </cell>
          <cell r="G378" t="str">
            <v>0</v>
          </cell>
          <cell r="H378" t="str">
            <v>0</v>
          </cell>
          <cell r="I378" t="str">
            <v>0</v>
          </cell>
          <cell r="J378" t="str">
            <v>0</v>
          </cell>
          <cell r="K378" t="str">
            <v>0</v>
          </cell>
          <cell r="L378" t="str">
            <v>0</v>
          </cell>
          <cell r="M378" t="str">
            <v>0</v>
          </cell>
          <cell r="N378" t="str">
            <v>0</v>
          </cell>
          <cell r="O378" t="str">
            <v>0</v>
          </cell>
          <cell r="P378" t="str">
            <v>0</v>
          </cell>
        </row>
        <row r="379">
          <cell r="C379" t="str">
            <v>Total Locations</v>
          </cell>
          <cell r="D379" t="str">
            <v>Special Projects</v>
          </cell>
          <cell r="E379" t="str">
            <v>0</v>
          </cell>
          <cell r="F379" t="str">
            <v>0</v>
          </cell>
          <cell r="G379" t="str">
            <v>0</v>
          </cell>
          <cell r="H379" t="str">
            <v>0</v>
          </cell>
          <cell r="I379" t="str">
            <v>0</v>
          </cell>
          <cell r="J379" t="str">
            <v>0</v>
          </cell>
          <cell r="K379" t="str">
            <v>0</v>
          </cell>
          <cell r="L379" t="str">
            <v>0</v>
          </cell>
          <cell r="M379" t="str">
            <v>0</v>
          </cell>
          <cell r="N379" t="str">
            <v>0</v>
          </cell>
          <cell r="O379" t="str">
            <v>0</v>
          </cell>
          <cell r="P379" t="str">
            <v>0</v>
          </cell>
        </row>
        <row r="380">
          <cell r="C380" t="str">
            <v>Total Locations</v>
          </cell>
          <cell r="D380" t="str">
            <v>Other Administrative Expenses</v>
          </cell>
          <cell r="E380">
            <v>336921.31539999996</v>
          </cell>
          <cell r="F380">
            <v>197805.80049999995</v>
          </cell>
          <cell r="G380">
            <v>39730.836299999995</v>
          </cell>
          <cell r="H380">
            <v>40330.802199999998</v>
          </cell>
          <cell r="I380">
            <v>40428.239199999996</v>
          </cell>
          <cell r="J380">
            <v>40428.239199999996</v>
          </cell>
          <cell r="K380">
            <v>40428.239199999996</v>
          </cell>
          <cell r="L380">
            <v>40428.239199999996</v>
          </cell>
          <cell r="M380">
            <v>40428.239199999996</v>
          </cell>
          <cell r="N380">
            <v>40428.239199999996</v>
          </cell>
          <cell r="O380">
            <v>40428.239199999996</v>
          </cell>
          <cell r="P380">
            <v>40428.239199999996</v>
          </cell>
        </row>
        <row r="381">
          <cell r="E381" t="str">
            <v>-</v>
          </cell>
          <cell r="F381" t="str">
            <v>-</v>
          </cell>
          <cell r="G381" t="str">
            <v>-</v>
          </cell>
          <cell r="H381" t="str">
            <v>-</v>
          </cell>
          <cell r="I381" t="str">
            <v>-</v>
          </cell>
          <cell r="J381" t="str">
            <v>-</v>
          </cell>
          <cell r="K381" t="str">
            <v>-</v>
          </cell>
          <cell r="L381" t="str">
            <v>-</v>
          </cell>
          <cell r="M381" t="str">
            <v>-</v>
          </cell>
          <cell r="N381" t="str">
            <v>-</v>
          </cell>
          <cell r="O381" t="str">
            <v>-</v>
          </cell>
          <cell r="P381" t="str">
            <v>-</v>
          </cell>
        </row>
        <row r="382">
          <cell r="C382" t="str">
            <v>Total Locations</v>
          </cell>
          <cell r="D382" t="str">
            <v>Administrative Expenses</v>
          </cell>
          <cell r="E382">
            <v>7626925.2379000001</v>
          </cell>
          <cell r="F382">
            <v>8126954.4682000009</v>
          </cell>
          <cell r="G382">
            <v>8027735.4313000003</v>
          </cell>
          <cell r="H382">
            <v>8081331.5898000011</v>
          </cell>
          <cell r="I382">
            <v>8090753.2934000017</v>
          </cell>
          <cell r="J382">
            <v>8230280.8160000015</v>
          </cell>
          <cell r="K382">
            <v>5981945.6615999993</v>
          </cell>
          <cell r="L382">
            <v>6099376.7625000002</v>
          </cell>
          <cell r="M382">
            <v>6157310.6964999987</v>
          </cell>
          <cell r="N382">
            <v>6330339.1990999999</v>
          </cell>
          <cell r="O382">
            <v>6425693.6567999991</v>
          </cell>
          <cell r="P382">
            <v>6399285.9683999987</v>
          </cell>
        </row>
        <row r="384">
          <cell r="C384" t="str">
            <v>Total Locations</v>
          </cell>
          <cell r="D384" t="str">
            <v>TRU-Contra Expenses (Parent)</v>
          </cell>
          <cell r="E384" t="str">
            <v>0</v>
          </cell>
          <cell r="F384" t="str">
            <v>0</v>
          </cell>
          <cell r="G384" t="str">
            <v>0</v>
          </cell>
          <cell r="H384" t="str">
            <v>0</v>
          </cell>
          <cell r="I384" t="str">
            <v>0</v>
          </cell>
          <cell r="J384" t="str">
            <v>0</v>
          </cell>
          <cell r="K384" t="str">
            <v>0</v>
          </cell>
          <cell r="L384" t="str">
            <v>0</v>
          </cell>
          <cell r="M384" t="str">
            <v>0</v>
          </cell>
          <cell r="N384" t="str">
            <v>0</v>
          </cell>
          <cell r="O384" t="str">
            <v>0</v>
          </cell>
          <cell r="P384" t="str">
            <v>0</v>
          </cell>
        </row>
        <row r="385">
          <cell r="C385" t="str">
            <v>Total Locations</v>
          </cell>
          <cell r="D385" t="str">
            <v>Unspecified OPEX</v>
          </cell>
          <cell r="E385" t="str">
            <v>0</v>
          </cell>
          <cell r="F385" t="str">
            <v>0</v>
          </cell>
          <cell r="G385" t="str">
            <v>0</v>
          </cell>
          <cell r="H385" t="str">
            <v>0</v>
          </cell>
          <cell r="I385" t="str">
            <v>0</v>
          </cell>
          <cell r="J385" t="str">
            <v>0</v>
          </cell>
          <cell r="K385" t="str">
            <v>0</v>
          </cell>
          <cell r="L385" t="str">
            <v>0</v>
          </cell>
          <cell r="M385" t="str">
            <v>0</v>
          </cell>
          <cell r="N385" t="str">
            <v>0</v>
          </cell>
          <cell r="O385" t="str">
            <v>0</v>
          </cell>
          <cell r="P385" t="str">
            <v>0</v>
          </cell>
        </row>
        <row r="386">
          <cell r="E386" t="str">
            <v>-</v>
          </cell>
          <cell r="F386" t="str">
            <v>-</v>
          </cell>
          <cell r="G386" t="str">
            <v>-</v>
          </cell>
          <cell r="H386" t="str">
            <v>-</v>
          </cell>
          <cell r="I386" t="str">
            <v>-</v>
          </cell>
          <cell r="J386" t="str">
            <v>-</v>
          </cell>
          <cell r="K386" t="str">
            <v>-</v>
          </cell>
          <cell r="L386" t="str">
            <v>-</v>
          </cell>
          <cell r="M386" t="str">
            <v>-</v>
          </cell>
          <cell r="N386" t="str">
            <v>-</v>
          </cell>
          <cell r="O386" t="str">
            <v>-</v>
          </cell>
          <cell r="P386" t="str">
            <v>-</v>
          </cell>
        </row>
        <row r="387">
          <cell r="C387" t="str">
            <v>Total Locations</v>
          </cell>
          <cell r="D387" t="str">
            <v>Operating Expenses</v>
          </cell>
          <cell r="E387">
            <v>9782034.4013</v>
          </cell>
          <cell r="F387">
            <v>10104122.166800002</v>
          </cell>
          <cell r="G387">
            <v>9806238.9551999997</v>
          </cell>
          <cell r="H387">
            <v>10270174.855100002</v>
          </cell>
          <cell r="I387">
            <v>10197140.435700001</v>
          </cell>
          <cell r="J387">
            <v>10313051.171200002</v>
          </cell>
          <cell r="K387">
            <v>8055521.6239999998</v>
          </cell>
          <cell r="L387">
            <v>8160996.4821000006</v>
          </cell>
          <cell r="M387">
            <v>8209876.0812999988</v>
          </cell>
          <cell r="N387">
            <v>8379705.7504000003</v>
          </cell>
          <cell r="O387">
            <v>8477691.8750999998</v>
          </cell>
          <cell r="P387">
            <v>8447397.8523999993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>
        <row r="108">
          <cell r="E108" t="str">
            <v>US Core Businesses</v>
          </cell>
        </row>
      </sheetData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  <sheetData sheetId="52" refreshError="1"/>
      <sheetData sheetId="53" refreshError="1"/>
      <sheetData sheetId="54">
        <row r="108">
          <cell r="E108" t="str">
            <v>US Core Businesses</v>
          </cell>
        </row>
      </sheetData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tegorty Definition"/>
      <sheetName val="Sheet1"/>
      <sheetName val="Category"/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Nov"/>
      <sheetName val="Dec"/>
    </sheetNames>
    <sheetDataSet>
      <sheetData sheetId="0">
        <row r="22">
          <cell r="B22" t="str">
            <v>Branding</v>
          </cell>
          <cell r="C22" t="str">
            <v>Branding</v>
          </cell>
          <cell r="D22" t="str">
            <v>Seller Story</v>
          </cell>
        </row>
        <row r="23">
          <cell r="B23" t="str">
            <v>Branding</v>
          </cell>
          <cell r="C23" t="str">
            <v>Event</v>
          </cell>
        </row>
        <row r="24">
          <cell r="B24" t="str">
            <v>Branding</v>
          </cell>
          <cell r="C24" t="str">
            <v>Marketplace</v>
          </cell>
        </row>
        <row r="25">
          <cell r="B25" t="str">
            <v>Branding</v>
          </cell>
          <cell r="C25" t="str">
            <v>Seller Segment</v>
          </cell>
        </row>
        <row r="26">
          <cell r="B26" t="str">
            <v>Lead_Gen</v>
          </cell>
          <cell r="C26" t="str">
            <v>Marketplace</v>
          </cell>
        </row>
        <row r="27">
          <cell r="B27" t="str">
            <v>Lead_Gen</v>
          </cell>
          <cell r="C27" t="str">
            <v>Seller Segment</v>
          </cell>
        </row>
        <row r="28">
          <cell r="B28" t="str">
            <v>Lead_Gen</v>
          </cell>
          <cell r="C28" t="str">
            <v>Lead/Reg. Start to Launch</v>
          </cell>
        </row>
        <row r="29">
          <cell r="B29" t="str">
            <v>Seller_Success</v>
          </cell>
          <cell r="C29" t="str">
            <v>Perfect Launch</v>
          </cell>
        </row>
        <row r="30">
          <cell r="B30" t="str">
            <v>Seller_Success</v>
          </cell>
          <cell r="C30" t="str">
            <v>Logistic &amp; Inventory management</v>
          </cell>
        </row>
        <row r="31">
          <cell r="B31" t="str">
            <v>Seller_Success</v>
          </cell>
          <cell r="C31" t="str">
            <v>Compliance</v>
          </cell>
        </row>
        <row r="32">
          <cell r="B32" t="str">
            <v>Seller_Success</v>
          </cell>
          <cell r="C32" t="str">
            <v>Traffic &amp; Conversion</v>
          </cell>
        </row>
        <row r="33">
          <cell r="B33" t="str">
            <v>Seller_Success</v>
          </cell>
          <cell r="C33" t="str">
            <v>Brand Owner Tools</v>
          </cell>
        </row>
        <row r="34">
          <cell r="B34" t="str">
            <v>Seller_Success</v>
          </cell>
          <cell r="C34" t="str">
            <v>Finance Product</v>
          </cell>
        </row>
        <row r="35">
          <cell r="B35" t="str">
            <v>Seller_Success</v>
          </cell>
          <cell r="C35" t="str">
            <v>Selection Guidance</v>
          </cell>
        </row>
        <row r="36">
          <cell r="B36" t="str">
            <v>Seller_Success</v>
          </cell>
          <cell r="C36" t="str">
            <v xml:space="preserve">Amazon Business </v>
          </cell>
        </row>
        <row r="37">
          <cell r="B37" t="str">
            <v>Seller_Success</v>
          </cell>
          <cell r="C37" t="str">
            <v>Private Brands</v>
          </cell>
        </row>
        <row r="38">
          <cell r="B38" t="str">
            <v>Seller_Success</v>
          </cell>
          <cell r="C38" t="str">
            <v>Paid Service</v>
          </cell>
        </row>
        <row r="39">
          <cell r="B39" t="str">
            <v>Seller_Success</v>
          </cell>
          <cell r="C39" t="str">
            <v>Seller Education</v>
          </cell>
        </row>
        <row r="40">
          <cell r="B40" t="str">
            <v>Seller_Success</v>
          </cell>
          <cell r="C40" t="str">
            <v>SPN</v>
          </cell>
        </row>
        <row r="41">
          <cell r="B41" t="str">
            <v>Seller_Success</v>
          </cell>
          <cell r="C41" t="str">
            <v>Mass Account Management</v>
          </cell>
        </row>
        <row r="42">
          <cell r="B42" t="str">
            <v>Seller_Success</v>
          </cell>
          <cell r="C42" t="str">
            <v>Others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3"/>
  <sheetViews>
    <sheetView topLeftCell="A19" zoomScale="55" zoomScaleNormal="55" workbookViewId="0">
      <pane xSplit="17" topLeftCell="R1" activePane="topRight" state="frozen"/>
      <selection pane="topRight" activeCell="B33" sqref="B33:W33"/>
    </sheetView>
  </sheetViews>
  <sheetFormatPr defaultColWidth="73.453125" defaultRowHeight="45" customHeight="1" x14ac:dyDescent="0.25"/>
  <cols>
    <col min="1" max="1" width="14.81640625" style="65" customWidth="1"/>
    <col min="2" max="2" width="28.26953125" style="65" customWidth="1"/>
    <col min="3" max="3" width="36.7265625" style="65" customWidth="1"/>
    <col min="4" max="4" width="36.453125" style="65" customWidth="1"/>
    <col min="5" max="17" width="73.453125" style="65" hidden="1" customWidth="1"/>
    <col min="18" max="18" width="73.453125" style="65" customWidth="1"/>
    <col min="19" max="16384" width="73.453125" style="65"/>
  </cols>
  <sheetData>
    <row r="1" spans="1:23" ht="45" customHeight="1" x14ac:dyDescent="0.25">
      <c r="A1" s="66"/>
      <c r="B1" s="153" t="s">
        <v>0</v>
      </c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67"/>
      <c r="S1" s="155" t="s">
        <v>1</v>
      </c>
      <c r="T1" s="154"/>
      <c r="U1" s="154"/>
      <c r="V1" s="68"/>
      <c r="W1" s="69"/>
    </row>
    <row r="2" spans="1:23" ht="45" customHeight="1" x14ac:dyDescent="0.25">
      <c r="A2" s="70">
        <v>1</v>
      </c>
      <c r="B2" s="156" t="s">
        <v>2</v>
      </c>
      <c r="C2" s="157"/>
      <c r="D2" s="158"/>
      <c r="E2" s="71" t="s">
        <v>3</v>
      </c>
      <c r="F2" s="72" t="s">
        <v>4</v>
      </c>
      <c r="G2" s="72" t="s">
        <v>5</v>
      </c>
      <c r="H2" s="72" t="s">
        <v>6</v>
      </c>
      <c r="I2" s="72" t="s">
        <v>7</v>
      </c>
      <c r="J2" s="72" t="s">
        <v>8</v>
      </c>
      <c r="K2" s="72" t="s">
        <v>9</v>
      </c>
      <c r="L2" s="72" t="s">
        <v>10</v>
      </c>
      <c r="M2" s="72" t="s">
        <v>11</v>
      </c>
      <c r="N2" s="72" t="s">
        <v>12</v>
      </c>
      <c r="O2" s="72" t="s">
        <v>13</v>
      </c>
      <c r="P2" s="72" t="s">
        <v>14</v>
      </c>
      <c r="Q2" s="73" t="s">
        <v>15</v>
      </c>
      <c r="R2" s="211" t="s">
        <v>1387</v>
      </c>
      <c r="S2" s="72" t="s">
        <v>3</v>
      </c>
      <c r="T2" s="72" t="s">
        <v>4</v>
      </c>
      <c r="U2" s="72" t="s">
        <v>5</v>
      </c>
      <c r="V2" s="72" t="s">
        <v>6</v>
      </c>
      <c r="W2" s="74" t="s">
        <v>16</v>
      </c>
    </row>
    <row r="3" spans="1:23" ht="45" customHeight="1" x14ac:dyDescent="0.25">
      <c r="A3" s="70">
        <v>2</v>
      </c>
      <c r="B3" s="167" t="s">
        <v>17</v>
      </c>
      <c r="C3" s="182" t="s">
        <v>18</v>
      </c>
      <c r="D3" s="75" t="s">
        <v>19</v>
      </c>
      <c r="E3" s="159" t="s">
        <v>20</v>
      </c>
      <c r="F3" s="160"/>
      <c r="G3" s="161"/>
      <c r="H3" s="162" t="s">
        <v>21</v>
      </c>
      <c r="I3" s="159"/>
      <c r="J3" s="161"/>
      <c r="K3" s="163" t="s">
        <v>22</v>
      </c>
      <c r="L3" s="160"/>
      <c r="M3" s="164"/>
      <c r="N3" s="165" t="s">
        <v>23</v>
      </c>
      <c r="O3" s="166"/>
      <c r="P3" s="166"/>
      <c r="Q3" s="76"/>
      <c r="R3" s="76"/>
      <c r="S3" s="167" t="s">
        <v>24</v>
      </c>
      <c r="T3" s="168"/>
      <c r="U3" s="169" t="s">
        <v>25</v>
      </c>
      <c r="V3" s="166"/>
      <c r="W3" s="187" t="s">
        <v>26</v>
      </c>
    </row>
    <row r="4" spans="1:23" ht="45" customHeight="1" x14ac:dyDescent="0.25">
      <c r="A4" s="70">
        <v>3</v>
      </c>
      <c r="B4" s="167"/>
      <c r="C4" s="183"/>
      <c r="D4" s="77" t="s">
        <v>27</v>
      </c>
      <c r="E4" s="78">
        <f t="shared" ref="E4:P4" si="0">SUM(E5:E6)</f>
        <v>29900</v>
      </c>
      <c r="F4" s="79">
        <f t="shared" si="0"/>
        <v>61500</v>
      </c>
      <c r="G4" s="79">
        <f t="shared" si="0"/>
        <v>72261</v>
      </c>
      <c r="H4" s="80">
        <f t="shared" si="0"/>
        <v>49400</v>
      </c>
      <c r="I4" s="80">
        <f t="shared" si="0"/>
        <v>60358</v>
      </c>
      <c r="J4" s="79">
        <f t="shared" si="0"/>
        <v>51795</v>
      </c>
      <c r="K4" s="79">
        <f t="shared" si="0"/>
        <v>35000</v>
      </c>
      <c r="L4" s="81">
        <f t="shared" si="0"/>
        <v>45366</v>
      </c>
      <c r="M4" s="80">
        <f t="shared" si="0"/>
        <v>48755</v>
      </c>
      <c r="N4" s="81">
        <f t="shared" si="0"/>
        <v>36200</v>
      </c>
      <c r="O4" s="81">
        <f t="shared" si="0"/>
        <v>34300</v>
      </c>
      <c r="P4" s="79">
        <f t="shared" si="0"/>
        <v>65624</v>
      </c>
      <c r="Q4" s="82">
        <f t="shared" ref="Q4:Q6" si="1">SUM(E4:P4)</f>
        <v>590459</v>
      </c>
      <c r="R4" s="208"/>
      <c r="S4" s="200">
        <f t="shared" ref="S4:V4" si="2">SUM(S5:S6)</f>
        <v>29800</v>
      </c>
      <c r="T4" s="201">
        <f t="shared" si="2"/>
        <v>40657</v>
      </c>
      <c r="U4" s="201">
        <v>35550</v>
      </c>
      <c r="V4" s="201">
        <f t="shared" si="2"/>
        <v>62548</v>
      </c>
      <c r="W4" s="188"/>
    </row>
    <row r="5" spans="1:23" ht="45" customHeight="1" x14ac:dyDescent="0.25">
      <c r="A5" s="70">
        <v>4</v>
      </c>
      <c r="B5" s="167"/>
      <c r="C5" s="183"/>
      <c r="D5" s="84" t="s">
        <v>28</v>
      </c>
      <c r="E5" s="85"/>
      <c r="F5" s="85"/>
      <c r="G5" s="79">
        <v>19361</v>
      </c>
      <c r="H5" s="85"/>
      <c r="I5" s="79">
        <v>16858</v>
      </c>
      <c r="J5" s="79">
        <v>16295</v>
      </c>
      <c r="K5" s="85"/>
      <c r="L5" s="79">
        <v>14366</v>
      </c>
      <c r="M5" s="81">
        <v>14455</v>
      </c>
      <c r="N5" s="85"/>
      <c r="O5" s="85"/>
      <c r="P5" s="79">
        <f>8156*4</f>
        <v>32624</v>
      </c>
      <c r="Q5" s="86">
        <f t="shared" si="1"/>
        <v>113959</v>
      </c>
      <c r="R5" s="208"/>
      <c r="S5" s="87"/>
      <c r="T5" s="79">
        <v>13257</v>
      </c>
      <c r="U5" s="85"/>
      <c r="V5" s="79">
        <v>13898</v>
      </c>
      <c r="W5" s="188"/>
    </row>
    <row r="6" spans="1:23" ht="45" customHeight="1" x14ac:dyDescent="0.25">
      <c r="A6" s="70">
        <v>5</v>
      </c>
      <c r="B6" s="167"/>
      <c r="C6" s="183"/>
      <c r="D6" s="84" t="s">
        <v>29</v>
      </c>
      <c r="E6" s="78">
        <v>29900</v>
      </c>
      <c r="F6" s="88">
        <v>61500</v>
      </c>
      <c r="G6" s="79">
        <v>52900</v>
      </c>
      <c r="H6" s="88">
        <v>49400</v>
      </c>
      <c r="I6" s="79">
        <v>43500</v>
      </c>
      <c r="J6" s="79">
        <v>35500</v>
      </c>
      <c r="K6" s="79">
        <v>35000</v>
      </c>
      <c r="L6" s="79">
        <v>31000</v>
      </c>
      <c r="M6" s="81">
        <v>34300</v>
      </c>
      <c r="N6" s="79">
        <v>36200</v>
      </c>
      <c r="O6" s="79">
        <v>34300</v>
      </c>
      <c r="P6" s="82">
        <v>33000</v>
      </c>
      <c r="Q6" s="82">
        <f t="shared" si="1"/>
        <v>476500</v>
      </c>
      <c r="R6" s="208"/>
      <c r="S6" s="83">
        <v>29800</v>
      </c>
      <c r="T6" s="79">
        <v>27400</v>
      </c>
      <c r="U6" s="79">
        <v>35550</v>
      </c>
      <c r="V6" s="79">
        <v>48650</v>
      </c>
      <c r="W6" s="89"/>
    </row>
    <row r="7" spans="1:23" ht="45" customHeight="1" x14ac:dyDescent="0.25">
      <c r="A7" s="70">
        <v>6</v>
      </c>
      <c r="B7" s="167"/>
      <c r="C7" s="183"/>
      <c r="D7" s="90" t="s">
        <v>30</v>
      </c>
      <c r="E7" s="91"/>
      <c r="F7" s="92"/>
      <c r="G7" s="92" t="s">
        <v>31</v>
      </c>
      <c r="H7" s="92"/>
      <c r="I7" s="93" t="s">
        <v>32</v>
      </c>
      <c r="J7" s="93" t="s">
        <v>33</v>
      </c>
      <c r="K7" s="93"/>
      <c r="L7" s="93" t="s">
        <v>34</v>
      </c>
      <c r="M7" s="94" t="s">
        <v>35</v>
      </c>
      <c r="N7" s="93"/>
      <c r="O7" s="93"/>
      <c r="P7" s="95" t="s">
        <v>36</v>
      </c>
      <c r="Q7" s="95"/>
      <c r="R7" s="209"/>
      <c r="S7" s="96"/>
      <c r="T7" s="93" t="s">
        <v>37</v>
      </c>
      <c r="U7" s="93"/>
      <c r="V7" s="93" t="s">
        <v>38</v>
      </c>
      <c r="W7" s="97" t="s">
        <v>39</v>
      </c>
    </row>
    <row r="8" spans="1:23" ht="45" customHeight="1" x14ac:dyDescent="0.25">
      <c r="A8" s="70">
        <v>7</v>
      </c>
      <c r="B8" s="167"/>
      <c r="C8" s="183"/>
      <c r="D8" s="98" t="s">
        <v>40</v>
      </c>
      <c r="E8" s="78">
        <f t="shared" ref="E8:P8" si="3">SUM(E9:E10)</f>
        <v>11629</v>
      </c>
      <c r="F8" s="88">
        <f t="shared" si="3"/>
        <v>4400</v>
      </c>
      <c r="G8" s="79">
        <f t="shared" si="3"/>
        <v>16897</v>
      </c>
      <c r="H8" s="81">
        <f t="shared" si="3"/>
        <v>5406</v>
      </c>
      <c r="I8" s="81">
        <f t="shared" si="3"/>
        <v>18755</v>
      </c>
      <c r="J8" s="79">
        <f t="shared" si="3"/>
        <v>19652</v>
      </c>
      <c r="K8" s="88">
        <f t="shared" si="3"/>
        <v>6818</v>
      </c>
      <c r="L8" s="81">
        <f t="shared" si="3"/>
        <v>23004</v>
      </c>
      <c r="M8" s="81">
        <f t="shared" si="3"/>
        <v>25882.690000000002</v>
      </c>
      <c r="N8" s="88">
        <f t="shared" si="3"/>
        <v>8801.33</v>
      </c>
      <c r="O8" s="88">
        <f t="shared" si="3"/>
        <v>9028.16</v>
      </c>
      <c r="P8" s="88">
        <f t="shared" si="3"/>
        <v>72580</v>
      </c>
      <c r="Q8" s="86">
        <f t="shared" ref="Q8:Q10" si="4">SUM(E8:P8)</f>
        <v>222853.18</v>
      </c>
      <c r="R8" s="208"/>
      <c r="S8" s="202">
        <v>11200</v>
      </c>
      <c r="T8" s="201">
        <f>SUM(T9:T10)</f>
        <v>41268</v>
      </c>
      <c r="U8" s="201">
        <v>9890</v>
      </c>
      <c r="V8" s="201">
        <f>SUM(V9:V10)</f>
        <v>49893</v>
      </c>
      <c r="W8" s="189" t="s">
        <v>41</v>
      </c>
    </row>
    <row r="9" spans="1:23" ht="45" customHeight="1" x14ac:dyDescent="0.25">
      <c r="A9" s="70">
        <v>8</v>
      </c>
      <c r="B9" s="167"/>
      <c r="C9" s="183"/>
      <c r="D9" s="84" t="s">
        <v>28</v>
      </c>
      <c r="E9" s="79">
        <v>8209</v>
      </c>
      <c r="F9" s="85"/>
      <c r="G9" s="79">
        <v>11597</v>
      </c>
      <c r="H9" s="85"/>
      <c r="I9" s="79">
        <v>13089</v>
      </c>
      <c r="J9" s="79">
        <v>14052</v>
      </c>
      <c r="K9" s="85"/>
      <c r="L9" s="79">
        <v>15742</v>
      </c>
      <c r="M9" s="81">
        <v>17204</v>
      </c>
      <c r="N9" s="85"/>
      <c r="O9" s="85"/>
      <c r="P9" s="79">
        <f>15520*4</f>
        <v>62080</v>
      </c>
      <c r="Q9" s="86">
        <f t="shared" si="4"/>
        <v>141973</v>
      </c>
      <c r="R9" s="208"/>
      <c r="S9" s="87"/>
      <c r="T9" s="79">
        <v>31531</v>
      </c>
      <c r="U9" s="85"/>
      <c r="V9" s="79">
        <v>33604</v>
      </c>
      <c r="W9" s="188"/>
    </row>
    <row r="10" spans="1:23" ht="45" customHeight="1" x14ac:dyDescent="0.25">
      <c r="A10" s="70">
        <v>9</v>
      </c>
      <c r="B10" s="167"/>
      <c r="C10" s="183"/>
      <c r="D10" s="84" t="s">
        <v>29</v>
      </c>
      <c r="E10" s="83">
        <v>3420</v>
      </c>
      <c r="F10" s="79">
        <v>4400</v>
      </c>
      <c r="G10" s="79">
        <v>5300</v>
      </c>
      <c r="H10" s="79">
        <v>5406</v>
      </c>
      <c r="I10" s="79">
        <v>5666</v>
      </c>
      <c r="J10" s="79">
        <v>5600</v>
      </c>
      <c r="K10" s="79">
        <v>6818</v>
      </c>
      <c r="L10" s="79">
        <v>7262</v>
      </c>
      <c r="M10" s="81">
        <v>8678.69</v>
      </c>
      <c r="N10" s="79">
        <v>8801.33</v>
      </c>
      <c r="O10" s="79">
        <v>9028.16</v>
      </c>
      <c r="P10" s="82">
        <v>10500</v>
      </c>
      <c r="Q10" s="82">
        <f t="shared" si="4"/>
        <v>80880.180000000008</v>
      </c>
      <c r="R10" s="208"/>
      <c r="S10" s="83">
        <v>11200</v>
      </c>
      <c r="T10" s="79">
        <v>9737</v>
      </c>
      <c r="U10" s="79">
        <v>9890</v>
      </c>
      <c r="V10" s="79">
        <v>16289</v>
      </c>
      <c r="W10" s="190"/>
    </row>
    <row r="11" spans="1:23" ht="45" customHeight="1" x14ac:dyDescent="0.25">
      <c r="A11" s="70">
        <v>10</v>
      </c>
      <c r="B11" s="167"/>
      <c r="C11" s="183"/>
      <c r="D11" s="90" t="s">
        <v>30</v>
      </c>
      <c r="E11" s="96" t="s">
        <v>42</v>
      </c>
      <c r="F11" s="93"/>
      <c r="G11" s="93" t="s">
        <v>43</v>
      </c>
      <c r="H11" s="93"/>
      <c r="I11" s="93" t="s">
        <v>44</v>
      </c>
      <c r="J11" s="93" t="s">
        <v>45</v>
      </c>
      <c r="K11" s="93"/>
      <c r="L11" s="93" t="s">
        <v>46</v>
      </c>
      <c r="M11" s="94" t="s">
        <v>47</v>
      </c>
      <c r="N11" s="93"/>
      <c r="O11" s="93"/>
      <c r="P11" s="95" t="s">
        <v>48</v>
      </c>
      <c r="Q11" s="99"/>
      <c r="R11" s="209"/>
      <c r="S11" s="94"/>
      <c r="T11" s="93" t="s">
        <v>49</v>
      </c>
      <c r="U11" s="93"/>
      <c r="V11" s="93" t="s">
        <v>50</v>
      </c>
      <c r="W11" s="97" t="s">
        <v>51</v>
      </c>
    </row>
    <row r="12" spans="1:23" ht="45" customHeight="1" x14ac:dyDescent="0.25">
      <c r="A12" s="70">
        <v>11</v>
      </c>
      <c r="B12" s="167"/>
      <c r="C12" s="183"/>
      <c r="D12" s="98" t="s">
        <v>52</v>
      </c>
      <c r="E12" s="78">
        <f t="shared" ref="E12:P12" si="5">SUM(E13:E14)</f>
        <v>432</v>
      </c>
      <c r="F12" s="79">
        <f t="shared" si="5"/>
        <v>1352</v>
      </c>
      <c r="G12" s="81">
        <f t="shared" si="5"/>
        <v>8019</v>
      </c>
      <c r="H12" s="88">
        <f t="shared" si="5"/>
        <v>2901</v>
      </c>
      <c r="I12" s="81">
        <f t="shared" si="5"/>
        <v>4527</v>
      </c>
      <c r="J12" s="79">
        <f t="shared" si="5"/>
        <v>4680</v>
      </c>
      <c r="K12" s="79">
        <f t="shared" si="5"/>
        <v>2324</v>
      </c>
      <c r="L12" s="81">
        <f t="shared" si="5"/>
        <v>5380</v>
      </c>
      <c r="M12" s="80">
        <f t="shared" si="5"/>
        <v>5511.65</v>
      </c>
      <c r="N12" s="79">
        <f t="shared" si="5"/>
        <v>2137.52</v>
      </c>
      <c r="O12" s="81">
        <f t="shared" si="5"/>
        <v>2081.4</v>
      </c>
      <c r="P12" s="79">
        <f t="shared" si="5"/>
        <v>10438</v>
      </c>
      <c r="Q12" s="82">
        <f t="shared" ref="Q12:Q14" si="6">SUM(E12:P12)</f>
        <v>49783.57</v>
      </c>
      <c r="R12" s="208"/>
      <c r="S12" s="200">
        <v>1943</v>
      </c>
      <c r="T12" s="201">
        <f>SUM(T13:T14)</f>
        <v>12457</v>
      </c>
      <c r="U12" s="201">
        <v>1559</v>
      </c>
      <c r="V12" s="201">
        <f>SUM(V13:V14)</f>
        <v>12886</v>
      </c>
      <c r="W12" s="189" t="s">
        <v>53</v>
      </c>
    </row>
    <row r="13" spans="1:23" ht="45" customHeight="1" x14ac:dyDescent="0.25">
      <c r="A13" s="70">
        <v>12</v>
      </c>
      <c r="B13" s="167"/>
      <c r="C13" s="183"/>
      <c r="D13" s="84" t="s">
        <v>28</v>
      </c>
      <c r="E13" s="79">
        <v>275</v>
      </c>
      <c r="F13" s="85"/>
      <c r="G13" s="79">
        <v>4164</v>
      </c>
      <c r="H13" s="85"/>
      <c r="I13" s="79">
        <v>2256</v>
      </c>
      <c r="J13" s="79">
        <v>2480</v>
      </c>
      <c r="K13" s="85"/>
      <c r="L13" s="79">
        <v>3297</v>
      </c>
      <c r="M13" s="81">
        <v>3286</v>
      </c>
      <c r="N13" s="85"/>
      <c r="O13" s="85"/>
      <c r="P13" s="79">
        <f>2084*4</f>
        <v>8336</v>
      </c>
      <c r="Q13" s="82">
        <f t="shared" si="6"/>
        <v>24094</v>
      </c>
      <c r="R13" s="208"/>
      <c r="S13" s="100"/>
      <c r="T13" s="79">
        <v>10945</v>
      </c>
      <c r="U13" s="85"/>
      <c r="V13" s="79">
        <v>11113</v>
      </c>
      <c r="W13" s="188"/>
    </row>
    <row r="14" spans="1:23" ht="45" customHeight="1" x14ac:dyDescent="0.25">
      <c r="A14" s="70">
        <v>13</v>
      </c>
      <c r="B14" s="167"/>
      <c r="C14" s="183"/>
      <c r="D14" s="84" t="s">
        <v>29</v>
      </c>
      <c r="E14" s="83">
        <v>157</v>
      </c>
      <c r="F14" s="79">
        <v>1352</v>
      </c>
      <c r="G14" s="79">
        <v>3855</v>
      </c>
      <c r="H14" s="79">
        <v>2901</v>
      </c>
      <c r="I14" s="79">
        <v>2271</v>
      </c>
      <c r="J14" s="79">
        <v>2200</v>
      </c>
      <c r="K14" s="79">
        <v>2324</v>
      </c>
      <c r="L14" s="79">
        <v>2083</v>
      </c>
      <c r="M14" s="81">
        <v>2225.65</v>
      </c>
      <c r="N14" s="79">
        <v>2137.52</v>
      </c>
      <c r="O14" s="79">
        <v>2081.4</v>
      </c>
      <c r="P14" s="82">
        <v>2102</v>
      </c>
      <c r="Q14" s="82">
        <f t="shared" si="6"/>
        <v>25689.570000000003</v>
      </c>
      <c r="R14" s="208"/>
      <c r="S14" s="83">
        <v>1943</v>
      </c>
      <c r="T14" s="79">
        <v>1512</v>
      </c>
      <c r="U14" s="79">
        <v>1559</v>
      </c>
      <c r="V14" s="79">
        <v>1773</v>
      </c>
      <c r="W14" s="188"/>
    </row>
    <row r="15" spans="1:23" ht="45" customHeight="1" x14ac:dyDescent="0.25">
      <c r="A15" s="70">
        <v>14</v>
      </c>
      <c r="B15" s="167"/>
      <c r="C15" s="183"/>
      <c r="D15" s="90" t="s">
        <v>30</v>
      </c>
      <c r="E15" s="96" t="s">
        <v>54</v>
      </c>
      <c r="F15" s="93"/>
      <c r="G15" s="93" t="s">
        <v>55</v>
      </c>
      <c r="H15" s="93"/>
      <c r="I15" s="93" t="s">
        <v>56</v>
      </c>
      <c r="J15" s="93" t="s">
        <v>57</v>
      </c>
      <c r="K15" s="93"/>
      <c r="L15" s="93" t="s">
        <v>58</v>
      </c>
      <c r="M15" s="94" t="s">
        <v>59</v>
      </c>
      <c r="N15" s="93"/>
      <c r="O15" s="93"/>
      <c r="P15" s="95" t="s">
        <v>60</v>
      </c>
      <c r="Q15" s="95"/>
      <c r="R15" s="209"/>
      <c r="S15" s="96"/>
      <c r="T15" s="93" t="s">
        <v>61</v>
      </c>
      <c r="U15" s="93"/>
      <c r="V15" s="93" t="s">
        <v>62</v>
      </c>
      <c r="W15" s="101" t="s">
        <v>63</v>
      </c>
    </row>
    <row r="16" spans="1:23" ht="45" customHeight="1" x14ac:dyDescent="0.25">
      <c r="A16" s="70">
        <v>15</v>
      </c>
      <c r="B16" s="167"/>
      <c r="C16" s="183"/>
      <c r="D16" s="98" t="s">
        <v>64</v>
      </c>
      <c r="E16" s="78">
        <f t="shared" ref="E16:P16" si="7">SUM(E17:E18)</f>
        <v>3268</v>
      </c>
      <c r="F16" s="79">
        <f t="shared" si="7"/>
        <v>4280</v>
      </c>
      <c r="G16" s="80">
        <f t="shared" si="7"/>
        <v>6030</v>
      </c>
      <c r="H16" s="88">
        <f t="shared" si="7"/>
        <v>3306</v>
      </c>
      <c r="I16" s="80">
        <f t="shared" si="7"/>
        <v>3255</v>
      </c>
      <c r="J16" s="88">
        <f t="shared" si="7"/>
        <v>306</v>
      </c>
      <c r="K16" s="80">
        <f t="shared" si="7"/>
        <v>636</v>
      </c>
      <c r="L16" s="80">
        <f t="shared" si="7"/>
        <v>3861</v>
      </c>
      <c r="M16" s="79">
        <f t="shared" si="7"/>
        <v>4013.11</v>
      </c>
      <c r="N16" s="88">
        <f t="shared" si="7"/>
        <v>2942.23</v>
      </c>
      <c r="O16" s="80">
        <f t="shared" si="7"/>
        <v>4258.99</v>
      </c>
      <c r="P16" s="80">
        <f t="shared" si="7"/>
        <v>5623</v>
      </c>
      <c r="Q16" s="82">
        <f t="shared" ref="Q16:Q18" si="8">SUM(E16:P16)</f>
        <v>41779.33</v>
      </c>
      <c r="R16" s="208"/>
      <c r="S16" s="200">
        <v>3346</v>
      </c>
      <c r="T16" s="201">
        <f>SUM(T17:T18)</f>
        <v>6978</v>
      </c>
      <c r="U16" s="201">
        <v>4568</v>
      </c>
      <c r="V16" s="201">
        <f>SUM(V17:V18)</f>
        <v>6902</v>
      </c>
      <c r="W16" s="191" t="s">
        <v>65</v>
      </c>
    </row>
    <row r="17" spans="1:24" ht="45" customHeight="1" x14ac:dyDescent="0.25">
      <c r="A17" s="70">
        <v>16</v>
      </c>
      <c r="B17" s="167"/>
      <c r="C17" s="183"/>
      <c r="D17" s="84" t="s">
        <v>28</v>
      </c>
      <c r="E17" s="85"/>
      <c r="F17" s="85"/>
      <c r="G17" s="79">
        <v>1830</v>
      </c>
      <c r="H17" s="85"/>
      <c r="I17" s="79">
        <v>1408</v>
      </c>
      <c r="J17" s="85"/>
      <c r="K17" s="85"/>
      <c r="L17" s="79">
        <v>1010</v>
      </c>
      <c r="M17" s="79">
        <v>967</v>
      </c>
      <c r="N17" s="85"/>
      <c r="O17" s="85"/>
      <c r="P17" s="79">
        <f>450*4</f>
        <v>1800</v>
      </c>
      <c r="Q17" s="82">
        <f t="shared" si="8"/>
        <v>7015</v>
      </c>
      <c r="R17" s="208"/>
      <c r="S17" s="100"/>
      <c r="T17" s="79">
        <v>2473</v>
      </c>
      <c r="U17" s="85"/>
      <c r="V17" s="79">
        <v>2533</v>
      </c>
      <c r="W17" s="192"/>
    </row>
    <row r="18" spans="1:24" ht="45" customHeight="1" x14ac:dyDescent="0.25">
      <c r="A18" s="70">
        <v>17</v>
      </c>
      <c r="B18" s="167"/>
      <c r="C18" s="183"/>
      <c r="D18" s="84" t="s">
        <v>29</v>
      </c>
      <c r="E18" s="83">
        <v>3268</v>
      </c>
      <c r="F18" s="79">
        <v>4280</v>
      </c>
      <c r="G18" s="79">
        <v>4200</v>
      </c>
      <c r="H18" s="79">
        <v>3306</v>
      </c>
      <c r="I18" s="79">
        <v>1847</v>
      </c>
      <c r="J18" s="79">
        <v>306</v>
      </c>
      <c r="K18" s="79">
        <v>636</v>
      </c>
      <c r="L18" s="79">
        <v>2851</v>
      </c>
      <c r="M18" s="79">
        <v>3046.11</v>
      </c>
      <c r="N18" s="79">
        <v>2942.23</v>
      </c>
      <c r="O18" s="79">
        <v>4258.99</v>
      </c>
      <c r="P18" s="82">
        <v>3823</v>
      </c>
      <c r="Q18" s="86">
        <f t="shared" si="8"/>
        <v>34764.33</v>
      </c>
      <c r="R18" s="208"/>
      <c r="S18" s="81">
        <v>3346</v>
      </c>
      <c r="T18" s="79">
        <v>4505</v>
      </c>
      <c r="U18" s="79">
        <v>4568</v>
      </c>
      <c r="V18" s="79">
        <v>4369</v>
      </c>
      <c r="W18" s="192"/>
    </row>
    <row r="19" spans="1:24" ht="45" customHeight="1" x14ac:dyDescent="0.25">
      <c r="A19" s="70">
        <v>18</v>
      </c>
      <c r="B19" s="167"/>
      <c r="C19" s="183"/>
      <c r="D19" s="90" t="s">
        <v>30</v>
      </c>
      <c r="E19" s="96"/>
      <c r="F19" s="93"/>
      <c r="G19" s="93" t="s">
        <v>66</v>
      </c>
      <c r="H19" s="93"/>
      <c r="I19" s="93" t="s">
        <v>67</v>
      </c>
      <c r="J19" s="93"/>
      <c r="K19" s="93"/>
      <c r="L19" s="93" t="s">
        <v>68</v>
      </c>
      <c r="M19" s="93" t="s">
        <v>69</v>
      </c>
      <c r="N19" s="93"/>
      <c r="O19" s="93"/>
      <c r="P19" s="95" t="s">
        <v>70</v>
      </c>
      <c r="Q19" s="95"/>
      <c r="R19" s="209"/>
      <c r="S19" s="96"/>
      <c r="T19" s="93" t="s">
        <v>71</v>
      </c>
      <c r="U19" s="93"/>
      <c r="V19" s="93" t="s">
        <v>72</v>
      </c>
      <c r="W19" s="102" t="s">
        <v>73</v>
      </c>
    </row>
    <row r="20" spans="1:24" ht="45" customHeight="1" x14ac:dyDescent="0.25">
      <c r="A20" s="70">
        <v>19</v>
      </c>
      <c r="B20" s="167"/>
      <c r="C20" s="183"/>
      <c r="D20" s="98" t="s">
        <v>74</v>
      </c>
      <c r="E20" s="83">
        <f t="shared" ref="E20:P20" si="9">SUM(E21:E22)</f>
        <v>1413</v>
      </c>
      <c r="F20" s="81">
        <v>1414</v>
      </c>
      <c r="G20" s="79">
        <f t="shared" si="9"/>
        <v>2109</v>
      </c>
      <c r="H20" s="79">
        <f t="shared" si="9"/>
        <v>1088</v>
      </c>
      <c r="I20" s="79">
        <f t="shared" si="9"/>
        <v>824</v>
      </c>
      <c r="J20" s="79">
        <f t="shared" si="9"/>
        <v>1218</v>
      </c>
      <c r="K20" s="79">
        <f t="shared" si="9"/>
        <v>1344</v>
      </c>
      <c r="L20" s="79">
        <f t="shared" si="9"/>
        <v>1091</v>
      </c>
      <c r="M20" s="79">
        <f t="shared" si="9"/>
        <v>1131.73</v>
      </c>
      <c r="N20" s="79">
        <f t="shared" si="9"/>
        <v>461.37</v>
      </c>
      <c r="O20" s="79">
        <f t="shared" si="9"/>
        <v>462.97</v>
      </c>
      <c r="P20" s="79">
        <f t="shared" si="9"/>
        <v>2892</v>
      </c>
      <c r="Q20" s="82">
        <f t="shared" ref="Q20:Q22" si="10">SUM(E20:P20)</f>
        <v>15449.07</v>
      </c>
      <c r="R20" s="208"/>
      <c r="S20" s="200">
        <v>369</v>
      </c>
      <c r="T20" s="201">
        <f>SUM(T21:T22)</f>
        <v>1173</v>
      </c>
      <c r="U20" s="201">
        <v>255</v>
      </c>
      <c r="V20" s="201">
        <f>SUM(V21:V22)</f>
        <v>1001</v>
      </c>
      <c r="W20" s="192" t="s">
        <v>75</v>
      </c>
    </row>
    <row r="21" spans="1:24" ht="45" customHeight="1" x14ac:dyDescent="0.25">
      <c r="A21" s="70">
        <v>20</v>
      </c>
      <c r="B21" s="167"/>
      <c r="C21" s="183"/>
      <c r="D21" s="84" t="s">
        <v>28</v>
      </c>
      <c r="E21" s="85"/>
      <c r="F21" s="85"/>
      <c r="G21" s="79">
        <v>887</v>
      </c>
      <c r="H21" s="85"/>
      <c r="I21" s="85"/>
      <c r="J21" s="79">
        <v>594</v>
      </c>
      <c r="K21" s="85"/>
      <c r="L21" s="79">
        <v>506</v>
      </c>
      <c r="M21" s="79">
        <v>531</v>
      </c>
      <c r="N21" s="85"/>
      <c r="O21" s="85"/>
      <c r="P21" s="79">
        <v>2470</v>
      </c>
      <c r="Q21" s="82">
        <f t="shared" si="10"/>
        <v>4988</v>
      </c>
      <c r="R21" s="208"/>
      <c r="S21" s="100"/>
      <c r="T21" s="79">
        <v>925</v>
      </c>
      <c r="U21" s="85"/>
      <c r="V21" s="79">
        <v>770</v>
      </c>
      <c r="W21" s="192"/>
    </row>
    <row r="22" spans="1:24" ht="45" customHeight="1" x14ac:dyDescent="0.25">
      <c r="A22" s="70">
        <v>21</v>
      </c>
      <c r="B22" s="167"/>
      <c r="C22" s="183"/>
      <c r="D22" s="84" t="s">
        <v>29</v>
      </c>
      <c r="E22" s="83">
        <v>1413</v>
      </c>
      <c r="F22" s="79">
        <v>1185</v>
      </c>
      <c r="G22" s="79">
        <v>1222</v>
      </c>
      <c r="H22" s="79">
        <v>1088</v>
      </c>
      <c r="I22" s="79">
        <v>824</v>
      </c>
      <c r="J22" s="79">
        <v>624</v>
      </c>
      <c r="K22" s="79">
        <v>1344</v>
      </c>
      <c r="L22" s="79">
        <v>585</v>
      </c>
      <c r="M22" s="79">
        <v>600.73</v>
      </c>
      <c r="N22" s="79">
        <v>461.37</v>
      </c>
      <c r="O22" s="79">
        <v>462.97</v>
      </c>
      <c r="P22" s="82">
        <v>422</v>
      </c>
      <c r="Q22" s="82">
        <f t="shared" si="10"/>
        <v>10232.07</v>
      </c>
      <c r="R22" s="208"/>
      <c r="S22" s="83">
        <v>369</v>
      </c>
      <c r="T22" s="79">
        <v>248</v>
      </c>
      <c r="U22" s="79">
        <v>255</v>
      </c>
      <c r="V22" s="79">
        <v>231</v>
      </c>
      <c r="W22" s="193"/>
    </row>
    <row r="23" spans="1:24" ht="45" customHeight="1" x14ac:dyDescent="0.25">
      <c r="A23" s="70">
        <v>22</v>
      </c>
      <c r="B23" s="167"/>
      <c r="C23" s="183"/>
      <c r="D23" s="90" t="s">
        <v>30</v>
      </c>
      <c r="E23" s="96"/>
      <c r="F23" s="93"/>
      <c r="G23" s="93" t="s">
        <v>76</v>
      </c>
      <c r="H23" s="93"/>
      <c r="I23" s="93"/>
      <c r="J23" s="93" t="s">
        <v>77</v>
      </c>
      <c r="K23" s="93"/>
      <c r="L23" s="103" t="s">
        <v>78</v>
      </c>
      <c r="M23" s="93" t="s">
        <v>79</v>
      </c>
      <c r="N23" s="93"/>
      <c r="O23" s="93"/>
      <c r="P23" s="95" t="s">
        <v>80</v>
      </c>
      <c r="Q23" s="95"/>
      <c r="R23" s="209"/>
      <c r="S23" s="96"/>
      <c r="T23" s="93" t="s">
        <v>81</v>
      </c>
      <c r="U23" s="93"/>
      <c r="V23" s="93" t="s">
        <v>82</v>
      </c>
      <c r="W23" s="104" t="s">
        <v>83</v>
      </c>
    </row>
    <row r="24" spans="1:24" ht="45" customHeight="1" x14ac:dyDescent="0.25">
      <c r="A24" s="70">
        <v>23</v>
      </c>
      <c r="B24" s="167"/>
      <c r="C24" s="183"/>
      <c r="D24" s="98" t="s">
        <v>84</v>
      </c>
      <c r="E24" s="83">
        <f t="shared" ref="E24:P24" si="11">SUM(E25:E26)</f>
        <v>816</v>
      </c>
      <c r="F24" s="79">
        <f t="shared" si="11"/>
        <v>937</v>
      </c>
      <c r="G24" s="79">
        <f t="shared" si="11"/>
        <v>1000</v>
      </c>
      <c r="H24" s="81">
        <f t="shared" si="11"/>
        <v>585</v>
      </c>
      <c r="I24" s="79">
        <f t="shared" si="11"/>
        <v>83</v>
      </c>
      <c r="J24" s="88">
        <f t="shared" si="11"/>
        <v>355</v>
      </c>
      <c r="K24" s="79">
        <f t="shared" si="11"/>
        <v>65</v>
      </c>
      <c r="L24" s="79">
        <f t="shared" si="11"/>
        <v>300</v>
      </c>
      <c r="M24" s="79">
        <f t="shared" si="11"/>
        <v>358.79</v>
      </c>
      <c r="N24" s="88">
        <f t="shared" si="11"/>
        <v>55.78</v>
      </c>
      <c r="O24" s="79">
        <f t="shared" si="11"/>
        <v>2899.11</v>
      </c>
      <c r="P24" s="79">
        <f t="shared" si="11"/>
        <v>6212</v>
      </c>
      <c r="Q24" s="82">
        <f t="shared" ref="Q24:Q26" si="12">SUM(E24:P24)</f>
        <v>13666.68</v>
      </c>
      <c r="R24" s="208"/>
      <c r="S24" s="200">
        <v>3381</v>
      </c>
      <c r="T24" s="201">
        <f>SUM(T25:T26)</f>
        <v>23349</v>
      </c>
      <c r="U24" s="201">
        <v>3305</v>
      </c>
      <c r="V24" s="201">
        <f>SUM(V25:V26)</f>
        <v>25607</v>
      </c>
      <c r="W24" s="192" t="s">
        <v>85</v>
      </c>
    </row>
    <row r="25" spans="1:24" ht="45" customHeight="1" x14ac:dyDescent="0.25">
      <c r="A25" s="70">
        <v>24</v>
      </c>
      <c r="B25" s="167"/>
      <c r="C25" s="183"/>
      <c r="D25" s="84" t="s">
        <v>28</v>
      </c>
      <c r="E25" s="85"/>
      <c r="F25" s="85"/>
      <c r="G25" s="85"/>
      <c r="H25" s="85"/>
      <c r="I25" s="85"/>
      <c r="J25" s="79">
        <v>284</v>
      </c>
      <c r="K25" s="85"/>
      <c r="L25" s="79">
        <v>300</v>
      </c>
      <c r="M25" s="79">
        <v>306</v>
      </c>
      <c r="N25" s="85"/>
      <c r="O25" s="85"/>
      <c r="P25" s="79">
        <f>872*4</f>
        <v>3488</v>
      </c>
      <c r="Q25" s="82">
        <f t="shared" si="12"/>
        <v>4378</v>
      </c>
      <c r="R25" s="208"/>
      <c r="S25" s="100"/>
      <c r="T25" s="79">
        <v>20269</v>
      </c>
      <c r="U25" s="85"/>
      <c r="V25" s="79">
        <v>3572</v>
      </c>
      <c r="W25" s="192"/>
      <c r="X25" s="65" t="e">
        <f>#REF!/#REF!</f>
        <v>#REF!</v>
      </c>
    </row>
    <row r="26" spans="1:24" ht="45" customHeight="1" x14ac:dyDescent="0.25">
      <c r="A26" s="70">
        <v>25</v>
      </c>
      <c r="B26" s="167"/>
      <c r="C26" s="183"/>
      <c r="D26" s="84" t="s">
        <v>29</v>
      </c>
      <c r="E26" s="83">
        <v>816</v>
      </c>
      <c r="F26" s="79">
        <v>937</v>
      </c>
      <c r="G26" s="79">
        <v>1000</v>
      </c>
      <c r="H26" s="79">
        <v>585</v>
      </c>
      <c r="I26" s="79">
        <v>83</v>
      </c>
      <c r="J26" s="79">
        <v>71</v>
      </c>
      <c r="K26" s="79">
        <v>65</v>
      </c>
      <c r="L26" s="105"/>
      <c r="M26" s="79">
        <v>52.79</v>
      </c>
      <c r="N26" s="79">
        <v>55.78</v>
      </c>
      <c r="O26" s="79">
        <v>2899.11</v>
      </c>
      <c r="P26" s="82">
        <v>2724</v>
      </c>
      <c r="Q26" s="86">
        <f t="shared" si="12"/>
        <v>9288.68</v>
      </c>
      <c r="R26" s="208"/>
      <c r="S26" s="81">
        <v>3381</v>
      </c>
      <c r="T26" s="79">
        <v>3080</v>
      </c>
      <c r="U26" s="79">
        <v>3305</v>
      </c>
      <c r="V26" s="79">
        <v>22035</v>
      </c>
      <c r="W26" s="193"/>
    </row>
    <row r="27" spans="1:24" ht="45" customHeight="1" x14ac:dyDescent="0.25">
      <c r="A27" s="70">
        <v>26</v>
      </c>
      <c r="B27" s="167"/>
      <c r="C27" s="184"/>
      <c r="D27" s="106" t="s">
        <v>30</v>
      </c>
      <c r="E27" s="107"/>
      <c r="F27" s="108"/>
      <c r="G27" s="108"/>
      <c r="H27" s="108"/>
      <c r="I27" s="108"/>
      <c r="J27" s="108" t="s">
        <v>86</v>
      </c>
      <c r="K27" s="108"/>
      <c r="L27" s="108"/>
      <c r="M27" s="108" t="s">
        <v>87</v>
      </c>
      <c r="N27" s="108"/>
      <c r="O27" s="108"/>
      <c r="P27" s="108" t="s">
        <v>88</v>
      </c>
      <c r="Q27" s="109"/>
      <c r="R27" s="110"/>
      <c r="S27" s="110"/>
      <c r="T27" s="110" t="s">
        <v>89</v>
      </c>
      <c r="U27" s="110"/>
      <c r="V27" s="110" t="s">
        <v>90</v>
      </c>
      <c r="W27" s="111" t="s">
        <v>91</v>
      </c>
    </row>
    <row r="28" spans="1:24" ht="45" customHeight="1" x14ac:dyDescent="0.25">
      <c r="A28" s="70">
        <v>27</v>
      </c>
      <c r="B28" s="167"/>
      <c r="C28" s="185" t="s">
        <v>92</v>
      </c>
      <c r="D28" s="112" t="s">
        <v>93</v>
      </c>
      <c r="E28" s="78"/>
      <c r="F28" s="88"/>
      <c r="G28" s="88"/>
      <c r="H28" s="88"/>
      <c r="I28" s="88"/>
      <c r="J28" s="170" t="s">
        <v>94</v>
      </c>
      <c r="K28" s="171"/>
      <c r="L28" s="172"/>
      <c r="M28" s="88" t="s">
        <v>95</v>
      </c>
      <c r="N28" s="173" t="s">
        <v>96</v>
      </c>
      <c r="O28" s="174"/>
      <c r="P28" s="171"/>
      <c r="Q28" s="114"/>
      <c r="R28" s="113"/>
      <c r="S28" s="175" t="s">
        <v>97</v>
      </c>
      <c r="T28" s="174"/>
      <c r="U28" s="88" t="s">
        <v>98</v>
      </c>
      <c r="V28" s="88"/>
      <c r="W28" s="115"/>
    </row>
    <row r="29" spans="1:24" ht="45" customHeight="1" x14ac:dyDescent="0.25">
      <c r="A29" s="70">
        <v>28</v>
      </c>
      <c r="B29" s="167"/>
      <c r="C29" s="185"/>
      <c r="D29" s="116" t="s">
        <v>99</v>
      </c>
      <c r="E29" s="117"/>
      <c r="F29" s="118"/>
      <c r="G29" s="118"/>
      <c r="H29" s="118"/>
      <c r="I29" s="88">
        <v>549300</v>
      </c>
      <c r="J29" s="88">
        <v>498800</v>
      </c>
      <c r="K29" s="79">
        <v>572000</v>
      </c>
      <c r="L29" s="79">
        <v>569300</v>
      </c>
      <c r="M29" s="88">
        <v>611500</v>
      </c>
      <c r="N29" s="119">
        <v>627900</v>
      </c>
      <c r="O29" s="119">
        <v>579700</v>
      </c>
      <c r="P29" s="120">
        <v>552800</v>
      </c>
      <c r="Q29" s="114">
        <f t="shared" ref="Q29:Q32" si="13">SUM(E29:P29)</f>
        <v>4561300</v>
      </c>
      <c r="R29" s="113"/>
      <c r="S29" s="203">
        <v>572400</v>
      </c>
      <c r="T29" s="203">
        <v>535200</v>
      </c>
      <c r="U29" s="204">
        <v>535300</v>
      </c>
      <c r="V29" s="204">
        <v>569000</v>
      </c>
      <c r="W29" s="115" t="s">
        <v>100</v>
      </c>
    </row>
    <row r="30" spans="1:24" ht="45" customHeight="1" x14ac:dyDescent="0.25">
      <c r="A30" s="70">
        <v>29</v>
      </c>
      <c r="B30" s="167"/>
      <c r="C30" s="185"/>
      <c r="D30" s="121" t="s">
        <v>101</v>
      </c>
      <c r="E30" s="100"/>
      <c r="F30" s="85"/>
      <c r="G30" s="85"/>
      <c r="H30" s="85"/>
      <c r="I30" s="85"/>
      <c r="J30" s="79">
        <v>1319</v>
      </c>
      <c r="K30" s="79">
        <v>70000</v>
      </c>
      <c r="L30" s="122">
        <v>70400</v>
      </c>
      <c r="M30" s="122">
        <v>109700</v>
      </c>
      <c r="N30" s="122">
        <v>120200</v>
      </c>
      <c r="O30" s="122">
        <v>134300</v>
      </c>
      <c r="P30" s="120">
        <v>173700</v>
      </c>
      <c r="Q30" s="86">
        <f t="shared" si="13"/>
        <v>679619</v>
      </c>
      <c r="R30" s="82"/>
      <c r="S30" s="205">
        <v>206900</v>
      </c>
      <c r="T30" s="205">
        <v>211000</v>
      </c>
      <c r="U30" s="205">
        <v>218000</v>
      </c>
      <c r="V30" s="205">
        <v>285000</v>
      </c>
      <c r="W30" s="123" t="s">
        <v>102</v>
      </c>
    </row>
    <row r="31" spans="1:24" ht="45" customHeight="1" x14ac:dyDescent="0.25">
      <c r="A31" s="70">
        <v>30</v>
      </c>
      <c r="B31" s="167"/>
      <c r="C31" s="185"/>
      <c r="D31" s="121" t="s">
        <v>103</v>
      </c>
      <c r="E31" s="100"/>
      <c r="F31" s="85"/>
      <c r="G31" s="85"/>
      <c r="H31" s="85"/>
      <c r="I31" s="85"/>
      <c r="J31" s="85"/>
      <c r="K31" s="85"/>
      <c r="L31" s="85"/>
      <c r="M31" s="122">
        <v>14100</v>
      </c>
      <c r="N31" s="122">
        <v>21000</v>
      </c>
      <c r="O31" s="122">
        <v>23300</v>
      </c>
      <c r="P31" s="120">
        <v>27100</v>
      </c>
      <c r="Q31" s="86">
        <f t="shared" si="13"/>
        <v>85500</v>
      </c>
      <c r="R31" s="82"/>
      <c r="S31" s="205">
        <v>31400</v>
      </c>
      <c r="T31" s="205">
        <v>29800</v>
      </c>
      <c r="U31" s="205">
        <v>31000</v>
      </c>
      <c r="V31" s="205">
        <v>29037</v>
      </c>
      <c r="W31" s="123" t="s">
        <v>104</v>
      </c>
    </row>
    <row r="32" spans="1:24" ht="45" customHeight="1" x14ac:dyDescent="0.25">
      <c r="A32" s="70">
        <v>31</v>
      </c>
      <c r="B32" s="181"/>
      <c r="C32" s="186"/>
      <c r="D32" s="124" t="s">
        <v>105</v>
      </c>
      <c r="E32" s="125"/>
      <c r="F32" s="126"/>
      <c r="G32" s="126"/>
      <c r="H32" s="126"/>
      <c r="I32" s="127">
        <f t="shared" ref="I32:P32" si="14">SUM(I29:I31)</f>
        <v>549300</v>
      </c>
      <c r="J32" s="127">
        <f t="shared" si="14"/>
        <v>500119</v>
      </c>
      <c r="K32" s="127">
        <f t="shared" si="14"/>
        <v>642000</v>
      </c>
      <c r="L32" s="127">
        <f t="shared" si="14"/>
        <v>639700</v>
      </c>
      <c r="M32" s="127">
        <f t="shared" si="14"/>
        <v>735300</v>
      </c>
      <c r="N32" s="127">
        <f t="shared" si="14"/>
        <v>769100</v>
      </c>
      <c r="O32" s="127">
        <f t="shared" si="14"/>
        <v>737300</v>
      </c>
      <c r="P32" s="127">
        <f t="shared" si="14"/>
        <v>753600</v>
      </c>
      <c r="Q32" s="128">
        <f t="shared" si="13"/>
        <v>5326419</v>
      </c>
      <c r="R32" s="210"/>
      <c r="S32" s="206">
        <f t="shared" ref="S32:V32" si="15">SUM(S29:S31)</f>
        <v>810700</v>
      </c>
      <c r="T32" s="206">
        <f t="shared" si="15"/>
        <v>776000</v>
      </c>
      <c r="U32" s="207">
        <f t="shared" si="15"/>
        <v>784300</v>
      </c>
      <c r="V32" s="207">
        <f t="shared" si="15"/>
        <v>883037</v>
      </c>
      <c r="W32" s="129"/>
    </row>
    <row r="33" spans="1:23" ht="75" customHeight="1" x14ac:dyDescent="0.25">
      <c r="A33" s="70">
        <v>32</v>
      </c>
      <c r="B33" s="176" t="s">
        <v>106</v>
      </c>
      <c r="C33" s="177"/>
      <c r="D33" s="178"/>
      <c r="E33" s="178"/>
      <c r="F33" s="178"/>
      <c r="G33" s="178"/>
      <c r="H33" s="178"/>
      <c r="I33" s="178"/>
      <c r="J33" s="178"/>
      <c r="K33" s="179"/>
      <c r="L33" s="179"/>
      <c r="M33" s="179"/>
      <c r="N33" s="179"/>
      <c r="O33" s="179"/>
      <c r="P33" s="179"/>
      <c r="Q33" s="179"/>
      <c r="R33" s="179"/>
      <c r="S33" s="179"/>
      <c r="T33" s="179"/>
      <c r="U33" s="179"/>
      <c r="V33" s="179"/>
      <c r="W33" s="180"/>
    </row>
  </sheetData>
  <mergeCells count="22">
    <mergeCell ref="J28:L28"/>
    <mergeCell ref="N28:P28"/>
    <mergeCell ref="S28:T28"/>
    <mergeCell ref="B33:W33"/>
    <mergeCell ref="B3:B32"/>
    <mergeCell ref="C3:C27"/>
    <mergeCell ref="C28:C32"/>
    <mergeCell ref="W3:W5"/>
    <mergeCell ref="W8:W10"/>
    <mergeCell ref="W12:W14"/>
    <mergeCell ref="W16:W18"/>
    <mergeCell ref="W20:W22"/>
    <mergeCell ref="W24:W26"/>
    <mergeCell ref="B1:Q1"/>
    <mergeCell ref="S1:U1"/>
    <mergeCell ref="B2:D2"/>
    <mergeCell ref="E3:G3"/>
    <mergeCell ref="H3:J3"/>
    <mergeCell ref="K3:M3"/>
    <mergeCell ref="N3:P3"/>
    <mergeCell ref="S3:T3"/>
    <mergeCell ref="U3:V3"/>
  </mergeCells>
  <phoneticPr fontId="3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3"/>
  <sheetViews>
    <sheetView showGridLines="0" zoomScale="70" zoomScaleNormal="70" workbookViewId="0">
      <selection activeCell="A17" sqref="A17"/>
    </sheetView>
  </sheetViews>
  <sheetFormatPr defaultColWidth="28" defaultRowHeight="44" customHeight="1" x14ac:dyDescent="0.25"/>
  <cols>
    <col min="1" max="1" width="28" style="58" customWidth="1"/>
    <col min="2" max="2" width="40.54296875" style="58" customWidth="1"/>
    <col min="3" max="3" width="15.81640625" style="58" customWidth="1"/>
    <col min="4" max="4" width="34.26953125" style="58" customWidth="1"/>
    <col min="5" max="5" width="31.90625" style="58" customWidth="1"/>
    <col min="6" max="6" width="14.6328125" style="58" customWidth="1"/>
    <col min="7" max="7" width="29.453125" style="58" customWidth="1"/>
    <col min="8" max="8" width="42.6328125" style="58" customWidth="1"/>
    <col min="9" max="9" width="14" style="58" customWidth="1"/>
    <col min="10" max="11" width="28" style="58" customWidth="1"/>
    <col min="12" max="12" width="15.08984375" style="58" customWidth="1"/>
    <col min="13" max="14" width="28" style="58" customWidth="1"/>
    <col min="15" max="15" width="14.1796875" style="58" customWidth="1"/>
    <col min="16" max="16" width="32" style="58" customWidth="1"/>
    <col min="17" max="17" width="31.26953125" style="58" customWidth="1"/>
    <col min="18" max="18" width="16.453125" style="58" customWidth="1"/>
    <col min="19" max="16381" width="28" style="58" customWidth="1"/>
    <col min="16382" max="16384" width="28" style="58"/>
  </cols>
  <sheetData>
    <row r="1" spans="1:18" ht="120" customHeight="1" x14ac:dyDescent="0.25">
      <c r="A1" s="194" t="s">
        <v>107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5"/>
    </row>
    <row r="3" spans="1:18" ht="44" customHeight="1" x14ac:dyDescent="0.25">
      <c r="A3" s="196" t="s">
        <v>40</v>
      </c>
      <c r="B3" s="196"/>
      <c r="C3" s="196"/>
      <c r="D3" s="196" t="s">
        <v>52</v>
      </c>
      <c r="E3" s="196"/>
      <c r="F3" s="196"/>
      <c r="G3" s="196" t="s">
        <v>108</v>
      </c>
      <c r="H3" s="196"/>
      <c r="I3" s="196"/>
      <c r="J3" s="196" t="s">
        <v>84</v>
      </c>
      <c r="K3" s="196"/>
      <c r="L3" s="196"/>
      <c r="M3" s="196" t="s">
        <v>109</v>
      </c>
      <c r="N3" s="196"/>
      <c r="O3" s="196"/>
      <c r="P3" s="196" t="s">
        <v>110</v>
      </c>
      <c r="Q3" s="196"/>
      <c r="R3" s="196"/>
    </row>
    <row r="4" spans="1:18" ht="44" customHeight="1" x14ac:dyDescent="0.25">
      <c r="A4" s="59" t="s">
        <v>111</v>
      </c>
      <c r="B4" s="59" t="s">
        <v>112</v>
      </c>
      <c r="C4" s="59" t="s">
        <v>113</v>
      </c>
      <c r="D4" s="59" t="s">
        <v>111</v>
      </c>
      <c r="E4" s="59" t="s">
        <v>112</v>
      </c>
      <c r="F4" s="59" t="s">
        <v>113</v>
      </c>
      <c r="G4" s="59" t="s">
        <v>111</v>
      </c>
      <c r="H4" s="59" t="s">
        <v>112</v>
      </c>
      <c r="I4" s="59" t="s">
        <v>113</v>
      </c>
      <c r="J4" s="59" t="s">
        <v>111</v>
      </c>
      <c r="K4" s="59" t="s">
        <v>112</v>
      </c>
      <c r="L4" s="59" t="s">
        <v>113</v>
      </c>
      <c r="M4" s="59" t="s">
        <v>111</v>
      </c>
      <c r="N4" s="59" t="s">
        <v>112</v>
      </c>
      <c r="O4" s="59" t="s">
        <v>113</v>
      </c>
      <c r="P4" s="59" t="s">
        <v>111</v>
      </c>
      <c r="Q4" s="59" t="s">
        <v>112</v>
      </c>
      <c r="R4" s="59" t="s">
        <v>113</v>
      </c>
    </row>
    <row r="5" spans="1:18" ht="44" customHeight="1" x14ac:dyDescent="0.25">
      <c r="A5" s="60" t="s">
        <v>114</v>
      </c>
      <c r="B5" s="60" t="s">
        <v>115</v>
      </c>
      <c r="C5" s="61">
        <v>0.33450000000000002</v>
      </c>
      <c r="D5" s="60" t="s">
        <v>114</v>
      </c>
      <c r="E5" s="60" t="s">
        <v>115</v>
      </c>
      <c r="F5" s="61">
        <v>0.34100000000000003</v>
      </c>
      <c r="G5" s="60" t="s">
        <v>114</v>
      </c>
      <c r="H5" s="60" t="s">
        <v>115</v>
      </c>
      <c r="I5" s="61">
        <v>0.42180000000000001</v>
      </c>
      <c r="J5" s="60" t="s">
        <v>114</v>
      </c>
      <c r="K5" s="60" t="s">
        <v>115</v>
      </c>
      <c r="L5" s="61">
        <v>0.44979999999999998</v>
      </c>
      <c r="M5" s="60" t="s">
        <v>114</v>
      </c>
      <c r="N5" s="60" t="s">
        <v>115</v>
      </c>
      <c r="O5" s="61">
        <v>0.442</v>
      </c>
      <c r="P5" s="60" t="s">
        <v>114</v>
      </c>
      <c r="Q5" s="60" t="s">
        <v>115</v>
      </c>
      <c r="R5" s="61">
        <v>0.39200000000000002</v>
      </c>
    </row>
    <row r="6" spans="1:18" ht="44" customHeight="1" x14ac:dyDescent="0.25">
      <c r="A6" s="60" t="s">
        <v>116</v>
      </c>
      <c r="B6" s="60" t="s">
        <v>117</v>
      </c>
      <c r="C6" s="61">
        <v>0.2213</v>
      </c>
      <c r="D6" s="60" t="s">
        <v>118</v>
      </c>
      <c r="E6" s="62" t="s">
        <v>119</v>
      </c>
      <c r="F6" s="61">
        <v>0.14419999999999999</v>
      </c>
      <c r="G6" s="60" t="s">
        <v>120</v>
      </c>
      <c r="H6" s="60" t="s">
        <v>121</v>
      </c>
      <c r="I6" s="61">
        <v>9.7199999999999995E-2</v>
      </c>
      <c r="J6" s="60" t="s">
        <v>122</v>
      </c>
      <c r="K6" s="60" t="s">
        <v>123</v>
      </c>
      <c r="L6" s="61">
        <v>4.6399999999999997E-2</v>
      </c>
      <c r="M6" s="60" t="s">
        <v>122</v>
      </c>
      <c r="N6" s="60" t="s">
        <v>123</v>
      </c>
      <c r="O6" s="61">
        <v>4.9399999999999999E-2</v>
      </c>
      <c r="P6" s="60" t="s">
        <v>124</v>
      </c>
      <c r="Q6" s="60" t="s">
        <v>125</v>
      </c>
      <c r="R6" s="61">
        <v>9.1999999999999998E-2</v>
      </c>
    </row>
    <row r="7" spans="1:18" ht="44" customHeight="1" x14ac:dyDescent="0.25">
      <c r="A7" s="60" t="s">
        <v>126</v>
      </c>
      <c r="B7" s="60" t="s">
        <v>127</v>
      </c>
      <c r="C7" s="61">
        <v>6.0499999999999998E-2</v>
      </c>
      <c r="D7" s="60" t="s">
        <v>126</v>
      </c>
      <c r="E7" s="60" t="s">
        <v>127</v>
      </c>
      <c r="F7" s="61">
        <v>0.1074</v>
      </c>
      <c r="G7" s="60" t="s">
        <v>128</v>
      </c>
      <c r="H7" s="60" t="s">
        <v>129</v>
      </c>
      <c r="I7" s="61">
        <v>4.3900000000000002E-2</v>
      </c>
      <c r="J7" s="60" t="s">
        <v>130</v>
      </c>
      <c r="K7" s="60" t="s">
        <v>131</v>
      </c>
      <c r="L7" s="61">
        <v>4.0899999999999999E-2</v>
      </c>
      <c r="M7" s="60" t="s">
        <v>132</v>
      </c>
      <c r="N7" s="60" t="s">
        <v>133</v>
      </c>
      <c r="O7" s="61">
        <v>4.5400000000000003E-2</v>
      </c>
      <c r="P7" s="60" t="s">
        <v>134</v>
      </c>
      <c r="Q7" s="60" t="s">
        <v>135</v>
      </c>
      <c r="R7" s="61">
        <v>6.1899999999999997E-2</v>
      </c>
    </row>
    <row r="8" spans="1:18" ht="44" customHeight="1" x14ac:dyDescent="0.25">
      <c r="A8" s="60" t="s">
        <v>122</v>
      </c>
      <c r="B8" s="60" t="s">
        <v>136</v>
      </c>
      <c r="C8" s="61">
        <v>3.3799999999999997E-2</v>
      </c>
      <c r="D8" s="60" t="s">
        <v>137</v>
      </c>
      <c r="E8" s="60" t="s">
        <v>138</v>
      </c>
      <c r="F8" s="61">
        <v>5.3199999999999997E-2</v>
      </c>
      <c r="G8" s="60" t="s">
        <v>139</v>
      </c>
      <c r="H8" s="60" t="s">
        <v>140</v>
      </c>
      <c r="I8" s="61">
        <v>2.9700000000000001E-2</v>
      </c>
      <c r="J8" s="60" t="s">
        <v>141</v>
      </c>
      <c r="K8" s="60" t="s">
        <v>141</v>
      </c>
      <c r="L8" s="61">
        <v>3.1899999999999998E-2</v>
      </c>
      <c r="M8" s="60" t="s">
        <v>142</v>
      </c>
      <c r="N8" s="60" t="s">
        <v>138</v>
      </c>
      <c r="O8" s="61">
        <v>4.0399999999999998E-2</v>
      </c>
      <c r="P8" s="60" t="s">
        <v>143</v>
      </c>
      <c r="Q8" s="60" t="s">
        <v>144</v>
      </c>
      <c r="R8" s="61">
        <v>6.1899999999999997E-2</v>
      </c>
    </row>
    <row r="9" spans="1:18" ht="44" customHeight="1" x14ac:dyDescent="0.25">
      <c r="A9" s="60" t="s">
        <v>145</v>
      </c>
      <c r="B9" s="60" t="s">
        <v>146</v>
      </c>
      <c r="C9" s="61">
        <v>3.0200000000000001E-2</v>
      </c>
      <c r="D9" s="60" t="s">
        <v>147</v>
      </c>
      <c r="E9" s="60" t="s">
        <v>148</v>
      </c>
      <c r="F9" s="61">
        <v>2.5700000000000001E-2</v>
      </c>
      <c r="G9" s="60" t="s">
        <v>149</v>
      </c>
      <c r="H9" s="60" t="s">
        <v>150</v>
      </c>
      <c r="I9" s="61">
        <v>1.9300000000000001E-2</v>
      </c>
      <c r="J9" s="60" t="s">
        <v>151</v>
      </c>
      <c r="K9" s="60" t="s">
        <v>152</v>
      </c>
      <c r="L9" s="61">
        <v>3.0200000000000001E-2</v>
      </c>
      <c r="M9" s="60" t="s">
        <v>153</v>
      </c>
      <c r="N9" s="60" t="s">
        <v>154</v>
      </c>
      <c r="O9" s="61">
        <v>2.8299999999999999E-2</v>
      </c>
      <c r="P9" s="60" t="s">
        <v>155</v>
      </c>
      <c r="Q9" s="60" t="s">
        <v>156</v>
      </c>
      <c r="R9" s="61">
        <v>6.1899999999999997E-2</v>
      </c>
    </row>
    <row r="10" spans="1:18" ht="44" customHeight="1" x14ac:dyDescent="0.25">
      <c r="A10" s="60" t="s">
        <v>157</v>
      </c>
      <c r="B10" s="60" t="s">
        <v>158</v>
      </c>
      <c r="C10" s="61">
        <v>2.0500000000000001E-2</v>
      </c>
      <c r="D10" s="60" t="s">
        <v>159</v>
      </c>
      <c r="E10" s="60" t="s">
        <v>121</v>
      </c>
      <c r="F10" s="61">
        <v>1.5699999999999999E-2</v>
      </c>
      <c r="G10" s="60" t="s">
        <v>160</v>
      </c>
      <c r="H10" s="60" t="s">
        <v>161</v>
      </c>
      <c r="I10" s="61">
        <v>1.3599999999999999E-2</v>
      </c>
      <c r="J10" s="60" t="s">
        <v>162</v>
      </c>
      <c r="K10" s="60" t="s">
        <v>163</v>
      </c>
      <c r="L10" s="61">
        <v>2.87E-2</v>
      </c>
      <c r="M10" s="60" t="s">
        <v>157</v>
      </c>
      <c r="N10" s="60" t="s">
        <v>158</v>
      </c>
      <c r="O10" s="61">
        <v>2.7199999999999998E-2</v>
      </c>
      <c r="P10" s="60" t="s">
        <v>164</v>
      </c>
      <c r="Q10" s="60" t="s">
        <v>165</v>
      </c>
      <c r="R10" s="61">
        <v>5.3100000000000001E-2</v>
      </c>
    </row>
    <row r="11" spans="1:18" ht="44" customHeight="1" x14ac:dyDescent="0.25">
      <c r="A11" s="60" t="s">
        <v>118</v>
      </c>
      <c r="B11" s="62" t="s">
        <v>119</v>
      </c>
      <c r="C11" s="61">
        <v>1.7000000000000001E-2</v>
      </c>
      <c r="D11" s="60" t="s">
        <v>166</v>
      </c>
      <c r="E11" s="60" t="s">
        <v>144</v>
      </c>
      <c r="F11" s="61">
        <v>1.3599999999999999E-2</v>
      </c>
      <c r="G11" s="60" t="s">
        <v>167</v>
      </c>
      <c r="H11" s="60" t="s">
        <v>168</v>
      </c>
      <c r="I11" s="61">
        <v>1.35E-2</v>
      </c>
      <c r="J11" s="60" t="s">
        <v>139</v>
      </c>
      <c r="K11" s="60" t="s">
        <v>169</v>
      </c>
      <c r="L11" s="61">
        <v>2.5499999999999998E-2</v>
      </c>
      <c r="M11" s="60" t="s">
        <v>170</v>
      </c>
      <c r="N11" s="60" t="s">
        <v>148</v>
      </c>
      <c r="O11" s="61">
        <v>2.52E-2</v>
      </c>
      <c r="P11" s="60" t="s">
        <v>171</v>
      </c>
      <c r="Q11" s="60" t="s">
        <v>171</v>
      </c>
      <c r="R11" s="61">
        <v>5.3100000000000001E-2</v>
      </c>
    </row>
    <row r="12" spans="1:18" ht="44" customHeight="1" x14ac:dyDescent="0.25">
      <c r="A12" s="60" t="s">
        <v>172</v>
      </c>
      <c r="B12" s="60" t="s">
        <v>173</v>
      </c>
      <c r="C12" s="61">
        <v>1.52E-2</v>
      </c>
      <c r="D12" s="60" t="s">
        <v>174</v>
      </c>
      <c r="E12" s="60" t="s">
        <v>154</v>
      </c>
      <c r="F12" s="61">
        <v>1.3100000000000001E-2</v>
      </c>
      <c r="G12" s="60" t="s">
        <v>175</v>
      </c>
      <c r="H12" s="60" t="s">
        <v>176</v>
      </c>
      <c r="I12" s="61">
        <v>1.26E-2</v>
      </c>
      <c r="J12" s="60" t="s">
        <v>177</v>
      </c>
      <c r="K12" s="60" t="s">
        <v>178</v>
      </c>
      <c r="L12" s="61">
        <v>2.3699999999999999E-2</v>
      </c>
      <c r="M12" s="60" t="s">
        <v>179</v>
      </c>
      <c r="N12" s="60" t="s">
        <v>180</v>
      </c>
      <c r="O12" s="61">
        <v>1.41E-2</v>
      </c>
      <c r="P12" s="60" t="s">
        <v>181</v>
      </c>
      <c r="Q12" s="60" t="s">
        <v>182</v>
      </c>
      <c r="R12" s="61">
        <v>5.3100000000000001E-2</v>
      </c>
    </row>
    <row r="13" spans="1:18" ht="44" customHeight="1" x14ac:dyDescent="0.25">
      <c r="A13" s="60" t="s">
        <v>183</v>
      </c>
      <c r="B13" s="60" t="s">
        <v>184</v>
      </c>
      <c r="C13" s="61">
        <v>1.3899999999999999E-2</v>
      </c>
      <c r="D13" s="60" t="s">
        <v>185</v>
      </c>
      <c r="E13" s="60" t="s">
        <v>169</v>
      </c>
      <c r="F13" s="61">
        <v>9.7999999999999997E-3</v>
      </c>
      <c r="G13" s="60" t="s">
        <v>186</v>
      </c>
      <c r="H13" s="60" t="s">
        <v>187</v>
      </c>
      <c r="I13" s="61">
        <v>1.24E-2</v>
      </c>
      <c r="J13" s="60" t="s">
        <v>188</v>
      </c>
      <c r="K13" s="60" t="s">
        <v>189</v>
      </c>
      <c r="L13" s="61">
        <v>1.52E-2</v>
      </c>
      <c r="M13" s="60" t="s">
        <v>190</v>
      </c>
      <c r="N13" s="60" t="s">
        <v>173</v>
      </c>
      <c r="O13" s="61">
        <v>1.21E-2</v>
      </c>
      <c r="P13" s="60" t="s">
        <v>191</v>
      </c>
      <c r="Q13" s="60" t="s">
        <v>192</v>
      </c>
      <c r="R13" s="61">
        <v>5.3100000000000001E-2</v>
      </c>
    </row>
    <row r="14" spans="1:18" ht="44" customHeight="1" x14ac:dyDescent="0.25">
      <c r="A14" s="60" t="s">
        <v>143</v>
      </c>
      <c r="B14" s="60" t="s">
        <v>193</v>
      </c>
      <c r="C14" s="61">
        <v>1.06E-2</v>
      </c>
      <c r="D14" s="60" t="s">
        <v>122</v>
      </c>
      <c r="E14" s="60" t="s">
        <v>136</v>
      </c>
      <c r="F14" s="61">
        <v>8.8999999999999999E-3</v>
      </c>
      <c r="G14" s="60" t="s">
        <v>143</v>
      </c>
      <c r="H14" s="60" t="s">
        <v>193</v>
      </c>
      <c r="I14" s="61">
        <v>1.24E-2</v>
      </c>
      <c r="J14" s="60" t="s">
        <v>170</v>
      </c>
      <c r="K14" s="60" t="s">
        <v>148</v>
      </c>
      <c r="L14" s="61">
        <v>1.37E-2</v>
      </c>
      <c r="M14" s="60" t="s">
        <v>159</v>
      </c>
      <c r="N14" s="60" t="s">
        <v>121</v>
      </c>
      <c r="O14" s="61">
        <v>1.21E-2</v>
      </c>
      <c r="P14" s="60" t="s">
        <v>170</v>
      </c>
      <c r="Q14" s="60" t="s">
        <v>194</v>
      </c>
      <c r="R14" s="61">
        <v>6.1899999999999997E-2</v>
      </c>
    </row>
    <row r="16" spans="1:18" ht="44" customHeight="1" x14ac:dyDescent="0.25">
      <c r="A16" s="212" t="s">
        <v>1388</v>
      </c>
    </row>
    <row r="17" spans="7:11" ht="59" customHeight="1" x14ac:dyDescent="0.25">
      <c r="G17" s="63" t="s">
        <v>195</v>
      </c>
      <c r="H17" s="63" t="s">
        <v>196</v>
      </c>
      <c r="I17" s="197" t="s">
        <v>30</v>
      </c>
      <c r="J17" s="197"/>
      <c r="K17" s="197"/>
    </row>
    <row r="18" spans="7:11" ht="44" customHeight="1" x14ac:dyDescent="0.25">
      <c r="G18" s="64" t="s">
        <v>40</v>
      </c>
      <c r="H18" s="64" t="s">
        <v>197</v>
      </c>
      <c r="I18" s="198" t="s">
        <v>198</v>
      </c>
      <c r="J18" s="198"/>
      <c r="K18" s="198"/>
    </row>
    <row r="19" spans="7:11" ht="44" customHeight="1" x14ac:dyDescent="0.25">
      <c r="G19" s="64" t="s">
        <v>52</v>
      </c>
      <c r="H19" s="64" t="s">
        <v>199</v>
      </c>
      <c r="I19" s="198" t="s">
        <v>200</v>
      </c>
      <c r="J19" s="198"/>
      <c r="K19" s="198"/>
    </row>
    <row r="20" spans="7:11" ht="44" customHeight="1" x14ac:dyDescent="0.25">
      <c r="G20" s="64" t="s">
        <v>108</v>
      </c>
      <c r="H20" s="64" t="s">
        <v>201</v>
      </c>
      <c r="I20" s="198" t="s">
        <v>202</v>
      </c>
      <c r="J20" s="198"/>
      <c r="K20" s="198"/>
    </row>
    <row r="21" spans="7:11" ht="44" customHeight="1" x14ac:dyDescent="0.25">
      <c r="G21" s="64" t="s">
        <v>84</v>
      </c>
      <c r="H21" s="64" t="s">
        <v>203</v>
      </c>
      <c r="I21" s="198" t="s">
        <v>204</v>
      </c>
      <c r="J21" s="198"/>
      <c r="K21" s="198"/>
    </row>
    <row r="22" spans="7:11" ht="44" customHeight="1" x14ac:dyDescent="0.25">
      <c r="G22" s="64" t="s">
        <v>205</v>
      </c>
      <c r="H22" s="64" t="s">
        <v>206</v>
      </c>
      <c r="I22" s="198" t="s">
        <v>207</v>
      </c>
      <c r="J22" s="198"/>
      <c r="K22" s="198"/>
    </row>
    <row r="23" spans="7:11" ht="44" customHeight="1" x14ac:dyDescent="0.25">
      <c r="G23" s="64" t="s">
        <v>208</v>
      </c>
      <c r="H23" s="64" t="s">
        <v>209</v>
      </c>
      <c r="I23" s="198" t="s">
        <v>210</v>
      </c>
      <c r="J23" s="198"/>
      <c r="K23" s="198"/>
    </row>
  </sheetData>
  <mergeCells count="14">
    <mergeCell ref="I21:K21"/>
    <mergeCell ref="I22:K22"/>
    <mergeCell ref="I23:K23"/>
    <mergeCell ref="P3:R3"/>
    <mergeCell ref="I17:K17"/>
    <mergeCell ref="I18:K18"/>
    <mergeCell ref="I19:K19"/>
    <mergeCell ref="I20:K20"/>
    <mergeCell ref="A1:N1"/>
    <mergeCell ref="A3:C3"/>
    <mergeCell ref="D3:F3"/>
    <mergeCell ref="G3:I3"/>
    <mergeCell ref="J3:L3"/>
    <mergeCell ref="M3:O3"/>
  </mergeCells>
  <phoneticPr fontId="34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I63"/>
  <sheetViews>
    <sheetView workbookViewId="0">
      <selection activeCell="H3" sqref="H3"/>
    </sheetView>
  </sheetViews>
  <sheetFormatPr defaultColWidth="38.26953125" defaultRowHeight="28" customHeight="1" x14ac:dyDescent="0.25"/>
  <cols>
    <col min="1" max="1" width="5.08984375" customWidth="1"/>
    <col min="2" max="2" width="32.81640625" style="48" customWidth="1"/>
    <col min="3" max="6" width="24.81640625" customWidth="1"/>
    <col min="7" max="7" width="25.81640625" customWidth="1"/>
    <col min="8" max="8" width="30.26953125" customWidth="1"/>
    <col min="9" max="9" width="38.26953125" customWidth="1"/>
  </cols>
  <sheetData>
    <row r="1" spans="2:9" ht="13" customHeight="1" x14ac:dyDescent="0.25"/>
    <row r="2" spans="2:9" ht="28" customHeight="1" x14ac:dyDescent="0.25">
      <c r="B2" s="49" t="s">
        <v>211</v>
      </c>
      <c r="C2" s="50" t="s">
        <v>3</v>
      </c>
      <c r="D2" s="50" t="s">
        <v>4</v>
      </c>
      <c r="E2" s="50" t="s">
        <v>5</v>
      </c>
      <c r="F2" s="50" t="s">
        <v>6</v>
      </c>
      <c r="G2" s="50" t="s">
        <v>7</v>
      </c>
      <c r="H2" s="50" t="s">
        <v>8</v>
      </c>
    </row>
    <row r="3" spans="2:9" ht="28" customHeight="1" x14ac:dyDescent="0.25">
      <c r="B3" s="51" t="s">
        <v>212</v>
      </c>
      <c r="C3" s="52">
        <v>297</v>
      </c>
      <c r="D3" s="52">
        <v>297</v>
      </c>
      <c r="E3" s="3">
        <v>297</v>
      </c>
      <c r="F3" s="3">
        <v>397</v>
      </c>
      <c r="G3" s="3">
        <v>564</v>
      </c>
      <c r="H3" s="3">
        <v>646</v>
      </c>
    </row>
    <row r="4" spans="2:9" ht="28" customHeight="1" x14ac:dyDescent="0.25">
      <c r="B4" s="51" t="s">
        <v>213</v>
      </c>
      <c r="C4" s="52">
        <v>297</v>
      </c>
      <c r="D4" s="52">
        <v>297</v>
      </c>
      <c r="E4" s="52">
        <v>297</v>
      </c>
      <c r="F4" s="3">
        <v>397</v>
      </c>
      <c r="G4" s="3">
        <v>465</v>
      </c>
      <c r="H4" s="3">
        <v>487</v>
      </c>
      <c r="I4" s="215" t="s">
        <v>1390</v>
      </c>
    </row>
    <row r="5" spans="2:9" ht="28" customHeight="1" x14ac:dyDescent="0.25">
      <c r="B5" s="51" t="s">
        <v>214</v>
      </c>
      <c r="C5" s="53"/>
      <c r="D5" s="53"/>
      <c r="E5" s="53"/>
      <c r="F5" s="53"/>
      <c r="G5" s="3">
        <v>98</v>
      </c>
      <c r="H5" s="3">
        <v>159</v>
      </c>
      <c r="I5" s="215" t="s">
        <v>1391</v>
      </c>
    </row>
    <row r="6" spans="2:9" ht="28" customHeight="1" x14ac:dyDescent="0.25">
      <c r="B6" s="213" t="s">
        <v>215</v>
      </c>
      <c r="C6" s="52">
        <f t="shared" ref="C6:H6" si="0">SUM(C7:C10)</f>
        <v>1188</v>
      </c>
      <c r="D6" s="52">
        <f t="shared" si="0"/>
        <v>1188</v>
      </c>
      <c r="E6" s="52">
        <f t="shared" si="0"/>
        <v>1188</v>
      </c>
      <c r="F6" s="52">
        <f t="shared" si="0"/>
        <v>1588</v>
      </c>
      <c r="G6" s="52">
        <f t="shared" si="0"/>
        <v>1860</v>
      </c>
      <c r="H6" s="3">
        <f t="shared" si="0"/>
        <v>1948</v>
      </c>
    </row>
    <row r="7" spans="2:9" ht="28" customHeight="1" x14ac:dyDescent="0.25">
      <c r="B7" s="214" t="s">
        <v>52</v>
      </c>
      <c r="C7" s="52">
        <v>297</v>
      </c>
      <c r="D7" s="3">
        <v>297</v>
      </c>
      <c r="E7" s="3">
        <v>297</v>
      </c>
      <c r="F7" s="3">
        <v>397</v>
      </c>
      <c r="G7" s="3">
        <v>465</v>
      </c>
      <c r="H7" s="3">
        <v>487</v>
      </c>
    </row>
    <row r="8" spans="2:9" ht="28" customHeight="1" x14ac:dyDescent="0.25">
      <c r="B8" s="214" t="s">
        <v>27</v>
      </c>
      <c r="C8" s="52">
        <v>297</v>
      </c>
      <c r="D8" s="3">
        <v>297</v>
      </c>
      <c r="E8" s="3">
        <v>297</v>
      </c>
      <c r="F8" s="3">
        <v>397</v>
      </c>
      <c r="G8" s="3">
        <v>465</v>
      </c>
      <c r="H8" s="3">
        <v>487</v>
      </c>
    </row>
    <row r="9" spans="2:9" ht="28" customHeight="1" x14ac:dyDescent="0.25">
      <c r="B9" s="214" t="s">
        <v>216</v>
      </c>
      <c r="C9" s="52">
        <v>297</v>
      </c>
      <c r="D9" s="3">
        <v>297</v>
      </c>
      <c r="E9" s="3">
        <v>297</v>
      </c>
      <c r="F9" s="3">
        <v>397</v>
      </c>
      <c r="G9" s="3">
        <v>465</v>
      </c>
      <c r="H9" s="3">
        <v>487</v>
      </c>
    </row>
    <row r="10" spans="2:9" ht="28" customHeight="1" x14ac:dyDescent="0.25">
      <c r="B10" s="214" t="s">
        <v>208</v>
      </c>
      <c r="C10" s="52">
        <v>297</v>
      </c>
      <c r="D10" s="52">
        <v>297</v>
      </c>
      <c r="E10" s="3">
        <v>297</v>
      </c>
      <c r="F10" s="3">
        <v>397</v>
      </c>
      <c r="G10" s="3">
        <v>465</v>
      </c>
      <c r="H10" s="3">
        <v>487</v>
      </c>
    </row>
    <row r="11" spans="2:9" ht="28" customHeight="1" x14ac:dyDescent="0.25">
      <c r="B11" s="214" t="s">
        <v>64</v>
      </c>
      <c r="C11" s="53"/>
      <c r="D11" s="53"/>
      <c r="E11" s="53"/>
      <c r="F11" s="53"/>
      <c r="G11" s="3">
        <v>465</v>
      </c>
      <c r="H11" s="3">
        <v>487</v>
      </c>
    </row>
    <row r="12" spans="2:9" ht="28" customHeight="1" x14ac:dyDescent="0.25">
      <c r="B12" s="214" t="s">
        <v>84</v>
      </c>
      <c r="C12" s="53"/>
      <c r="D12" s="53"/>
      <c r="E12" s="53"/>
      <c r="F12" s="53"/>
      <c r="G12" s="3">
        <v>465</v>
      </c>
      <c r="H12" s="3">
        <v>487</v>
      </c>
    </row>
    <row r="13" spans="2:9" ht="28" customHeight="1" x14ac:dyDescent="0.25">
      <c r="B13" s="214" t="s">
        <v>101</v>
      </c>
      <c r="C13" s="53"/>
      <c r="D13" s="53"/>
      <c r="E13" s="53"/>
      <c r="F13" s="53"/>
      <c r="G13" s="3">
        <v>465</v>
      </c>
      <c r="H13" s="3">
        <v>487</v>
      </c>
    </row>
    <row r="14" spans="2:9" ht="28" customHeight="1" x14ac:dyDescent="0.25">
      <c r="B14" s="51" t="s">
        <v>217</v>
      </c>
      <c r="C14" s="52">
        <f t="shared" ref="C14:H14" si="1">SUM(C15:C18)</f>
        <v>582</v>
      </c>
      <c r="D14" s="52">
        <f t="shared" si="1"/>
        <v>635</v>
      </c>
      <c r="E14" s="52">
        <f t="shared" si="1"/>
        <v>719</v>
      </c>
      <c r="F14" s="52">
        <f t="shared" si="1"/>
        <v>852</v>
      </c>
      <c r="G14" s="52">
        <f t="shared" si="1"/>
        <v>1019</v>
      </c>
      <c r="H14" s="52">
        <f t="shared" si="1"/>
        <v>1108</v>
      </c>
    </row>
    <row r="15" spans="2:9" ht="28" customHeight="1" x14ac:dyDescent="0.25">
      <c r="B15" s="54" t="s">
        <v>52</v>
      </c>
      <c r="C15" s="34">
        <v>144</v>
      </c>
      <c r="D15" s="34">
        <v>156</v>
      </c>
      <c r="E15" s="34">
        <v>196</v>
      </c>
      <c r="F15" s="34">
        <v>243</v>
      </c>
      <c r="G15" s="34">
        <v>344</v>
      </c>
      <c r="H15" s="34">
        <v>367</v>
      </c>
    </row>
    <row r="16" spans="2:9" ht="28" customHeight="1" x14ac:dyDescent="0.25">
      <c r="B16" s="54" t="s">
        <v>27</v>
      </c>
      <c r="C16" s="34">
        <v>151</v>
      </c>
      <c r="D16" s="34">
        <v>166</v>
      </c>
      <c r="E16" s="34">
        <v>186</v>
      </c>
      <c r="F16" s="34">
        <v>200</v>
      </c>
      <c r="G16" s="34">
        <v>309</v>
      </c>
      <c r="H16" s="34">
        <v>325</v>
      </c>
    </row>
    <row r="17" spans="2:8" ht="28" customHeight="1" x14ac:dyDescent="0.25">
      <c r="B17" s="54" t="s">
        <v>216</v>
      </c>
      <c r="C17" s="34">
        <v>183</v>
      </c>
      <c r="D17" s="34">
        <v>187</v>
      </c>
      <c r="E17" s="34">
        <v>206</v>
      </c>
      <c r="F17" s="34">
        <v>251</v>
      </c>
      <c r="G17" s="34">
        <v>226</v>
      </c>
      <c r="H17" s="34">
        <v>277</v>
      </c>
    </row>
    <row r="18" spans="2:8" ht="28" customHeight="1" x14ac:dyDescent="0.25">
      <c r="B18" s="54" t="s">
        <v>208</v>
      </c>
      <c r="C18" s="34">
        <v>104</v>
      </c>
      <c r="D18" s="34">
        <v>126</v>
      </c>
      <c r="E18" s="34">
        <v>131</v>
      </c>
      <c r="F18" s="34">
        <v>158</v>
      </c>
      <c r="G18" s="34">
        <v>140</v>
      </c>
      <c r="H18" s="34">
        <v>139</v>
      </c>
    </row>
    <row r="19" spans="2:8" ht="28" customHeight="1" x14ac:dyDescent="0.25">
      <c r="B19" s="54" t="s">
        <v>64</v>
      </c>
      <c r="C19" s="53"/>
      <c r="D19" s="53"/>
      <c r="E19" s="53"/>
      <c r="F19" s="53"/>
      <c r="G19" s="34">
        <v>275</v>
      </c>
      <c r="H19" s="34">
        <v>260</v>
      </c>
    </row>
    <row r="20" spans="2:8" ht="28" customHeight="1" x14ac:dyDescent="0.25">
      <c r="B20" s="54" t="s">
        <v>84</v>
      </c>
      <c r="C20" s="53"/>
      <c r="D20" s="53"/>
      <c r="E20" s="53"/>
      <c r="F20" s="53"/>
      <c r="G20" s="34">
        <v>311</v>
      </c>
      <c r="H20" s="34">
        <v>326</v>
      </c>
    </row>
    <row r="21" spans="2:8" ht="28" customHeight="1" x14ac:dyDescent="0.25">
      <c r="B21" s="54" t="s">
        <v>101</v>
      </c>
      <c r="C21" s="53"/>
      <c r="D21" s="53"/>
      <c r="E21" s="53"/>
      <c r="F21" s="53"/>
      <c r="G21" s="34">
        <v>218</v>
      </c>
      <c r="H21" s="34">
        <v>218</v>
      </c>
    </row>
    <row r="22" spans="2:8" ht="28" customHeight="1" x14ac:dyDescent="0.25">
      <c r="B22" s="51" t="s">
        <v>218</v>
      </c>
      <c r="C22" s="55">
        <f t="shared" ref="C22:H22" si="2">C14/C6</f>
        <v>0.48989898989899</v>
      </c>
      <c r="D22" s="55">
        <f t="shared" si="2"/>
        <v>0.53451178451178405</v>
      </c>
      <c r="E22" s="55">
        <f t="shared" si="2"/>
        <v>0.60521885521885499</v>
      </c>
      <c r="F22" s="55">
        <f t="shared" si="2"/>
        <v>0.536523929471033</v>
      </c>
      <c r="G22" s="55">
        <f t="shared" si="2"/>
        <v>0.54784946236559096</v>
      </c>
      <c r="H22" s="55">
        <f t="shared" si="2"/>
        <v>0.56878850102669398</v>
      </c>
    </row>
    <row r="23" spans="2:8" ht="28" customHeight="1" x14ac:dyDescent="0.25">
      <c r="B23" s="54" t="s">
        <v>52</v>
      </c>
      <c r="C23" s="55">
        <f t="shared" ref="C23:H23" si="3">C15/C7</f>
        <v>0.48484848484848497</v>
      </c>
      <c r="D23" s="55">
        <f t="shared" si="3"/>
        <v>0.52525252525252497</v>
      </c>
      <c r="E23" s="55">
        <f t="shared" si="3"/>
        <v>0.65993265993266004</v>
      </c>
      <c r="F23" s="55">
        <f t="shared" si="3"/>
        <v>0.61209068010075596</v>
      </c>
      <c r="G23" s="55">
        <f t="shared" si="3"/>
        <v>0.73978494623655899</v>
      </c>
      <c r="H23" s="55">
        <f t="shared" si="3"/>
        <v>0.75359342915811101</v>
      </c>
    </row>
    <row r="24" spans="2:8" ht="28" customHeight="1" x14ac:dyDescent="0.25">
      <c r="B24" s="54" t="s">
        <v>27</v>
      </c>
      <c r="C24" s="55">
        <f t="shared" ref="C24:H24" si="4">C16/C8</f>
        <v>0.50841750841750799</v>
      </c>
      <c r="D24" s="55">
        <f t="shared" si="4"/>
        <v>0.55892255892255904</v>
      </c>
      <c r="E24" s="55">
        <f t="shared" si="4"/>
        <v>0.62626262626262597</v>
      </c>
      <c r="F24" s="55">
        <f t="shared" si="4"/>
        <v>0.50377833753148604</v>
      </c>
      <c r="G24" s="55">
        <f t="shared" si="4"/>
        <v>0.66451612903225799</v>
      </c>
      <c r="H24" s="55">
        <f t="shared" si="4"/>
        <v>0.66735112936344998</v>
      </c>
    </row>
    <row r="25" spans="2:8" ht="28" customHeight="1" x14ac:dyDescent="0.25">
      <c r="B25" s="54" t="s">
        <v>216</v>
      </c>
      <c r="C25" s="55">
        <f t="shared" ref="C25:H25" si="5">C17/C9</f>
        <v>0.61616161616161602</v>
      </c>
      <c r="D25" s="55">
        <f t="shared" si="5"/>
        <v>0.62962962962962998</v>
      </c>
      <c r="E25" s="55">
        <f t="shared" si="5"/>
        <v>0.693602693602694</v>
      </c>
      <c r="F25" s="55">
        <f t="shared" si="5"/>
        <v>0.63224181360201503</v>
      </c>
      <c r="G25" s="55">
        <f t="shared" si="5"/>
        <v>0.48602150537634398</v>
      </c>
      <c r="H25" s="55">
        <f t="shared" si="5"/>
        <v>0.56878850102669398</v>
      </c>
    </row>
    <row r="26" spans="2:8" ht="28" customHeight="1" x14ac:dyDescent="0.25">
      <c r="B26" s="54" t="s">
        <v>208</v>
      </c>
      <c r="C26" s="55">
        <f t="shared" ref="C26:H26" si="6">C18/C10</f>
        <v>0.35016835016835002</v>
      </c>
      <c r="D26" s="55">
        <f t="shared" si="6"/>
        <v>0.42424242424242398</v>
      </c>
      <c r="E26" s="55">
        <f t="shared" si="6"/>
        <v>0.44107744107744101</v>
      </c>
      <c r="F26" s="55">
        <f t="shared" si="6"/>
        <v>0.39798488664987403</v>
      </c>
      <c r="G26" s="55">
        <f t="shared" si="6"/>
        <v>0.30107526881720398</v>
      </c>
      <c r="H26" s="55">
        <f t="shared" si="6"/>
        <v>0.28542094455852202</v>
      </c>
    </row>
    <row r="27" spans="2:8" ht="28" customHeight="1" x14ac:dyDescent="0.25">
      <c r="B27" s="54" t="s">
        <v>64</v>
      </c>
      <c r="C27" s="53"/>
      <c r="D27" s="53"/>
      <c r="E27" s="53"/>
      <c r="F27" s="53"/>
      <c r="G27" s="55">
        <f t="shared" ref="G27:G29" si="7">G19/G11</f>
        <v>0.59139784946236595</v>
      </c>
      <c r="H27" s="55">
        <f t="shared" ref="H27:H29" si="8">H19/H11</f>
        <v>0.53388090349076001</v>
      </c>
    </row>
    <row r="28" spans="2:8" ht="28" customHeight="1" x14ac:dyDescent="0.25">
      <c r="B28" s="54" t="s">
        <v>84</v>
      </c>
      <c r="C28" s="53"/>
      <c r="D28" s="53"/>
      <c r="E28" s="53"/>
      <c r="F28" s="53"/>
      <c r="G28" s="55">
        <f t="shared" si="7"/>
        <v>0.66881720430107505</v>
      </c>
      <c r="H28" s="55">
        <f t="shared" si="8"/>
        <v>0.66940451745379903</v>
      </c>
    </row>
    <row r="29" spans="2:8" ht="28" customHeight="1" x14ac:dyDescent="0.25">
      <c r="B29" s="54" t="s">
        <v>101</v>
      </c>
      <c r="C29" s="53"/>
      <c r="D29" s="53"/>
      <c r="E29" s="53"/>
      <c r="F29" s="53"/>
      <c r="G29" s="55">
        <f t="shared" si="7"/>
        <v>0.46881720430107499</v>
      </c>
      <c r="H29" s="55">
        <f t="shared" si="8"/>
        <v>0.44763860369609898</v>
      </c>
    </row>
    <row r="30" spans="2:8" ht="28" customHeight="1" x14ac:dyDescent="0.25">
      <c r="B30" s="51" t="s">
        <v>219</v>
      </c>
      <c r="C30" s="53"/>
      <c r="D30" s="53"/>
      <c r="E30" s="53"/>
      <c r="F30" s="53"/>
      <c r="G30" s="3">
        <f>SUM(G31:G37)</f>
        <v>686</v>
      </c>
      <c r="H30" s="3">
        <f>SUM(H31:H37)</f>
        <v>1113</v>
      </c>
    </row>
    <row r="31" spans="2:8" ht="28" customHeight="1" x14ac:dyDescent="0.25">
      <c r="B31" s="54" t="s">
        <v>52</v>
      </c>
      <c r="C31" s="53"/>
      <c r="D31" s="53"/>
      <c r="E31" s="53"/>
      <c r="F31" s="53"/>
      <c r="G31" s="3">
        <v>98</v>
      </c>
      <c r="H31" s="3">
        <v>159</v>
      </c>
    </row>
    <row r="32" spans="2:8" ht="28" customHeight="1" x14ac:dyDescent="0.25">
      <c r="B32" s="54" t="s">
        <v>27</v>
      </c>
      <c r="C32" s="53"/>
      <c r="D32" s="53"/>
      <c r="E32" s="53"/>
      <c r="F32" s="53"/>
      <c r="G32" s="3">
        <v>98</v>
      </c>
      <c r="H32" s="3">
        <v>159</v>
      </c>
    </row>
    <row r="33" spans="2:8" ht="28" customHeight="1" x14ac:dyDescent="0.25">
      <c r="B33" s="54" t="s">
        <v>216</v>
      </c>
      <c r="C33" s="53"/>
      <c r="D33" s="53"/>
      <c r="E33" s="53"/>
      <c r="F33" s="53"/>
      <c r="G33" s="3">
        <v>98</v>
      </c>
      <c r="H33" s="3">
        <v>159</v>
      </c>
    </row>
    <row r="34" spans="2:8" ht="28" customHeight="1" x14ac:dyDescent="0.25">
      <c r="B34" s="54" t="s">
        <v>208</v>
      </c>
      <c r="C34" s="53"/>
      <c r="D34" s="53"/>
      <c r="E34" s="53"/>
      <c r="F34" s="53"/>
      <c r="G34" s="3">
        <v>98</v>
      </c>
      <c r="H34" s="3">
        <v>159</v>
      </c>
    </row>
    <row r="35" spans="2:8" ht="28" customHeight="1" x14ac:dyDescent="0.25">
      <c r="B35" s="54" t="s">
        <v>64</v>
      </c>
      <c r="C35" s="53"/>
      <c r="D35" s="53"/>
      <c r="E35" s="53"/>
      <c r="F35" s="53"/>
      <c r="G35" s="3">
        <v>98</v>
      </c>
      <c r="H35" s="3">
        <v>159</v>
      </c>
    </row>
    <row r="36" spans="2:8" ht="28" customHeight="1" x14ac:dyDescent="0.25">
      <c r="B36" s="54" t="s">
        <v>84</v>
      </c>
      <c r="C36" s="53"/>
      <c r="D36" s="53"/>
      <c r="E36" s="53"/>
      <c r="F36" s="53"/>
      <c r="G36" s="3">
        <v>98</v>
      </c>
      <c r="H36" s="3">
        <v>159</v>
      </c>
    </row>
    <row r="37" spans="2:8" ht="28" customHeight="1" x14ac:dyDescent="0.25">
      <c r="B37" s="54" t="s">
        <v>101</v>
      </c>
      <c r="C37" s="53"/>
      <c r="D37" s="53"/>
      <c r="E37" s="53"/>
      <c r="F37" s="53"/>
      <c r="G37" s="3">
        <v>98</v>
      </c>
      <c r="H37" s="3">
        <v>159</v>
      </c>
    </row>
    <row r="38" spans="2:8" ht="28" customHeight="1" x14ac:dyDescent="0.25">
      <c r="B38" s="51" t="s">
        <v>220</v>
      </c>
      <c r="C38" s="53"/>
      <c r="D38" s="53"/>
      <c r="E38" s="53"/>
      <c r="F38" s="53"/>
      <c r="G38" s="3">
        <f>SUM(G39:G45)</f>
        <v>51</v>
      </c>
      <c r="H38" s="3">
        <f>SUM(H39:H45)</f>
        <v>414</v>
      </c>
    </row>
    <row r="39" spans="2:8" ht="28" customHeight="1" x14ac:dyDescent="0.25">
      <c r="B39" s="54" t="s">
        <v>52</v>
      </c>
      <c r="C39" s="53"/>
      <c r="D39" s="53"/>
      <c r="E39" s="53"/>
      <c r="F39" s="53"/>
      <c r="G39" s="3">
        <v>9</v>
      </c>
      <c r="H39" s="3">
        <v>66</v>
      </c>
    </row>
    <row r="40" spans="2:8" ht="28" customHeight="1" x14ac:dyDescent="0.25">
      <c r="B40" s="54" t="s">
        <v>27</v>
      </c>
      <c r="C40" s="53"/>
      <c r="D40" s="53"/>
      <c r="E40" s="53"/>
      <c r="F40" s="53"/>
      <c r="G40" s="3">
        <v>7</v>
      </c>
      <c r="H40" s="3">
        <v>72</v>
      </c>
    </row>
    <row r="41" spans="2:8" ht="28" customHeight="1" x14ac:dyDescent="0.25">
      <c r="B41" s="54" t="s">
        <v>216</v>
      </c>
      <c r="C41" s="53"/>
      <c r="D41" s="53"/>
      <c r="E41" s="53"/>
      <c r="F41" s="53"/>
      <c r="G41" s="3">
        <v>6</v>
      </c>
      <c r="H41" s="3">
        <v>75</v>
      </c>
    </row>
    <row r="42" spans="2:8" ht="28" customHeight="1" x14ac:dyDescent="0.25">
      <c r="B42" s="54" t="s">
        <v>208</v>
      </c>
      <c r="C42" s="53"/>
      <c r="D42" s="53"/>
      <c r="E42" s="53"/>
      <c r="F42" s="53"/>
      <c r="G42" s="3">
        <v>5</v>
      </c>
      <c r="H42" s="3">
        <v>70</v>
      </c>
    </row>
    <row r="43" spans="2:8" ht="28" customHeight="1" x14ac:dyDescent="0.25">
      <c r="B43" s="54" t="s">
        <v>64</v>
      </c>
      <c r="C43" s="53"/>
      <c r="D43" s="53"/>
      <c r="E43" s="53"/>
      <c r="F43" s="53"/>
      <c r="G43" s="3">
        <v>9</v>
      </c>
      <c r="H43" s="3">
        <v>67</v>
      </c>
    </row>
    <row r="44" spans="2:8" ht="28" customHeight="1" x14ac:dyDescent="0.25">
      <c r="B44" s="54" t="s">
        <v>84</v>
      </c>
      <c r="C44" s="53"/>
      <c r="D44" s="53"/>
      <c r="E44" s="53"/>
      <c r="F44" s="53"/>
      <c r="G44" s="3">
        <v>8</v>
      </c>
      <c r="H44" s="3">
        <v>64</v>
      </c>
    </row>
    <row r="45" spans="2:8" ht="28" customHeight="1" x14ac:dyDescent="0.25">
      <c r="B45" s="54" t="s">
        <v>101</v>
      </c>
      <c r="C45" s="53"/>
      <c r="D45" s="53"/>
      <c r="E45" s="53"/>
      <c r="F45" s="53"/>
      <c r="G45" s="3">
        <v>7</v>
      </c>
      <c r="H45" s="3"/>
    </row>
    <row r="46" spans="2:8" ht="28" customHeight="1" x14ac:dyDescent="0.25">
      <c r="B46" s="51" t="s">
        <v>221</v>
      </c>
      <c r="C46" s="53"/>
      <c r="D46" s="53"/>
      <c r="E46" s="53"/>
      <c r="F46" s="53"/>
      <c r="G46" s="56">
        <f t="shared" ref="G46:G53" si="9">G38/G30</f>
        <v>7.4344023323615199E-2</v>
      </c>
      <c r="H46" s="56">
        <f t="shared" ref="H46:H53" si="10">H38/H30</f>
        <v>0.37196765498652301</v>
      </c>
    </row>
    <row r="47" spans="2:8" ht="28" customHeight="1" x14ac:dyDescent="0.25">
      <c r="B47" s="54" t="s">
        <v>52</v>
      </c>
      <c r="C47" s="53"/>
      <c r="D47" s="53"/>
      <c r="E47" s="53"/>
      <c r="F47" s="53"/>
      <c r="G47" s="56">
        <f t="shared" si="9"/>
        <v>9.1836734693877597E-2</v>
      </c>
      <c r="H47" s="56">
        <f t="shared" si="10"/>
        <v>0.41509433962264197</v>
      </c>
    </row>
    <row r="48" spans="2:8" ht="28" customHeight="1" x14ac:dyDescent="0.25">
      <c r="B48" s="54" t="s">
        <v>27</v>
      </c>
      <c r="C48" s="53"/>
      <c r="D48" s="53"/>
      <c r="E48" s="53"/>
      <c r="F48" s="53"/>
      <c r="G48" s="56">
        <f t="shared" si="9"/>
        <v>7.1428571428571397E-2</v>
      </c>
      <c r="H48" s="56">
        <f t="shared" si="10"/>
        <v>0.45283018867924502</v>
      </c>
    </row>
    <row r="49" spans="2:9" ht="28" customHeight="1" x14ac:dyDescent="0.25">
      <c r="B49" s="54" t="s">
        <v>216</v>
      </c>
      <c r="C49" s="53"/>
      <c r="D49" s="53"/>
      <c r="E49" s="53"/>
      <c r="F49" s="53"/>
      <c r="G49" s="56">
        <f t="shared" si="9"/>
        <v>6.1224489795918401E-2</v>
      </c>
      <c r="H49" s="56">
        <f t="shared" si="10"/>
        <v>0.47169811320754701</v>
      </c>
    </row>
    <row r="50" spans="2:9" ht="28" customHeight="1" x14ac:dyDescent="0.25">
      <c r="B50" s="54" t="s">
        <v>208</v>
      </c>
      <c r="C50" s="53"/>
      <c r="D50" s="53"/>
      <c r="E50" s="53"/>
      <c r="F50" s="53"/>
      <c r="G50" s="56">
        <f t="shared" si="9"/>
        <v>5.10204081632653E-2</v>
      </c>
      <c r="H50" s="56">
        <f t="shared" si="10"/>
        <v>0.44025157232704398</v>
      </c>
    </row>
    <row r="51" spans="2:9" ht="28" customHeight="1" x14ac:dyDescent="0.25">
      <c r="B51" s="54" t="s">
        <v>64</v>
      </c>
      <c r="C51" s="53"/>
      <c r="D51" s="53"/>
      <c r="E51" s="53"/>
      <c r="F51" s="53"/>
      <c r="G51" s="56">
        <f t="shared" si="9"/>
        <v>9.1836734693877597E-2</v>
      </c>
      <c r="H51" s="56">
        <f t="shared" si="10"/>
        <v>0.42138364779874199</v>
      </c>
    </row>
    <row r="52" spans="2:9" ht="28" customHeight="1" x14ac:dyDescent="0.25">
      <c r="B52" s="54" t="s">
        <v>84</v>
      </c>
      <c r="C52" s="53"/>
      <c r="D52" s="53"/>
      <c r="E52" s="53"/>
      <c r="F52" s="53"/>
      <c r="G52" s="56">
        <f t="shared" si="9"/>
        <v>8.1632653061224497E-2</v>
      </c>
      <c r="H52" s="56">
        <f t="shared" si="10"/>
        <v>0.40251572327044</v>
      </c>
    </row>
    <row r="53" spans="2:9" ht="28" customHeight="1" x14ac:dyDescent="0.25">
      <c r="B53" s="54" t="s">
        <v>101</v>
      </c>
      <c r="C53" s="53"/>
      <c r="D53" s="53"/>
      <c r="E53" s="53"/>
      <c r="F53" s="53"/>
      <c r="G53" s="56">
        <f t="shared" si="9"/>
        <v>7.1428571428571397E-2</v>
      </c>
      <c r="H53" s="56">
        <f t="shared" si="10"/>
        <v>0</v>
      </c>
    </row>
    <row r="54" spans="2:9" ht="28" customHeight="1" x14ac:dyDescent="0.25">
      <c r="B54" s="51" t="s">
        <v>222</v>
      </c>
      <c r="C54" s="52">
        <f t="shared" ref="C54:G54" si="11">C55+C58</f>
        <v>98</v>
      </c>
      <c r="D54" s="52">
        <f t="shared" si="11"/>
        <v>43</v>
      </c>
      <c r="E54" s="52">
        <f t="shared" si="11"/>
        <v>118</v>
      </c>
      <c r="F54" s="52">
        <f t="shared" si="11"/>
        <v>123</v>
      </c>
      <c r="G54" s="52">
        <f t="shared" si="11"/>
        <v>135</v>
      </c>
      <c r="H54" s="53"/>
      <c r="I54" s="216" t="s">
        <v>1389</v>
      </c>
    </row>
    <row r="55" spans="2:9" ht="28" customHeight="1" x14ac:dyDescent="0.25">
      <c r="B55" s="54" t="s">
        <v>223</v>
      </c>
      <c r="C55" s="52">
        <v>98</v>
      </c>
      <c r="D55" s="52">
        <v>43</v>
      </c>
      <c r="E55" s="3">
        <v>118</v>
      </c>
      <c r="F55" s="3">
        <v>123</v>
      </c>
      <c r="G55" s="3">
        <v>81</v>
      </c>
      <c r="H55" s="53"/>
    </row>
    <row r="56" spans="2:9" ht="28" customHeight="1" x14ac:dyDescent="0.25">
      <c r="B56" s="54" t="s">
        <v>224</v>
      </c>
      <c r="C56" s="52">
        <v>98</v>
      </c>
      <c r="D56" s="52">
        <v>43</v>
      </c>
      <c r="E56" s="3">
        <v>106</v>
      </c>
      <c r="F56" s="3">
        <v>111</v>
      </c>
      <c r="G56" s="3">
        <v>69</v>
      </c>
      <c r="H56" s="53"/>
    </row>
    <row r="57" spans="2:9" ht="28" customHeight="1" x14ac:dyDescent="0.25">
      <c r="B57" s="54" t="s">
        <v>225</v>
      </c>
      <c r="C57" s="52">
        <v>44</v>
      </c>
      <c r="D57" s="52">
        <v>31</v>
      </c>
      <c r="E57" s="3">
        <v>109</v>
      </c>
      <c r="F57" s="3">
        <v>180</v>
      </c>
      <c r="G57" s="3">
        <v>23</v>
      </c>
      <c r="H57" s="53"/>
    </row>
    <row r="58" spans="2:9" ht="28" customHeight="1" x14ac:dyDescent="0.25">
      <c r="B58" s="54" t="s">
        <v>226</v>
      </c>
      <c r="C58" s="53"/>
      <c r="D58" s="53"/>
      <c r="E58" s="53"/>
      <c r="F58" s="53"/>
      <c r="G58" s="3">
        <v>54</v>
      </c>
      <c r="H58" s="53"/>
    </row>
    <row r="59" spans="2:9" ht="28" customHeight="1" x14ac:dyDescent="0.25">
      <c r="B59" s="54" t="s">
        <v>227</v>
      </c>
      <c r="C59" s="53"/>
      <c r="D59" s="53"/>
      <c r="E59" s="53"/>
      <c r="F59" s="53"/>
      <c r="G59" s="3">
        <v>87</v>
      </c>
      <c r="H59" s="53"/>
    </row>
    <row r="60" spans="2:9" ht="28" customHeight="1" x14ac:dyDescent="0.25">
      <c r="B60" s="51" t="s">
        <v>228</v>
      </c>
      <c r="C60" s="57">
        <v>26</v>
      </c>
      <c r="D60" s="57">
        <v>12</v>
      </c>
      <c r="E60" s="57">
        <v>0</v>
      </c>
      <c r="F60" s="57">
        <v>1</v>
      </c>
      <c r="G60" s="57">
        <v>0</v>
      </c>
      <c r="H60" s="53"/>
    </row>
    <row r="61" spans="2:9" ht="28" customHeight="1" x14ac:dyDescent="0.25">
      <c r="B61" s="54" t="s">
        <v>223</v>
      </c>
      <c r="C61" s="57">
        <v>26</v>
      </c>
      <c r="D61" s="57">
        <v>12</v>
      </c>
      <c r="E61" s="57">
        <v>0</v>
      </c>
      <c r="F61" s="57">
        <v>1</v>
      </c>
      <c r="G61" s="57">
        <v>0</v>
      </c>
      <c r="H61" s="53"/>
    </row>
    <row r="62" spans="2:9" ht="28" customHeight="1" x14ac:dyDescent="0.25">
      <c r="B62" s="54" t="s">
        <v>224</v>
      </c>
      <c r="C62" s="57">
        <v>19</v>
      </c>
      <c r="D62" s="57">
        <v>8</v>
      </c>
      <c r="E62" s="57">
        <v>0</v>
      </c>
      <c r="F62" s="57">
        <v>1</v>
      </c>
      <c r="G62" s="57">
        <v>0</v>
      </c>
      <c r="H62" s="53"/>
    </row>
    <row r="63" spans="2:9" ht="28" customHeight="1" x14ac:dyDescent="0.25">
      <c r="B63" s="54" t="s">
        <v>225</v>
      </c>
      <c r="C63" s="57">
        <v>19</v>
      </c>
      <c r="D63" s="57">
        <v>8</v>
      </c>
      <c r="E63" s="57">
        <v>0</v>
      </c>
      <c r="F63" s="57">
        <v>0</v>
      </c>
      <c r="G63" s="57">
        <v>0</v>
      </c>
      <c r="H63" s="53"/>
    </row>
  </sheetData>
  <phoneticPr fontId="34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FD1001"/>
  <sheetViews>
    <sheetView showGridLines="0" tabSelected="1" zoomScale="70" zoomScaleNormal="70" workbookViewId="0">
      <pane xSplit="3" topLeftCell="D1" activePane="topRight" state="frozen"/>
      <selection pane="topRight" activeCell="C9" sqref="C9"/>
    </sheetView>
  </sheetViews>
  <sheetFormatPr defaultColWidth="14" defaultRowHeight="14.5" x14ac:dyDescent="0.35"/>
  <cols>
    <col min="1" max="1" width="4" customWidth="1"/>
    <col min="2" max="2" width="14" customWidth="1"/>
    <col min="3" max="3" width="19.453125" customWidth="1"/>
    <col min="4" max="4" width="71.453125" customWidth="1"/>
    <col min="5" max="5" width="48" hidden="1" customWidth="1"/>
    <col min="6" max="6" width="34" hidden="1" customWidth="1"/>
    <col min="7" max="11" width="10" customWidth="1"/>
    <col min="12" max="12" width="10" hidden="1" customWidth="1"/>
    <col min="13" max="13" width="17" hidden="1" customWidth="1"/>
    <col min="14" max="14" width="12.54296875" customWidth="1"/>
    <col min="15" max="15" width="12.54296875" hidden="1" customWidth="1"/>
    <col min="16" max="17" width="12.54296875" customWidth="1"/>
    <col min="18" max="22" width="10" customWidth="1"/>
    <col min="23" max="23" width="10" hidden="1" customWidth="1"/>
    <col min="24" max="24" width="18" hidden="1" customWidth="1"/>
    <col min="25" max="25" width="13.26953125" customWidth="1"/>
    <col min="26" max="26" width="18" hidden="1" customWidth="1"/>
    <col min="27" max="27" width="12.08984375" style="1" customWidth="1"/>
    <col min="28" max="28" width="12.54296875" style="1" customWidth="1"/>
    <col min="29" max="33" width="10" customWidth="1"/>
    <col min="34" max="34" width="10" hidden="1" customWidth="1"/>
    <col min="35" max="35" width="19" hidden="1" customWidth="1"/>
    <col min="36" max="36" width="13.7265625" customWidth="1"/>
    <col min="37" max="37" width="17" hidden="1" customWidth="1"/>
    <col min="38" max="38" width="13.7265625" customWidth="1"/>
    <col min="39" max="39" width="15.54296875" customWidth="1"/>
    <col min="40" max="44" width="10" customWidth="1"/>
    <col min="45" max="45" width="10" hidden="1" customWidth="1"/>
    <col min="46" max="46" width="18" hidden="1" customWidth="1"/>
    <col min="47" max="47" width="17" customWidth="1"/>
    <col min="48" max="48" width="16" hidden="1" customWidth="1"/>
    <col min="49" max="49" width="17" customWidth="1"/>
    <col min="50" max="53" width="22" customWidth="1"/>
    <col min="54" max="55" width="19" customWidth="1"/>
    <col min="16384" max="16384" width="14" style="21"/>
  </cols>
  <sheetData>
    <row r="1" spans="1:55 16384:16384" customFormat="1" ht="16.5" x14ac:dyDescent="0.25">
      <c r="A1" s="22"/>
      <c r="B1" s="22"/>
      <c r="C1" s="22"/>
      <c r="D1" s="22"/>
      <c r="E1" s="23"/>
      <c r="F1" s="22"/>
      <c r="G1" s="22"/>
      <c r="H1" s="23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3"/>
      <c r="AB1" s="23"/>
      <c r="AC1" s="22"/>
      <c r="AD1" s="22"/>
      <c r="AE1" s="22"/>
      <c r="AF1" s="22"/>
      <c r="AG1" s="22"/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B1" s="22"/>
      <c r="BC1" s="22"/>
    </row>
    <row r="2" spans="1:55 16384:16384" customFormat="1" ht="42" customHeight="1" x14ac:dyDescent="0.25">
      <c r="A2" s="22"/>
      <c r="B2" s="142" t="s">
        <v>229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3"/>
      <c r="X2" s="143"/>
      <c r="Y2" s="143"/>
      <c r="Z2" s="143"/>
      <c r="AA2" s="144"/>
      <c r="AB2" s="144"/>
      <c r="AC2" s="143"/>
      <c r="AD2" s="143"/>
      <c r="AE2" s="143"/>
      <c r="AF2" s="143"/>
      <c r="AG2" s="143"/>
      <c r="AH2" s="143"/>
      <c r="AI2" s="143"/>
      <c r="AJ2" s="143"/>
      <c r="AK2" s="143"/>
      <c r="AL2" s="143"/>
      <c r="AM2" s="143"/>
      <c r="AN2" s="143"/>
      <c r="AO2" s="143"/>
      <c r="AP2" s="143"/>
      <c r="AQ2" s="143"/>
      <c r="AR2" s="143"/>
      <c r="AS2" s="22"/>
      <c r="AT2" s="22"/>
      <c r="AU2" s="22"/>
      <c r="AV2" s="22"/>
      <c r="AW2" s="22"/>
      <c r="AX2" s="22"/>
      <c r="AY2" s="22"/>
      <c r="AZ2" s="22"/>
      <c r="BA2" s="22"/>
      <c r="BB2" s="22"/>
      <c r="BC2" s="22"/>
    </row>
    <row r="3" spans="1:55 16384:16384" customFormat="1" ht="21" customHeight="1" x14ac:dyDescent="0.25">
      <c r="A3" s="22"/>
      <c r="B3" s="143"/>
      <c r="C3" s="143"/>
      <c r="D3" s="143"/>
      <c r="E3" s="143"/>
      <c r="F3" s="143"/>
      <c r="G3" s="143"/>
      <c r="H3" s="143"/>
      <c r="I3" s="143"/>
      <c r="J3" s="143"/>
      <c r="K3" s="143"/>
      <c r="L3" s="143"/>
      <c r="M3" s="143"/>
      <c r="N3" s="143"/>
      <c r="O3" s="143"/>
      <c r="P3" s="143"/>
      <c r="Q3" s="143"/>
      <c r="R3" s="143"/>
      <c r="S3" s="143"/>
      <c r="T3" s="143"/>
      <c r="U3" s="143"/>
      <c r="V3" s="143"/>
      <c r="W3" s="143"/>
      <c r="X3" s="143"/>
      <c r="Y3" s="143"/>
      <c r="Z3" s="143"/>
      <c r="AA3" s="144"/>
      <c r="AB3" s="144"/>
      <c r="AC3" s="143"/>
      <c r="AD3" s="143"/>
      <c r="AE3" s="143"/>
      <c r="AF3" s="143"/>
      <c r="AG3" s="143"/>
      <c r="AH3" s="143"/>
      <c r="AI3" s="143"/>
      <c r="AJ3" s="143"/>
      <c r="AK3" s="143"/>
      <c r="AL3" s="143"/>
      <c r="AM3" s="143"/>
      <c r="AN3" s="143"/>
      <c r="AO3" s="143"/>
      <c r="AP3" s="143"/>
      <c r="AQ3" s="143"/>
      <c r="AR3" s="143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</row>
    <row r="4" spans="1:55 16384:16384" customFormat="1" ht="48" customHeight="1" x14ac:dyDescent="0.25">
      <c r="A4" s="22"/>
      <c r="B4" s="143"/>
      <c r="C4" s="143"/>
      <c r="D4" s="143"/>
      <c r="E4" s="143"/>
      <c r="F4" s="143"/>
      <c r="G4" s="143"/>
      <c r="H4" s="143"/>
      <c r="I4" s="143"/>
      <c r="J4" s="143"/>
      <c r="K4" s="143"/>
      <c r="L4" s="143"/>
      <c r="M4" s="143"/>
      <c r="N4" s="143"/>
      <c r="O4" s="143"/>
      <c r="P4" s="143"/>
      <c r="Q4" s="143"/>
      <c r="R4" s="143"/>
      <c r="S4" s="143"/>
      <c r="T4" s="143"/>
      <c r="U4" s="143"/>
      <c r="V4" s="143"/>
      <c r="W4" s="143"/>
      <c r="X4" s="143"/>
      <c r="Y4" s="143"/>
      <c r="Z4" s="143"/>
      <c r="AA4" s="144"/>
      <c r="AB4" s="144"/>
      <c r="AC4" s="143"/>
      <c r="AD4" s="143"/>
      <c r="AE4" s="143"/>
      <c r="AF4" s="143"/>
      <c r="AG4" s="143"/>
      <c r="AH4" s="143"/>
      <c r="AI4" s="143"/>
      <c r="AJ4" s="143"/>
      <c r="AK4" s="143"/>
      <c r="AL4" s="143"/>
      <c r="AM4" s="143"/>
      <c r="AN4" s="143"/>
      <c r="AO4" s="143"/>
      <c r="AP4" s="143"/>
      <c r="AQ4" s="143"/>
      <c r="AR4" s="143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</row>
    <row r="5" spans="1:55 16384:16384" customFormat="1" ht="16.5" x14ac:dyDescent="0.25">
      <c r="A5" s="22"/>
      <c r="B5" s="22"/>
      <c r="C5" s="22"/>
      <c r="D5" s="22"/>
      <c r="E5" s="23"/>
      <c r="F5" s="22"/>
      <c r="G5" s="22"/>
      <c r="H5" s="23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3"/>
      <c r="AB5" s="23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</row>
    <row r="6" spans="1:55 16384:16384" customFormat="1" ht="21" customHeight="1" x14ac:dyDescent="0.25">
      <c r="A6" s="22"/>
      <c r="B6" s="139" t="s">
        <v>230</v>
      </c>
      <c r="C6" s="139" t="s">
        <v>231</v>
      </c>
      <c r="D6" s="139" t="s">
        <v>232</v>
      </c>
      <c r="E6" s="145"/>
      <c r="F6" s="24" t="s">
        <v>233</v>
      </c>
      <c r="G6" s="130" t="s">
        <v>52</v>
      </c>
      <c r="H6" s="131"/>
      <c r="I6" s="131"/>
      <c r="J6" s="131"/>
      <c r="K6" s="131"/>
      <c r="L6" s="131"/>
      <c r="M6" s="131"/>
      <c r="N6" s="131"/>
      <c r="O6" s="131"/>
      <c r="P6" s="131"/>
      <c r="Q6" s="131"/>
      <c r="R6" s="132" t="s">
        <v>108</v>
      </c>
      <c r="S6" s="131"/>
      <c r="T6" s="131"/>
      <c r="U6" s="131"/>
      <c r="V6" s="131"/>
      <c r="W6" s="131"/>
      <c r="X6" s="131"/>
      <c r="Y6" s="131"/>
      <c r="Z6" s="131"/>
      <c r="AA6" s="133"/>
      <c r="AB6" s="133"/>
      <c r="AC6" s="134" t="s">
        <v>40</v>
      </c>
      <c r="AD6" s="131"/>
      <c r="AE6" s="131"/>
      <c r="AF6" s="131"/>
      <c r="AG6" s="131"/>
      <c r="AH6" s="131"/>
      <c r="AI6" s="131"/>
      <c r="AJ6" s="131"/>
      <c r="AK6" s="131"/>
      <c r="AL6" s="131"/>
      <c r="AM6" s="135"/>
      <c r="AN6" s="136" t="s">
        <v>99</v>
      </c>
      <c r="AO6" s="131"/>
      <c r="AP6" s="131"/>
      <c r="AQ6" s="131"/>
      <c r="AR6" s="131"/>
      <c r="AS6" s="131"/>
      <c r="AT6" s="131"/>
      <c r="AU6" s="131"/>
      <c r="AV6" s="131"/>
      <c r="AW6" s="131"/>
      <c r="AX6" s="135"/>
      <c r="AY6" s="137" t="s">
        <v>205</v>
      </c>
      <c r="AZ6" s="135"/>
      <c r="BA6" s="138" t="s">
        <v>84</v>
      </c>
      <c r="BB6" s="135"/>
      <c r="BC6" s="25" t="s">
        <v>101</v>
      </c>
    </row>
    <row r="7" spans="1:55 16384:16384" customFormat="1" ht="21" customHeight="1" x14ac:dyDescent="0.25">
      <c r="A7" s="22"/>
      <c r="B7" s="140"/>
      <c r="C7" s="140"/>
      <c r="D7" s="146"/>
      <c r="E7" s="147"/>
      <c r="F7" s="24"/>
      <c r="G7" s="26" t="s">
        <v>234</v>
      </c>
      <c r="H7" s="26" t="s">
        <v>235</v>
      </c>
      <c r="I7" s="26" t="s">
        <v>236</v>
      </c>
      <c r="J7" s="26" t="s">
        <v>237</v>
      </c>
      <c r="K7" s="26" t="s">
        <v>238</v>
      </c>
      <c r="L7" s="26" t="s">
        <v>239</v>
      </c>
      <c r="M7" s="26" t="s">
        <v>240</v>
      </c>
      <c r="N7" s="26" t="s">
        <v>239</v>
      </c>
      <c r="O7" s="26" t="s">
        <v>241</v>
      </c>
      <c r="P7" s="26" t="s">
        <v>242</v>
      </c>
      <c r="Q7" s="26" t="s">
        <v>243</v>
      </c>
      <c r="R7" s="27" t="s">
        <v>234</v>
      </c>
      <c r="S7" s="27" t="s">
        <v>235</v>
      </c>
      <c r="T7" s="27" t="s">
        <v>236</v>
      </c>
      <c r="U7" s="27" t="s">
        <v>237</v>
      </c>
      <c r="V7" s="27" t="s">
        <v>238</v>
      </c>
      <c r="W7" s="27" t="s">
        <v>239</v>
      </c>
      <c r="X7" s="27" t="s">
        <v>240</v>
      </c>
      <c r="Y7" s="27" t="s">
        <v>239</v>
      </c>
      <c r="Z7" s="27" t="s">
        <v>241</v>
      </c>
      <c r="AA7" s="27" t="s">
        <v>242</v>
      </c>
      <c r="AB7" s="27" t="s">
        <v>243</v>
      </c>
      <c r="AC7" s="28" t="s">
        <v>234</v>
      </c>
      <c r="AD7" s="28" t="s">
        <v>235</v>
      </c>
      <c r="AE7" s="28" t="s">
        <v>236</v>
      </c>
      <c r="AF7" s="28" t="s">
        <v>237</v>
      </c>
      <c r="AG7" s="28" t="s">
        <v>238</v>
      </c>
      <c r="AH7" s="28" t="s">
        <v>239</v>
      </c>
      <c r="AI7" s="28" t="s">
        <v>240</v>
      </c>
      <c r="AJ7" s="28" t="s">
        <v>239</v>
      </c>
      <c r="AK7" s="28" t="s">
        <v>241</v>
      </c>
      <c r="AL7" s="28" t="s">
        <v>242</v>
      </c>
      <c r="AM7" s="28" t="s">
        <v>243</v>
      </c>
      <c r="AN7" s="29" t="s">
        <v>234</v>
      </c>
      <c r="AO7" s="29" t="s">
        <v>235</v>
      </c>
      <c r="AP7" s="29" t="s">
        <v>236</v>
      </c>
      <c r="AQ7" s="29" t="s">
        <v>237</v>
      </c>
      <c r="AR7" s="29" t="s">
        <v>238</v>
      </c>
      <c r="AS7" s="29" t="s">
        <v>239</v>
      </c>
      <c r="AT7" s="29" t="s">
        <v>240</v>
      </c>
      <c r="AU7" s="29" t="s">
        <v>239</v>
      </c>
      <c r="AV7" s="29" t="s">
        <v>241</v>
      </c>
      <c r="AW7" s="29" t="s">
        <v>242</v>
      </c>
      <c r="AX7" s="29" t="s">
        <v>243</v>
      </c>
      <c r="AY7" s="30" t="s">
        <v>242</v>
      </c>
      <c r="AZ7" s="30" t="s">
        <v>243</v>
      </c>
      <c r="BA7" s="31" t="s">
        <v>242</v>
      </c>
      <c r="BB7" s="32" t="s">
        <v>243</v>
      </c>
      <c r="BC7" s="33" t="s">
        <v>242</v>
      </c>
    </row>
    <row r="8" spans="1:55 16384:16384" customFormat="1" ht="21" customHeight="1" x14ac:dyDescent="0.25">
      <c r="A8" s="22"/>
      <c r="B8" s="34">
        <v>1</v>
      </c>
      <c r="C8" s="34" t="s">
        <v>244</v>
      </c>
      <c r="D8" s="148" t="s">
        <v>245</v>
      </c>
      <c r="E8" s="145"/>
      <c r="F8" s="35"/>
      <c r="G8" s="34">
        <f t="shared" ref="G8:BC8" si="0">COUNTIFS($C$23:$C$668,$C$8,G$23:G$668,"1")</f>
        <v>14</v>
      </c>
      <c r="H8" s="34">
        <f t="shared" si="0"/>
        <v>20</v>
      </c>
      <c r="I8" s="34">
        <f t="shared" si="0"/>
        <v>32</v>
      </c>
      <c r="J8" s="34">
        <f t="shared" si="0"/>
        <v>35</v>
      </c>
      <c r="K8" s="34">
        <f t="shared" si="0"/>
        <v>45</v>
      </c>
      <c r="L8" s="34">
        <f t="shared" si="0"/>
        <v>46</v>
      </c>
      <c r="M8" s="34">
        <f t="shared" si="0"/>
        <v>48</v>
      </c>
      <c r="N8" s="34">
        <f t="shared" si="0"/>
        <v>41</v>
      </c>
      <c r="O8" s="34">
        <f t="shared" si="0"/>
        <v>57</v>
      </c>
      <c r="P8" s="34">
        <f t="shared" si="0"/>
        <v>101</v>
      </c>
      <c r="Q8" s="34">
        <f t="shared" si="0"/>
        <v>100</v>
      </c>
      <c r="R8" s="34">
        <f t="shared" si="0"/>
        <v>16</v>
      </c>
      <c r="S8" s="34">
        <f t="shared" si="0"/>
        <v>30</v>
      </c>
      <c r="T8" s="34">
        <f t="shared" si="0"/>
        <v>42</v>
      </c>
      <c r="U8" s="34">
        <f t="shared" si="0"/>
        <v>45</v>
      </c>
      <c r="V8" s="34">
        <f t="shared" si="0"/>
        <v>49</v>
      </c>
      <c r="W8" s="34">
        <f t="shared" si="0"/>
        <v>48</v>
      </c>
      <c r="X8" s="34">
        <f t="shared" si="0"/>
        <v>48</v>
      </c>
      <c r="Y8" s="34">
        <f t="shared" si="0"/>
        <v>32</v>
      </c>
      <c r="Z8" s="34">
        <f t="shared" si="0"/>
        <v>43</v>
      </c>
      <c r="AA8" s="34">
        <f t="shared" si="0"/>
        <v>94</v>
      </c>
      <c r="AB8" s="34">
        <f t="shared" si="0"/>
        <v>94</v>
      </c>
      <c r="AC8" s="34">
        <f t="shared" si="0"/>
        <v>25</v>
      </c>
      <c r="AD8" s="34">
        <f t="shared" si="0"/>
        <v>33</v>
      </c>
      <c r="AE8" s="34">
        <f t="shared" si="0"/>
        <v>46</v>
      </c>
      <c r="AF8" s="34">
        <f t="shared" si="0"/>
        <v>47</v>
      </c>
      <c r="AG8" s="34">
        <f t="shared" si="0"/>
        <v>50</v>
      </c>
      <c r="AH8" s="34">
        <f t="shared" si="0"/>
        <v>50</v>
      </c>
      <c r="AI8" s="34">
        <f t="shared" si="0"/>
        <v>50</v>
      </c>
      <c r="AJ8" s="34">
        <f t="shared" si="0"/>
        <v>41</v>
      </c>
      <c r="AK8" s="34">
        <f t="shared" si="0"/>
        <v>59</v>
      </c>
      <c r="AL8" s="34">
        <f t="shared" si="0"/>
        <v>51</v>
      </c>
      <c r="AM8" s="34">
        <f t="shared" si="0"/>
        <v>70</v>
      </c>
      <c r="AN8" s="34">
        <f t="shared" si="0"/>
        <v>6</v>
      </c>
      <c r="AO8" s="34">
        <f t="shared" si="0"/>
        <v>9</v>
      </c>
      <c r="AP8" s="34">
        <f t="shared" si="0"/>
        <v>26</v>
      </c>
      <c r="AQ8" s="34">
        <f t="shared" si="0"/>
        <v>28</v>
      </c>
      <c r="AR8" s="34">
        <f t="shared" si="0"/>
        <v>30</v>
      </c>
      <c r="AS8" s="34">
        <f t="shared" si="0"/>
        <v>41</v>
      </c>
      <c r="AT8" s="34">
        <f t="shared" si="0"/>
        <v>39</v>
      </c>
      <c r="AU8" s="34">
        <f t="shared" si="0"/>
        <v>39</v>
      </c>
      <c r="AV8" s="34">
        <f t="shared" si="0"/>
        <v>39</v>
      </c>
      <c r="AW8" s="34">
        <f t="shared" si="0"/>
        <v>33</v>
      </c>
      <c r="AX8" s="34">
        <f t="shared" si="0"/>
        <v>32</v>
      </c>
      <c r="AY8" s="34">
        <f t="shared" si="0"/>
        <v>64</v>
      </c>
      <c r="AZ8" s="34">
        <f t="shared" si="0"/>
        <v>60</v>
      </c>
      <c r="BA8" s="34">
        <f t="shared" si="0"/>
        <v>94</v>
      </c>
      <c r="BB8" s="34">
        <f t="shared" si="0"/>
        <v>100</v>
      </c>
      <c r="BC8" s="34">
        <f t="shared" si="0"/>
        <v>69</v>
      </c>
    </row>
    <row r="9" spans="1:55 16384:16384" customFormat="1" ht="21" customHeight="1" x14ac:dyDescent="0.25">
      <c r="A9" s="22"/>
      <c r="B9" s="34">
        <v>2</v>
      </c>
      <c r="C9" s="34" t="s">
        <v>246</v>
      </c>
      <c r="D9" s="149"/>
      <c r="E9" s="150"/>
      <c r="F9" s="36"/>
      <c r="G9" s="34">
        <f t="shared" ref="G9:BC9" si="1">COUNTIFS($C$23:$C$668,$C$9,G$23:G$668,"1")</f>
        <v>18</v>
      </c>
      <c r="H9" s="34">
        <f t="shared" si="1"/>
        <v>48</v>
      </c>
      <c r="I9" s="34">
        <f t="shared" si="1"/>
        <v>63</v>
      </c>
      <c r="J9" s="34">
        <f t="shared" si="1"/>
        <v>70</v>
      </c>
      <c r="K9" s="34">
        <f t="shared" si="1"/>
        <v>85</v>
      </c>
      <c r="L9" s="34">
        <f t="shared" si="1"/>
        <v>85</v>
      </c>
      <c r="M9" s="34">
        <f t="shared" si="1"/>
        <v>86</v>
      </c>
      <c r="N9" s="34">
        <f t="shared" si="1"/>
        <v>86</v>
      </c>
      <c r="O9" s="34">
        <f t="shared" si="1"/>
        <v>110</v>
      </c>
      <c r="P9" s="34">
        <f t="shared" si="1"/>
        <v>135</v>
      </c>
      <c r="Q9" s="34">
        <f t="shared" si="1"/>
        <v>141</v>
      </c>
      <c r="R9" s="34">
        <f t="shared" si="1"/>
        <v>12</v>
      </c>
      <c r="S9" s="34">
        <f t="shared" si="1"/>
        <v>38</v>
      </c>
      <c r="T9" s="34">
        <f t="shared" si="1"/>
        <v>63</v>
      </c>
      <c r="U9" s="34">
        <f t="shared" si="1"/>
        <v>68</v>
      </c>
      <c r="V9" s="34">
        <f t="shared" si="1"/>
        <v>74</v>
      </c>
      <c r="W9" s="34">
        <f t="shared" si="1"/>
        <v>82</v>
      </c>
      <c r="X9" s="34">
        <f t="shared" si="1"/>
        <v>84</v>
      </c>
      <c r="Y9" s="34">
        <f t="shared" si="1"/>
        <v>73</v>
      </c>
      <c r="Z9" s="34">
        <f t="shared" si="1"/>
        <v>83</v>
      </c>
      <c r="AA9" s="34">
        <f t="shared" si="1"/>
        <v>126</v>
      </c>
      <c r="AB9" s="34">
        <f t="shared" si="1"/>
        <v>128</v>
      </c>
      <c r="AC9" s="34">
        <f t="shared" si="1"/>
        <v>32</v>
      </c>
      <c r="AD9" s="34">
        <f t="shared" si="1"/>
        <v>63</v>
      </c>
      <c r="AE9" s="34">
        <f t="shared" si="1"/>
        <v>84</v>
      </c>
      <c r="AF9" s="34">
        <f t="shared" si="1"/>
        <v>84</v>
      </c>
      <c r="AG9" s="34">
        <f t="shared" si="1"/>
        <v>85</v>
      </c>
      <c r="AH9" s="34">
        <f t="shared" si="1"/>
        <v>86</v>
      </c>
      <c r="AI9" s="34">
        <f t="shared" si="1"/>
        <v>88</v>
      </c>
      <c r="AJ9" s="34">
        <f t="shared" si="1"/>
        <v>85</v>
      </c>
      <c r="AK9" s="34">
        <f t="shared" si="1"/>
        <v>109</v>
      </c>
      <c r="AL9" s="34">
        <f t="shared" si="1"/>
        <v>92</v>
      </c>
      <c r="AM9" s="34">
        <f t="shared" si="1"/>
        <v>110</v>
      </c>
      <c r="AN9" s="34">
        <f t="shared" si="1"/>
        <v>16</v>
      </c>
      <c r="AO9" s="34">
        <f t="shared" si="1"/>
        <v>34</v>
      </c>
      <c r="AP9" s="34">
        <f t="shared" si="1"/>
        <v>42</v>
      </c>
      <c r="AQ9" s="34">
        <f t="shared" si="1"/>
        <v>59</v>
      </c>
      <c r="AR9" s="34">
        <f t="shared" si="1"/>
        <v>59</v>
      </c>
      <c r="AS9" s="34">
        <f t="shared" si="1"/>
        <v>45</v>
      </c>
      <c r="AT9" s="34">
        <f t="shared" si="1"/>
        <v>46</v>
      </c>
      <c r="AU9" s="34">
        <f t="shared" si="1"/>
        <v>50</v>
      </c>
      <c r="AV9" s="34">
        <f t="shared" si="1"/>
        <v>50</v>
      </c>
      <c r="AW9" s="34">
        <f t="shared" si="1"/>
        <v>43</v>
      </c>
      <c r="AX9" s="34">
        <f t="shared" si="1"/>
        <v>43</v>
      </c>
      <c r="AY9" s="34">
        <f t="shared" si="1"/>
        <v>122</v>
      </c>
      <c r="AZ9" s="34">
        <f t="shared" si="1"/>
        <v>121</v>
      </c>
      <c r="BA9" s="34">
        <f t="shared" si="1"/>
        <v>126</v>
      </c>
      <c r="BB9" s="34">
        <f t="shared" si="1"/>
        <v>133</v>
      </c>
      <c r="BC9" s="34">
        <f t="shared" si="1"/>
        <v>97</v>
      </c>
    </row>
    <row r="10" spans="1:55 16384:16384" customFormat="1" ht="21" customHeight="1" x14ac:dyDescent="0.25">
      <c r="A10" s="22"/>
      <c r="B10" s="34">
        <v>3</v>
      </c>
      <c r="C10" s="34" t="s">
        <v>247</v>
      </c>
      <c r="D10" s="149"/>
      <c r="E10" s="150"/>
      <c r="F10" s="36"/>
      <c r="G10" s="34">
        <f t="shared" ref="G10:BC10" si="2">COUNTIFS($C$23:$C$668,$C$10,G$23:G$668,"1")</f>
        <v>1</v>
      </c>
      <c r="H10" s="34">
        <f t="shared" si="2"/>
        <v>0</v>
      </c>
      <c r="I10" s="34">
        <f t="shared" si="2"/>
        <v>2</v>
      </c>
      <c r="J10" s="34">
        <f t="shared" si="2"/>
        <v>2</v>
      </c>
      <c r="K10" s="34">
        <f t="shared" si="2"/>
        <v>3</v>
      </c>
      <c r="L10" s="34">
        <f t="shared" si="2"/>
        <v>4</v>
      </c>
      <c r="M10" s="34">
        <f t="shared" si="2"/>
        <v>4</v>
      </c>
      <c r="N10" s="34">
        <f t="shared" si="2"/>
        <v>7</v>
      </c>
      <c r="O10" s="34">
        <f t="shared" si="2"/>
        <v>4</v>
      </c>
      <c r="P10" s="34">
        <f t="shared" si="2"/>
        <v>5</v>
      </c>
      <c r="Q10" s="34">
        <f t="shared" si="2"/>
        <v>8</v>
      </c>
      <c r="R10" s="34">
        <f t="shared" si="2"/>
        <v>1</v>
      </c>
      <c r="S10" s="34">
        <f t="shared" si="2"/>
        <v>0</v>
      </c>
      <c r="T10" s="34">
        <f t="shared" si="2"/>
        <v>2</v>
      </c>
      <c r="U10" s="34">
        <f t="shared" si="2"/>
        <v>2</v>
      </c>
      <c r="V10" s="34">
        <f t="shared" si="2"/>
        <v>2</v>
      </c>
      <c r="W10" s="34">
        <f t="shared" si="2"/>
        <v>3</v>
      </c>
      <c r="X10" s="34">
        <f t="shared" si="2"/>
        <v>4</v>
      </c>
      <c r="Y10" s="34">
        <f t="shared" si="2"/>
        <v>3</v>
      </c>
      <c r="Z10" s="34">
        <f t="shared" si="2"/>
        <v>4</v>
      </c>
      <c r="AA10" s="34">
        <f t="shared" si="2"/>
        <v>2</v>
      </c>
      <c r="AB10" s="34">
        <f t="shared" si="2"/>
        <v>3</v>
      </c>
      <c r="AC10" s="34">
        <f t="shared" si="2"/>
        <v>2</v>
      </c>
      <c r="AD10" s="34">
        <f t="shared" si="2"/>
        <v>0</v>
      </c>
      <c r="AE10" s="34">
        <f t="shared" si="2"/>
        <v>3</v>
      </c>
      <c r="AF10" s="34">
        <f t="shared" si="2"/>
        <v>3</v>
      </c>
      <c r="AG10" s="34">
        <f t="shared" si="2"/>
        <v>5</v>
      </c>
      <c r="AH10" s="34">
        <f t="shared" si="2"/>
        <v>4</v>
      </c>
      <c r="AI10" s="34">
        <f t="shared" si="2"/>
        <v>6</v>
      </c>
      <c r="AJ10" s="34">
        <f t="shared" si="2"/>
        <v>6</v>
      </c>
      <c r="AK10" s="34">
        <f t="shared" si="2"/>
        <v>4</v>
      </c>
      <c r="AL10" s="34">
        <f t="shared" si="2"/>
        <v>5</v>
      </c>
      <c r="AM10" s="34">
        <f t="shared" si="2"/>
        <v>5</v>
      </c>
      <c r="AN10" s="34">
        <f t="shared" si="2"/>
        <v>2</v>
      </c>
      <c r="AO10" s="34">
        <f t="shared" si="2"/>
        <v>1</v>
      </c>
      <c r="AP10" s="34">
        <f t="shared" si="2"/>
        <v>0</v>
      </c>
      <c r="AQ10" s="34">
        <f t="shared" si="2"/>
        <v>1</v>
      </c>
      <c r="AR10" s="34">
        <f t="shared" si="2"/>
        <v>1</v>
      </c>
      <c r="AS10" s="34">
        <f t="shared" si="2"/>
        <v>0</v>
      </c>
      <c r="AT10" s="34">
        <f t="shared" si="2"/>
        <v>2</v>
      </c>
      <c r="AU10" s="34">
        <f t="shared" si="2"/>
        <v>4</v>
      </c>
      <c r="AV10" s="34">
        <f t="shared" si="2"/>
        <v>4</v>
      </c>
      <c r="AW10" s="34">
        <f t="shared" si="2"/>
        <v>0</v>
      </c>
      <c r="AX10" s="34">
        <f t="shared" si="2"/>
        <v>0</v>
      </c>
      <c r="AY10" s="34">
        <f t="shared" si="2"/>
        <v>4</v>
      </c>
      <c r="AZ10" s="34">
        <f t="shared" si="2"/>
        <v>6</v>
      </c>
      <c r="BA10" s="34">
        <f t="shared" si="2"/>
        <v>3</v>
      </c>
      <c r="BB10" s="34">
        <f t="shared" si="2"/>
        <v>4</v>
      </c>
      <c r="BC10" s="34">
        <f t="shared" si="2"/>
        <v>0</v>
      </c>
    </row>
    <row r="11" spans="1:55 16384:16384" customFormat="1" ht="21" customHeight="1" x14ac:dyDescent="0.25">
      <c r="A11" s="22"/>
      <c r="B11" s="34">
        <v>4</v>
      </c>
      <c r="C11" s="34" t="s">
        <v>248</v>
      </c>
      <c r="D11" s="149"/>
      <c r="E11" s="150"/>
      <c r="F11" s="36"/>
      <c r="G11" s="34">
        <f t="shared" ref="G11:BC11" si="3">COUNTIFS($C$23:$C$668,$C$11,G$23:G$668,"1")</f>
        <v>0</v>
      </c>
      <c r="H11" s="34">
        <f t="shared" si="3"/>
        <v>0</v>
      </c>
      <c r="I11" s="34">
        <f t="shared" si="3"/>
        <v>0</v>
      </c>
      <c r="J11" s="34">
        <f t="shared" si="3"/>
        <v>0</v>
      </c>
      <c r="K11" s="34">
        <f t="shared" si="3"/>
        <v>0</v>
      </c>
      <c r="L11" s="34">
        <f t="shared" si="3"/>
        <v>0</v>
      </c>
      <c r="M11" s="34">
        <f t="shared" si="3"/>
        <v>1</v>
      </c>
      <c r="N11" s="34">
        <f t="shared" si="3"/>
        <v>2</v>
      </c>
      <c r="O11" s="34">
        <f t="shared" si="3"/>
        <v>2</v>
      </c>
      <c r="P11" s="34">
        <f t="shared" si="3"/>
        <v>3</v>
      </c>
      <c r="Q11" s="34">
        <f t="shared" si="3"/>
        <v>4</v>
      </c>
      <c r="R11" s="34">
        <f t="shared" si="3"/>
        <v>1</v>
      </c>
      <c r="S11" s="34">
        <f t="shared" si="3"/>
        <v>0</v>
      </c>
      <c r="T11" s="34">
        <f t="shared" si="3"/>
        <v>0</v>
      </c>
      <c r="U11" s="34">
        <f t="shared" si="3"/>
        <v>1</v>
      </c>
      <c r="V11" s="34">
        <f t="shared" si="3"/>
        <v>1</v>
      </c>
      <c r="W11" s="34">
        <f t="shared" si="3"/>
        <v>1</v>
      </c>
      <c r="X11" s="34">
        <f t="shared" si="3"/>
        <v>1</v>
      </c>
      <c r="Y11" s="34">
        <f t="shared" si="3"/>
        <v>4</v>
      </c>
      <c r="Z11" s="34">
        <f t="shared" si="3"/>
        <v>2</v>
      </c>
      <c r="AA11" s="34">
        <f t="shared" si="3"/>
        <v>4</v>
      </c>
      <c r="AB11" s="34">
        <f t="shared" si="3"/>
        <v>2</v>
      </c>
      <c r="AC11" s="34">
        <f t="shared" si="3"/>
        <v>1</v>
      </c>
      <c r="AD11" s="34">
        <f t="shared" si="3"/>
        <v>1</v>
      </c>
      <c r="AE11" s="34">
        <f t="shared" si="3"/>
        <v>1</v>
      </c>
      <c r="AF11" s="34">
        <f t="shared" si="3"/>
        <v>1</v>
      </c>
      <c r="AG11" s="34">
        <f t="shared" si="3"/>
        <v>1</v>
      </c>
      <c r="AH11" s="34">
        <f t="shared" si="3"/>
        <v>1</v>
      </c>
      <c r="AI11" s="34">
        <f t="shared" si="3"/>
        <v>1</v>
      </c>
      <c r="AJ11" s="34">
        <f t="shared" si="3"/>
        <v>2</v>
      </c>
      <c r="AK11" s="34">
        <f t="shared" si="3"/>
        <v>2</v>
      </c>
      <c r="AL11" s="34">
        <f t="shared" si="3"/>
        <v>4</v>
      </c>
      <c r="AM11" s="34">
        <f t="shared" si="3"/>
        <v>4</v>
      </c>
      <c r="AN11" s="34">
        <f t="shared" si="3"/>
        <v>1</v>
      </c>
      <c r="AO11" s="34">
        <f t="shared" si="3"/>
        <v>1</v>
      </c>
      <c r="AP11" s="34">
        <f t="shared" si="3"/>
        <v>0</v>
      </c>
      <c r="AQ11" s="34">
        <f t="shared" si="3"/>
        <v>1</v>
      </c>
      <c r="AR11" s="34">
        <f t="shared" si="3"/>
        <v>0</v>
      </c>
      <c r="AS11" s="34">
        <f t="shared" si="3"/>
        <v>0</v>
      </c>
      <c r="AT11" s="34">
        <f t="shared" si="3"/>
        <v>0</v>
      </c>
      <c r="AU11" s="34">
        <f t="shared" si="3"/>
        <v>0</v>
      </c>
      <c r="AV11" s="34">
        <f t="shared" si="3"/>
        <v>0</v>
      </c>
      <c r="AW11" s="34">
        <f t="shared" si="3"/>
        <v>1</v>
      </c>
      <c r="AX11" s="34">
        <f t="shared" si="3"/>
        <v>1</v>
      </c>
      <c r="AY11" s="34">
        <f t="shared" si="3"/>
        <v>8</v>
      </c>
      <c r="AZ11" s="34">
        <f t="shared" si="3"/>
        <v>8</v>
      </c>
      <c r="BA11" s="34">
        <f t="shared" si="3"/>
        <v>2</v>
      </c>
      <c r="BB11" s="34">
        <f t="shared" si="3"/>
        <v>3</v>
      </c>
      <c r="BC11" s="34">
        <f t="shared" si="3"/>
        <v>2</v>
      </c>
    </row>
    <row r="12" spans="1:55 16384:16384" s="20" customFormat="1" ht="21" customHeight="1" x14ac:dyDescent="0.35">
      <c r="A12" s="37"/>
      <c r="B12" s="38">
        <v>5</v>
      </c>
      <c r="C12" s="38" t="s">
        <v>249</v>
      </c>
      <c r="D12" s="151"/>
      <c r="E12" s="152"/>
      <c r="F12" s="39"/>
      <c r="G12" s="38">
        <f t="shared" ref="G12:BC12" si="4">COUNTIFS($C$23:$C$668,$C$12,G$23:G$668,"1")</f>
        <v>0</v>
      </c>
      <c r="H12" s="38">
        <f t="shared" si="4"/>
        <v>0</v>
      </c>
      <c r="I12" s="38">
        <f t="shared" si="4"/>
        <v>1</v>
      </c>
      <c r="J12" s="38">
        <f t="shared" si="4"/>
        <v>1</v>
      </c>
      <c r="K12" s="38">
        <f t="shared" si="4"/>
        <v>2</v>
      </c>
      <c r="L12" s="38">
        <f t="shared" si="4"/>
        <v>2</v>
      </c>
      <c r="M12" s="38">
        <f t="shared" si="4"/>
        <v>2</v>
      </c>
      <c r="N12" s="38">
        <f t="shared" si="4"/>
        <v>3</v>
      </c>
      <c r="O12" s="38">
        <f t="shared" si="4"/>
        <v>1</v>
      </c>
      <c r="P12" s="38">
        <f t="shared" si="4"/>
        <v>9</v>
      </c>
      <c r="Q12" s="38">
        <f t="shared" si="4"/>
        <v>39</v>
      </c>
      <c r="R12" s="38">
        <f t="shared" si="4"/>
        <v>0</v>
      </c>
      <c r="S12" s="38">
        <f t="shared" si="4"/>
        <v>0</v>
      </c>
      <c r="T12" s="38">
        <f t="shared" si="4"/>
        <v>1</v>
      </c>
      <c r="U12" s="38">
        <f t="shared" si="4"/>
        <v>1</v>
      </c>
      <c r="V12" s="38">
        <f t="shared" si="4"/>
        <v>1</v>
      </c>
      <c r="W12" s="38">
        <f t="shared" si="4"/>
        <v>1</v>
      </c>
      <c r="X12" s="38">
        <f t="shared" si="4"/>
        <v>1</v>
      </c>
      <c r="Y12" s="38">
        <f t="shared" si="4"/>
        <v>1</v>
      </c>
      <c r="Z12" s="38">
        <f t="shared" si="4"/>
        <v>1</v>
      </c>
      <c r="AA12" s="38">
        <f t="shared" si="4"/>
        <v>7</v>
      </c>
      <c r="AB12" s="38">
        <f t="shared" si="4"/>
        <v>41</v>
      </c>
      <c r="AC12" s="38">
        <f t="shared" si="4"/>
        <v>0</v>
      </c>
      <c r="AD12" s="38">
        <f t="shared" si="4"/>
        <v>1</v>
      </c>
      <c r="AE12" s="38">
        <f t="shared" si="4"/>
        <v>2</v>
      </c>
      <c r="AF12" s="38">
        <f t="shared" si="4"/>
        <v>2</v>
      </c>
      <c r="AG12" s="38">
        <f t="shared" si="4"/>
        <v>2</v>
      </c>
      <c r="AH12" s="38">
        <f t="shared" si="4"/>
        <v>2</v>
      </c>
      <c r="AI12" s="38">
        <f t="shared" si="4"/>
        <v>2</v>
      </c>
      <c r="AJ12" s="38">
        <f t="shared" si="4"/>
        <v>3</v>
      </c>
      <c r="AK12" s="38">
        <f t="shared" si="4"/>
        <v>1</v>
      </c>
      <c r="AL12" s="38">
        <f t="shared" si="4"/>
        <v>6</v>
      </c>
      <c r="AM12" s="38">
        <f t="shared" si="4"/>
        <v>43</v>
      </c>
      <c r="AN12" s="38">
        <f t="shared" si="4"/>
        <v>0</v>
      </c>
      <c r="AO12" s="38">
        <f t="shared" si="4"/>
        <v>0</v>
      </c>
      <c r="AP12" s="38">
        <f t="shared" si="4"/>
        <v>1</v>
      </c>
      <c r="AQ12" s="38">
        <f t="shared" si="4"/>
        <v>1</v>
      </c>
      <c r="AR12" s="38">
        <f t="shared" si="4"/>
        <v>0</v>
      </c>
      <c r="AS12" s="38">
        <f t="shared" si="4"/>
        <v>1</v>
      </c>
      <c r="AT12" s="38">
        <f t="shared" si="4"/>
        <v>1</v>
      </c>
      <c r="AU12" s="38">
        <f t="shared" si="4"/>
        <v>1</v>
      </c>
      <c r="AV12" s="38">
        <f t="shared" si="4"/>
        <v>1</v>
      </c>
      <c r="AW12" s="38">
        <f t="shared" si="4"/>
        <v>5</v>
      </c>
      <c r="AX12" s="38">
        <f t="shared" si="4"/>
        <v>39</v>
      </c>
      <c r="AY12" s="38">
        <f t="shared" si="4"/>
        <v>9</v>
      </c>
      <c r="AZ12" s="38">
        <f t="shared" si="4"/>
        <v>36</v>
      </c>
      <c r="BA12" s="38">
        <f t="shared" si="4"/>
        <v>8</v>
      </c>
      <c r="BB12" s="38">
        <f t="shared" si="4"/>
        <v>37</v>
      </c>
      <c r="BC12" s="38">
        <f t="shared" si="4"/>
        <v>7</v>
      </c>
      <c r="XFD12" s="40"/>
    </row>
    <row r="13" spans="1:55 16384:16384" customFormat="1" ht="21" customHeight="1" x14ac:dyDescent="0.25">
      <c r="A13" s="22"/>
      <c r="B13" s="34">
        <v>6</v>
      </c>
      <c r="C13" s="34" t="s">
        <v>250</v>
      </c>
      <c r="D13" s="149"/>
      <c r="E13" s="150"/>
      <c r="F13" s="36"/>
      <c r="G13" s="34">
        <f t="shared" ref="G13:BC13" si="5">COUNTIFS($C$23:$C$668,$C$13,G$23:G$668,"1")</f>
        <v>0</v>
      </c>
      <c r="H13" s="34">
        <f t="shared" si="5"/>
        <v>0</v>
      </c>
      <c r="I13" s="34">
        <f t="shared" si="5"/>
        <v>0</v>
      </c>
      <c r="J13" s="34">
        <f t="shared" si="5"/>
        <v>0</v>
      </c>
      <c r="K13" s="34">
        <f t="shared" si="5"/>
        <v>0</v>
      </c>
      <c r="L13" s="34">
        <f t="shared" si="5"/>
        <v>0</v>
      </c>
      <c r="M13" s="34">
        <f t="shared" si="5"/>
        <v>0</v>
      </c>
      <c r="N13" s="34">
        <f t="shared" si="5"/>
        <v>0</v>
      </c>
      <c r="O13" s="34">
        <f t="shared" si="5"/>
        <v>0</v>
      </c>
      <c r="P13" s="34">
        <f t="shared" si="5"/>
        <v>16</v>
      </c>
      <c r="Q13" s="34">
        <f t="shared" si="5"/>
        <v>20</v>
      </c>
      <c r="R13" s="34">
        <f t="shared" si="5"/>
        <v>0</v>
      </c>
      <c r="S13" s="34">
        <f t="shared" si="5"/>
        <v>0</v>
      </c>
      <c r="T13" s="34">
        <f t="shared" si="5"/>
        <v>0</v>
      </c>
      <c r="U13" s="34">
        <f t="shared" si="5"/>
        <v>0</v>
      </c>
      <c r="V13" s="34">
        <f t="shared" si="5"/>
        <v>0</v>
      </c>
      <c r="W13" s="34">
        <f t="shared" si="5"/>
        <v>0</v>
      </c>
      <c r="X13" s="34">
        <f t="shared" si="5"/>
        <v>0</v>
      </c>
      <c r="Y13" s="34">
        <f t="shared" si="5"/>
        <v>0</v>
      </c>
      <c r="Z13" s="34">
        <f t="shared" si="5"/>
        <v>0</v>
      </c>
      <c r="AA13" s="34">
        <f t="shared" si="5"/>
        <v>15</v>
      </c>
      <c r="AB13" s="34">
        <f t="shared" si="5"/>
        <v>20</v>
      </c>
      <c r="AC13" s="34">
        <f t="shared" si="5"/>
        <v>0</v>
      </c>
      <c r="AD13" s="34">
        <f t="shared" si="5"/>
        <v>0</v>
      </c>
      <c r="AE13" s="34">
        <f t="shared" si="5"/>
        <v>0</v>
      </c>
      <c r="AF13" s="34">
        <f t="shared" si="5"/>
        <v>0</v>
      </c>
      <c r="AG13" s="34">
        <f t="shared" si="5"/>
        <v>0</v>
      </c>
      <c r="AH13" s="34">
        <f t="shared" si="5"/>
        <v>0</v>
      </c>
      <c r="AI13" s="34">
        <f t="shared" si="5"/>
        <v>0</v>
      </c>
      <c r="AJ13" s="34">
        <f t="shared" si="5"/>
        <v>0</v>
      </c>
      <c r="AK13" s="34">
        <f t="shared" si="5"/>
        <v>0</v>
      </c>
      <c r="AL13" s="34">
        <f t="shared" si="5"/>
        <v>0</v>
      </c>
      <c r="AM13" s="34">
        <f t="shared" si="5"/>
        <v>0</v>
      </c>
      <c r="AN13" s="34">
        <f t="shared" si="5"/>
        <v>0</v>
      </c>
      <c r="AO13" s="34">
        <f t="shared" si="5"/>
        <v>0</v>
      </c>
      <c r="AP13" s="34">
        <f t="shared" si="5"/>
        <v>0</v>
      </c>
      <c r="AQ13" s="34">
        <f t="shared" si="5"/>
        <v>0</v>
      </c>
      <c r="AR13" s="34">
        <f t="shared" si="5"/>
        <v>0</v>
      </c>
      <c r="AS13" s="34">
        <f t="shared" si="5"/>
        <v>0</v>
      </c>
      <c r="AT13" s="34">
        <f t="shared" si="5"/>
        <v>0</v>
      </c>
      <c r="AU13" s="34">
        <f t="shared" si="5"/>
        <v>0</v>
      </c>
      <c r="AV13" s="34">
        <f t="shared" si="5"/>
        <v>0</v>
      </c>
      <c r="AW13" s="34">
        <f t="shared" si="5"/>
        <v>0</v>
      </c>
      <c r="AX13" s="34">
        <f t="shared" si="5"/>
        <v>0</v>
      </c>
      <c r="AY13" s="34">
        <f t="shared" si="5"/>
        <v>0</v>
      </c>
      <c r="AZ13" s="34">
        <f t="shared" si="5"/>
        <v>4</v>
      </c>
      <c r="BA13" s="34">
        <f t="shared" si="5"/>
        <v>0</v>
      </c>
      <c r="BB13" s="34">
        <f t="shared" si="5"/>
        <v>0</v>
      </c>
      <c r="BC13" s="34">
        <f t="shared" si="5"/>
        <v>0</v>
      </c>
    </row>
    <row r="14" spans="1:55 16384:16384" s="20" customFormat="1" ht="21" customHeight="1" x14ac:dyDescent="0.35">
      <c r="A14" s="37"/>
      <c r="B14" s="38">
        <v>7</v>
      </c>
      <c r="C14" s="38" t="s">
        <v>251</v>
      </c>
      <c r="D14" s="151"/>
      <c r="E14" s="152"/>
      <c r="F14" s="39"/>
      <c r="G14" s="38">
        <f t="shared" ref="G14:BC14" si="6">COUNTIFS($C$23:$C$668,$C$14,G$23:G$668,"1")</f>
        <v>0</v>
      </c>
      <c r="H14" s="38">
        <f t="shared" si="6"/>
        <v>0</v>
      </c>
      <c r="I14" s="38">
        <f t="shared" si="6"/>
        <v>0</v>
      </c>
      <c r="J14" s="38">
        <f t="shared" si="6"/>
        <v>0</v>
      </c>
      <c r="K14" s="38">
        <f t="shared" si="6"/>
        <v>0</v>
      </c>
      <c r="L14" s="38">
        <f t="shared" si="6"/>
        <v>0</v>
      </c>
      <c r="M14" s="38">
        <f t="shared" si="6"/>
        <v>0</v>
      </c>
      <c r="N14" s="38">
        <f t="shared" si="6"/>
        <v>0</v>
      </c>
      <c r="O14" s="38">
        <f t="shared" si="6"/>
        <v>0</v>
      </c>
      <c r="P14" s="38">
        <f t="shared" si="6"/>
        <v>0</v>
      </c>
      <c r="Q14" s="38">
        <f t="shared" si="6"/>
        <v>0</v>
      </c>
      <c r="R14" s="38">
        <f t="shared" si="6"/>
        <v>0</v>
      </c>
      <c r="S14" s="38">
        <f t="shared" si="6"/>
        <v>0</v>
      </c>
      <c r="T14" s="38">
        <f t="shared" si="6"/>
        <v>0</v>
      </c>
      <c r="U14" s="38">
        <f t="shared" si="6"/>
        <v>0</v>
      </c>
      <c r="V14" s="38">
        <f t="shared" si="6"/>
        <v>0</v>
      </c>
      <c r="W14" s="38">
        <f t="shared" si="6"/>
        <v>0</v>
      </c>
      <c r="X14" s="38">
        <f t="shared" si="6"/>
        <v>0</v>
      </c>
      <c r="Y14" s="38">
        <f t="shared" si="6"/>
        <v>0</v>
      </c>
      <c r="Z14" s="38">
        <f t="shared" si="6"/>
        <v>0</v>
      </c>
      <c r="AA14" s="38">
        <f t="shared" si="6"/>
        <v>0</v>
      </c>
      <c r="AB14" s="38">
        <f t="shared" si="6"/>
        <v>0</v>
      </c>
      <c r="AC14" s="38">
        <f t="shared" si="6"/>
        <v>0</v>
      </c>
      <c r="AD14" s="38">
        <f t="shared" si="6"/>
        <v>0</v>
      </c>
      <c r="AE14" s="38">
        <f t="shared" si="6"/>
        <v>0</v>
      </c>
      <c r="AF14" s="38">
        <f t="shared" si="6"/>
        <v>0</v>
      </c>
      <c r="AG14" s="38">
        <f t="shared" si="6"/>
        <v>0</v>
      </c>
      <c r="AH14" s="38">
        <f t="shared" si="6"/>
        <v>0</v>
      </c>
      <c r="AI14" s="38">
        <f t="shared" si="6"/>
        <v>0</v>
      </c>
      <c r="AJ14" s="38">
        <f t="shared" si="6"/>
        <v>0</v>
      </c>
      <c r="AK14" s="38">
        <f t="shared" si="6"/>
        <v>0</v>
      </c>
      <c r="AL14" s="38">
        <f t="shared" si="6"/>
        <v>0</v>
      </c>
      <c r="AM14" s="38">
        <f t="shared" si="6"/>
        <v>0</v>
      </c>
      <c r="AN14" s="38">
        <f t="shared" si="6"/>
        <v>0</v>
      </c>
      <c r="AO14" s="38">
        <f t="shared" si="6"/>
        <v>0</v>
      </c>
      <c r="AP14" s="38">
        <f t="shared" si="6"/>
        <v>0</v>
      </c>
      <c r="AQ14" s="38">
        <f t="shared" si="6"/>
        <v>0</v>
      </c>
      <c r="AR14" s="38">
        <f t="shared" si="6"/>
        <v>0</v>
      </c>
      <c r="AS14" s="38">
        <f t="shared" si="6"/>
        <v>0</v>
      </c>
      <c r="AT14" s="38">
        <f t="shared" si="6"/>
        <v>0</v>
      </c>
      <c r="AU14" s="38">
        <f t="shared" si="6"/>
        <v>0</v>
      </c>
      <c r="AV14" s="38">
        <f t="shared" si="6"/>
        <v>0</v>
      </c>
      <c r="AW14" s="38">
        <f t="shared" si="6"/>
        <v>0</v>
      </c>
      <c r="AX14" s="38">
        <f t="shared" si="6"/>
        <v>0</v>
      </c>
      <c r="AY14" s="38">
        <f t="shared" si="6"/>
        <v>0</v>
      </c>
      <c r="AZ14" s="38">
        <f t="shared" si="6"/>
        <v>0</v>
      </c>
      <c r="BA14" s="38">
        <f t="shared" si="6"/>
        <v>0</v>
      </c>
      <c r="BB14" s="38">
        <f t="shared" si="6"/>
        <v>0</v>
      </c>
      <c r="BC14" s="38">
        <f t="shared" si="6"/>
        <v>0</v>
      </c>
      <c r="XFD14" s="40"/>
    </row>
    <row r="15" spans="1:55 16384:16384" customFormat="1" ht="21" customHeight="1" x14ac:dyDescent="0.25">
      <c r="A15" s="22"/>
      <c r="B15" s="34">
        <v>8</v>
      </c>
      <c r="C15" s="34" t="s">
        <v>252</v>
      </c>
      <c r="D15" s="149"/>
      <c r="E15" s="150"/>
      <c r="F15" s="36"/>
      <c r="G15" s="34">
        <f t="shared" ref="G15:BC15" si="7">COUNTIFS($C$23:$C$668,$C$15,G$23:G$668,"1")</f>
        <v>0</v>
      </c>
      <c r="H15" s="34">
        <f t="shared" si="7"/>
        <v>0</v>
      </c>
      <c r="I15" s="34">
        <f t="shared" si="7"/>
        <v>0</v>
      </c>
      <c r="J15" s="34">
        <f t="shared" si="7"/>
        <v>0</v>
      </c>
      <c r="K15" s="34">
        <f t="shared" si="7"/>
        <v>0</v>
      </c>
      <c r="L15" s="34">
        <f t="shared" si="7"/>
        <v>0</v>
      </c>
      <c r="M15" s="34">
        <f t="shared" si="7"/>
        <v>0</v>
      </c>
      <c r="N15" s="34">
        <f t="shared" si="7"/>
        <v>0</v>
      </c>
      <c r="O15" s="34">
        <f t="shared" si="7"/>
        <v>0</v>
      </c>
      <c r="P15" s="34">
        <f t="shared" si="7"/>
        <v>0</v>
      </c>
      <c r="Q15" s="34">
        <f t="shared" si="7"/>
        <v>0</v>
      </c>
      <c r="R15" s="34">
        <f t="shared" si="7"/>
        <v>0</v>
      </c>
      <c r="S15" s="34">
        <f t="shared" si="7"/>
        <v>0</v>
      </c>
      <c r="T15" s="34">
        <f t="shared" si="7"/>
        <v>0</v>
      </c>
      <c r="U15" s="34">
        <f t="shared" si="7"/>
        <v>0</v>
      </c>
      <c r="V15" s="34">
        <f t="shared" si="7"/>
        <v>0</v>
      </c>
      <c r="W15" s="34">
        <f t="shared" si="7"/>
        <v>0</v>
      </c>
      <c r="X15" s="34">
        <f t="shared" si="7"/>
        <v>0</v>
      </c>
      <c r="Y15" s="34">
        <f t="shared" si="7"/>
        <v>0</v>
      </c>
      <c r="Z15" s="34">
        <f t="shared" si="7"/>
        <v>0</v>
      </c>
      <c r="AA15" s="34">
        <f t="shared" si="7"/>
        <v>0</v>
      </c>
      <c r="AB15" s="34">
        <f t="shared" si="7"/>
        <v>1</v>
      </c>
      <c r="AC15" s="34">
        <f t="shared" si="7"/>
        <v>0</v>
      </c>
      <c r="AD15" s="34">
        <f t="shared" si="7"/>
        <v>0</v>
      </c>
      <c r="AE15" s="34">
        <f t="shared" si="7"/>
        <v>0</v>
      </c>
      <c r="AF15" s="34">
        <f t="shared" si="7"/>
        <v>0</v>
      </c>
      <c r="AG15" s="34">
        <f t="shared" si="7"/>
        <v>0</v>
      </c>
      <c r="AH15" s="34">
        <f t="shared" si="7"/>
        <v>0</v>
      </c>
      <c r="AI15" s="34">
        <f t="shared" si="7"/>
        <v>0</v>
      </c>
      <c r="AJ15" s="34">
        <f t="shared" si="7"/>
        <v>0</v>
      </c>
      <c r="AK15" s="34">
        <f t="shared" si="7"/>
        <v>0</v>
      </c>
      <c r="AL15" s="34">
        <f t="shared" si="7"/>
        <v>0</v>
      </c>
      <c r="AM15" s="34">
        <f t="shared" si="7"/>
        <v>0</v>
      </c>
      <c r="AN15" s="34">
        <f t="shared" si="7"/>
        <v>0</v>
      </c>
      <c r="AO15" s="34">
        <f t="shared" si="7"/>
        <v>0</v>
      </c>
      <c r="AP15" s="34">
        <f t="shared" si="7"/>
        <v>0</v>
      </c>
      <c r="AQ15" s="34">
        <f t="shared" si="7"/>
        <v>0</v>
      </c>
      <c r="AR15" s="34">
        <f t="shared" si="7"/>
        <v>0</v>
      </c>
      <c r="AS15" s="34">
        <f t="shared" si="7"/>
        <v>0</v>
      </c>
      <c r="AT15" s="34">
        <f t="shared" si="7"/>
        <v>0</v>
      </c>
      <c r="AU15" s="34">
        <f t="shared" si="7"/>
        <v>0</v>
      </c>
      <c r="AV15" s="34">
        <f t="shared" si="7"/>
        <v>0</v>
      </c>
      <c r="AW15" s="34">
        <f t="shared" si="7"/>
        <v>0</v>
      </c>
      <c r="AX15" s="34">
        <f t="shared" si="7"/>
        <v>0</v>
      </c>
      <c r="AY15" s="34">
        <f t="shared" si="7"/>
        <v>0</v>
      </c>
      <c r="AZ15" s="34">
        <f t="shared" si="7"/>
        <v>0</v>
      </c>
      <c r="BA15" s="34">
        <f t="shared" si="7"/>
        <v>2</v>
      </c>
      <c r="BB15" s="34">
        <f t="shared" si="7"/>
        <v>0</v>
      </c>
      <c r="BC15" s="34">
        <f t="shared" si="7"/>
        <v>0</v>
      </c>
    </row>
    <row r="16" spans="1:55 16384:16384" customFormat="1" ht="21" customHeight="1" x14ac:dyDescent="0.25">
      <c r="A16" s="22"/>
      <c r="B16" s="34">
        <v>9</v>
      </c>
      <c r="C16" s="34" t="s">
        <v>253</v>
      </c>
      <c r="D16" s="149"/>
      <c r="E16" s="150"/>
      <c r="F16" s="36"/>
      <c r="G16" s="34">
        <f t="shared" ref="G16:BC16" si="8">COUNTIFS($C$23:$C$668,$C$16,G$23:G$668,"1")</f>
        <v>0</v>
      </c>
      <c r="H16" s="34">
        <f t="shared" si="8"/>
        <v>0</v>
      </c>
      <c r="I16" s="34">
        <f t="shared" si="8"/>
        <v>0</v>
      </c>
      <c r="J16" s="34">
        <f t="shared" si="8"/>
        <v>0</v>
      </c>
      <c r="K16" s="34">
        <f t="shared" si="8"/>
        <v>0</v>
      </c>
      <c r="L16" s="34">
        <f t="shared" si="8"/>
        <v>0</v>
      </c>
      <c r="M16" s="34">
        <f t="shared" si="8"/>
        <v>0</v>
      </c>
      <c r="N16" s="34">
        <f t="shared" si="8"/>
        <v>1</v>
      </c>
      <c r="O16" s="34">
        <f t="shared" si="8"/>
        <v>0</v>
      </c>
      <c r="P16" s="34">
        <f t="shared" si="8"/>
        <v>1</v>
      </c>
      <c r="Q16" s="34">
        <f t="shared" si="8"/>
        <v>2</v>
      </c>
      <c r="R16" s="34">
        <f t="shared" si="8"/>
        <v>0</v>
      </c>
      <c r="S16" s="34">
        <f t="shared" si="8"/>
        <v>0</v>
      </c>
      <c r="T16" s="34">
        <f t="shared" si="8"/>
        <v>0</v>
      </c>
      <c r="U16" s="34">
        <f t="shared" si="8"/>
        <v>0</v>
      </c>
      <c r="V16" s="34">
        <f t="shared" si="8"/>
        <v>0</v>
      </c>
      <c r="W16" s="34">
        <f t="shared" si="8"/>
        <v>0</v>
      </c>
      <c r="X16" s="34">
        <f t="shared" si="8"/>
        <v>0</v>
      </c>
      <c r="Y16" s="34">
        <f t="shared" si="8"/>
        <v>1</v>
      </c>
      <c r="Z16" s="34">
        <f t="shared" si="8"/>
        <v>1</v>
      </c>
      <c r="AA16" s="34">
        <f t="shared" si="8"/>
        <v>1</v>
      </c>
      <c r="AB16" s="34">
        <f t="shared" si="8"/>
        <v>1</v>
      </c>
      <c r="AC16" s="34">
        <f t="shared" si="8"/>
        <v>0</v>
      </c>
      <c r="AD16" s="34">
        <f t="shared" si="8"/>
        <v>0</v>
      </c>
      <c r="AE16" s="34">
        <f t="shared" si="8"/>
        <v>0</v>
      </c>
      <c r="AF16" s="34">
        <f t="shared" si="8"/>
        <v>0</v>
      </c>
      <c r="AG16" s="34">
        <f t="shared" si="8"/>
        <v>0</v>
      </c>
      <c r="AH16" s="34">
        <f t="shared" si="8"/>
        <v>0</v>
      </c>
      <c r="AI16" s="34">
        <f t="shared" si="8"/>
        <v>0</v>
      </c>
      <c r="AJ16" s="34">
        <f t="shared" si="8"/>
        <v>1</v>
      </c>
      <c r="AK16" s="34">
        <f t="shared" si="8"/>
        <v>0</v>
      </c>
      <c r="AL16" s="34">
        <f t="shared" si="8"/>
        <v>1</v>
      </c>
      <c r="AM16" s="34">
        <f t="shared" si="8"/>
        <v>2</v>
      </c>
      <c r="AN16" s="34">
        <f t="shared" si="8"/>
        <v>0</v>
      </c>
      <c r="AO16" s="34">
        <f t="shared" si="8"/>
        <v>0</v>
      </c>
      <c r="AP16" s="34">
        <f t="shared" si="8"/>
        <v>0</v>
      </c>
      <c r="AQ16" s="34">
        <f t="shared" si="8"/>
        <v>0</v>
      </c>
      <c r="AR16" s="34">
        <f t="shared" si="8"/>
        <v>0</v>
      </c>
      <c r="AS16" s="34">
        <f t="shared" si="8"/>
        <v>0</v>
      </c>
      <c r="AT16" s="34">
        <f t="shared" si="8"/>
        <v>0</v>
      </c>
      <c r="AU16" s="34">
        <f t="shared" si="8"/>
        <v>0</v>
      </c>
      <c r="AV16" s="34">
        <f t="shared" si="8"/>
        <v>0</v>
      </c>
      <c r="AW16" s="34">
        <f t="shared" si="8"/>
        <v>2</v>
      </c>
      <c r="AX16" s="34">
        <f t="shared" si="8"/>
        <v>2</v>
      </c>
      <c r="AY16" s="34">
        <f t="shared" si="8"/>
        <v>1</v>
      </c>
      <c r="AZ16" s="34">
        <f t="shared" si="8"/>
        <v>2</v>
      </c>
      <c r="BA16" s="34">
        <f t="shared" si="8"/>
        <v>0</v>
      </c>
      <c r="BB16" s="34">
        <f t="shared" si="8"/>
        <v>1</v>
      </c>
      <c r="BC16" s="34">
        <f t="shared" si="8"/>
        <v>1</v>
      </c>
    </row>
    <row r="17" spans="1:55 16384:16384" s="20" customFormat="1" ht="21" customHeight="1" x14ac:dyDescent="0.35">
      <c r="A17" s="37"/>
      <c r="B17" s="38">
        <v>10</v>
      </c>
      <c r="C17" s="38" t="s">
        <v>254</v>
      </c>
      <c r="D17" s="151"/>
      <c r="E17" s="152"/>
      <c r="F17" s="39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>
        <f>COUNTIFS($C$23:$C$668,$C$17,Q$23:Q$668,"1")</f>
        <v>27</v>
      </c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>
        <f>COUNTIFS($C$23:$C$668,$C$17,AB$23:AB$668,"1")</f>
        <v>31</v>
      </c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>
        <f>COUNTIFS($C$23:$C$668,$C$17,AM$23:AM$668,"1")</f>
        <v>32</v>
      </c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>
        <f t="shared" ref="AX17:BB17" si="9">COUNTIFS($C$23:$C$668,$C$17,AX$23:AX$668,"1")</f>
        <v>31</v>
      </c>
      <c r="AY17" s="38"/>
      <c r="AZ17" s="38">
        <f t="shared" si="9"/>
        <v>31</v>
      </c>
      <c r="BA17" s="38"/>
      <c r="BB17" s="38">
        <f t="shared" si="9"/>
        <v>27</v>
      </c>
      <c r="BC17" s="38"/>
      <c r="XFD17" s="40"/>
    </row>
    <row r="18" spans="1:55 16384:16384" customFormat="1" ht="21" customHeight="1" x14ac:dyDescent="0.25">
      <c r="A18" s="22"/>
      <c r="B18" s="34">
        <v>11</v>
      </c>
      <c r="C18" s="34" t="s">
        <v>255</v>
      </c>
      <c r="D18" s="149"/>
      <c r="E18" s="150"/>
      <c r="F18" s="36"/>
      <c r="G18" s="34">
        <f t="shared" ref="G18:BC18" si="10">COUNTIFS($C$23:$C$668,$C$18,G$23:G$668,"1")</f>
        <v>3</v>
      </c>
      <c r="H18" s="34">
        <f t="shared" si="10"/>
        <v>24</v>
      </c>
      <c r="I18" s="34">
        <f t="shared" si="10"/>
        <v>47</v>
      </c>
      <c r="J18" s="34">
        <f t="shared" si="10"/>
        <v>49</v>
      </c>
      <c r="K18" s="34">
        <f t="shared" si="10"/>
        <v>63</v>
      </c>
      <c r="L18" s="34">
        <f t="shared" si="10"/>
        <v>71</v>
      </c>
      <c r="M18" s="34">
        <f t="shared" si="10"/>
        <v>75</v>
      </c>
      <c r="N18" s="34">
        <f t="shared" si="10"/>
        <v>106</v>
      </c>
      <c r="O18" s="34">
        <f t="shared" si="10"/>
        <v>76</v>
      </c>
      <c r="P18" s="34">
        <f t="shared" si="10"/>
        <v>83</v>
      </c>
      <c r="Q18" s="34">
        <f t="shared" si="10"/>
        <v>92</v>
      </c>
      <c r="R18" s="34">
        <f t="shared" si="10"/>
        <v>4</v>
      </c>
      <c r="S18" s="34">
        <f t="shared" si="10"/>
        <v>28</v>
      </c>
      <c r="T18" s="34">
        <f t="shared" si="10"/>
        <v>44</v>
      </c>
      <c r="U18" s="34">
        <f t="shared" si="10"/>
        <v>50</v>
      </c>
      <c r="V18" s="34">
        <f t="shared" si="10"/>
        <v>60</v>
      </c>
      <c r="W18" s="34">
        <f t="shared" si="10"/>
        <v>58</v>
      </c>
      <c r="X18" s="34">
        <f t="shared" si="10"/>
        <v>57</v>
      </c>
      <c r="Y18" s="34">
        <f t="shared" si="10"/>
        <v>87</v>
      </c>
      <c r="Z18" s="34">
        <f t="shared" si="10"/>
        <v>85</v>
      </c>
      <c r="AA18" s="34">
        <f t="shared" si="10"/>
        <v>67</v>
      </c>
      <c r="AB18" s="34">
        <f t="shared" si="10"/>
        <v>76</v>
      </c>
      <c r="AC18" s="34">
        <f t="shared" si="10"/>
        <v>11</v>
      </c>
      <c r="AD18" s="34">
        <f t="shared" si="10"/>
        <v>35</v>
      </c>
      <c r="AE18" s="34">
        <f t="shared" si="10"/>
        <v>49</v>
      </c>
      <c r="AF18" s="34">
        <f t="shared" si="10"/>
        <v>52</v>
      </c>
      <c r="AG18" s="34">
        <f t="shared" si="10"/>
        <v>65</v>
      </c>
      <c r="AH18" s="34">
        <f t="shared" si="10"/>
        <v>69</v>
      </c>
      <c r="AI18" s="34">
        <f t="shared" si="10"/>
        <v>65</v>
      </c>
      <c r="AJ18" s="34">
        <f t="shared" si="10"/>
        <v>116</v>
      </c>
      <c r="AK18" s="34">
        <f t="shared" si="10"/>
        <v>80</v>
      </c>
      <c r="AL18" s="34">
        <f t="shared" si="10"/>
        <v>73</v>
      </c>
      <c r="AM18" s="34">
        <f t="shared" si="10"/>
        <v>86</v>
      </c>
      <c r="AN18" s="34">
        <f t="shared" si="10"/>
        <v>5</v>
      </c>
      <c r="AO18" s="34">
        <f t="shared" si="10"/>
        <v>15</v>
      </c>
      <c r="AP18" s="34">
        <f t="shared" si="10"/>
        <v>36</v>
      </c>
      <c r="AQ18" s="34">
        <f t="shared" si="10"/>
        <v>37</v>
      </c>
      <c r="AR18" s="34">
        <f t="shared" si="10"/>
        <v>41</v>
      </c>
      <c r="AS18" s="34">
        <f t="shared" si="10"/>
        <v>51</v>
      </c>
      <c r="AT18" s="34">
        <f t="shared" si="10"/>
        <v>49</v>
      </c>
      <c r="AU18" s="34">
        <f t="shared" si="10"/>
        <v>65</v>
      </c>
      <c r="AV18" s="34">
        <f t="shared" si="10"/>
        <v>65</v>
      </c>
      <c r="AW18" s="34">
        <f t="shared" si="10"/>
        <v>61</v>
      </c>
      <c r="AX18" s="34">
        <f t="shared" si="10"/>
        <v>61</v>
      </c>
      <c r="AY18" s="34">
        <f t="shared" si="10"/>
        <v>76</v>
      </c>
      <c r="AZ18" s="34">
        <f t="shared" si="10"/>
        <v>59</v>
      </c>
      <c r="BA18" s="34">
        <f t="shared" si="10"/>
        <v>84</v>
      </c>
      <c r="BB18" s="34">
        <f t="shared" si="10"/>
        <v>85</v>
      </c>
      <c r="BC18" s="34">
        <f t="shared" si="10"/>
        <v>49</v>
      </c>
    </row>
    <row r="19" spans="1:55 16384:16384" customFormat="1" ht="21" customHeight="1" x14ac:dyDescent="0.25">
      <c r="A19" s="22"/>
      <c r="B19" s="34">
        <v>12</v>
      </c>
      <c r="C19" s="34" t="s">
        <v>256</v>
      </c>
      <c r="D19" s="146"/>
      <c r="E19" s="147"/>
      <c r="F19" s="36"/>
      <c r="G19" s="34">
        <f t="shared" ref="G19:BC19" si="11">G8+G9+G10+G11+G13+G12+G15+G16+G18+G14</f>
        <v>36</v>
      </c>
      <c r="H19" s="34">
        <f t="shared" si="11"/>
        <v>92</v>
      </c>
      <c r="I19" s="34">
        <f t="shared" si="11"/>
        <v>145</v>
      </c>
      <c r="J19" s="34">
        <f t="shared" si="11"/>
        <v>157</v>
      </c>
      <c r="K19" s="34">
        <f t="shared" si="11"/>
        <v>198</v>
      </c>
      <c r="L19" s="34">
        <f t="shared" si="11"/>
        <v>208</v>
      </c>
      <c r="M19" s="34">
        <f t="shared" si="11"/>
        <v>216</v>
      </c>
      <c r="N19" s="34">
        <f t="shared" si="11"/>
        <v>246</v>
      </c>
      <c r="O19" s="34">
        <f t="shared" si="11"/>
        <v>250</v>
      </c>
      <c r="P19" s="34">
        <f t="shared" si="11"/>
        <v>353</v>
      </c>
      <c r="Q19" s="34">
        <f t="shared" si="11"/>
        <v>406</v>
      </c>
      <c r="R19" s="34">
        <f t="shared" si="11"/>
        <v>34</v>
      </c>
      <c r="S19" s="34">
        <f t="shared" si="11"/>
        <v>96</v>
      </c>
      <c r="T19" s="34">
        <f t="shared" si="11"/>
        <v>152</v>
      </c>
      <c r="U19" s="34">
        <f t="shared" si="11"/>
        <v>167</v>
      </c>
      <c r="V19" s="34">
        <f t="shared" si="11"/>
        <v>187</v>
      </c>
      <c r="W19" s="34">
        <f t="shared" si="11"/>
        <v>193</v>
      </c>
      <c r="X19" s="34">
        <f t="shared" si="11"/>
        <v>195</v>
      </c>
      <c r="Y19" s="34">
        <f t="shared" si="11"/>
        <v>201</v>
      </c>
      <c r="Z19" s="34">
        <f t="shared" si="11"/>
        <v>219</v>
      </c>
      <c r="AA19" s="34">
        <f t="shared" si="11"/>
        <v>316</v>
      </c>
      <c r="AB19" s="34">
        <f t="shared" si="11"/>
        <v>366</v>
      </c>
      <c r="AC19" s="34">
        <f t="shared" si="11"/>
        <v>71</v>
      </c>
      <c r="AD19" s="34">
        <f t="shared" si="11"/>
        <v>133</v>
      </c>
      <c r="AE19" s="34">
        <f t="shared" si="11"/>
        <v>185</v>
      </c>
      <c r="AF19" s="34">
        <f t="shared" si="11"/>
        <v>189</v>
      </c>
      <c r="AG19" s="34">
        <f t="shared" si="11"/>
        <v>208</v>
      </c>
      <c r="AH19" s="34">
        <f t="shared" si="11"/>
        <v>212</v>
      </c>
      <c r="AI19" s="34">
        <f t="shared" si="11"/>
        <v>212</v>
      </c>
      <c r="AJ19" s="34">
        <f t="shared" si="11"/>
        <v>254</v>
      </c>
      <c r="AK19" s="34">
        <f t="shared" si="11"/>
        <v>255</v>
      </c>
      <c r="AL19" s="34">
        <f t="shared" si="11"/>
        <v>232</v>
      </c>
      <c r="AM19" s="34">
        <f t="shared" si="11"/>
        <v>320</v>
      </c>
      <c r="AN19" s="34">
        <f t="shared" si="11"/>
        <v>30</v>
      </c>
      <c r="AO19" s="34">
        <f t="shared" si="11"/>
        <v>60</v>
      </c>
      <c r="AP19" s="34">
        <f t="shared" si="11"/>
        <v>105</v>
      </c>
      <c r="AQ19" s="34">
        <f t="shared" si="11"/>
        <v>127</v>
      </c>
      <c r="AR19" s="34">
        <f t="shared" si="11"/>
        <v>131</v>
      </c>
      <c r="AS19" s="34">
        <f t="shared" si="11"/>
        <v>138</v>
      </c>
      <c r="AT19" s="34">
        <f t="shared" si="11"/>
        <v>137</v>
      </c>
      <c r="AU19" s="34">
        <f t="shared" si="11"/>
        <v>159</v>
      </c>
      <c r="AV19" s="34">
        <f t="shared" si="11"/>
        <v>159</v>
      </c>
      <c r="AW19" s="34">
        <f t="shared" si="11"/>
        <v>145</v>
      </c>
      <c r="AX19" s="34">
        <f t="shared" si="11"/>
        <v>178</v>
      </c>
      <c r="AY19" s="34">
        <f t="shared" si="11"/>
        <v>284</v>
      </c>
      <c r="AZ19" s="34">
        <f t="shared" si="11"/>
        <v>296</v>
      </c>
      <c r="BA19" s="34">
        <f t="shared" si="11"/>
        <v>319</v>
      </c>
      <c r="BB19" s="34">
        <f t="shared" si="11"/>
        <v>363</v>
      </c>
      <c r="BC19" s="34">
        <f t="shared" si="11"/>
        <v>225</v>
      </c>
    </row>
    <row r="20" spans="1:55 16384:16384" customFormat="1" ht="16.5" x14ac:dyDescent="0.25">
      <c r="A20" s="22"/>
      <c r="B20" s="22"/>
      <c r="C20" s="22"/>
      <c r="D20" s="22"/>
      <c r="E20" s="23"/>
      <c r="F20" s="22"/>
      <c r="G20" s="22"/>
      <c r="H20" s="23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3"/>
      <c r="AB20" s="23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</row>
    <row r="21" spans="1:55 16384:16384" customFormat="1" ht="21" customHeight="1" x14ac:dyDescent="0.25">
      <c r="A21" s="22"/>
      <c r="B21" s="141" t="s">
        <v>231</v>
      </c>
      <c r="C21" s="141" t="s">
        <v>231</v>
      </c>
      <c r="D21" s="141" t="s">
        <v>257</v>
      </c>
      <c r="E21" s="141" t="s">
        <v>258</v>
      </c>
      <c r="F21" s="41" t="s">
        <v>233</v>
      </c>
      <c r="G21" s="130" t="s">
        <v>52</v>
      </c>
      <c r="H21" s="131"/>
      <c r="I21" s="131"/>
      <c r="J21" s="131"/>
      <c r="K21" s="131"/>
      <c r="L21" s="131"/>
      <c r="M21" s="131"/>
      <c r="N21" s="131"/>
      <c r="O21" s="131"/>
      <c r="P21" s="131"/>
      <c r="Q21" s="131"/>
      <c r="R21" s="132" t="s">
        <v>108</v>
      </c>
      <c r="S21" s="131"/>
      <c r="T21" s="131"/>
      <c r="U21" s="131"/>
      <c r="V21" s="131"/>
      <c r="W21" s="131"/>
      <c r="X21" s="131"/>
      <c r="Y21" s="131"/>
      <c r="Z21" s="131"/>
      <c r="AA21" s="133"/>
      <c r="AB21" s="133"/>
      <c r="AC21" s="134" t="s">
        <v>40</v>
      </c>
      <c r="AD21" s="131"/>
      <c r="AE21" s="131"/>
      <c r="AF21" s="131"/>
      <c r="AG21" s="131"/>
      <c r="AH21" s="131"/>
      <c r="AI21" s="131"/>
      <c r="AJ21" s="131"/>
      <c r="AK21" s="131"/>
      <c r="AL21" s="131"/>
      <c r="AM21" s="135"/>
      <c r="AN21" s="136" t="s">
        <v>99</v>
      </c>
      <c r="AO21" s="131"/>
      <c r="AP21" s="131"/>
      <c r="AQ21" s="131"/>
      <c r="AR21" s="131"/>
      <c r="AS21" s="131"/>
      <c r="AT21" s="131"/>
      <c r="AU21" s="131"/>
      <c r="AV21" s="131"/>
      <c r="AW21" s="131"/>
      <c r="AX21" s="135"/>
      <c r="AY21" s="137" t="s">
        <v>205</v>
      </c>
      <c r="AZ21" s="135"/>
      <c r="BA21" s="138" t="s">
        <v>84</v>
      </c>
      <c r="BB21" s="135"/>
      <c r="BC21" s="25" t="s">
        <v>101</v>
      </c>
    </row>
    <row r="22" spans="1:55 16384:16384" customFormat="1" ht="21" customHeight="1" x14ac:dyDescent="0.25">
      <c r="A22" s="22"/>
      <c r="B22" s="140"/>
      <c r="C22" s="140"/>
      <c r="D22" s="140"/>
      <c r="E22" s="140"/>
      <c r="F22" s="41"/>
      <c r="G22" s="26" t="s">
        <v>234</v>
      </c>
      <c r="H22" s="26" t="s">
        <v>235</v>
      </c>
      <c r="I22" s="26" t="s">
        <v>236</v>
      </c>
      <c r="J22" s="26" t="s">
        <v>237</v>
      </c>
      <c r="K22" s="26" t="s">
        <v>238</v>
      </c>
      <c r="L22" s="26" t="s">
        <v>239</v>
      </c>
      <c r="M22" s="26" t="s">
        <v>240</v>
      </c>
      <c r="N22" s="26" t="s">
        <v>239</v>
      </c>
      <c r="O22" s="26" t="s">
        <v>241</v>
      </c>
      <c r="P22" s="26" t="s">
        <v>242</v>
      </c>
      <c r="Q22" s="26" t="s">
        <v>243</v>
      </c>
      <c r="R22" s="27" t="s">
        <v>234</v>
      </c>
      <c r="S22" s="27" t="s">
        <v>235</v>
      </c>
      <c r="T22" s="27" t="s">
        <v>236</v>
      </c>
      <c r="U22" s="27" t="s">
        <v>237</v>
      </c>
      <c r="V22" s="27" t="s">
        <v>238</v>
      </c>
      <c r="W22" s="27" t="s">
        <v>239</v>
      </c>
      <c r="X22" s="27" t="s">
        <v>240</v>
      </c>
      <c r="Y22" s="27" t="s">
        <v>239</v>
      </c>
      <c r="Z22" s="27" t="s">
        <v>241</v>
      </c>
      <c r="AA22" s="27" t="s">
        <v>242</v>
      </c>
      <c r="AB22" s="27" t="s">
        <v>243</v>
      </c>
      <c r="AC22" s="28" t="s">
        <v>234</v>
      </c>
      <c r="AD22" s="28" t="s">
        <v>235</v>
      </c>
      <c r="AE22" s="28" t="s">
        <v>236</v>
      </c>
      <c r="AF22" s="28" t="s">
        <v>237</v>
      </c>
      <c r="AG22" s="28" t="s">
        <v>238</v>
      </c>
      <c r="AH22" s="28" t="s">
        <v>239</v>
      </c>
      <c r="AI22" s="28" t="s">
        <v>240</v>
      </c>
      <c r="AJ22" s="28" t="s">
        <v>239</v>
      </c>
      <c r="AK22" s="28" t="s">
        <v>241</v>
      </c>
      <c r="AL22" s="28" t="s">
        <v>242</v>
      </c>
      <c r="AM22" s="28" t="s">
        <v>243</v>
      </c>
      <c r="AN22" s="29" t="s">
        <v>234</v>
      </c>
      <c r="AO22" s="29" t="s">
        <v>235</v>
      </c>
      <c r="AP22" s="29" t="s">
        <v>236</v>
      </c>
      <c r="AQ22" s="29" t="s">
        <v>237</v>
      </c>
      <c r="AR22" s="29" t="s">
        <v>238</v>
      </c>
      <c r="AS22" s="29" t="s">
        <v>239</v>
      </c>
      <c r="AT22" s="29" t="s">
        <v>240</v>
      </c>
      <c r="AU22" s="29" t="s">
        <v>239</v>
      </c>
      <c r="AV22" s="29" t="s">
        <v>241</v>
      </c>
      <c r="AW22" s="29" t="s">
        <v>242</v>
      </c>
      <c r="AX22" s="29" t="s">
        <v>243</v>
      </c>
      <c r="AY22" s="30" t="s">
        <v>242</v>
      </c>
      <c r="AZ22" s="30" t="s">
        <v>243</v>
      </c>
      <c r="BA22" s="31" t="s">
        <v>242</v>
      </c>
      <c r="BB22" s="32" t="s">
        <v>243</v>
      </c>
      <c r="BC22" s="33" t="s">
        <v>242</v>
      </c>
    </row>
    <row r="23" spans="1:55 16384:16384" customFormat="1" ht="21" customHeight="1" x14ac:dyDescent="0.4">
      <c r="A23" s="22"/>
      <c r="B23" s="42" t="s">
        <v>259</v>
      </c>
      <c r="C23" s="42" t="s">
        <v>244</v>
      </c>
      <c r="D23" s="42" t="s">
        <v>260</v>
      </c>
      <c r="E23" s="42" t="s">
        <v>261</v>
      </c>
      <c r="F23" s="42"/>
      <c r="G23" s="42"/>
      <c r="H23" s="43"/>
      <c r="I23" s="43"/>
      <c r="J23" s="43"/>
      <c r="K23" s="44"/>
      <c r="L23" s="42"/>
      <c r="M23" s="42"/>
      <c r="N23" s="42">
        <v>1</v>
      </c>
      <c r="O23" s="42"/>
      <c r="P23" s="42"/>
      <c r="Q23" s="42"/>
      <c r="R23" s="42"/>
      <c r="S23" s="43">
        <v>1</v>
      </c>
      <c r="T23" s="43"/>
      <c r="U23" s="43">
        <v>1</v>
      </c>
      <c r="V23" s="43">
        <v>1</v>
      </c>
      <c r="W23" s="42"/>
      <c r="X23" s="42"/>
      <c r="Y23" s="42">
        <v>1</v>
      </c>
      <c r="Z23" s="42"/>
      <c r="AA23" s="42"/>
      <c r="AB23" s="42"/>
      <c r="AC23" s="42"/>
      <c r="AD23" s="43"/>
      <c r="AE23" s="43">
        <v>1</v>
      </c>
      <c r="AF23" s="43">
        <v>1</v>
      </c>
      <c r="AG23" s="44"/>
      <c r="AH23" s="42">
        <v>1</v>
      </c>
      <c r="AI23" s="34"/>
      <c r="AJ23" s="42">
        <v>1</v>
      </c>
      <c r="AK23" s="42"/>
      <c r="AL23" s="42"/>
      <c r="AM23" s="42">
        <v>1</v>
      </c>
      <c r="AN23" s="42"/>
      <c r="AO23" s="43"/>
      <c r="AP23" s="43"/>
      <c r="AQ23" s="43"/>
      <c r="AR23" s="44"/>
      <c r="AS23" s="44"/>
      <c r="AT23" s="44"/>
      <c r="AU23" s="44"/>
      <c r="AV23" s="44"/>
      <c r="AW23" s="34"/>
      <c r="AX23" s="34"/>
      <c r="AY23" s="34"/>
      <c r="AZ23" s="44">
        <v>1</v>
      </c>
      <c r="BA23" s="34"/>
      <c r="BB23" s="34"/>
      <c r="BC23" s="34"/>
    </row>
    <row r="24" spans="1:55 16384:16384" customFormat="1" ht="21" customHeight="1" x14ac:dyDescent="0.4">
      <c r="A24" s="22"/>
      <c r="B24" s="42" t="s">
        <v>259</v>
      </c>
      <c r="C24" s="42" t="s">
        <v>244</v>
      </c>
      <c r="D24" s="42" t="s">
        <v>262</v>
      </c>
      <c r="E24" s="34" t="s">
        <v>263</v>
      </c>
      <c r="F24" s="42"/>
      <c r="G24" s="42"/>
      <c r="H24" s="43"/>
      <c r="I24" s="43"/>
      <c r="J24" s="42">
        <v>1</v>
      </c>
      <c r="K24" s="44">
        <v>1</v>
      </c>
      <c r="L24" s="42"/>
      <c r="M24" s="42">
        <v>1</v>
      </c>
      <c r="N24" s="42"/>
      <c r="O24" s="42"/>
      <c r="P24" s="42">
        <v>1</v>
      </c>
      <c r="Q24" s="42">
        <v>1</v>
      </c>
      <c r="R24" s="42"/>
      <c r="S24" s="43"/>
      <c r="T24" s="43"/>
      <c r="U24" s="43"/>
      <c r="V24" s="44">
        <v>1</v>
      </c>
      <c r="W24" s="42">
        <v>1</v>
      </c>
      <c r="X24" s="42">
        <v>1</v>
      </c>
      <c r="Y24" s="42"/>
      <c r="Z24" s="42"/>
      <c r="AA24" s="42">
        <v>1</v>
      </c>
      <c r="AB24" s="42">
        <v>1</v>
      </c>
      <c r="AC24" s="42"/>
      <c r="AD24" s="43"/>
      <c r="AE24" s="43"/>
      <c r="AF24" s="43"/>
      <c r="AG24" s="44">
        <v>1</v>
      </c>
      <c r="AH24" s="42">
        <v>1</v>
      </c>
      <c r="AI24" s="42">
        <v>1</v>
      </c>
      <c r="AJ24" s="42"/>
      <c r="AK24" s="42">
        <v>1</v>
      </c>
      <c r="AL24" s="42">
        <v>1</v>
      </c>
      <c r="AM24" s="42">
        <v>1</v>
      </c>
      <c r="AN24" s="42"/>
      <c r="AO24" s="43"/>
      <c r="AP24" s="43">
        <v>1</v>
      </c>
      <c r="AQ24" s="43">
        <v>1</v>
      </c>
      <c r="AR24" s="44">
        <v>1</v>
      </c>
      <c r="AS24" s="44">
        <v>1</v>
      </c>
      <c r="AT24" s="44"/>
      <c r="AU24" s="44"/>
      <c r="AV24" s="44"/>
      <c r="AW24" s="34"/>
      <c r="AX24" s="34"/>
      <c r="AY24" s="34"/>
      <c r="AZ24" s="44"/>
      <c r="BA24" s="34"/>
      <c r="BB24" s="34"/>
      <c r="BC24" s="34"/>
    </row>
    <row r="25" spans="1:55 16384:16384" customFormat="1" ht="21" customHeight="1" x14ac:dyDescent="0.4">
      <c r="A25" s="22"/>
      <c r="B25" s="42" t="s">
        <v>259</v>
      </c>
      <c r="C25" s="42" t="s">
        <v>244</v>
      </c>
      <c r="D25" s="42" t="s">
        <v>264</v>
      </c>
      <c r="E25" s="42" t="s">
        <v>265</v>
      </c>
      <c r="F25" s="42"/>
      <c r="G25" s="42"/>
      <c r="H25" s="43"/>
      <c r="I25" s="43"/>
      <c r="J25" s="43"/>
      <c r="K25" s="44"/>
      <c r="L25" s="42">
        <v>1</v>
      </c>
      <c r="M25" s="42">
        <v>1</v>
      </c>
      <c r="N25" s="42"/>
      <c r="O25" s="42">
        <v>1</v>
      </c>
      <c r="P25" s="42">
        <v>1</v>
      </c>
      <c r="Q25" s="42">
        <v>1</v>
      </c>
      <c r="R25" s="42"/>
      <c r="S25" s="43"/>
      <c r="T25" s="43">
        <v>1</v>
      </c>
      <c r="U25" s="43">
        <v>1</v>
      </c>
      <c r="V25" s="44">
        <v>1</v>
      </c>
      <c r="W25" s="42">
        <v>1</v>
      </c>
      <c r="X25" s="42">
        <v>1</v>
      </c>
      <c r="Y25" s="42"/>
      <c r="Z25" s="42"/>
      <c r="AA25" s="42">
        <v>1</v>
      </c>
      <c r="AB25" s="42">
        <v>1</v>
      </c>
      <c r="AC25" s="42"/>
      <c r="AD25" s="43">
        <v>1</v>
      </c>
      <c r="AE25" s="43">
        <v>1</v>
      </c>
      <c r="AF25" s="43">
        <v>1</v>
      </c>
      <c r="AG25" s="44">
        <v>1</v>
      </c>
      <c r="AH25" s="42">
        <v>1</v>
      </c>
      <c r="AI25" s="42">
        <v>1</v>
      </c>
      <c r="AJ25" s="42"/>
      <c r="AK25" s="42">
        <v>1</v>
      </c>
      <c r="AL25" s="42">
        <v>1</v>
      </c>
      <c r="AM25" s="42">
        <v>1</v>
      </c>
      <c r="AN25" s="42"/>
      <c r="AO25" s="43"/>
      <c r="AP25" s="43"/>
      <c r="AQ25" s="43"/>
      <c r="AR25" s="44">
        <v>1</v>
      </c>
      <c r="AS25" s="44">
        <v>1</v>
      </c>
      <c r="AT25" s="44">
        <v>1</v>
      </c>
      <c r="AU25" s="44"/>
      <c r="AV25" s="44"/>
      <c r="AW25" s="44">
        <v>1</v>
      </c>
      <c r="AX25" s="44">
        <v>1</v>
      </c>
      <c r="AY25" s="44">
        <v>1</v>
      </c>
      <c r="AZ25" s="44"/>
      <c r="BA25" s="34">
        <v>1</v>
      </c>
      <c r="BB25" s="34">
        <v>1</v>
      </c>
      <c r="BC25" s="34"/>
    </row>
    <row r="26" spans="1:55 16384:16384" customFormat="1" ht="21" customHeight="1" x14ac:dyDescent="0.4">
      <c r="A26" s="22"/>
      <c r="B26" s="42" t="s">
        <v>259</v>
      </c>
      <c r="C26" s="42" t="s">
        <v>244</v>
      </c>
      <c r="D26" s="42" t="s">
        <v>266</v>
      </c>
      <c r="E26" s="42" t="s">
        <v>267</v>
      </c>
      <c r="F26" s="42"/>
      <c r="G26" s="42"/>
      <c r="H26" s="43"/>
      <c r="I26" s="43"/>
      <c r="J26" s="43">
        <v>1</v>
      </c>
      <c r="K26" s="44">
        <v>1</v>
      </c>
      <c r="L26" s="42">
        <v>1</v>
      </c>
      <c r="M26" s="42">
        <v>1</v>
      </c>
      <c r="N26" s="42">
        <v>1</v>
      </c>
      <c r="O26" s="42">
        <v>1</v>
      </c>
      <c r="P26" s="42"/>
      <c r="Q26" s="42">
        <v>1</v>
      </c>
      <c r="R26" s="42"/>
      <c r="S26" s="43"/>
      <c r="T26" s="43">
        <v>1</v>
      </c>
      <c r="U26" s="43">
        <v>1</v>
      </c>
      <c r="V26" s="44">
        <v>1</v>
      </c>
      <c r="W26" s="42"/>
      <c r="X26" s="42">
        <v>1</v>
      </c>
      <c r="Y26" s="42">
        <v>1</v>
      </c>
      <c r="Z26" s="42">
        <v>1</v>
      </c>
      <c r="AA26" s="42"/>
      <c r="AB26" s="42">
        <v>1</v>
      </c>
      <c r="AC26" s="42"/>
      <c r="AD26" s="43"/>
      <c r="AE26" s="43">
        <v>1</v>
      </c>
      <c r="AF26" s="43">
        <v>1</v>
      </c>
      <c r="AG26" s="44">
        <v>1</v>
      </c>
      <c r="AH26" s="42">
        <v>1</v>
      </c>
      <c r="AI26" s="42">
        <v>1</v>
      </c>
      <c r="AJ26" s="42">
        <v>1</v>
      </c>
      <c r="AK26" s="42">
        <v>1</v>
      </c>
      <c r="AL26" s="42">
        <v>1</v>
      </c>
      <c r="AM26" s="42">
        <v>1</v>
      </c>
      <c r="AN26" s="42"/>
      <c r="AO26" s="43"/>
      <c r="AP26" s="43"/>
      <c r="AQ26" s="43"/>
      <c r="AR26" s="44"/>
      <c r="AS26" s="44"/>
      <c r="AT26" s="44"/>
      <c r="AU26" s="44"/>
      <c r="AV26" s="44"/>
      <c r="AW26" s="34"/>
      <c r="AX26" s="44"/>
      <c r="AY26" s="44"/>
      <c r="AZ26" s="44"/>
      <c r="BA26" s="34">
        <v>1</v>
      </c>
      <c r="BB26" s="34">
        <v>1</v>
      </c>
      <c r="BC26" s="34"/>
    </row>
    <row r="27" spans="1:55 16384:16384" customFormat="1" ht="21" customHeight="1" x14ac:dyDescent="0.4">
      <c r="A27" s="22"/>
      <c r="B27" s="42" t="s">
        <v>259</v>
      </c>
      <c r="C27" s="42" t="s">
        <v>244</v>
      </c>
      <c r="D27" s="42" t="s">
        <v>268</v>
      </c>
      <c r="E27" s="42" t="s">
        <v>269</v>
      </c>
      <c r="F27" s="42"/>
      <c r="G27" s="42"/>
      <c r="H27" s="43">
        <v>1</v>
      </c>
      <c r="I27" s="43">
        <v>1</v>
      </c>
      <c r="J27" s="43">
        <v>1</v>
      </c>
      <c r="K27" s="44">
        <v>1</v>
      </c>
      <c r="L27" s="42">
        <v>1</v>
      </c>
      <c r="M27" s="42">
        <v>1</v>
      </c>
      <c r="N27" s="42"/>
      <c r="O27" s="42">
        <v>1</v>
      </c>
      <c r="P27" s="42">
        <v>1</v>
      </c>
      <c r="Q27" s="42">
        <v>1</v>
      </c>
      <c r="R27" s="42"/>
      <c r="S27" s="43">
        <v>1</v>
      </c>
      <c r="T27" s="43">
        <v>1</v>
      </c>
      <c r="U27" s="43">
        <v>1</v>
      </c>
      <c r="V27" s="44">
        <v>1</v>
      </c>
      <c r="W27" s="42">
        <v>1</v>
      </c>
      <c r="X27" s="42">
        <v>1</v>
      </c>
      <c r="Y27" s="42"/>
      <c r="Z27" s="42">
        <v>1</v>
      </c>
      <c r="AA27" s="42">
        <v>1</v>
      </c>
      <c r="AB27" s="42">
        <v>1</v>
      </c>
      <c r="AC27" s="42">
        <v>1</v>
      </c>
      <c r="AD27" s="43"/>
      <c r="AE27" s="43">
        <v>1</v>
      </c>
      <c r="AF27" s="43">
        <v>1</v>
      </c>
      <c r="AG27" s="43">
        <v>1</v>
      </c>
      <c r="AH27" s="42">
        <v>1</v>
      </c>
      <c r="AI27" s="42">
        <v>1</v>
      </c>
      <c r="AJ27" s="42"/>
      <c r="AK27" s="42">
        <v>1</v>
      </c>
      <c r="AL27" s="42">
        <v>1</v>
      </c>
      <c r="AM27" s="42">
        <v>1</v>
      </c>
      <c r="AN27" s="42"/>
      <c r="AO27" s="43"/>
      <c r="AP27" s="43"/>
      <c r="AQ27" s="43"/>
      <c r="AR27" s="44"/>
      <c r="AS27" s="44">
        <v>1</v>
      </c>
      <c r="AT27" s="44"/>
      <c r="AU27" s="44"/>
      <c r="AV27" s="44"/>
      <c r="AW27" s="34"/>
      <c r="AX27" s="44"/>
      <c r="AY27" s="44"/>
      <c r="AZ27" s="44"/>
      <c r="BA27" s="34"/>
      <c r="BB27" s="34">
        <v>1</v>
      </c>
      <c r="BC27" s="34">
        <v>1</v>
      </c>
    </row>
    <row r="28" spans="1:55 16384:16384" customFormat="1" ht="21" customHeight="1" x14ac:dyDescent="0.4">
      <c r="A28" s="22"/>
      <c r="B28" s="42" t="s">
        <v>259</v>
      </c>
      <c r="C28" s="42" t="s">
        <v>244</v>
      </c>
      <c r="D28" s="42" t="s">
        <v>270</v>
      </c>
      <c r="E28" s="42" t="s">
        <v>269</v>
      </c>
      <c r="F28" s="42"/>
      <c r="G28" s="42"/>
      <c r="H28" s="43"/>
      <c r="I28" s="43">
        <v>1</v>
      </c>
      <c r="J28" s="43">
        <v>1</v>
      </c>
      <c r="K28" s="44">
        <v>1</v>
      </c>
      <c r="L28" s="42">
        <v>1</v>
      </c>
      <c r="M28" s="42">
        <v>1</v>
      </c>
      <c r="N28" s="42">
        <v>1</v>
      </c>
      <c r="O28" s="42">
        <v>1</v>
      </c>
      <c r="P28" s="42">
        <v>1</v>
      </c>
      <c r="Q28" s="42">
        <v>1</v>
      </c>
      <c r="R28" s="42"/>
      <c r="S28" s="43">
        <v>1</v>
      </c>
      <c r="T28" s="43">
        <v>1</v>
      </c>
      <c r="U28" s="43">
        <v>1</v>
      </c>
      <c r="V28" s="44">
        <v>1</v>
      </c>
      <c r="W28" s="42">
        <v>1</v>
      </c>
      <c r="X28" s="42">
        <v>1</v>
      </c>
      <c r="Y28" s="42"/>
      <c r="Z28" s="42">
        <v>1</v>
      </c>
      <c r="AA28" s="42">
        <v>1</v>
      </c>
      <c r="AB28" s="42">
        <v>1</v>
      </c>
      <c r="AC28" s="42"/>
      <c r="AD28" s="43">
        <v>1</v>
      </c>
      <c r="AE28" s="43">
        <v>1</v>
      </c>
      <c r="AF28" s="43">
        <v>1</v>
      </c>
      <c r="AG28" s="44">
        <v>1</v>
      </c>
      <c r="AH28" s="42">
        <v>1</v>
      </c>
      <c r="AI28" s="42">
        <v>1</v>
      </c>
      <c r="AJ28" s="42"/>
      <c r="AK28" s="42">
        <v>1</v>
      </c>
      <c r="AL28" s="42">
        <v>1</v>
      </c>
      <c r="AM28" s="42">
        <v>1</v>
      </c>
      <c r="AN28" s="42"/>
      <c r="AO28" s="43"/>
      <c r="AP28" s="43"/>
      <c r="AQ28" s="43"/>
      <c r="AR28" s="44"/>
      <c r="AS28" s="44">
        <v>1</v>
      </c>
      <c r="AT28" s="44"/>
      <c r="AU28" s="44"/>
      <c r="AV28" s="44"/>
      <c r="AW28" s="34">
        <v>1</v>
      </c>
      <c r="AX28" s="44">
        <v>1</v>
      </c>
      <c r="AY28" s="44"/>
      <c r="AZ28" s="44"/>
      <c r="BA28" s="34">
        <v>1</v>
      </c>
      <c r="BB28" s="34">
        <v>1</v>
      </c>
      <c r="BC28" s="34">
        <v>1</v>
      </c>
    </row>
    <row r="29" spans="1:55 16384:16384" customFormat="1" ht="21" customHeight="1" x14ac:dyDescent="0.4">
      <c r="A29" s="22"/>
      <c r="B29" s="42" t="s">
        <v>259</v>
      </c>
      <c r="C29" s="42" t="s">
        <v>255</v>
      </c>
      <c r="D29" s="42" t="s">
        <v>271</v>
      </c>
      <c r="E29" s="42" t="s">
        <v>272</v>
      </c>
      <c r="F29" s="42"/>
      <c r="G29" s="42"/>
      <c r="H29" s="43"/>
      <c r="I29" s="43"/>
      <c r="J29" s="43"/>
      <c r="K29" s="44"/>
      <c r="L29" s="42"/>
      <c r="M29" s="42">
        <v>1</v>
      </c>
      <c r="N29" s="42">
        <v>1</v>
      </c>
      <c r="O29" s="42">
        <v>1</v>
      </c>
      <c r="P29" s="42">
        <v>1</v>
      </c>
      <c r="Q29" s="42">
        <v>1</v>
      </c>
      <c r="R29" s="42"/>
      <c r="S29" s="43"/>
      <c r="T29" s="43"/>
      <c r="U29" s="43"/>
      <c r="V29" s="44"/>
      <c r="W29" s="42"/>
      <c r="X29" s="42"/>
      <c r="Y29" s="42"/>
      <c r="Z29" s="42">
        <v>1</v>
      </c>
      <c r="AA29" s="42"/>
      <c r="AB29" s="42">
        <v>1</v>
      </c>
      <c r="AC29" s="42"/>
      <c r="AD29" s="43"/>
      <c r="AE29" s="43"/>
      <c r="AF29" s="43"/>
      <c r="AG29" s="44"/>
      <c r="AH29" s="42"/>
      <c r="AI29" s="42"/>
      <c r="AJ29" s="42">
        <v>1</v>
      </c>
      <c r="AK29" s="42"/>
      <c r="AL29" s="42"/>
      <c r="AM29" s="42"/>
      <c r="AN29" s="42"/>
      <c r="AO29" s="43"/>
      <c r="AP29" s="43"/>
      <c r="AQ29" s="43"/>
      <c r="AR29" s="44"/>
      <c r="AS29" s="44"/>
      <c r="AT29" s="44"/>
      <c r="AU29" s="44"/>
      <c r="AV29" s="44"/>
      <c r="AW29" s="34">
        <v>1</v>
      </c>
      <c r="AX29" s="44">
        <v>1</v>
      </c>
      <c r="AY29" s="44"/>
      <c r="AZ29" s="44"/>
      <c r="BA29" s="34"/>
      <c r="BB29" s="34">
        <v>1</v>
      </c>
      <c r="BC29" s="34"/>
    </row>
    <row r="30" spans="1:55 16384:16384" customFormat="1" ht="21" customHeight="1" x14ac:dyDescent="0.4">
      <c r="A30" s="22"/>
      <c r="B30" s="42" t="s">
        <v>259</v>
      </c>
      <c r="C30" s="42" t="s">
        <v>246</v>
      </c>
      <c r="D30" s="42" t="s">
        <v>273</v>
      </c>
      <c r="E30" s="42" t="s">
        <v>274</v>
      </c>
      <c r="F30" s="42"/>
      <c r="G30" s="42"/>
      <c r="H30" s="43">
        <v>1</v>
      </c>
      <c r="I30" s="43">
        <v>1</v>
      </c>
      <c r="J30" s="43">
        <v>1</v>
      </c>
      <c r="K30" s="44">
        <v>1</v>
      </c>
      <c r="L30" s="42">
        <v>1</v>
      </c>
      <c r="M30" s="42">
        <v>1</v>
      </c>
      <c r="N30" s="42"/>
      <c r="O30" s="42">
        <v>1</v>
      </c>
      <c r="P30" s="42">
        <v>1</v>
      </c>
      <c r="Q30" s="42">
        <v>1</v>
      </c>
      <c r="R30" s="42"/>
      <c r="S30" s="43"/>
      <c r="T30" s="43">
        <v>1</v>
      </c>
      <c r="U30" s="43">
        <v>1</v>
      </c>
      <c r="V30" s="44">
        <v>1</v>
      </c>
      <c r="W30" s="42">
        <v>1</v>
      </c>
      <c r="X30" s="42">
        <v>1</v>
      </c>
      <c r="Y30" s="42"/>
      <c r="Z30" s="42">
        <v>1</v>
      </c>
      <c r="AA30" s="42">
        <v>1</v>
      </c>
      <c r="AB30" s="42">
        <v>1</v>
      </c>
      <c r="AC30" s="42"/>
      <c r="AD30" s="43">
        <v>1</v>
      </c>
      <c r="AE30" s="43">
        <v>1</v>
      </c>
      <c r="AF30" s="43">
        <v>1</v>
      </c>
      <c r="AG30" s="44">
        <v>1</v>
      </c>
      <c r="AH30" s="42">
        <v>1</v>
      </c>
      <c r="AI30" s="42">
        <v>1</v>
      </c>
      <c r="AJ30" s="42">
        <v>1</v>
      </c>
      <c r="AK30" s="42">
        <v>1</v>
      </c>
      <c r="AL30" s="42">
        <v>1</v>
      </c>
      <c r="AM30" s="42">
        <v>1</v>
      </c>
      <c r="AN30" s="42"/>
      <c r="AO30" s="43"/>
      <c r="AP30" s="43">
        <v>1</v>
      </c>
      <c r="AQ30" s="43">
        <v>1</v>
      </c>
      <c r="AR30" s="44">
        <v>1</v>
      </c>
      <c r="AS30" s="44">
        <v>1</v>
      </c>
      <c r="AT30" s="44"/>
      <c r="AU30" s="44"/>
      <c r="AV30" s="44"/>
      <c r="AW30" s="34"/>
      <c r="AX30" s="44"/>
      <c r="AY30" s="44">
        <v>1</v>
      </c>
      <c r="AZ30" s="44"/>
      <c r="BA30" s="34">
        <v>1</v>
      </c>
      <c r="BB30" s="34">
        <v>1</v>
      </c>
      <c r="BC30" s="34">
        <v>1</v>
      </c>
    </row>
    <row r="31" spans="1:55 16384:16384" customFormat="1" ht="21" customHeight="1" x14ac:dyDescent="0.4">
      <c r="A31" s="22"/>
      <c r="B31" s="42" t="s">
        <v>259</v>
      </c>
      <c r="C31" s="42" t="s">
        <v>247</v>
      </c>
      <c r="D31" s="42" t="s">
        <v>275</v>
      </c>
      <c r="E31" s="42" t="s">
        <v>276</v>
      </c>
      <c r="F31" s="42"/>
      <c r="G31" s="42"/>
      <c r="H31" s="43"/>
      <c r="I31" s="43"/>
      <c r="J31" s="43"/>
      <c r="K31" s="44"/>
      <c r="L31" s="42"/>
      <c r="M31" s="42"/>
      <c r="N31" s="42">
        <v>1</v>
      </c>
      <c r="O31" s="42"/>
      <c r="P31" s="42">
        <v>1</v>
      </c>
      <c r="Q31" s="42"/>
      <c r="R31" s="42"/>
      <c r="S31" s="43"/>
      <c r="T31" s="43"/>
      <c r="U31" s="43"/>
      <c r="V31" s="44"/>
      <c r="W31" s="42"/>
      <c r="X31" s="42"/>
      <c r="Y31" s="42"/>
      <c r="Z31" s="42"/>
      <c r="AA31" s="42"/>
      <c r="AB31" s="42"/>
      <c r="AC31" s="42"/>
      <c r="AD31" s="43"/>
      <c r="AE31" s="43"/>
      <c r="AF31" s="43"/>
      <c r="AG31" s="44"/>
      <c r="AH31" s="42"/>
      <c r="AI31" s="42"/>
      <c r="AJ31" s="42"/>
      <c r="AK31" s="42"/>
      <c r="AL31" s="42"/>
      <c r="AM31" s="42"/>
      <c r="AN31" s="42"/>
      <c r="AO31" s="43"/>
      <c r="AP31" s="43"/>
      <c r="AQ31" s="43"/>
      <c r="AR31" s="44"/>
      <c r="AS31" s="44"/>
      <c r="AT31" s="44">
        <v>1</v>
      </c>
      <c r="AU31" s="44">
        <v>1</v>
      </c>
      <c r="AV31" s="44">
        <v>1</v>
      </c>
      <c r="AW31" s="34"/>
      <c r="AX31" s="44"/>
      <c r="AY31" s="44"/>
      <c r="AZ31" s="44">
        <v>1</v>
      </c>
      <c r="BA31" s="34"/>
      <c r="BB31" s="34">
        <v>1</v>
      </c>
      <c r="BC31" s="34"/>
    </row>
    <row r="32" spans="1:55 16384:16384" customFormat="1" ht="21" customHeight="1" x14ac:dyDescent="0.4">
      <c r="A32" s="22"/>
      <c r="B32" s="42" t="s">
        <v>259</v>
      </c>
      <c r="C32" s="42" t="s">
        <v>247</v>
      </c>
      <c r="D32" s="42" t="s">
        <v>277</v>
      </c>
      <c r="E32" s="42" t="s">
        <v>278</v>
      </c>
      <c r="F32" s="42"/>
      <c r="G32" s="42"/>
      <c r="H32" s="43"/>
      <c r="I32" s="43"/>
      <c r="J32" s="43"/>
      <c r="K32" s="44"/>
      <c r="L32" s="42"/>
      <c r="M32" s="42"/>
      <c r="N32" s="42"/>
      <c r="O32" s="42"/>
      <c r="P32" s="42"/>
      <c r="Q32" s="42">
        <v>1</v>
      </c>
      <c r="R32" s="42"/>
      <c r="S32" s="43"/>
      <c r="T32" s="43"/>
      <c r="U32" s="43"/>
      <c r="V32" s="44"/>
      <c r="W32" s="42"/>
      <c r="X32" s="42"/>
      <c r="Y32" s="42"/>
      <c r="Z32" s="42"/>
      <c r="AA32" s="42"/>
      <c r="AB32" s="42"/>
      <c r="AC32" s="42"/>
      <c r="AD32" s="43"/>
      <c r="AE32" s="43"/>
      <c r="AF32" s="43"/>
      <c r="AG32" s="44"/>
      <c r="AH32" s="42"/>
      <c r="AI32" s="42"/>
      <c r="AJ32" s="42"/>
      <c r="AK32" s="42"/>
      <c r="AL32" s="42">
        <v>1</v>
      </c>
      <c r="AM32" s="42">
        <v>1</v>
      </c>
      <c r="AN32" s="42"/>
      <c r="AO32" s="43"/>
      <c r="AP32" s="43"/>
      <c r="AQ32" s="43"/>
      <c r="AR32" s="44"/>
      <c r="AS32" s="44"/>
      <c r="AT32" s="44">
        <v>1</v>
      </c>
      <c r="AU32" s="44">
        <v>1</v>
      </c>
      <c r="AV32" s="44">
        <v>1</v>
      </c>
      <c r="AW32" s="34"/>
      <c r="AX32" s="44"/>
      <c r="AY32" s="44">
        <v>1</v>
      </c>
      <c r="AZ32" s="44"/>
      <c r="BA32" s="34"/>
      <c r="BB32" s="34"/>
      <c r="BC32" s="34"/>
    </row>
    <row r="33" spans="1:55" customFormat="1" ht="21" customHeight="1" x14ac:dyDescent="0.4">
      <c r="A33" s="22"/>
      <c r="B33" s="42" t="s">
        <v>259</v>
      </c>
      <c r="C33" s="42" t="s">
        <v>246</v>
      </c>
      <c r="D33" s="42" t="s">
        <v>279</v>
      </c>
      <c r="E33" s="42" t="s">
        <v>280</v>
      </c>
      <c r="F33" s="42"/>
      <c r="G33" s="42"/>
      <c r="H33" s="43"/>
      <c r="I33" s="43"/>
      <c r="J33" s="43"/>
      <c r="K33" s="44"/>
      <c r="L33" s="42"/>
      <c r="M33" s="42"/>
      <c r="N33" s="42">
        <v>1</v>
      </c>
      <c r="O33" s="42">
        <v>1</v>
      </c>
      <c r="P33" s="42"/>
      <c r="Q33" s="42"/>
      <c r="R33" s="42"/>
      <c r="S33" s="43"/>
      <c r="T33" s="43">
        <v>1</v>
      </c>
      <c r="U33" s="43">
        <v>1</v>
      </c>
      <c r="V33" s="44"/>
      <c r="W33" s="42">
        <v>1</v>
      </c>
      <c r="X33" s="42"/>
      <c r="Y33" s="42">
        <v>1</v>
      </c>
      <c r="Z33" s="42"/>
      <c r="AA33" s="42"/>
      <c r="AB33" s="42"/>
      <c r="AC33" s="42"/>
      <c r="AD33" s="43"/>
      <c r="AE33" s="43"/>
      <c r="AF33" s="43"/>
      <c r="AG33" s="44"/>
      <c r="AH33" s="42"/>
      <c r="AI33" s="42">
        <v>1</v>
      </c>
      <c r="AJ33" s="42">
        <v>1</v>
      </c>
      <c r="AK33" s="42"/>
      <c r="AL33" s="42"/>
      <c r="AM33" s="42"/>
      <c r="AN33" s="42"/>
      <c r="AO33" s="43"/>
      <c r="AP33" s="43">
        <v>1</v>
      </c>
      <c r="AQ33" s="43">
        <v>1</v>
      </c>
      <c r="AR33" s="44">
        <v>1</v>
      </c>
      <c r="AS33" s="44">
        <v>1</v>
      </c>
      <c r="AT33" s="44"/>
      <c r="AU33" s="44"/>
      <c r="AV33" s="44"/>
      <c r="AW33" s="34"/>
      <c r="AX33" s="44"/>
      <c r="AY33" s="44">
        <v>1</v>
      </c>
      <c r="AZ33" s="44">
        <v>1</v>
      </c>
      <c r="BA33" s="34"/>
      <c r="BB33" s="34">
        <v>1</v>
      </c>
      <c r="BC33" s="34">
        <v>1</v>
      </c>
    </row>
    <row r="34" spans="1:55" customFormat="1" ht="21" customHeight="1" x14ac:dyDescent="0.4">
      <c r="A34" s="22"/>
      <c r="B34" s="42" t="s">
        <v>259</v>
      </c>
      <c r="C34" s="42" t="s">
        <v>246</v>
      </c>
      <c r="D34" s="42" t="s">
        <v>281</v>
      </c>
      <c r="E34" s="42" t="s">
        <v>282</v>
      </c>
      <c r="F34" s="42"/>
      <c r="G34" s="42"/>
      <c r="H34" s="43"/>
      <c r="I34" s="43"/>
      <c r="J34" s="43"/>
      <c r="K34" s="44"/>
      <c r="L34" s="42"/>
      <c r="M34" s="42"/>
      <c r="N34" s="42"/>
      <c r="O34" s="42"/>
      <c r="P34" s="42"/>
      <c r="Q34" s="42"/>
      <c r="R34" s="42"/>
      <c r="S34" s="43"/>
      <c r="T34" s="43"/>
      <c r="U34" s="43"/>
      <c r="V34" s="45"/>
      <c r="W34" s="42"/>
      <c r="X34" s="42"/>
      <c r="Y34" s="42"/>
      <c r="Z34" s="42"/>
      <c r="AA34" s="42"/>
      <c r="AB34" s="42"/>
      <c r="AC34" s="42"/>
      <c r="AD34" s="43"/>
      <c r="AE34" s="43"/>
      <c r="AF34" s="43"/>
      <c r="AG34" s="44"/>
      <c r="AH34" s="42"/>
      <c r="AI34" s="42"/>
      <c r="AJ34" s="42"/>
      <c r="AK34" s="42"/>
      <c r="AL34" s="42"/>
      <c r="AM34" s="42"/>
      <c r="AN34" s="42"/>
      <c r="AO34" s="43"/>
      <c r="AP34" s="43"/>
      <c r="AQ34" s="43"/>
      <c r="AR34" s="44"/>
      <c r="AS34" s="44"/>
      <c r="AT34" s="44"/>
      <c r="AU34" s="44"/>
      <c r="AV34" s="44"/>
      <c r="AW34" s="34">
        <v>1</v>
      </c>
      <c r="AX34" s="44">
        <v>1</v>
      </c>
      <c r="AY34" s="44"/>
      <c r="AZ34" s="44"/>
      <c r="BA34" s="34"/>
      <c r="BB34" s="34"/>
      <c r="BC34" s="34"/>
    </row>
    <row r="35" spans="1:55" customFormat="1" ht="21" customHeight="1" x14ac:dyDescent="0.4">
      <c r="A35" s="22"/>
      <c r="B35" s="42" t="s">
        <v>259</v>
      </c>
      <c r="C35" s="42" t="s">
        <v>255</v>
      </c>
      <c r="D35" s="42" t="s">
        <v>283</v>
      </c>
      <c r="E35" s="42"/>
      <c r="F35" s="42"/>
      <c r="G35" s="42"/>
      <c r="H35" s="43"/>
      <c r="I35" s="43"/>
      <c r="J35" s="43"/>
      <c r="K35" s="44"/>
      <c r="L35" s="42"/>
      <c r="M35" s="42"/>
      <c r="N35" s="42">
        <v>1</v>
      </c>
      <c r="O35" s="42"/>
      <c r="P35" s="42"/>
      <c r="Q35" s="42"/>
      <c r="R35" s="42"/>
      <c r="S35" s="43"/>
      <c r="T35" s="43"/>
      <c r="U35" s="43"/>
      <c r="V35" s="44"/>
      <c r="W35" s="42"/>
      <c r="X35" s="42"/>
      <c r="Y35" s="42"/>
      <c r="Z35" s="42"/>
      <c r="AA35" s="42">
        <v>1</v>
      </c>
      <c r="AB35" s="42"/>
      <c r="AC35" s="42"/>
      <c r="AD35" s="43"/>
      <c r="AE35" s="43"/>
      <c r="AF35" s="43"/>
      <c r="AG35" s="44"/>
      <c r="AH35" s="42"/>
      <c r="AI35" s="42"/>
      <c r="AJ35" s="42">
        <v>1</v>
      </c>
      <c r="AK35" s="42"/>
      <c r="AL35" s="42"/>
      <c r="AM35" s="42"/>
      <c r="AN35" s="42"/>
      <c r="AO35" s="43"/>
      <c r="AP35" s="43"/>
      <c r="AQ35" s="43"/>
      <c r="AR35" s="44"/>
      <c r="AS35" s="44"/>
      <c r="AT35" s="44"/>
      <c r="AU35" s="44"/>
      <c r="AV35" s="44"/>
      <c r="AW35" s="34"/>
      <c r="AX35" s="44"/>
      <c r="AY35" s="44"/>
      <c r="AZ35" s="44"/>
      <c r="BA35" s="34"/>
      <c r="BB35" s="34"/>
      <c r="BC35" s="34"/>
    </row>
    <row r="36" spans="1:55" customFormat="1" ht="21" customHeight="1" x14ac:dyDescent="0.4">
      <c r="A36" s="22"/>
      <c r="B36" s="42" t="s">
        <v>259</v>
      </c>
      <c r="C36" s="42" t="s">
        <v>255</v>
      </c>
      <c r="D36" s="42" t="s">
        <v>284</v>
      </c>
      <c r="E36" s="42" t="s">
        <v>285</v>
      </c>
      <c r="F36" s="42"/>
      <c r="G36" s="42"/>
      <c r="H36" s="43"/>
      <c r="I36" s="43"/>
      <c r="J36" s="43"/>
      <c r="K36" s="44"/>
      <c r="L36" s="42">
        <v>1</v>
      </c>
      <c r="M36" s="42">
        <v>1</v>
      </c>
      <c r="N36" s="42"/>
      <c r="O36" s="42">
        <v>1</v>
      </c>
      <c r="P36" s="42">
        <v>1</v>
      </c>
      <c r="Q36" s="42">
        <v>1</v>
      </c>
      <c r="R36" s="42"/>
      <c r="S36" s="43">
        <v>1</v>
      </c>
      <c r="T36" s="43">
        <v>1</v>
      </c>
      <c r="U36" s="43">
        <v>1</v>
      </c>
      <c r="V36" s="44">
        <v>1</v>
      </c>
      <c r="W36" s="42"/>
      <c r="X36" s="42">
        <v>1</v>
      </c>
      <c r="Y36" s="42"/>
      <c r="Z36" s="42"/>
      <c r="AA36" s="42"/>
      <c r="AB36" s="42"/>
      <c r="AC36" s="42"/>
      <c r="AD36" s="43"/>
      <c r="AE36" s="43"/>
      <c r="AF36" s="43"/>
      <c r="AG36" s="44"/>
      <c r="AH36" s="42"/>
      <c r="AI36" s="42"/>
      <c r="AJ36" s="42"/>
      <c r="AK36" s="42"/>
      <c r="AL36" s="42"/>
      <c r="AM36" s="42"/>
      <c r="AN36" s="42"/>
      <c r="AO36" s="43"/>
      <c r="AP36" s="43">
        <v>1</v>
      </c>
      <c r="AQ36" s="43">
        <v>1</v>
      </c>
      <c r="AR36" s="44"/>
      <c r="AS36" s="44"/>
      <c r="AT36" s="44"/>
      <c r="AU36" s="44"/>
      <c r="AV36" s="44"/>
      <c r="AW36" s="34">
        <v>1</v>
      </c>
      <c r="AX36" s="44">
        <v>1</v>
      </c>
      <c r="AY36" s="44"/>
      <c r="AZ36" s="44"/>
      <c r="BA36" s="34">
        <v>1</v>
      </c>
      <c r="BB36" s="34">
        <v>1</v>
      </c>
      <c r="BC36" s="34"/>
    </row>
    <row r="37" spans="1:55" customFormat="1" ht="21" customHeight="1" x14ac:dyDescent="0.4">
      <c r="A37" s="22"/>
      <c r="B37" s="42" t="s">
        <v>259</v>
      </c>
      <c r="C37" s="42" t="s">
        <v>255</v>
      </c>
      <c r="D37" s="42" t="s">
        <v>286</v>
      </c>
      <c r="E37" s="42" t="s">
        <v>287</v>
      </c>
      <c r="F37" s="42"/>
      <c r="G37" s="42"/>
      <c r="H37" s="43"/>
      <c r="I37" s="43"/>
      <c r="J37" s="43"/>
      <c r="K37" s="44"/>
      <c r="L37" s="42"/>
      <c r="M37" s="42"/>
      <c r="N37" s="42"/>
      <c r="O37" s="42"/>
      <c r="P37" s="42"/>
      <c r="Q37" s="42"/>
      <c r="R37" s="42"/>
      <c r="S37" s="43"/>
      <c r="T37" s="43"/>
      <c r="U37" s="43"/>
      <c r="V37" s="44"/>
      <c r="W37" s="42"/>
      <c r="X37" s="42"/>
      <c r="Y37" s="42"/>
      <c r="Z37" s="42"/>
      <c r="AA37" s="42">
        <v>1</v>
      </c>
      <c r="AB37" s="42"/>
      <c r="AC37" s="42"/>
      <c r="AD37" s="43"/>
      <c r="AE37" s="43"/>
      <c r="AF37" s="43"/>
      <c r="AG37" s="44"/>
      <c r="AH37" s="42"/>
      <c r="AI37" s="42"/>
      <c r="AJ37" s="42">
        <v>1</v>
      </c>
      <c r="AK37" s="42"/>
      <c r="AL37" s="42"/>
      <c r="AM37" s="42"/>
      <c r="AN37" s="42"/>
      <c r="AO37" s="43"/>
      <c r="AP37" s="43"/>
      <c r="AQ37" s="43"/>
      <c r="AR37" s="44"/>
      <c r="AS37" s="44"/>
      <c r="AT37" s="44"/>
      <c r="AU37" s="44"/>
      <c r="AV37" s="44"/>
      <c r="AW37" s="34">
        <v>1</v>
      </c>
      <c r="AX37" s="44">
        <v>1</v>
      </c>
      <c r="AY37" s="44"/>
      <c r="AZ37" s="44"/>
      <c r="BA37" s="34"/>
      <c r="BB37" s="34"/>
      <c r="BC37" s="34"/>
    </row>
    <row r="38" spans="1:55" customFormat="1" ht="21" customHeight="1" x14ac:dyDescent="0.4">
      <c r="A38" s="22"/>
      <c r="B38" s="42" t="s">
        <v>259</v>
      </c>
      <c r="C38" s="42" t="s">
        <v>255</v>
      </c>
      <c r="D38" s="42" t="s">
        <v>288</v>
      </c>
      <c r="E38" s="42"/>
      <c r="F38" s="42"/>
      <c r="G38" s="42"/>
      <c r="H38" s="43"/>
      <c r="I38" s="43"/>
      <c r="J38" s="43"/>
      <c r="K38" s="44"/>
      <c r="L38" s="42"/>
      <c r="M38" s="42">
        <v>1</v>
      </c>
      <c r="N38" s="42">
        <v>1</v>
      </c>
      <c r="O38" s="42">
        <v>1</v>
      </c>
      <c r="P38" s="42"/>
      <c r="Q38" s="42">
        <v>1</v>
      </c>
      <c r="R38" s="42"/>
      <c r="S38" s="43"/>
      <c r="T38" s="43"/>
      <c r="U38" s="43"/>
      <c r="V38" s="44"/>
      <c r="W38" s="42">
        <v>1</v>
      </c>
      <c r="X38" s="42"/>
      <c r="Y38" s="42"/>
      <c r="Z38" s="42">
        <v>1</v>
      </c>
      <c r="AA38" s="42"/>
      <c r="AB38" s="42"/>
      <c r="AC38" s="42"/>
      <c r="AD38" s="43"/>
      <c r="AE38" s="43"/>
      <c r="AF38" s="43"/>
      <c r="AG38" s="44"/>
      <c r="AH38" s="42"/>
      <c r="AI38" s="42"/>
      <c r="AJ38" s="42">
        <v>1</v>
      </c>
      <c r="AK38" s="42"/>
      <c r="AL38" s="42"/>
      <c r="AM38" s="42"/>
      <c r="AN38" s="42"/>
      <c r="AO38" s="43"/>
      <c r="AP38" s="43"/>
      <c r="AQ38" s="43"/>
      <c r="AR38" s="44"/>
      <c r="AS38" s="44"/>
      <c r="AT38" s="44"/>
      <c r="AU38" s="44"/>
      <c r="AV38" s="44"/>
      <c r="AW38" s="34"/>
      <c r="AX38" s="44"/>
      <c r="AY38" s="44"/>
      <c r="AZ38" s="44"/>
      <c r="BA38" s="34"/>
      <c r="BB38" s="34"/>
      <c r="BC38" s="34"/>
    </row>
    <row r="39" spans="1:55" customFormat="1" ht="21" customHeight="1" x14ac:dyDescent="0.4">
      <c r="A39" s="22"/>
      <c r="B39" s="42" t="s">
        <v>259</v>
      </c>
      <c r="C39" s="42" t="s">
        <v>255</v>
      </c>
      <c r="D39" s="42" t="s">
        <v>289</v>
      </c>
      <c r="E39" s="42" t="s">
        <v>290</v>
      </c>
      <c r="F39" s="42"/>
      <c r="G39" s="42"/>
      <c r="H39" s="43"/>
      <c r="I39" s="43"/>
      <c r="J39" s="43"/>
      <c r="K39" s="44"/>
      <c r="L39" s="42"/>
      <c r="M39" s="42"/>
      <c r="N39" s="42"/>
      <c r="O39" s="42"/>
      <c r="P39" s="42"/>
      <c r="Q39" s="42"/>
      <c r="R39" s="42"/>
      <c r="S39" s="43"/>
      <c r="T39" s="43"/>
      <c r="U39" s="43"/>
      <c r="V39" s="44"/>
      <c r="W39" s="42">
        <v>1</v>
      </c>
      <c r="X39" s="42"/>
      <c r="Y39" s="42">
        <v>1</v>
      </c>
      <c r="Z39" s="42"/>
      <c r="AA39" s="42"/>
      <c r="AB39" s="42"/>
      <c r="AC39" s="42"/>
      <c r="AD39" s="43"/>
      <c r="AE39" s="43"/>
      <c r="AF39" s="43"/>
      <c r="AG39" s="44"/>
      <c r="AH39" s="42"/>
      <c r="AI39" s="42"/>
      <c r="AJ39" s="42">
        <v>1</v>
      </c>
      <c r="AK39" s="42"/>
      <c r="AL39" s="42"/>
      <c r="AM39" s="42"/>
      <c r="AN39" s="42"/>
      <c r="AO39" s="43"/>
      <c r="AP39" s="43"/>
      <c r="AQ39" s="43"/>
      <c r="AR39" s="44"/>
      <c r="AS39" s="44"/>
      <c r="AT39" s="44"/>
      <c r="AU39" s="44"/>
      <c r="AV39" s="44"/>
      <c r="AW39" s="34">
        <v>1</v>
      </c>
      <c r="AX39" s="44">
        <v>1</v>
      </c>
      <c r="AY39" s="44"/>
      <c r="AZ39" s="44"/>
      <c r="BA39" s="34"/>
      <c r="BB39" s="34"/>
      <c r="BC39" s="34"/>
    </row>
    <row r="40" spans="1:55" customFormat="1" ht="21" customHeight="1" x14ac:dyDescent="0.4">
      <c r="A40" s="22"/>
      <c r="B40" s="42" t="s">
        <v>259</v>
      </c>
      <c r="C40" s="42" t="s">
        <v>255</v>
      </c>
      <c r="D40" s="42" t="s">
        <v>291</v>
      </c>
      <c r="E40" s="42" t="s">
        <v>292</v>
      </c>
      <c r="F40" s="42"/>
      <c r="G40" s="42"/>
      <c r="H40" s="43"/>
      <c r="I40" s="43"/>
      <c r="J40" s="43"/>
      <c r="K40" s="44"/>
      <c r="L40" s="42"/>
      <c r="M40" s="42"/>
      <c r="N40" s="42">
        <v>1</v>
      </c>
      <c r="O40" s="42"/>
      <c r="P40" s="42"/>
      <c r="Q40" s="42"/>
      <c r="R40" s="42"/>
      <c r="S40" s="43"/>
      <c r="T40" s="43"/>
      <c r="U40" s="43"/>
      <c r="V40" s="44"/>
      <c r="W40" s="42"/>
      <c r="X40" s="42"/>
      <c r="Y40" s="42"/>
      <c r="Z40" s="42"/>
      <c r="AA40" s="42"/>
      <c r="AB40" s="42"/>
      <c r="AC40" s="42"/>
      <c r="AD40" s="43"/>
      <c r="AE40" s="43"/>
      <c r="AF40" s="43"/>
      <c r="AG40" s="44"/>
      <c r="AH40" s="42"/>
      <c r="AI40" s="42"/>
      <c r="AJ40" s="42"/>
      <c r="AK40" s="42"/>
      <c r="AL40" s="42"/>
      <c r="AM40" s="42"/>
      <c r="AN40" s="42"/>
      <c r="AO40" s="43"/>
      <c r="AP40" s="43"/>
      <c r="AQ40" s="43"/>
      <c r="AR40" s="44"/>
      <c r="AS40" s="44"/>
      <c r="AT40" s="44"/>
      <c r="AU40" s="44"/>
      <c r="AV40" s="44"/>
      <c r="AW40" s="34"/>
      <c r="AX40" s="44"/>
      <c r="AY40" s="44"/>
      <c r="AZ40" s="44"/>
      <c r="BA40" s="34"/>
      <c r="BB40" s="34"/>
      <c r="BC40" s="34"/>
    </row>
    <row r="41" spans="1:55" customFormat="1" ht="21" customHeight="1" x14ac:dyDescent="0.4">
      <c r="A41" s="22"/>
      <c r="B41" s="42" t="s">
        <v>259</v>
      </c>
      <c r="C41" s="42" t="s">
        <v>255</v>
      </c>
      <c r="D41" s="42" t="s">
        <v>293</v>
      </c>
      <c r="E41" s="42" t="s">
        <v>294</v>
      </c>
      <c r="F41" s="42"/>
      <c r="G41" s="42"/>
      <c r="H41" s="43"/>
      <c r="I41" s="43"/>
      <c r="J41" s="43"/>
      <c r="K41" s="44"/>
      <c r="L41" s="42"/>
      <c r="M41" s="42">
        <v>1</v>
      </c>
      <c r="N41" s="42"/>
      <c r="O41" s="42"/>
      <c r="P41" s="42"/>
      <c r="Q41" s="42"/>
      <c r="R41" s="42"/>
      <c r="S41" s="43"/>
      <c r="T41" s="43"/>
      <c r="U41" s="43"/>
      <c r="V41" s="44"/>
      <c r="W41" s="42"/>
      <c r="X41" s="42"/>
      <c r="Y41" s="42"/>
      <c r="Z41" s="42"/>
      <c r="AA41" s="42"/>
      <c r="AB41" s="42"/>
      <c r="AC41" s="42"/>
      <c r="AD41" s="43"/>
      <c r="AE41" s="43"/>
      <c r="AF41" s="43"/>
      <c r="AG41" s="44"/>
      <c r="AH41" s="42"/>
      <c r="AI41" s="42"/>
      <c r="AJ41" s="42"/>
      <c r="AK41" s="42"/>
      <c r="AL41" s="42"/>
      <c r="AM41" s="42">
        <v>1</v>
      </c>
      <c r="AN41" s="42"/>
      <c r="AO41" s="43"/>
      <c r="AP41" s="43"/>
      <c r="AQ41" s="43"/>
      <c r="AR41" s="44"/>
      <c r="AS41" s="44"/>
      <c r="AT41" s="44"/>
      <c r="AU41" s="44"/>
      <c r="AV41" s="44"/>
      <c r="AW41" s="34"/>
      <c r="AX41" s="44"/>
      <c r="AY41" s="44"/>
      <c r="AZ41" s="44"/>
      <c r="BA41" s="34"/>
      <c r="BB41" s="34"/>
      <c r="BC41" s="34"/>
    </row>
    <row r="42" spans="1:55" customFormat="1" ht="21" customHeight="1" x14ac:dyDescent="0.4">
      <c r="A42" s="22"/>
      <c r="B42" s="42" t="s">
        <v>259</v>
      </c>
      <c r="C42" s="42" t="s">
        <v>255</v>
      </c>
      <c r="D42" s="42" t="s">
        <v>295</v>
      </c>
      <c r="E42" s="42" t="s">
        <v>296</v>
      </c>
      <c r="F42" s="42"/>
      <c r="G42" s="42"/>
      <c r="H42" s="43"/>
      <c r="I42" s="43">
        <v>1</v>
      </c>
      <c r="J42" s="43">
        <v>1</v>
      </c>
      <c r="K42" s="44">
        <v>1</v>
      </c>
      <c r="L42" s="42"/>
      <c r="M42" s="42"/>
      <c r="N42" s="42">
        <v>1</v>
      </c>
      <c r="O42" s="42"/>
      <c r="P42" s="42"/>
      <c r="Q42" s="42">
        <v>1</v>
      </c>
      <c r="R42" s="42"/>
      <c r="S42" s="43"/>
      <c r="T42" s="43"/>
      <c r="U42" s="43"/>
      <c r="V42" s="44"/>
      <c r="W42" s="42"/>
      <c r="X42" s="42"/>
      <c r="Y42" s="42">
        <v>1</v>
      </c>
      <c r="Z42" s="42"/>
      <c r="AA42" s="42"/>
      <c r="AB42" s="42"/>
      <c r="AC42" s="42"/>
      <c r="AD42" s="43"/>
      <c r="AE42" s="43"/>
      <c r="AF42" s="43"/>
      <c r="AG42" s="44"/>
      <c r="AH42" s="42"/>
      <c r="AI42" s="42"/>
      <c r="AJ42" s="42">
        <v>1</v>
      </c>
      <c r="AK42" s="42"/>
      <c r="AL42" s="42"/>
      <c r="AM42" s="42"/>
      <c r="AN42" s="42"/>
      <c r="AO42" s="43"/>
      <c r="AP42" s="43"/>
      <c r="AQ42" s="43"/>
      <c r="AR42" s="44"/>
      <c r="AS42" s="44"/>
      <c r="AT42" s="44">
        <v>1</v>
      </c>
      <c r="AU42" s="44">
        <v>1</v>
      </c>
      <c r="AV42" s="44">
        <v>1</v>
      </c>
      <c r="AW42" s="34">
        <v>1</v>
      </c>
      <c r="AX42" s="44">
        <v>1</v>
      </c>
      <c r="AY42" s="44"/>
      <c r="AZ42" s="44"/>
      <c r="BA42" s="34">
        <v>1</v>
      </c>
      <c r="BB42" s="34"/>
      <c r="BC42" s="34"/>
    </row>
    <row r="43" spans="1:55" customFormat="1" ht="21" customHeight="1" x14ac:dyDescent="0.4">
      <c r="A43" s="22"/>
      <c r="B43" s="42" t="s">
        <v>259</v>
      </c>
      <c r="C43" s="42" t="s">
        <v>255</v>
      </c>
      <c r="D43" s="42" t="s">
        <v>297</v>
      </c>
      <c r="E43" s="42" t="s">
        <v>298</v>
      </c>
      <c r="F43" s="42"/>
      <c r="G43" s="42"/>
      <c r="H43" s="43"/>
      <c r="I43" s="43"/>
      <c r="J43" s="43"/>
      <c r="K43" s="44"/>
      <c r="L43" s="42"/>
      <c r="M43" s="42"/>
      <c r="N43" s="42"/>
      <c r="O43" s="42"/>
      <c r="P43" s="42"/>
      <c r="Q43" s="42"/>
      <c r="R43" s="42"/>
      <c r="S43" s="43"/>
      <c r="T43" s="43"/>
      <c r="U43" s="43"/>
      <c r="V43" s="44"/>
      <c r="W43" s="42"/>
      <c r="X43" s="42"/>
      <c r="Y43" s="42"/>
      <c r="Z43" s="42"/>
      <c r="AA43" s="42"/>
      <c r="AB43" s="42"/>
      <c r="AC43" s="42"/>
      <c r="AD43" s="43"/>
      <c r="AE43" s="43"/>
      <c r="AF43" s="43"/>
      <c r="AG43" s="44"/>
      <c r="AH43" s="42"/>
      <c r="AI43" s="42"/>
      <c r="AJ43" s="42"/>
      <c r="AK43" s="42"/>
      <c r="AL43" s="42"/>
      <c r="AM43" s="42"/>
      <c r="AN43" s="42"/>
      <c r="AO43" s="43"/>
      <c r="AP43" s="43"/>
      <c r="AQ43" s="43"/>
      <c r="AR43" s="44"/>
      <c r="AS43" s="44"/>
      <c r="AT43" s="44"/>
      <c r="AU43" s="44"/>
      <c r="AV43" s="44"/>
      <c r="AW43" s="34"/>
      <c r="AX43" s="44"/>
      <c r="AY43" s="44"/>
      <c r="AZ43" s="44"/>
      <c r="BA43" s="34"/>
      <c r="BB43" s="34"/>
      <c r="BC43" s="34"/>
    </row>
    <row r="44" spans="1:55" customFormat="1" ht="21" customHeight="1" x14ac:dyDescent="0.4">
      <c r="A44" s="22"/>
      <c r="B44" s="42" t="s">
        <v>259</v>
      </c>
      <c r="C44" s="42" t="s">
        <v>255</v>
      </c>
      <c r="D44" s="42" t="s">
        <v>299</v>
      </c>
      <c r="E44" s="42" t="s">
        <v>300</v>
      </c>
      <c r="F44" s="42"/>
      <c r="G44" s="42"/>
      <c r="H44" s="43"/>
      <c r="I44" s="43"/>
      <c r="J44" s="43"/>
      <c r="K44" s="44"/>
      <c r="L44" s="42"/>
      <c r="M44" s="42"/>
      <c r="N44" s="42"/>
      <c r="O44" s="42"/>
      <c r="P44" s="42"/>
      <c r="Q44" s="42"/>
      <c r="R44" s="42"/>
      <c r="S44" s="43"/>
      <c r="T44" s="43"/>
      <c r="U44" s="43"/>
      <c r="V44" s="44"/>
      <c r="W44" s="42"/>
      <c r="X44" s="42"/>
      <c r="Y44" s="42"/>
      <c r="Z44" s="42"/>
      <c r="AA44" s="42"/>
      <c r="AB44" s="42"/>
      <c r="AC44" s="42"/>
      <c r="AD44" s="43"/>
      <c r="AE44" s="43"/>
      <c r="AF44" s="43"/>
      <c r="AG44" s="44"/>
      <c r="AH44" s="42"/>
      <c r="AI44" s="42"/>
      <c r="AJ44" s="42"/>
      <c r="AK44" s="42"/>
      <c r="AL44" s="42"/>
      <c r="AM44" s="42"/>
      <c r="AN44" s="42"/>
      <c r="AO44" s="43"/>
      <c r="AP44" s="43"/>
      <c r="AQ44" s="43"/>
      <c r="AR44" s="44"/>
      <c r="AS44" s="44"/>
      <c r="AT44" s="44"/>
      <c r="AU44" s="44"/>
      <c r="AV44" s="44"/>
      <c r="AW44" s="34"/>
      <c r="AX44" s="44"/>
      <c r="AY44" s="44">
        <v>1</v>
      </c>
      <c r="AZ44" s="44"/>
      <c r="BA44" s="34">
        <v>1</v>
      </c>
      <c r="BB44" s="34"/>
      <c r="BC44" s="34"/>
    </row>
    <row r="45" spans="1:55" customFormat="1" ht="21" customHeight="1" x14ac:dyDescent="0.4">
      <c r="A45" s="22"/>
      <c r="B45" s="42" t="s">
        <v>259</v>
      </c>
      <c r="C45" s="42" t="s">
        <v>255</v>
      </c>
      <c r="D45" s="42" t="s">
        <v>301</v>
      </c>
      <c r="E45" s="42" t="s">
        <v>302</v>
      </c>
      <c r="F45" s="42"/>
      <c r="G45" s="42"/>
      <c r="H45" s="43"/>
      <c r="I45" s="43"/>
      <c r="J45" s="43"/>
      <c r="K45" s="44"/>
      <c r="L45" s="42"/>
      <c r="M45" s="42"/>
      <c r="N45" s="42"/>
      <c r="O45" s="42"/>
      <c r="P45" s="42"/>
      <c r="Q45" s="42"/>
      <c r="R45" s="42"/>
      <c r="S45" s="43"/>
      <c r="T45" s="43"/>
      <c r="U45" s="43"/>
      <c r="V45" s="44"/>
      <c r="W45" s="42"/>
      <c r="X45" s="42"/>
      <c r="Y45" s="42"/>
      <c r="Z45" s="42">
        <v>1</v>
      </c>
      <c r="AA45" s="42"/>
      <c r="AB45" s="42"/>
      <c r="AC45" s="42"/>
      <c r="AD45" s="43"/>
      <c r="AE45" s="43"/>
      <c r="AF45" s="43"/>
      <c r="AG45" s="44"/>
      <c r="AH45" s="42"/>
      <c r="AI45" s="42"/>
      <c r="AJ45" s="42"/>
      <c r="AK45" s="42"/>
      <c r="AL45" s="42"/>
      <c r="AM45" s="42"/>
      <c r="AN45" s="42"/>
      <c r="AO45" s="43"/>
      <c r="AP45" s="43"/>
      <c r="AQ45" s="43"/>
      <c r="AR45" s="44"/>
      <c r="AS45" s="44"/>
      <c r="AT45" s="44"/>
      <c r="AU45" s="44"/>
      <c r="AV45" s="44"/>
      <c r="AW45" s="34"/>
      <c r="AX45" s="44"/>
      <c r="AY45" s="44"/>
      <c r="AZ45" s="44"/>
      <c r="BA45" s="34"/>
      <c r="BB45" s="34">
        <v>1</v>
      </c>
      <c r="BC45" s="34"/>
    </row>
    <row r="46" spans="1:55" customFormat="1" ht="21" customHeight="1" x14ac:dyDescent="0.4">
      <c r="A46" s="22"/>
      <c r="B46" s="42" t="s">
        <v>259</v>
      </c>
      <c r="C46" s="42" t="s">
        <v>255</v>
      </c>
      <c r="D46" s="42" t="s">
        <v>303</v>
      </c>
      <c r="E46" s="42" t="s">
        <v>304</v>
      </c>
      <c r="F46" s="42"/>
      <c r="G46" s="42"/>
      <c r="H46" s="43"/>
      <c r="I46" s="43"/>
      <c r="J46" s="43"/>
      <c r="K46" s="44"/>
      <c r="L46" s="42"/>
      <c r="M46" s="42"/>
      <c r="N46" s="42">
        <v>1</v>
      </c>
      <c r="O46" s="42"/>
      <c r="P46" s="42"/>
      <c r="Q46" s="42"/>
      <c r="R46" s="42"/>
      <c r="S46" s="43"/>
      <c r="T46" s="43"/>
      <c r="U46" s="43"/>
      <c r="V46" s="44"/>
      <c r="W46" s="42"/>
      <c r="X46" s="42"/>
      <c r="Y46" s="42"/>
      <c r="Z46" s="42"/>
      <c r="AA46" s="42"/>
      <c r="AB46" s="42"/>
      <c r="AC46" s="42"/>
      <c r="AD46" s="43"/>
      <c r="AE46" s="43"/>
      <c r="AF46" s="43"/>
      <c r="AG46" s="44"/>
      <c r="AH46" s="42"/>
      <c r="AI46" s="42"/>
      <c r="AJ46" s="42"/>
      <c r="AK46" s="42"/>
      <c r="AL46" s="42"/>
      <c r="AM46" s="42"/>
      <c r="AN46" s="42"/>
      <c r="AO46" s="43"/>
      <c r="AP46" s="43"/>
      <c r="AQ46" s="43"/>
      <c r="AR46" s="44"/>
      <c r="AS46" s="44"/>
      <c r="AT46" s="44"/>
      <c r="AU46" s="44">
        <v>1</v>
      </c>
      <c r="AV46" s="44">
        <v>1</v>
      </c>
      <c r="AW46" s="34"/>
      <c r="AX46" s="44"/>
      <c r="AY46" s="44"/>
      <c r="AZ46" s="44"/>
      <c r="BA46" s="34"/>
      <c r="BB46" s="34"/>
      <c r="BC46" s="34"/>
    </row>
    <row r="47" spans="1:55" customFormat="1" ht="21" customHeight="1" x14ac:dyDescent="0.4">
      <c r="A47" s="22"/>
      <c r="B47" s="42" t="s">
        <v>259</v>
      </c>
      <c r="C47" s="42" t="s">
        <v>255</v>
      </c>
      <c r="D47" s="42" t="s">
        <v>305</v>
      </c>
      <c r="E47" s="42" t="s">
        <v>306</v>
      </c>
      <c r="F47" s="42"/>
      <c r="G47" s="42"/>
      <c r="H47" s="43"/>
      <c r="I47" s="43"/>
      <c r="J47" s="43"/>
      <c r="K47" s="44"/>
      <c r="L47" s="42"/>
      <c r="M47" s="42"/>
      <c r="N47" s="42"/>
      <c r="O47" s="42"/>
      <c r="P47" s="42"/>
      <c r="Q47" s="42"/>
      <c r="R47" s="42"/>
      <c r="S47" s="43"/>
      <c r="T47" s="43"/>
      <c r="U47" s="43"/>
      <c r="V47" s="44"/>
      <c r="W47" s="42"/>
      <c r="X47" s="42"/>
      <c r="Y47" s="42"/>
      <c r="Z47" s="42">
        <v>1</v>
      </c>
      <c r="AA47" s="42"/>
      <c r="AB47" s="42"/>
      <c r="AC47" s="42"/>
      <c r="AD47" s="43"/>
      <c r="AE47" s="43"/>
      <c r="AF47" s="43"/>
      <c r="AG47" s="44"/>
      <c r="AH47" s="42"/>
      <c r="AI47" s="42"/>
      <c r="AJ47" s="42">
        <v>1</v>
      </c>
      <c r="AK47" s="42"/>
      <c r="AL47" s="42"/>
      <c r="AM47" s="42"/>
      <c r="AN47" s="42"/>
      <c r="AO47" s="43"/>
      <c r="AP47" s="43"/>
      <c r="AQ47" s="43"/>
      <c r="AR47" s="44"/>
      <c r="AS47" s="44"/>
      <c r="AT47" s="44"/>
      <c r="AU47" s="44"/>
      <c r="AV47" s="44"/>
      <c r="AW47" s="34"/>
      <c r="AX47" s="44"/>
      <c r="AY47" s="44">
        <v>1</v>
      </c>
      <c r="AZ47" s="44"/>
      <c r="BA47" s="34"/>
      <c r="BB47" s="34"/>
      <c r="BC47" s="34"/>
    </row>
    <row r="48" spans="1:55" customFormat="1" ht="21" customHeight="1" x14ac:dyDescent="0.4">
      <c r="A48" s="22"/>
      <c r="B48" s="42" t="s">
        <v>259</v>
      </c>
      <c r="C48" s="42" t="s">
        <v>255</v>
      </c>
      <c r="D48" s="42" t="s">
        <v>307</v>
      </c>
      <c r="E48" s="42" t="s">
        <v>308</v>
      </c>
      <c r="F48" s="42"/>
      <c r="G48" s="42"/>
      <c r="H48" s="43"/>
      <c r="I48" s="43"/>
      <c r="J48" s="43"/>
      <c r="K48" s="44"/>
      <c r="L48" s="42">
        <v>1</v>
      </c>
      <c r="M48" s="42"/>
      <c r="N48" s="42">
        <v>1</v>
      </c>
      <c r="O48" s="42"/>
      <c r="P48" s="42"/>
      <c r="Q48" s="42"/>
      <c r="R48" s="42"/>
      <c r="S48" s="43"/>
      <c r="T48" s="43">
        <v>1</v>
      </c>
      <c r="U48" s="43">
        <v>1</v>
      </c>
      <c r="V48" s="44">
        <v>1</v>
      </c>
      <c r="W48" s="42">
        <v>1</v>
      </c>
      <c r="X48" s="42">
        <v>1</v>
      </c>
      <c r="Y48" s="42"/>
      <c r="Z48" s="42"/>
      <c r="AA48" s="42">
        <v>1</v>
      </c>
      <c r="AB48" s="42">
        <v>1</v>
      </c>
      <c r="AC48" s="42"/>
      <c r="AD48" s="43"/>
      <c r="AE48" s="43">
        <v>1</v>
      </c>
      <c r="AF48" s="43">
        <v>1</v>
      </c>
      <c r="AG48" s="44"/>
      <c r="AH48" s="42">
        <v>1</v>
      </c>
      <c r="AI48" s="42">
        <v>1</v>
      </c>
      <c r="AJ48" s="42">
        <v>1</v>
      </c>
      <c r="AK48" s="42">
        <v>1</v>
      </c>
      <c r="AL48" s="42"/>
      <c r="AM48" s="42"/>
      <c r="AN48" s="42"/>
      <c r="AO48" s="43"/>
      <c r="AP48" s="43"/>
      <c r="AQ48" s="43"/>
      <c r="AR48" s="44"/>
      <c r="AS48" s="44"/>
      <c r="AT48" s="44"/>
      <c r="AU48" s="44"/>
      <c r="AV48" s="44"/>
      <c r="AW48" s="34"/>
      <c r="AX48" s="44"/>
      <c r="AY48" s="44">
        <v>1</v>
      </c>
      <c r="AZ48" s="44"/>
      <c r="BA48" s="34"/>
      <c r="BB48" s="34"/>
      <c r="BC48" s="34"/>
    </row>
    <row r="49" spans="1:55" customFormat="1" ht="21" customHeight="1" x14ac:dyDescent="0.4">
      <c r="A49" s="22"/>
      <c r="B49" s="42" t="s">
        <v>259</v>
      </c>
      <c r="C49" s="42" t="s">
        <v>255</v>
      </c>
      <c r="D49" s="42" t="s">
        <v>309</v>
      </c>
      <c r="E49" s="42" t="s">
        <v>310</v>
      </c>
      <c r="F49" s="42"/>
      <c r="G49" s="42"/>
      <c r="H49" s="43"/>
      <c r="I49" s="43"/>
      <c r="J49" s="43"/>
      <c r="K49" s="44"/>
      <c r="L49" s="42"/>
      <c r="M49" s="42"/>
      <c r="N49" s="42"/>
      <c r="O49" s="42"/>
      <c r="P49" s="42"/>
      <c r="Q49" s="42"/>
      <c r="R49" s="42"/>
      <c r="S49" s="43">
        <v>1</v>
      </c>
      <c r="T49" s="43"/>
      <c r="U49" s="43">
        <v>1</v>
      </c>
      <c r="V49" s="44"/>
      <c r="W49" s="42"/>
      <c r="X49" s="42"/>
      <c r="Y49" s="42">
        <v>1</v>
      </c>
      <c r="Z49" s="42">
        <v>1</v>
      </c>
      <c r="AA49" s="42"/>
      <c r="AB49" s="42">
        <v>1</v>
      </c>
      <c r="AC49" s="42"/>
      <c r="AD49" s="43"/>
      <c r="AE49" s="43"/>
      <c r="AF49" s="43"/>
      <c r="AG49" s="44"/>
      <c r="AH49" s="42"/>
      <c r="AI49" s="42"/>
      <c r="AJ49" s="42"/>
      <c r="AK49" s="42"/>
      <c r="AL49" s="42"/>
      <c r="AM49" s="42"/>
      <c r="AN49" s="42"/>
      <c r="AO49" s="43"/>
      <c r="AP49" s="43"/>
      <c r="AQ49" s="43"/>
      <c r="AR49" s="44"/>
      <c r="AS49" s="44"/>
      <c r="AT49" s="44"/>
      <c r="AU49" s="44"/>
      <c r="AV49" s="44"/>
      <c r="AW49" s="34"/>
      <c r="AX49" s="44"/>
      <c r="AY49" s="44"/>
      <c r="AZ49" s="44"/>
      <c r="BA49" s="34"/>
      <c r="BB49" s="34"/>
      <c r="BC49" s="34"/>
    </row>
    <row r="50" spans="1:55" customFormat="1" ht="21" customHeight="1" x14ac:dyDescent="0.4">
      <c r="A50" s="22"/>
      <c r="B50" s="42" t="s">
        <v>259</v>
      </c>
      <c r="C50" s="42" t="s">
        <v>255</v>
      </c>
      <c r="D50" s="42" t="s">
        <v>311</v>
      </c>
      <c r="E50" s="42" t="s">
        <v>290</v>
      </c>
      <c r="F50" s="42"/>
      <c r="G50" s="42"/>
      <c r="H50" s="43"/>
      <c r="I50" s="43"/>
      <c r="J50" s="43"/>
      <c r="K50" s="44"/>
      <c r="L50" s="42"/>
      <c r="M50" s="42"/>
      <c r="N50" s="42">
        <v>1</v>
      </c>
      <c r="O50" s="42"/>
      <c r="P50" s="42"/>
      <c r="Q50" s="42">
        <v>1</v>
      </c>
      <c r="R50" s="42"/>
      <c r="S50" s="43"/>
      <c r="T50" s="43"/>
      <c r="U50" s="43"/>
      <c r="V50" s="44"/>
      <c r="W50" s="42"/>
      <c r="X50" s="42"/>
      <c r="Y50" s="42"/>
      <c r="Z50" s="42">
        <v>1</v>
      </c>
      <c r="AA50" s="42"/>
      <c r="AB50" s="42"/>
      <c r="AC50" s="42"/>
      <c r="AD50" s="43"/>
      <c r="AE50" s="43"/>
      <c r="AF50" s="43"/>
      <c r="AG50" s="44"/>
      <c r="AH50" s="42"/>
      <c r="AI50" s="42"/>
      <c r="AJ50" s="42">
        <v>1</v>
      </c>
      <c r="AK50" s="42"/>
      <c r="AL50" s="42"/>
      <c r="AM50" s="42"/>
      <c r="AN50" s="42"/>
      <c r="AO50" s="43"/>
      <c r="AP50" s="43"/>
      <c r="AQ50" s="43"/>
      <c r="AR50" s="44"/>
      <c r="AS50" s="44"/>
      <c r="AT50" s="44"/>
      <c r="AU50" s="44"/>
      <c r="AV50" s="44"/>
      <c r="AW50" s="34"/>
      <c r="AX50" s="44"/>
      <c r="AY50" s="44">
        <v>1</v>
      </c>
      <c r="AZ50" s="44"/>
      <c r="BA50" s="34"/>
      <c r="BB50" s="34"/>
      <c r="BC50" s="34"/>
    </row>
    <row r="51" spans="1:55" customFormat="1" ht="21" customHeight="1" x14ac:dyDescent="0.4">
      <c r="A51" s="22"/>
      <c r="B51" s="42" t="s">
        <v>259</v>
      </c>
      <c r="C51" s="42" t="s">
        <v>255</v>
      </c>
      <c r="D51" s="42" t="s">
        <v>312</v>
      </c>
      <c r="E51" s="42" t="s">
        <v>292</v>
      </c>
      <c r="F51" s="42"/>
      <c r="G51" s="42"/>
      <c r="H51" s="43"/>
      <c r="I51" s="43"/>
      <c r="J51" s="43"/>
      <c r="K51" s="44"/>
      <c r="L51" s="42"/>
      <c r="M51" s="42"/>
      <c r="N51" s="42"/>
      <c r="O51" s="42"/>
      <c r="P51" s="42"/>
      <c r="Q51" s="42">
        <v>1</v>
      </c>
      <c r="R51" s="42"/>
      <c r="S51" s="43"/>
      <c r="T51" s="43"/>
      <c r="U51" s="43"/>
      <c r="V51" s="44"/>
      <c r="W51" s="42"/>
      <c r="X51" s="42"/>
      <c r="Y51" s="42">
        <v>1</v>
      </c>
      <c r="Z51" s="42">
        <v>1</v>
      </c>
      <c r="AA51" s="42"/>
      <c r="AB51" s="42"/>
      <c r="AC51" s="42"/>
      <c r="AD51" s="43"/>
      <c r="AE51" s="43"/>
      <c r="AF51" s="43"/>
      <c r="AG51" s="44"/>
      <c r="AH51" s="42"/>
      <c r="AI51" s="42"/>
      <c r="AJ51" s="42"/>
      <c r="AK51" s="42"/>
      <c r="AL51" s="42">
        <v>1</v>
      </c>
      <c r="AM51" s="42">
        <v>1</v>
      </c>
      <c r="AN51" s="42"/>
      <c r="AO51" s="43"/>
      <c r="AP51" s="43"/>
      <c r="AQ51" s="43"/>
      <c r="AR51" s="44"/>
      <c r="AS51" s="44"/>
      <c r="AT51" s="44"/>
      <c r="AU51" s="44"/>
      <c r="AV51" s="44"/>
      <c r="AW51" s="34"/>
      <c r="AX51" s="44"/>
      <c r="AY51" s="44"/>
      <c r="AZ51" s="44"/>
      <c r="BA51" s="34"/>
      <c r="BB51" s="34"/>
      <c r="BC51" s="34"/>
    </row>
    <row r="52" spans="1:55" customFormat="1" ht="21" customHeight="1" x14ac:dyDescent="0.4">
      <c r="A52" s="22"/>
      <c r="B52" s="42" t="s">
        <v>259</v>
      </c>
      <c r="C52" s="42" t="s">
        <v>255</v>
      </c>
      <c r="D52" s="42" t="s">
        <v>313</v>
      </c>
      <c r="E52" s="42" t="s">
        <v>314</v>
      </c>
      <c r="F52" s="42"/>
      <c r="G52" s="42"/>
      <c r="H52" s="43"/>
      <c r="I52" s="43"/>
      <c r="J52" s="43"/>
      <c r="K52" s="44"/>
      <c r="L52" s="42"/>
      <c r="M52" s="42"/>
      <c r="N52" s="42"/>
      <c r="O52" s="42">
        <v>1</v>
      </c>
      <c r="P52" s="42">
        <v>1</v>
      </c>
      <c r="Q52" s="42"/>
      <c r="R52" s="42"/>
      <c r="S52" s="43"/>
      <c r="T52" s="43"/>
      <c r="U52" s="43"/>
      <c r="V52" s="44"/>
      <c r="W52" s="42"/>
      <c r="X52" s="42"/>
      <c r="Y52" s="42">
        <v>1</v>
      </c>
      <c r="Z52" s="42"/>
      <c r="AA52" s="42"/>
      <c r="AB52" s="42"/>
      <c r="AC52" s="42"/>
      <c r="AD52" s="43"/>
      <c r="AE52" s="43"/>
      <c r="AF52" s="43"/>
      <c r="AG52" s="44"/>
      <c r="AH52" s="42"/>
      <c r="AI52" s="42"/>
      <c r="AJ52" s="42">
        <v>1</v>
      </c>
      <c r="AK52" s="42"/>
      <c r="AL52" s="42"/>
      <c r="AM52" s="42"/>
      <c r="AN52" s="42"/>
      <c r="AO52" s="43"/>
      <c r="AP52" s="43"/>
      <c r="AQ52" s="43"/>
      <c r="AR52" s="44"/>
      <c r="AS52" s="44"/>
      <c r="AT52" s="44"/>
      <c r="AU52" s="44"/>
      <c r="AV52" s="44"/>
      <c r="AW52" s="34"/>
      <c r="AX52" s="44"/>
      <c r="AY52" s="44">
        <v>1</v>
      </c>
      <c r="AZ52" s="44"/>
      <c r="BA52" s="34">
        <v>1</v>
      </c>
      <c r="BB52" s="34"/>
      <c r="BC52" s="34"/>
    </row>
    <row r="53" spans="1:55" customFormat="1" ht="21" customHeight="1" x14ac:dyDescent="0.4">
      <c r="A53" s="22"/>
      <c r="B53" s="42" t="s">
        <v>259</v>
      </c>
      <c r="C53" s="42" t="s">
        <v>255</v>
      </c>
      <c r="D53" s="42" t="s">
        <v>315</v>
      </c>
      <c r="E53" s="42" t="s">
        <v>316</v>
      </c>
      <c r="F53" s="42"/>
      <c r="G53" s="42"/>
      <c r="H53" s="43"/>
      <c r="I53" s="43"/>
      <c r="J53" s="43"/>
      <c r="K53" s="44"/>
      <c r="L53" s="42"/>
      <c r="M53" s="42"/>
      <c r="N53" s="42">
        <v>1</v>
      </c>
      <c r="O53" s="42"/>
      <c r="P53" s="42"/>
      <c r="Q53" s="42"/>
      <c r="R53" s="42"/>
      <c r="S53" s="43"/>
      <c r="T53" s="43"/>
      <c r="U53" s="43"/>
      <c r="V53" s="44"/>
      <c r="W53" s="42"/>
      <c r="X53" s="42"/>
      <c r="Y53" s="42"/>
      <c r="Z53" s="42"/>
      <c r="AA53" s="42"/>
      <c r="AB53" s="42"/>
      <c r="AC53" s="42"/>
      <c r="AD53" s="43"/>
      <c r="AE53" s="43"/>
      <c r="AF53" s="43"/>
      <c r="AG53" s="44"/>
      <c r="AH53" s="42"/>
      <c r="AI53" s="42"/>
      <c r="AJ53" s="42">
        <v>1</v>
      </c>
      <c r="AK53" s="42"/>
      <c r="AL53" s="42"/>
      <c r="AM53" s="42"/>
      <c r="AN53" s="42"/>
      <c r="AO53" s="43"/>
      <c r="AP53" s="43"/>
      <c r="AQ53" s="43"/>
      <c r="AR53" s="44"/>
      <c r="AS53" s="44"/>
      <c r="AT53" s="44"/>
      <c r="AU53" s="44"/>
      <c r="AV53" s="44"/>
      <c r="AW53" s="34"/>
      <c r="AX53" s="44"/>
      <c r="AY53" s="44"/>
      <c r="AZ53" s="44"/>
      <c r="BA53" s="34"/>
      <c r="BB53" s="34"/>
      <c r="BC53" s="34"/>
    </row>
    <row r="54" spans="1:55" customFormat="1" ht="21" customHeight="1" x14ac:dyDescent="0.4">
      <c r="A54" s="22"/>
      <c r="B54" s="42" t="s">
        <v>259</v>
      </c>
      <c r="C54" s="42" t="s">
        <v>255</v>
      </c>
      <c r="D54" s="42" t="s">
        <v>317</v>
      </c>
      <c r="E54" s="42" t="s">
        <v>318</v>
      </c>
      <c r="F54" s="42"/>
      <c r="G54" s="42"/>
      <c r="H54" s="43"/>
      <c r="I54" s="43"/>
      <c r="J54" s="43"/>
      <c r="K54" s="44"/>
      <c r="L54" s="42"/>
      <c r="M54" s="42"/>
      <c r="N54" s="42"/>
      <c r="O54" s="42"/>
      <c r="P54" s="42"/>
      <c r="Q54" s="42"/>
      <c r="R54" s="42"/>
      <c r="S54" s="43"/>
      <c r="T54" s="43"/>
      <c r="U54" s="43"/>
      <c r="V54" s="44"/>
      <c r="W54" s="42"/>
      <c r="X54" s="42"/>
      <c r="Y54" s="42">
        <v>1</v>
      </c>
      <c r="Z54" s="42">
        <v>1</v>
      </c>
      <c r="AA54" s="42"/>
      <c r="AB54" s="42"/>
      <c r="AC54" s="42"/>
      <c r="AD54" s="43"/>
      <c r="AE54" s="43"/>
      <c r="AF54" s="43"/>
      <c r="AG54" s="44"/>
      <c r="AH54" s="42"/>
      <c r="AI54" s="42"/>
      <c r="AJ54" s="42">
        <v>1</v>
      </c>
      <c r="AK54" s="42"/>
      <c r="AL54" s="42"/>
      <c r="AM54" s="42"/>
      <c r="AN54" s="42"/>
      <c r="AO54" s="43"/>
      <c r="AP54" s="43"/>
      <c r="AQ54" s="43"/>
      <c r="AR54" s="44"/>
      <c r="AS54" s="44"/>
      <c r="AT54" s="44"/>
      <c r="AU54" s="44"/>
      <c r="AV54" s="44"/>
      <c r="AW54" s="34"/>
      <c r="AX54" s="44"/>
      <c r="AY54" s="44">
        <v>1</v>
      </c>
      <c r="AZ54" s="44"/>
      <c r="BA54" s="34"/>
      <c r="BB54" s="34"/>
      <c r="BC54" s="34"/>
    </row>
    <row r="55" spans="1:55" customFormat="1" ht="21" customHeight="1" x14ac:dyDescent="0.4">
      <c r="A55" s="22"/>
      <c r="B55" s="42" t="s">
        <v>259</v>
      </c>
      <c r="C55" s="42" t="s">
        <v>255</v>
      </c>
      <c r="D55" s="42" t="s">
        <v>319</v>
      </c>
      <c r="E55" s="42" t="s">
        <v>320</v>
      </c>
      <c r="F55" s="42"/>
      <c r="G55" s="42"/>
      <c r="H55" s="43"/>
      <c r="I55" s="43"/>
      <c r="J55" s="43"/>
      <c r="K55" s="44"/>
      <c r="L55" s="42"/>
      <c r="M55" s="42"/>
      <c r="N55" s="42"/>
      <c r="O55" s="42"/>
      <c r="P55" s="42"/>
      <c r="Q55" s="42">
        <v>1</v>
      </c>
      <c r="R55" s="42"/>
      <c r="S55" s="43"/>
      <c r="T55" s="43"/>
      <c r="U55" s="43"/>
      <c r="V55" s="44"/>
      <c r="W55" s="42"/>
      <c r="X55" s="42"/>
      <c r="Y55" s="42"/>
      <c r="Z55" s="42">
        <v>1</v>
      </c>
      <c r="AA55" s="42"/>
      <c r="AB55" s="42"/>
      <c r="AC55" s="42"/>
      <c r="AD55" s="43"/>
      <c r="AE55" s="43"/>
      <c r="AF55" s="43"/>
      <c r="AG55" s="44"/>
      <c r="AH55" s="42"/>
      <c r="AI55" s="42"/>
      <c r="AJ55" s="42">
        <v>1</v>
      </c>
      <c r="AK55" s="42"/>
      <c r="AL55" s="42">
        <v>1</v>
      </c>
      <c r="AM55" s="42">
        <v>1</v>
      </c>
      <c r="AN55" s="42"/>
      <c r="AO55" s="43"/>
      <c r="AP55" s="43"/>
      <c r="AQ55" s="43"/>
      <c r="AR55" s="44"/>
      <c r="AS55" s="44"/>
      <c r="AT55" s="44"/>
      <c r="AU55" s="44"/>
      <c r="AV55" s="44"/>
      <c r="AW55" s="34"/>
      <c r="AX55" s="44"/>
      <c r="AY55" s="44"/>
      <c r="AZ55" s="44"/>
      <c r="BA55" s="34"/>
      <c r="BB55" s="34"/>
      <c r="BC55" s="34"/>
    </row>
    <row r="56" spans="1:55" customFormat="1" ht="21" customHeight="1" x14ac:dyDescent="0.4">
      <c r="A56" s="22"/>
      <c r="B56" s="42" t="s">
        <v>259</v>
      </c>
      <c r="C56" s="42" t="s">
        <v>255</v>
      </c>
      <c r="D56" s="42" t="s">
        <v>321</v>
      </c>
      <c r="E56" s="42"/>
      <c r="F56" s="42"/>
      <c r="G56" s="42"/>
      <c r="H56" s="43"/>
      <c r="I56" s="43"/>
      <c r="J56" s="43"/>
      <c r="K56" s="44"/>
      <c r="L56" s="42"/>
      <c r="M56" s="42"/>
      <c r="N56" s="42">
        <v>1</v>
      </c>
      <c r="O56" s="42"/>
      <c r="P56" s="42"/>
      <c r="Q56" s="42"/>
      <c r="R56" s="42"/>
      <c r="S56" s="43"/>
      <c r="T56" s="43"/>
      <c r="U56" s="43"/>
      <c r="V56" s="44"/>
      <c r="W56" s="42"/>
      <c r="X56" s="42"/>
      <c r="Y56" s="42"/>
      <c r="Z56" s="42"/>
      <c r="AA56" s="42"/>
      <c r="AB56" s="42"/>
      <c r="AC56" s="42"/>
      <c r="AD56" s="43"/>
      <c r="AE56" s="43"/>
      <c r="AF56" s="43"/>
      <c r="AG56" s="44"/>
      <c r="AH56" s="42"/>
      <c r="AI56" s="42"/>
      <c r="AJ56" s="42">
        <v>1</v>
      </c>
      <c r="AK56" s="42"/>
      <c r="AL56" s="42"/>
      <c r="AM56" s="42"/>
      <c r="AN56" s="42"/>
      <c r="AO56" s="43"/>
      <c r="AP56" s="43"/>
      <c r="AQ56" s="43"/>
      <c r="AR56" s="44"/>
      <c r="AS56" s="44"/>
      <c r="AT56" s="44"/>
      <c r="AU56" s="44">
        <v>1</v>
      </c>
      <c r="AV56" s="44">
        <v>1</v>
      </c>
      <c r="AW56" s="34"/>
      <c r="AX56" s="44"/>
      <c r="AY56" s="44"/>
      <c r="AZ56" s="44"/>
      <c r="BA56" s="34"/>
      <c r="BB56" s="34"/>
      <c r="BC56" s="34"/>
    </row>
    <row r="57" spans="1:55" customFormat="1" ht="21" customHeight="1" x14ac:dyDescent="0.4">
      <c r="A57" s="22"/>
      <c r="B57" s="42" t="s">
        <v>259</v>
      </c>
      <c r="C57" s="42" t="s">
        <v>255</v>
      </c>
      <c r="D57" s="42" t="s">
        <v>322</v>
      </c>
      <c r="E57" s="42" t="s">
        <v>323</v>
      </c>
      <c r="F57" s="42"/>
      <c r="G57" s="42"/>
      <c r="H57" s="43"/>
      <c r="I57" s="43"/>
      <c r="J57" s="43"/>
      <c r="K57" s="44"/>
      <c r="L57" s="42"/>
      <c r="M57" s="42"/>
      <c r="N57" s="42">
        <v>1</v>
      </c>
      <c r="O57" s="42"/>
      <c r="P57" s="42"/>
      <c r="Q57" s="42"/>
      <c r="R57" s="42"/>
      <c r="S57" s="43"/>
      <c r="T57" s="43"/>
      <c r="U57" s="43"/>
      <c r="V57" s="44"/>
      <c r="W57" s="42"/>
      <c r="X57" s="42"/>
      <c r="Y57" s="42">
        <v>1</v>
      </c>
      <c r="Z57" s="42">
        <v>1</v>
      </c>
      <c r="AA57" s="42"/>
      <c r="AB57" s="42"/>
      <c r="AC57" s="42"/>
      <c r="AD57" s="43"/>
      <c r="AE57" s="43"/>
      <c r="AF57" s="43"/>
      <c r="AG57" s="44"/>
      <c r="AH57" s="42"/>
      <c r="AI57" s="42"/>
      <c r="AJ57" s="42">
        <v>1</v>
      </c>
      <c r="AK57" s="42"/>
      <c r="AL57" s="42"/>
      <c r="AM57" s="42"/>
      <c r="AN57" s="42"/>
      <c r="AO57" s="43"/>
      <c r="AP57" s="43"/>
      <c r="AQ57" s="43"/>
      <c r="AR57" s="44"/>
      <c r="AS57" s="44"/>
      <c r="AT57" s="44"/>
      <c r="AU57" s="44"/>
      <c r="AV57" s="44"/>
      <c r="AW57" s="34"/>
      <c r="AX57" s="44"/>
      <c r="AY57" s="44"/>
      <c r="AZ57" s="44"/>
      <c r="BA57" s="34"/>
      <c r="BB57" s="34"/>
      <c r="BC57" s="34"/>
    </row>
    <row r="58" spans="1:55" customFormat="1" ht="21" customHeight="1" x14ac:dyDescent="0.4">
      <c r="A58" s="22"/>
      <c r="B58" s="42" t="s">
        <v>259</v>
      </c>
      <c r="C58" s="42" t="s">
        <v>255</v>
      </c>
      <c r="D58" s="42" t="s">
        <v>324</v>
      </c>
      <c r="E58" s="42" t="s">
        <v>304</v>
      </c>
      <c r="F58" s="42"/>
      <c r="G58" s="42"/>
      <c r="H58" s="43"/>
      <c r="I58" s="43"/>
      <c r="J58" s="43"/>
      <c r="K58" s="44"/>
      <c r="L58" s="42"/>
      <c r="M58" s="42"/>
      <c r="N58" s="42">
        <v>1</v>
      </c>
      <c r="O58" s="42"/>
      <c r="P58" s="42"/>
      <c r="Q58" s="42"/>
      <c r="R58" s="42"/>
      <c r="S58" s="43"/>
      <c r="T58" s="43"/>
      <c r="U58" s="43"/>
      <c r="V58" s="44"/>
      <c r="W58" s="42"/>
      <c r="X58" s="42"/>
      <c r="Y58" s="42">
        <v>1</v>
      </c>
      <c r="Z58" s="42"/>
      <c r="AA58" s="42"/>
      <c r="AB58" s="42"/>
      <c r="AC58" s="42"/>
      <c r="AD58" s="43"/>
      <c r="AE58" s="43"/>
      <c r="AF58" s="43"/>
      <c r="AG58" s="44"/>
      <c r="AH58" s="42"/>
      <c r="AI58" s="42"/>
      <c r="AJ58" s="42">
        <v>1</v>
      </c>
      <c r="AK58" s="42"/>
      <c r="AL58" s="42"/>
      <c r="AM58" s="42"/>
      <c r="AN58" s="42"/>
      <c r="AO58" s="43"/>
      <c r="AP58" s="43"/>
      <c r="AQ58" s="43"/>
      <c r="AR58" s="44"/>
      <c r="AS58" s="44"/>
      <c r="AT58" s="44"/>
      <c r="AU58" s="44">
        <v>1</v>
      </c>
      <c r="AV58" s="44">
        <v>1</v>
      </c>
      <c r="AW58" s="34"/>
      <c r="AX58" s="44"/>
      <c r="AY58" s="44"/>
      <c r="AZ58" s="44"/>
      <c r="BA58" s="34"/>
      <c r="BB58" s="34"/>
      <c r="BC58" s="34"/>
    </row>
    <row r="59" spans="1:55" customFormat="1" ht="21" customHeight="1" x14ac:dyDescent="0.4">
      <c r="A59" s="22"/>
      <c r="B59" s="42" t="s">
        <v>259</v>
      </c>
      <c r="C59" s="42" t="s">
        <v>255</v>
      </c>
      <c r="D59" s="42" t="s">
        <v>325</v>
      </c>
      <c r="E59" s="42" t="s">
        <v>326</v>
      </c>
      <c r="F59" s="42"/>
      <c r="G59" s="42"/>
      <c r="H59" s="43"/>
      <c r="I59" s="43"/>
      <c r="J59" s="43"/>
      <c r="K59" s="44"/>
      <c r="L59" s="42">
        <v>1</v>
      </c>
      <c r="M59" s="42"/>
      <c r="N59" s="42">
        <v>1</v>
      </c>
      <c r="O59" s="42"/>
      <c r="P59" s="42"/>
      <c r="Q59" s="42"/>
      <c r="R59" s="42"/>
      <c r="S59" s="43"/>
      <c r="T59" s="43">
        <v>1</v>
      </c>
      <c r="U59" s="43">
        <v>1</v>
      </c>
      <c r="V59" s="44">
        <v>1</v>
      </c>
      <c r="W59" s="42">
        <v>1</v>
      </c>
      <c r="X59" s="42">
        <v>1</v>
      </c>
      <c r="Y59" s="42">
        <v>1</v>
      </c>
      <c r="Z59" s="42"/>
      <c r="AA59" s="42">
        <v>1</v>
      </c>
      <c r="AB59" s="42">
        <v>1</v>
      </c>
      <c r="AC59" s="42"/>
      <c r="AD59" s="43"/>
      <c r="AE59" s="43"/>
      <c r="AF59" s="43"/>
      <c r="AG59" s="44"/>
      <c r="AH59" s="42">
        <v>1</v>
      </c>
      <c r="AI59" s="42">
        <v>1</v>
      </c>
      <c r="AJ59" s="42">
        <v>1</v>
      </c>
      <c r="AK59" s="42"/>
      <c r="AL59" s="42"/>
      <c r="AM59" s="42"/>
      <c r="AN59" s="42"/>
      <c r="AO59" s="43"/>
      <c r="AP59" s="43"/>
      <c r="AQ59" s="43"/>
      <c r="AR59" s="44"/>
      <c r="AS59" s="44"/>
      <c r="AT59" s="44"/>
      <c r="AU59" s="44"/>
      <c r="AV59" s="44"/>
      <c r="AW59" s="34"/>
      <c r="AX59" s="44"/>
      <c r="AY59" s="44"/>
      <c r="AZ59" s="44"/>
      <c r="BA59" s="34">
        <v>1</v>
      </c>
      <c r="BB59" s="34">
        <v>1</v>
      </c>
      <c r="BC59" s="34"/>
    </row>
    <row r="60" spans="1:55" customFormat="1" ht="21" customHeight="1" x14ac:dyDescent="0.4">
      <c r="A60" s="22"/>
      <c r="B60" s="42" t="s">
        <v>259</v>
      </c>
      <c r="C60" s="42" t="s">
        <v>255</v>
      </c>
      <c r="D60" s="42" t="s">
        <v>327</v>
      </c>
      <c r="E60" s="42"/>
      <c r="F60" s="42"/>
      <c r="G60" s="42"/>
      <c r="H60" s="43"/>
      <c r="I60" s="43"/>
      <c r="J60" s="43"/>
      <c r="K60" s="44"/>
      <c r="L60" s="42"/>
      <c r="M60" s="42"/>
      <c r="N60" s="42">
        <v>1</v>
      </c>
      <c r="O60" s="42"/>
      <c r="P60" s="42"/>
      <c r="Q60" s="42"/>
      <c r="R60" s="42"/>
      <c r="S60" s="43"/>
      <c r="T60" s="43"/>
      <c r="U60" s="43"/>
      <c r="V60" s="44"/>
      <c r="W60" s="42"/>
      <c r="X60" s="42"/>
      <c r="Y60" s="42">
        <v>1</v>
      </c>
      <c r="Z60" s="42">
        <v>1</v>
      </c>
      <c r="AA60" s="42"/>
      <c r="AB60" s="42"/>
      <c r="AC60" s="42"/>
      <c r="AD60" s="43"/>
      <c r="AE60" s="43"/>
      <c r="AF60" s="43"/>
      <c r="AG60" s="44"/>
      <c r="AH60" s="42"/>
      <c r="AI60" s="42"/>
      <c r="AJ60" s="42">
        <v>1</v>
      </c>
      <c r="AK60" s="42"/>
      <c r="AL60" s="42"/>
      <c r="AM60" s="42"/>
      <c r="AN60" s="42"/>
      <c r="AO60" s="43"/>
      <c r="AP60" s="43"/>
      <c r="AQ60" s="43"/>
      <c r="AR60" s="44"/>
      <c r="AS60" s="44"/>
      <c r="AT60" s="44"/>
      <c r="AU60" s="42">
        <v>1</v>
      </c>
      <c r="AV60" s="42">
        <v>1</v>
      </c>
      <c r="AW60" s="34"/>
      <c r="AX60" s="44"/>
      <c r="AY60" s="44"/>
      <c r="AZ60" s="44"/>
      <c r="BA60" s="34"/>
      <c r="BB60" s="34"/>
      <c r="BC60" s="34"/>
    </row>
    <row r="61" spans="1:55" customFormat="1" ht="21" customHeight="1" x14ac:dyDescent="0.4">
      <c r="A61" s="22"/>
      <c r="B61" s="42" t="s">
        <v>259</v>
      </c>
      <c r="C61" s="42" t="s">
        <v>255</v>
      </c>
      <c r="D61" s="42" t="s">
        <v>328</v>
      </c>
      <c r="E61" s="42" t="s">
        <v>329</v>
      </c>
      <c r="F61" s="42"/>
      <c r="G61" s="42"/>
      <c r="H61" s="43"/>
      <c r="I61" s="43"/>
      <c r="J61" s="43"/>
      <c r="K61" s="44"/>
      <c r="L61" s="42"/>
      <c r="M61" s="42"/>
      <c r="N61" s="42">
        <v>1</v>
      </c>
      <c r="O61" s="42"/>
      <c r="P61" s="42"/>
      <c r="Q61" s="42"/>
      <c r="R61" s="42"/>
      <c r="S61" s="43"/>
      <c r="T61" s="43"/>
      <c r="U61" s="43"/>
      <c r="V61" s="44"/>
      <c r="W61" s="42"/>
      <c r="X61" s="42"/>
      <c r="Y61" s="42">
        <v>1</v>
      </c>
      <c r="Z61" s="42"/>
      <c r="AA61" s="42"/>
      <c r="AB61" s="42"/>
      <c r="AC61" s="42"/>
      <c r="AD61" s="43"/>
      <c r="AE61" s="43"/>
      <c r="AF61" s="43"/>
      <c r="AG61" s="44"/>
      <c r="AH61" s="42"/>
      <c r="AI61" s="42"/>
      <c r="AJ61" s="42">
        <v>1</v>
      </c>
      <c r="AK61" s="42"/>
      <c r="AL61" s="42"/>
      <c r="AM61" s="42"/>
      <c r="AN61" s="42"/>
      <c r="AO61" s="43"/>
      <c r="AP61" s="43"/>
      <c r="AQ61" s="43"/>
      <c r="AR61" s="44"/>
      <c r="AS61" s="44"/>
      <c r="AT61" s="44"/>
      <c r="AU61" s="42"/>
      <c r="AV61" s="42"/>
      <c r="AW61" s="34"/>
      <c r="AX61" s="44"/>
      <c r="AY61" s="44"/>
      <c r="AZ61" s="44"/>
      <c r="BA61" s="34">
        <v>1</v>
      </c>
      <c r="BB61" s="34"/>
      <c r="BC61" s="34"/>
    </row>
    <row r="62" spans="1:55" customFormat="1" ht="21" customHeight="1" x14ac:dyDescent="0.4">
      <c r="A62" s="22"/>
      <c r="B62" s="42" t="s">
        <v>259</v>
      </c>
      <c r="C62" s="42" t="s">
        <v>255</v>
      </c>
      <c r="D62" s="42" t="s">
        <v>330</v>
      </c>
      <c r="E62" s="42" t="s">
        <v>331</v>
      </c>
      <c r="F62" s="42"/>
      <c r="G62" s="42"/>
      <c r="H62" s="43"/>
      <c r="I62" s="43"/>
      <c r="J62" s="43"/>
      <c r="K62" s="44"/>
      <c r="L62" s="42"/>
      <c r="M62" s="42"/>
      <c r="N62" s="42">
        <v>1</v>
      </c>
      <c r="O62" s="42">
        <v>1</v>
      </c>
      <c r="P62" s="42">
        <v>1</v>
      </c>
      <c r="Q62" s="42">
        <v>1</v>
      </c>
      <c r="R62" s="42"/>
      <c r="S62" s="43"/>
      <c r="T62" s="43"/>
      <c r="U62" s="43"/>
      <c r="V62" s="44">
        <v>1</v>
      </c>
      <c r="W62" s="42"/>
      <c r="X62" s="42"/>
      <c r="Y62" s="42">
        <v>1</v>
      </c>
      <c r="Z62" s="42">
        <v>1</v>
      </c>
      <c r="AA62" s="42"/>
      <c r="AB62" s="42">
        <v>1</v>
      </c>
      <c r="AC62" s="42"/>
      <c r="AD62" s="43"/>
      <c r="AE62" s="43"/>
      <c r="AF62" s="43"/>
      <c r="AG62" s="44"/>
      <c r="AH62" s="42"/>
      <c r="AI62" s="42"/>
      <c r="AJ62" s="42">
        <v>1</v>
      </c>
      <c r="AK62" s="42">
        <v>1</v>
      </c>
      <c r="AL62" s="42"/>
      <c r="AM62" s="42"/>
      <c r="AN62" s="42"/>
      <c r="AO62" s="43"/>
      <c r="AP62" s="43"/>
      <c r="AQ62" s="43"/>
      <c r="AR62" s="44"/>
      <c r="AS62" s="44"/>
      <c r="AT62" s="44"/>
      <c r="AU62" s="42">
        <v>1</v>
      </c>
      <c r="AV62" s="42">
        <v>1</v>
      </c>
      <c r="AW62" s="34"/>
      <c r="AX62" s="44"/>
      <c r="AY62" s="44"/>
      <c r="AZ62" s="44"/>
      <c r="BA62" s="34"/>
      <c r="BB62" s="34"/>
      <c r="BC62" s="34"/>
    </row>
    <row r="63" spans="1:55" customFormat="1" ht="21" customHeight="1" x14ac:dyDescent="0.4">
      <c r="A63" s="22"/>
      <c r="B63" s="42" t="s">
        <v>259</v>
      </c>
      <c r="C63" s="42" t="s">
        <v>255</v>
      </c>
      <c r="D63" s="42" t="s">
        <v>332</v>
      </c>
      <c r="E63" s="42" t="s">
        <v>310</v>
      </c>
      <c r="F63" s="42"/>
      <c r="G63" s="42"/>
      <c r="H63" s="43"/>
      <c r="I63" s="43"/>
      <c r="J63" s="43"/>
      <c r="K63" s="44"/>
      <c r="L63" s="42"/>
      <c r="M63" s="42">
        <v>1</v>
      </c>
      <c r="N63" s="42">
        <v>1</v>
      </c>
      <c r="O63" s="42"/>
      <c r="P63" s="42"/>
      <c r="Q63" s="42"/>
      <c r="R63" s="42"/>
      <c r="S63" s="43"/>
      <c r="T63" s="43"/>
      <c r="U63" s="43"/>
      <c r="V63" s="44">
        <v>1</v>
      </c>
      <c r="W63" s="42">
        <v>1</v>
      </c>
      <c r="X63" s="42"/>
      <c r="Y63" s="42">
        <v>1</v>
      </c>
      <c r="Z63" s="42">
        <v>1</v>
      </c>
      <c r="AA63" s="42">
        <v>1</v>
      </c>
      <c r="AB63" s="42">
        <v>1</v>
      </c>
      <c r="AC63" s="42"/>
      <c r="AD63" s="43"/>
      <c r="AE63" s="43"/>
      <c r="AF63" s="43"/>
      <c r="AG63" s="44"/>
      <c r="AH63" s="42"/>
      <c r="AI63" s="42"/>
      <c r="AJ63" s="42">
        <v>1</v>
      </c>
      <c r="AK63" s="42"/>
      <c r="AL63" s="42"/>
      <c r="AM63" s="42"/>
      <c r="AN63" s="42"/>
      <c r="AO63" s="43"/>
      <c r="AP63" s="43"/>
      <c r="AQ63" s="43"/>
      <c r="AR63" s="44"/>
      <c r="AS63" s="44"/>
      <c r="AT63" s="44"/>
      <c r="AU63" s="42">
        <v>1</v>
      </c>
      <c r="AV63" s="42">
        <v>1</v>
      </c>
      <c r="AW63" s="34"/>
      <c r="AX63" s="44"/>
      <c r="AY63" s="44"/>
      <c r="AZ63" s="44"/>
      <c r="BA63" s="34"/>
      <c r="BB63" s="34">
        <v>1</v>
      </c>
      <c r="BC63" s="34"/>
    </row>
    <row r="64" spans="1:55" customFormat="1" ht="21" customHeight="1" x14ac:dyDescent="0.4">
      <c r="A64" s="22"/>
      <c r="B64" s="42" t="s">
        <v>259</v>
      </c>
      <c r="C64" s="42" t="s">
        <v>255</v>
      </c>
      <c r="D64" s="42" t="s">
        <v>333</v>
      </c>
      <c r="E64" s="42" t="s">
        <v>334</v>
      </c>
      <c r="F64" s="42"/>
      <c r="G64" s="42"/>
      <c r="H64" s="43"/>
      <c r="I64" s="43"/>
      <c r="J64" s="43"/>
      <c r="K64" s="44"/>
      <c r="L64" s="42"/>
      <c r="M64" s="42"/>
      <c r="N64" s="42">
        <v>1</v>
      </c>
      <c r="O64" s="42"/>
      <c r="P64" s="42"/>
      <c r="Q64" s="42"/>
      <c r="R64" s="42"/>
      <c r="S64" s="43"/>
      <c r="T64" s="43"/>
      <c r="U64" s="43"/>
      <c r="V64" s="44"/>
      <c r="W64" s="42"/>
      <c r="X64" s="42"/>
      <c r="Y64" s="42">
        <v>1</v>
      </c>
      <c r="Z64" s="42">
        <v>1</v>
      </c>
      <c r="AA64" s="42"/>
      <c r="AB64" s="42"/>
      <c r="AC64" s="42"/>
      <c r="AD64" s="43"/>
      <c r="AE64" s="43"/>
      <c r="AF64" s="43"/>
      <c r="AG64" s="44"/>
      <c r="AH64" s="42"/>
      <c r="AI64" s="42"/>
      <c r="AJ64" s="42">
        <v>1</v>
      </c>
      <c r="AK64" s="42"/>
      <c r="AL64" s="42"/>
      <c r="AM64" s="42"/>
      <c r="AN64" s="42"/>
      <c r="AO64" s="43"/>
      <c r="AP64" s="43"/>
      <c r="AQ64" s="43"/>
      <c r="AR64" s="44"/>
      <c r="AS64" s="44"/>
      <c r="AT64" s="44"/>
      <c r="AU64" s="42"/>
      <c r="AV64" s="42"/>
      <c r="AW64" s="34"/>
      <c r="AX64" s="44"/>
      <c r="AY64" s="44"/>
      <c r="AZ64" s="44"/>
      <c r="BA64" s="34"/>
      <c r="BB64" s="34"/>
      <c r="BC64" s="34"/>
    </row>
    <row r="65" spans="1:55" customFormat="1" ht="21" customHeight="1" x14ac:dyDescent="0.4">
      <c r="A65" s="22"/>
      <c r="B65" s="42" t="s">
        <v>259</v>
      </c>
      <c r="C65" s="42" t="s">
        <v>255</v>
      </c>
      <c r="D65" s="42" t="s">
        <v>335</v>
      </c>
      <c r="E65" s="42" t="s">
        <v>334</v>
      </c>
      <c r="F65" s="42"/>
      <c r="G65" s="42"/>
      <c r="H65" s="43"/>
      <c r="I65" s="43"/>
      <c r="J65" s="43"/>
      <c r="K65" s="44"/>
      <c r="L65" s="42"/>
      <c r="M65" s="42"/>
      <c r="N65" s="42">
        <v>1</v>
      </c>
      <c r="O65" s="42"/>
      <c r="P65" s="42"/>
      <c r="Q65" s="42">
        <v>1</v>
      </c>
      <c r="R65" s="42"/>
      <c r="S65" s="43"/>
      <c r="T65" s="43"/>
      <c r="U65" s="43"/>
      <c r="V65" s="44"/>
      <c r="W65" s="42"/>
      <c r="X65" s="42">
        <v>1</v>
      </c>
      <c r="Y65" s="42">
        <v>1</v>
      </c>
      <c r="Z65" s="42">
        <v>1</v>
      </c>
      <c r="AA65" s="42"/>
      <c r="AB65" s="42"/>
      <c r="AC65" s="42"/>
      <c r="AD65" s="43"/>
      <c r="AE65" s="43"/>
      <c r="AF65" s="43"/>
      <c r="AG65" s="44"/>
      <c r="AH65" s="42"/>
      <c r="AI65" s="42">
        <v>1</v>
      </c>
      <c r="AJ65" s="42">
        <v>1</v>
      </c>
      <c r="AK65" s="42"/>
      <c r="AL65" s="42"/>
      <c r="AM65" s="42"/>
      <c r="AN65" s="42"/>
      <c r="AO65" s="43"/>
      <c r="AP65" s="43"/>
      <c r="AQ65" s="43"/>
      <c r="AR65" s="44"/>
      <c r="AS65" s="44"/>
      <c r="AT65" s="44"/>
      <c r="AU65" s="42"/>
      <c r="AV65" s="42"/>
      <c r="AW65" s="34"/>
      <c r="AX65" s="44"/>
      <c r="AY65" s="44"/>
      <c r="AZ65" s="44">
        <v>1</v>
      </c>
      <c r="BA65" s="34"/>
      <c r="BB65" s="34"/>
      <c r="BC65" s="34"/>
    </row>
    <row r="66" spans="1:55" customFormat="1" ht="21" customHeight="1" x14ac:dyDescent="0.4">
      <c r="A66" s="22"/>
      <c r="B66" s="42" t="s">
        <v>259</v>
      </c>
      <c r="C66" s="42" t="s">
        <v>255</v>
      </c>
      <c r="D66" s="42" t="s">
        <v>336</v>
      </c>
      <c r="E66" s="42"/>
      <c r="F66" s="42"/>
      <c r="G66" s="42"/>
      <c r="H66" s="43"/>
      <c r="I66" s="43"/>
      <c r="J66" s="43"/>
      <c r="K66" s="44"/>
      <c r="L66" s="42"/>
      <c r="M66" s="42"/>
      <c r="N66" s="42"/>
      <c r="O66" s="42"/>
      <c r="P66" s="42"/>
      <c r="Q66" s="42"/>
      <c r="R66" s="42"/>
      <c r="S66" s="43"/>
      <c r="T66" s="43"/>
      <c r="U66" s="43"/>
      <c r="V66" s="44"/>
      <c r="W66" s="42"/>
      <c r="X66" s="42"/>
      <c r="Y66" s="42">
        <v>1</v>
      </c>
      <c r="Z66" s="42"/>
      <c r="AA66" s="42"/>
      <c r="AB66" s="42"/>
      <c r="AC66" s="42"/>
      <c r="AD66" s="43"/>
      <c r="AE66" s="43"/>
      <c r="AF66" s="43"/>
      <c r="AG66" s="44"/>
      <c r="AH66" s="42"/>
      <c r="AI66" s="42"/>
      <c r="AJ66" s="42">
        <v>1</v>
      </c>
      <c r="AK66" s="42"/>
      <c r="AL66" s="42"/>
      <c r="AM66" s="42"/>
      <c r="AN66" s="42"/>
      <c r="AO66" s="43"/>
      <c r="AP66" s="43"/>
      <c r="AQ66" s="43"/>
      <c r="AR66" s="44"/>
      <c r="AS66" s="44"/>
      <c r="AT66" s="44"/>
      <c r="AU66" s="42"/>
      <c r="AV66" s="42"/>
      <c r="AW66" s="34"/>
      <c r="AX66" s="44"/>
      <c r="AY66" s="44"/>
      <c r="AZ66" s="44"/>
      <c r="BA66" s="34"/>
      <c r="BB66" s="34"/>
      <c r="BC66" s="34"/>
    </row>
    <row r="67" spans="1:55" customFormat="1" ht="21" customHeight="1" x14ac:dyDescent="0.4">
      <c r="A67" s="22"/>
      <c r="B67" s="42" t="s">
        <v>259</v>
      </c>
      <c r="C67" s="42" t="s">
        <v>255</v>
      </c>
      <c r="D67" s="42" t="s">
        <v>337</v>
      </c>
      <c r="E67" s="42" t="s">
        <v>338</v>
      </c>
      <c r="F67" s="42"/>
      <c r="G67" s="42"/>
      <c r="H67" s="43"/>
      <c r="I67" s="43"/>
      <c r="J67" s="43"/>
      <c r="K67" s="44"/>
      <c r="L67" s="42"/>
      <c r="M67" s="42"/>
      <c r="N67" s="42">
        <v>1</v>
      </c>
      <c r="O67" s="42"/>
      <c r="P67" s="42"/>
      <c r="Q67" s="42"/>
      <c r="R67" s="42"/>
      <c r="S67" s="43">
        <v>1</v>
      </c>
      <c r="T67" s="43"/>
      <c r="U67" s="43">
        <v>1</v>
      </c>
      <c r="V67" s="44"/>
      <c r="W67" s="42"/>
      <c r="X67" s="42"/>
      <c r="Y67" s="42">
        <v>1</v>
      </c>
      <c r="Z67" s="42"/>
      <c r="AA67" s="42"/>
      <c r="AB67" s="42"/>
      <c r="AC67" s="42"/>
      <c r="AD67" s="43"/>
      <c r="AE67" s="43"/>
      <c r="AF67" s="43"/>
      <c r="AG67" s="44"/>
      <c r="AH67" s="42"/>
      <c r="AI67" s="42"/>
      <c r="AJ67" s="42">
        <v>1</v>
      </c>
      <c r="AK67" s="42"/>
      <c r="AL67" s="42"/>
      <c r="AM67" s="42"/>
      <c r="AN67" s="42"/>
      <c r="AO67" s="43"/>
      <c r="AP67" s="43"/>
      <c r="AQ67" s="43"/>
      <c r="AR67" s="44"/>
      <c r="AS67" s="44"/>
      <c r="AT67" s="44"/>
      <c r="AU67" s="42"/>
      <c r="AV67" s="42"/>
      <c r="AW67" s="34"/>
      <c r="AX67" s="44"/>
      <c r="AY67" s="44"/>
      <c r="AZ67" s="44"/>
      <c r="BA67" s="34"/>
      <c r="BB67" s="34"/>
      <c r="BC67" s="34"/>
    </row>
    <row r="68" spans="1:55" customFormat="1" ht="21" customHeight="1" x14ac:dyDescent="0.4">
      <c r="A68" s="22"/>
      <c r="B68" s="42" t="s">
        <v>259</v>
      </c>
      <c r="C68" s="42" t="s">
        <v>255</v>
      </c>
      <c r="D68" s="42" t="s">
        <v>339</v>
      </c>
      <c r="E68" s="42" t="s">
        <v>340</v>
      </c>
      <c r="F68" s="42"/>
      <c r="G68" s="42"/>
      <c r="H68" s="43"/>
      <c r="I68" s="43"/>
      <c r="J68" s="43"/>
      <c r="K68" s="44"/>
      <c r="L68" s="42"/>
      <c r="M68" s="42"/>
      <c r="N68" s="42">
        <v>1</v>
      </c>
      <c r="O68" s="42"/>
      <c r="P68" s="42"/>
      <c r="Q68" s="42"/>
      <c r="R68" s="42"/>
      <c r="S68" s="43"/>
      <c r="T68" s="43"/>
      <c r="U68" s="43"/>
      <c r="V68" s="44"/>
      <c r="W68" s="42"/>
      <c r="X68" s="42"/>
      <c r="Y68" s="42">
        <v>1</v>
      </c>
      <c r="Z68" s="42">
        <v>1</v>
      </c>
      <c r="AA68" s="42"/>
      <c r="AB68" s="42"/>
      <c r="AC68" s="42"/>
      <c r="AD68" s="43"/>
      <c r="AE68" s="43"/>
      <c r="AF68" s="43"/>
      <c r="AG68" s="44"/>
      <c r="AH68" s="42"/>
      <c r="AI68" s="42"/>
      <c r="AJ68" s="42">
        <v>1</v>
      </c>
      <c r="AK68" s="42"/>
      <c r="AL68" s="42"/>
      <c r="AM68" s="42"/>
      <c r="AN68" s="42"/>
      <c r="AO68" s="43"/>
      <c r="AP68" s="43"/>
      <c r="AQ68" s="43"/>
      <c r="AR68" s="44"/>
      <c r="AS68" s="44"/>
      <c r="AT68" s="44"/>
      <c r="AU68" s="42"/>
      <c r="AV68" s="42"/>
      <c r="AW68" s="34"/>
      <c r="AX68" s="44"/>
      <c r="AY68" s="44"/>
      <c r="AZ68" s="44"/>
      <c r="BA68" s="34"/>
      <c r="BB68" s="34"/>
      <c r="BC68" s="34"/>
    </row>
    <row r="69" spans="1:55" customFormat="1" ht="21" customHeight="1" x14ac:dyDescent="0.4">
      <c r="A69" s="22"/>
      <c r="B69" s="42" t="s">
        <v>259</v>
      </c>
      <c r="C69" s="42" t="s">
        <v>255</v>
      </c>
      <c r="D69" s="42" t="s">
        <v>341</v>
      </c>
      <c r="E69" s="42" t="s">
        <v>342</v>
      </c>
      <c r="F69" s="42"/>
      <c r="G69" s="42"/>
      <c r="H69" s="43"/>
      <c r="I69" s="43"/>
      <c r="J69" s="43"/>
      <c r="K69" s="44">
        <v>1</v>
      </c>
      <c r="L69" s="42"/>
      <c r="M69" s="42"/>
      <c r="N69" s="42">
        <v>1</v>
      </c>
      <c r="O69" s="42"/>
      <c r="P69" s="42"/>
      <c r="Q69" s="42"/>
      <c r="R69" s="42"/>
      <c r="S69" s="43"/>
      <c r="T69" s="43"/>
      <c r="U69" s="43"/>
      <c r="V69" s="44"/>
      <c r="W69" s="42"/>
      <c r="X69" s="42"/>
      <c r="Y69" s="42">
        <v>1</v>
      </c>
      <c r="Z69" s="42">
        <v>1</v>
      </c>
      <c r="AA69" s="42"/>
      <c r="AB69" s="42"/>
      <c r="AC69" s="42"/>
      <c r="AD69" s="43"/>
      <c r="AE69" s="43"/>
      <c r="AF69" s="43"/>
      <c r="AG69" s="44"/>
      <c r="AH69" s="42"/>
      <c r="AI69" s="42"/>
      <c r="AJ69" s="42">
        <v>1</v>
      </c>
      <c r="AK69" s="42"/>
      <c r="AL69" s="42"/>
      <c r="AM69" s="42"/>
      <c r="AN69" s="42"/>
      <c r="AO69" s="43"/>
      <c r="AP69" s="43"/>
      <c r="AQ69" s="43"/>
      <c r="AR69" s="44"/>
      <c r="AS69" s="44"/>
      <c r="AT69" s="44"/>
      <c r="AU69" s="42">
        <v>1</v>
      </c>
      <c r="AV69" s="42">
        <v>1</v>
      </c>
      <c r="AW69" s="34"/>
      <c r="AX69" s="44"/>
      <c r="AY69" s="44"/>
      <c r="AZ69" s="44"/>
      <c r="BA69" s="34"/>
      <c r="BB69" s="34">
        <v>1</v>
      </c>
      <c r="BC69" s="34"/>
    </row>
    <row r="70" spans="1:55" customFormat="1" ht="21" customHeight="1" x14ac:dyDescent="0.4">
      <c r="A70" s="22"/>
      <c r="B70" s="42" t="s">
        <v>259</v>
      </c>
      <c r="C70" s="42" t="s">
        <v>255</v>
      </c>
      <c r="D70" s="42" t="s">
        <v>343</v>
      </c>
      <c r="E70" s="42" t="s">
        <v>344</v>
      </c>
      <c r="F70" s="42"/>
      <c r="G70" s="42"/>
      <c r="H70" s="43"/>
      <c r="I70" s="43"/>
      <c r="J70" s="43"/>
      <c r="K70" s="44"/>
      <c r="L70" s="42"/>
      <c r="M70" s="42"/>
      <c r="N70" s="42"/>
      <c r="O70" s="42"/>
      <c r="P70" s="42"/>
      <c r="Q70" s="42"/>
      <c r="R70" s="42"/>
      <c r="S70" s="43"/>
      <c r="T70" s="43"/>
      <c r="U70" s="43"/>
      <c r="V70" s="44"/>
      <c r="W70" s="42"/>
      <c r="X70" s="42"/>
      <c r="Y70" s="42">
        <v>1</v>
      </c>
      <c r="Z70" s="42"/>
      <c r="AA70" s="42"/>
      <c r="AB70" s="42"/>
      <c r="AC70" s="42"/>
      <c r="AD70" s="43"/>
      <c r="AE70" s="43"/>
      <c r="AF70" s="43"/>
      <c r="AG70" s="44"/>
      <c r="AH70" s="42"/>
      <c r="AI70" s="42"/>
      <c r="AJ70" s="42">
        <v>1</v>
      </c>
      <c r="AK70" s="42"/>
      <c r="AL70" s="42"/>
      <c r="AM70" s="42"/>
      <c r="AN70" s="42"/>
      <c r="AO70" s="43"/>
      <c r="AP70" s="43"/>
      <c r="AQ70" s="43"/>
      <c r="AR70" s="44"/>
      <c r="AS70" s="44"/>
      <c r="AT70" s="44"/>
      <c r="AU70" s="42"/>
      <c r="AV70" s="42"/>
      <c r="AW70" s="34"/>
      <c r="AX70" s="44"/>
      <c r="AY70" s="44"/>
      <c r="AZ70" s="44"/>
      <c r="BA70" s="34"/>
      <c r="BB70" s="34"/>
      <c r="BC70" s="34"/>
    </row>
    <row r="71" spans="1:55" customFormat="1" ht="21" customHeight="1" x14ac:dyDescent="0.4">
      <c r="A71" s="22"/>
      <c r="B71" s="42" t="s">
        <v>259</v>
      </c>
      <c r="C71" s="42" t="s">
        <v>255</v>
      </c>
      <c r="D71" s="42" t="s">
        <v>345</v>
      </c>
      <c r="E71" s="42" t="s">
        <v>346</v>
      </c>
      <c r="F71" s="42"/>
      <c r="G71" s="42"/>
      <c r="H71" s="43"/>
      <c r="I71" s="43"/>
      <c r="J71" s="43"/>
      <c r="K71" s="44"/>
      <c r="L71" s="42"/>
      <c r="M71" s="42"/>
      <c r="N71" s="42">
        <v>1</v>
      </c>
      <c r="O71" s="42"/>
      <c r="P71" s="42"/>
      <c r="Q71" s="42"/>
      <c r="R71" s="42"/>
      <c r="S71" s="43"/>
      <c r="T71" s="43"/>
      <c r="U71" s="43"/>
      <c r="V71" s="44"/>
      <c r="W71" s="42"/>
      <c r="X71" s="42"/>
      <c r="Y71" s="42">
        <v>1</v>
      </c>
      <c r="Z71" s="42"/>
      <c r="AA71" s="42"/>
      <c r="AB71" s="42"/>
      <c r="AC71" s="42"/>
      <c r="AD71" s="43"/>
      <c r="AE71" s="43"/>
      <c r="AF71" s="43"/>
      <c r="AG71" s="44"/>
      <c r="AH71" s="42"/>
      <c r="AI71" s="42"/>
      <c r="AJ71" s="42">
        <v>1</v>
      </c>
      <c r="AK71" s="42"/>
      <c r="AL71" s="42"/>
      <c r="AM71" s="42"/>
      <c r="AN71" s="42"/>
      <c r="AO71" s="43"/>
      <c r="AP71" s="43"/>
      <c r="AQ71" s="43"/>
      <c r="AR71" s="44"/>
      <c r="AS71" s="44"/>
      <c r="AT71" s="44"/>
      <c r="AU71" s="42"/>
      <c r="AV71" s="42"/>
      <c r="AW71" s="34">
        <v>1</v>
      </c>
      <c r="AX71" s="44">
        <v>1</v>
      </c>
      <c r="AY71" s="44"/>
      <c r="AZ71" s="44"/>
      <c r="BA71" s="34"/>
      <c r="BB71" s="34"/>
      <c r="BC71" s="34"/>
    </row>
    <row r="72" spans="1:55" customFormat="1" ht="21" customHeight="1" x14ac:dyDescent="0.4">
      <c r="A72" s="22"/>
      <c r="B72" s="42" t="s">
        <v>259</v>
      </c>
      <c r="C72" s="42" t="s">
        <v>255</v>
      </c>
      <c r="D72" s="42" t="s">
        <v>347</v>
      </c>
      <c r="E72" s="42" t="s">
        <v>287</v>
      </c>
      <c r="F72" s="42"/>
      <c r="G72" s="42"/>
      <c r="H72" s="43"/>
      <c r="I72" s="43"/>
      <c r="J72" s="43"/>
      <c r="K72" s="44"/>
      <c r="L72" s="42"/>
      <c r="M72" s="42"/>
      <c r="N72" s="42">
        <v>1</v>
      </c>
      <c r="O72" s="42"/>
      <c r="P72" s="42"/>
      <c r="Q72" s="42"/>
      <c r="R72" s="42"/>
      <c r="S72" s="43"/>
      <c r="T72" s="43"/>
      <c r="U72" s="43"/>
      <c r="V72" s="44"/>
      <c r="W72" s="42"/>
      <c r="X72" s="42"/>
      <c r="Y72" s="42">
        <v>1</v>
      </c>
      <c r="Z72" s="42"/>
      <c r="AA72" s="42"/>
      <c r="AB72" s="42"/>
      <c r="AC72" s="42"/>
      <c r="AD72" s="43"/>
      <c r="AE72" s="43"/>
      <c r="AF72" s="43"/>
      <c r="AG72" s="44"/>
      <c r="AH72" s="42"/>
      <c r="AI72" s="42"/>
      <c r="AJ72" s="42">
        <v>1</v>
      </c>
      <c r="AK72" s="42"/>
      <c r="AL72" s="42"/>
      <c r="AM72" s="42"/>
      <c r="AN72" s="42"/>
      <c r="AO72" s="43"/>
      <c r="AP72" s="43"/>
      <c r="AQ72" s="43"/>
      <c r="AR72" s="44"/>
      <c r="AS72" s="44"/>
      <c r="AT72" s="44"/>
      <c r="AU72" s="42"/>
      <c r="AV72" s="42"/>
      <c r="AW72" s="34"/>
      <c r="AX72" s="44"/>
      <c r="AY72" s="44"/>
      <c r="AZ72" s="44"/>
      <c r="BA72" s="34"/>
      <c r="BB72" s="34"/>
      <c r="BC72" s="34"/>
    </row>
    <row r="73" spans="1:55" customFormat="1" ht="21" customHeight="1" x14ac:dyDescent="0.4">
      <c r="A73" s="22"/>
      <c r="B73" s="42" t="s">
        <v>259</v>
      </c>
      <c r="C73" s="42" t="s">
        <v>255</v>
      </c>
      <c r="D73" s="42" t="s">
        <v>348</v>
      </c>
      <c r="E73" s="42" t="s">
        <v>290</v>
      </c>
      <c r="F73" s="42"/>
      <c r="G73" s="42"/>
      <c r="H73" s="43"/>
      <c r="I73" s="43"/>
      <c r="J73" s="43"/>
      <c r="K73" s="44"/>
      <c r="L73" s="42"/>
      <c r="M73" s="42"/>
      <c r="N73" s="42">
        <v>1</v>
      </c>
      <c r="O73" s="42"/>
      <c r="P73" s="42"/>
      <c r="Q73" s="42"/>
      <c r="R73" s="42"/>
      <c r="S73" s="43"/>
      <c r="T73" s="43"/>
      <c r="U73" s="43"/>
      <c r="V73" s="44"/>
      <c r="W73" s="42"/>
      <c r="X73" s="42"/>
      <c r="Y73" s="42"/>
      <c r="Z73" s="42">
        <v>1</v>
      </c>
      <c r="AA73" s="42"/>
      <c r="AB73" s="42"/>
      <c r="AC73" s="42"/>
      <c r="AD73" s="43"/>
      <c r="AE73" s="43"/>
      <c r="AF73" s="43"/>
      <c r="AG73" s="44"/>
      <c r="AH73" s="42"/>
      <c r="AI73" s="42"/>
      <c r="AJ73" s="42">
        <v>1</v>
      </c>
      <c r="AK73" s="42"/>
      <c r="AL73" s="42"/>
      <c r="AM73" s="42"/>
      <c r="AN73" s="42"/>
      <c r="AO73" s="43"/>
      <c r="AP73" s="43"/>
      <c r="AQ73" s="43"/>
      <c r="AR73" s="44"/>
      <c r="AS73" s="44"/>
      <c r="AT73" s="44"/>
      <c r="AU73" s="42">
        <v>1</v>
      </c>
      <c r="AV73" s="42">
        <v>1</v>
      </c>
      <c r="AW73" s="34"/>
      <c r="AX73" s="44"/>
      <c r="AY73" s="44"/>
      <c r="AZ73" s="44"/>
      <c r="BA73" s="34">
        <v>1</v>
      </c>
      <c r="BB73" s="34"/>
      <c r="BC73" s="34"/>
    </row>
    <row r="74" spans="1:55" customFormat="1" ht="21" customHeight="1" x14ac:dyDescent="0.4">
      <c r="A74" s="22"/>
      <c r="B74" s="42" t="s">
        <v>259</v>
      </c>
      <c r="C74" s="42" t="s">
        <v>255</v>
      </c>
      <c r="D74" s="42" t="s">
        <v>349</v>
      </c>
      <c r="E74" s="42" t="s">
        <v>350</v>
      </c>
      <c r="F74" s="42"/>
      <c r="G74" s="42"/>
      <c r="H74" s="43"/>
      <c r="I74" s="43"/>
      <c r="J74" s="43"/>
      <c r="K74" s="44"/>
      <c r="L74" s="42">
        <v>1</v>
      </c>
      <c r="M74" s="42"/>
      <c r="N74" s="42">
        <v>1</v>
      </c>
      <c r="O74" s="42"/>
      <c r="P74" s="42"/>
      <c r="Q74" s="42"/>
      <c r="R74" s="42"/>
      <c r="S74" s="43"/>
      <c r="T74" s="43">
        <v>1</v>
      </c>
      <c r="U74" s="43">
        <v>1</v>
      </c>
      <c r="V74" s="44"/>
      <c r="W74" s="42">
        <v>1</v>
      </c>
      <c r="X74" s="42">
        <v>1</v>
      </c>
      <c r="Y74" s="42">
        <v>1</v>
      </c>
      <c r="Z74" s="42">
        <v>1</v>
      </c>
      <c r="AA74" s="42">
        <v>1</v>
      </c>
      <c r="AB74" s="42"/>
      <c r="AC74" s="42"/>
      <c r="AD74" s="43"/>
      <c r="AE74" s="43">
        <v>1</v>
      </c>
      <c r="AF74" s="43">
        <v>1</v>
      </c>
      <c r="AG74" s="44"/>
      <c r="AH74" s="42">
        <v>1</v>
      </c>
      <c r="AI74" s="42"/>
      <c r="AJ74" s="42">
        <v>1</v>
      </c>
      <c r="AK74" s="42"/>
      <c r="AL74" s="42"/>
      <c r="AM74" s="42">
        <v>1</v>
      </c>
      <c r="AN74" s="42"/>
      <c r="AO74" s="43"/>
      <c r="AP74" s="43"/>
      <c r="AQ74" s="43"/>
      <c r="AR74" s="44"/>
      <c r="AS74" s="44"/>
      <c r="AT74" s="44"/>
      <c r="AU74" s="42">
        <v>1</v>
      </c>
      <c r="AV74" s="42">
        <v>1</v>
      </c>
      <c r="AW74" s="34"/>
      <c r="AX74" s="44"/>
      <c r="AY74" s="44"/>
      <c r="AZ74" s="44"/>
      <c r="BA74" s="34">
        <v>1</v>
      </c>
      <c r="BB74" s="34">
        <v>1</v>
      </c>
      <c r="BC74" s="34"/>
    </row>
    <row r="75" spans="1:55" customFormat="1" ht="21" customHeight="1" x14ac:dyDescent="0.4">
      <c r="A75" s="22"/>
      <c r="B75" s="42" t="s">
        <v>259</v>
      </c>
      <c r="C75" s="42" t="s">
        <v>255</v>
      </c>
      <c r="D75" s="42" t="s">
        <v>351</v>
      </c>
      <c r="E75" s="42" t="s">
        <v>290</v>
      </c>
      <c r="F75" s="42"/>
      <c r="G75" s="42"/>
      <c r="H75" s="43"/>
      <c r="I75" s="43"/>
      <c r="J75" s="43"/>
      <c r="K75" s="44"/>
      <c r="L75" s="42"/>
      <c r="M75" s="42"/>
      <c r="N75" s="42">
        <v>1</v>
      </c>
      <c r="O75" s="42"/>
      <c r="P75" s="42"/>
      <c r="Q75" s="42"/>
      <c r="R75" s="42"/>
      <c r="S75" s="43"/>
      <c r="T75" s="43"/>
      <c r="U75" s="43"/>
      <c r="V75" s="44"/>
      <c r="W75" s="42"/>
      <c r="X75" s="42"/>
      <c r="Y75" s="42">
        <v>1</v>
      </c>
      <c r="Z75" s="42">
        <v>1</v>
      </c>
      <c r="AA75" s="42"/>
      <c r="AB75" s="42"/>
      <c r="AC75" s="42"/>
      <c r="AD75" s="43"/>
      <c r="AE75" s="43"/>
      <c r="AF75" s="43"/>
      <c r="AG75" s="44"/>
      <c r="AH75" s="42"/>
      <c r="AI75" s="42"/>
      <c r="AJ75" s="42">
        <v>1</v>
      </c>
      <c r="AK75" s="42"/>
      <c r="AL75" s="42"/>
      <c r="AM75" s="42"/>
      <c r="AN75" s="42"/>
      <c r="AO75" s="43"/>
      <c r="AP75" s="43"/>
      <c r="AQ75" s="43"/>
      <c r="AR75" s="44"/>
      <c r="AS75" s="44"/>
      <c r="AT75" s="44"/>
      <c r="AU75" s="42"/>
      <c r="AV75" s="42"/>
      <c r="AW75" s="34"/>
      <c r="AX75" s="44"/>
      <c r="AY75" s="44"/>
      <c r="AZ75" s="44"/>
      <c r="BA75" s="34"/>
      <c r="BB75" s="34"/>
      <c r="BC75" s="34"/>
    </row>
    <row r="76" spans="1:55" customFormat="1" ht="21" customHeight="1" x14ac:dyDescent="0.4">
      <c r="A76" s="22"/>
      <c r="B76" s="42" t="s">
        <v>259</v>
      </c>
      <c r="C76" s="42" t="s">
        <v>255</v>
      </c>
      <c r="D76" s="42" t="s">
        <v>352</v>
      </c>
      <c r="E76" s="42" t="s">
        <v>353</v>
      </c>
      <c r="F76" s="42"/>
      <c r="G76" s="42"/>
      <c r="H76" s="43"/>
      <c r="I76" s="43"/>
      <c r="J76" s="43"/>
      <c r="K76" s="44"/>
      <c r="L76" s="42"/>
      <c r="M76" s="42"/>
      <c r="N76" s="42">
        <v>1</v>
      </c>
      <c r="O76" s="42"/>
      <c r="P76" s="42"/>
      <c r="Q76" s="42"/>
      <c r="R76" s="42"/>
      <c r="S76" s="43"/>
      <c r="T76" s="43"/>
      <c r="U76" s="43"/>
      <c r="V76" s="44"/>
      <c r="W76" s="42"/>
      <c r="X76" s="42"/>
      <c r="Y76" s="42">
        <v>1</v>
      </c>
      <c r="Z76" s="42"/>
      <c r="AA76" s="42"/>
      <c r="AB76" s="42"/>
      <c r="AC76" s="42"/>
      <c r="AD76" s="43"/>
      <c r="AE76" s="43"/>
      <c r="AF76" s="43"/>
      <c r="AG76" s="44"/>
      <c r="AH76" s="42"/>
      <c r="AI76" s="42"/>
      <c r="AJ76" s="42">
        <v>1</v>
      </c>
      <c r="AK76" s="42"/>
      <c r="AL76" s="42"/>
      <c r="AM76" s="42"/>
      <c r="AN76" s="42"/>
      <c r="AO76" s="43"/>
      <c r="AP76" s="43"/>
      <c r="AQ76" s="43"/>
      <c r="AR76" s="44"/>
      <c r="AS76" s="44"/>
      <c r="AT76" s="44"/>
      <c r="AU76" s="42">
        <v>1</v>
      </c>
      <c r="AV76" s="42">
        <v>1</v>
      </c>
      <c r="AW76" s="34"/>
      <c r="AX76" s="44"/>
      <c r="AY76" s="44"/>
      <c r="AZ76" s="44"/>
      <c r="BA76" s="34"/>
      <c r="BB76" s="34"/>
      <c r="BC76" s="34"/>
    </row>
    <row r="77" spans="1:55" customFormat="1" ht="21" customHeight="1" x14ac:dyDescent="0.4">
      <c r="A77" s="22"/>
      <c r="B77" s="42" t="s">
        <v>259</v>
      </c>
      <c r="C77" s="42" t="s">
        <v>255</v>
      </c>
      <c r="D77" s="42" t="s">
        <v>354</v>
      </c>
      <c r="E77" s="42" t="s">
        <v>355</v>
      </c>
      <c r="F77" s="42"/>
      <c r="G77" s="42"/>
      <c r="H77" s="43"/>
      <c r="I77" s="43"/>
      <c r="J77" s="43"/>
      <c r="K77" s="44"/>
      <c r="L77" s="42"/>
      <c r="M77" s="42"/>
      <c r="N77" s="42">
        <v>1</v>
      </c>
      <c r="O77" s="42"/>
      <c r="P77" s="42"/>
      <c r="Q77" s="42"/>
      <c r="R77" s="42"/>
      <c r="S77" s="43"/>
      <c r="T77" s="43"/>
      <c r="U77" s="43"/>
      <c r="V77" s="44"/>
      <c r="W77" s="42"/>
      <c r="X77" s="42"/>
      <c r="Y77" s="42">
        <v>1</v>
      </c>
      <c r="Z77" s="42">
        <v>1</v>
      </c>
      <c r="AA77" s="42"/>
      <c r="AB77" s="42"/>
      <c r="AC77" s="42"/>
      <c r="AD77" s="43"/>
      <c r="AE77" s="43"/>
      <c r="AF77" s="43"/>
      <c r="AG77" s="44"/>
      <c r="AH77" s="42"/>
      <c r="AI77" s="42"/>
      <c r="AJ77" s="42">
        <v>1</v>
      </c>
      <c r="AK77" s="42"/>
      <c r="AL77" s="42"/>
      <c r="AM77" s="42"/>
      <c r="AN77" s="42"/>
      <c r="AO77" s="43"/>
      <c r="AP77" s="43"/>
      <c r="AQ77" s="43"/>
      <c r="AR77" s="44"/>
      <c r="AS77" s="44"/>
      <c r="AT77" s="44"/>
      <c r="AU77" s="42">
        <v>1</v>
      </c>
      <c r="AV77" s="42">
        <v>1</v>
      </c>
      <c r="AW77" s="34"/>
      <c r="AX77" s="44"/>
      <c r="AY77" s="44"/>
      <c r="AZ77" s="44"/>
      <c r="BA77" s="34"/>
      <c r="BB77" s="34"/>
      <c r="BC77" s="34"/>
    </row>
    <row r="78" spans="1:55" customFormat="1" ht="21" customHeight="1" x14ac:dyDescent="0.4">
      <c r="A78" s="22"/>
      <c r="B78" s="42" t="s">
        <v>259</v>
      </c>
      <c r="C78" s="42" t="s">
        <v>255</v>
      </c>
      <c r="D78" s="42" t="s">
        <v>356</v>
      </c>
      <c r="E78" s="42" t="s">
        <v>292</v>
      </c>
      <c r="F78" s="42"/>
      <c r="G78" s="42"/>
      <c r="H78" s="43"/>
      <c r="I78" s="43"/>
      <c r="J78" s="43"/>
      <c r="K78" s="44"/>
      <c r="L78" s="42"/>
      <c r="M78" s="42"/>
      <c r="N78" s="42">
        <v>1</v>
      </c>
      <c r="O78" s="42"/>
      <c r="P78" s="42"/>
      <c r="Q78" s="42"/>
      <c r="R78" s="42"/>
      <c r="S78" s="43"/>
      <c r="T78" s="43"/>
      <c r="U78" s="43"/>
      <c r="V78" s="44"/>
      <c r="W78" s="42"/>
      <c r="X78" s="42"/>
      <c r="Y78" s="42">
        <v>1</v>
      </c>
      <c r="Z78" s="42"/>
      <c r="AA78" s="42"/>
      <c r="AB78" s="42"/>
      <c r="AC78" s="42"/>
      <c r="AD78" s="43"/>
      <c r="AE78" s="43"/>
      <c r="AF78" s="43"/>
      <c r="AG78" s="44"/>
      <c r="AH78" s="42"/>
      <c r="AI78" s="42"/>
      <c r="AJ78" s="42">
        <v>1</v>
      </c>
      <c r="AK78" s="42"/>
      <c r="AL78" s="42"/>
      <c r="AM78" s="42"/>
      <c r="AN78" s="42"/>
      <c r="AO78" s="43"/>
      <c r="AP78" s="43"/>
      <c r="AQ78" s="43"/>
      <c r="AR78" s="44"/>
      <c r="AS78" s="44"/>
      <c r="AT78" s="44"/>
      <c r="AU78" s="42">
        <v>1</v>
      </c>
      <c r="AV78" s="42">
        <v>1</v>
      </c>
      <c r="AW78" s="34"/>
      <c r="AX78" s="44"/>
      <c r="AY78" s="44"/>
      <c r="AZ78" s="44"/>
      <c r="BA78" s="34"/>
      <c r="BB78" s="34"/>
      <c r="BC78" s="34"/>
    </row>
    <row r="79" spans="1:55" customFormat="1" ht="21" customHeight="1" x14ac:dyDescent="0.4">
      <c r="A79" s="22"/>
      <c r="B79" s="42" t="s">
        <v>259</v>
      </c>
      <c r="C79" s="42" t="s">
        <v>247</v>
      </c>
      <c r="D79" s="42" t="s">
        <v>357</v>
      </c>
      <c r="E79" s="42" t="s">
        <v>278</v>
      </c>
      <c r="F79" s="42"/>
      <c r="G79" s="42"/>
      <c r="H79" s="43"/>
      <c r="I79" s="43"/>
      <c r="J79" s="43"/>
      <c r="K79" s="44"/>
      <c r="L79" s="42"/>
      <c r="M79" s="42"/>
      <c r="N79" s="42">
        <v>1</v>
      </c>
      <c r="O79" s="42"/>
      <c r="P79" s="42"/>
      <c r="Q79" s="42">
        <v>1</v>
      </c>
      <c r="R79" s="42"/>
      <c r="S79" s="43"/>
      <c r="T79" s="43"/>
      <c r="U79" s="43"/>
      <c r="V79" s="44"/>
      <c r="W79" s="42"/>
      <c r="X79" s="42"/>
      <c r="Y79" s="42">
        <v>1</v>
      </c>
      <c r="Z79" s="42"/>
      <c r="AA79" s="42"/>
      <c r="AB79" s="42"/>
      <c r="AC79" s="42"/>
      <c r="AD79" s="43"/>
      <c r="AE79" s="43"/>
      <c r="AF79" s="43"/>
      <c r="AG79" s="44">
        <v>1</v>
      </c>
      <c r="AH79" s="42">
        <v>1</v>
      </c>
      <c r="AI79" s="42">
        <v>1</v>
      </c>
      <c r="AJ79" s="42">
        <v>1</v>
      </c>
      <c r="AK79" s="42"/>
      <c r="AL79" s="42"/>
      <c r="AM79" s="42"/>
      <c r="AN79" s="42"/>
      <c r="AO79" s="43"/>
      <c r="AP79" s="43"/>
      <c r="AQ79" s="43"/>
      <c r="AR79" s="44"/>
      <c r="AS79" s="44"/>
      <c r="AT79" s="44"/>
      <c r="AU79" s="42">
        <v>1</v>
      </c>
      <c r="AV79" s="42">
        <v>1</v>
      </c>
      <c r="AW79" s="34"/>
      <c r="AX79" s="44"/>
      <c r="AY79" s="44">
        <v>1</v>
      </c>
      <c r="AZ79" s="44"/>
      <c r="BA79" s="34"/>
      <c r="BB79" s="34"/>
      <c r="BC79" s="34"/>
    </row>
    <row r="80" spans="1:55" customFormat="1" ht="21" customHeight="1" x14ac:dyDescent="0.4">
      <c r="A80" s="22"/>
      <c r="B80" s="42" t="s">
        <v>259</v>
      </c>
      <c r="C80" s="42" t="s">
        <v>255</v>
      </c>
      <c r="D80" s="42" t="s">
        <v>358</v>
      </c>
      <c r="E80" s="42" t="s">
        <v>359</v>
      </c>
      <c r="F80" s="42"/>
      <c r="G80" s="42"/>
      <c r="H80" s="43"/>
      <c r="I80" s="43"/>
      <c r="J80" s="43"/>
      <c r="K80" s="44"/>
      <c r="L80" s="42"/>
      <c r="M80" s="42">
        <v>1</v>
      </c>
      <c r="N80" s="42">
        <v>1</v>
      </c>
      <c r="O80" s="42"/>
      <c r="P80" s="42"/>
      <c r="Q80" s="42"/>
      <c r="R80" s="42"/>
      <c r="S80" s="43"/>
      <c r="T80" s="43"/>
      <c r="U80" s="43"/>
      <c r="V80" s="44"/>
      <c r="W80" s="42"/>
      <c r="X80" s="42"/>
      <c r="Y80" s="42">
        <v>1</v>
      </c>
      <c r="Z80" s="42">
        <v>1</v>
      </c>
      <c r="AA80" s="42"/>
      <c r="AB80" s="42"/>
      <c r="AC80" s="42"/>
      <c r="AD80" s="43"/>
      <c r="AE80" s="43"/>
      <c r="AF80" s="43"/>
      <c r="AG80" s="44"/>
      <c r="AH80" s="42"/>
      <c r="AI80" s="42"/>
      <c r="AJ80" s="42">
        <v>1</v>
      </c>
      <c r="AK80" s="42"/>
      <c r="AL80" s="42"/>
      <c r="AM80" s="42"/>
      <c r="AN80" s="42"/>
      <c r="AO80" s="43"/>
      <c r="AP80" s="43"/>
      <c r="AQ80" s="43"/>
      <c r="AR80" s="44"/>
      <c r="AS80" s="44"/>
      <c r="AT80" s="44"/>
      <c r="AU80" s="42">
        <v>1</v>
      </c>
      <c r="AV80" s="42">
        <v>1</v>
      </c>
      <c r="AW80" s="34"/>
      <c r="AX80" s="44"/>
      <c r="AY80" s="44"/>
      <c r="AZ80" s="44"/>
      <c r="BA80" s="34"/>
      <c r="BB80" s="34"/>
      <c r="BC80" s="34"/>
    </row>
    <row r="81" spans="1:55" customFormat="1" ht="21" customHeight="1" x14ac:dyDescent="0.4">
      <c r="A81" s="22"/>
      <c r="B81" s="42" t="s">
        <v>259</v>
      </c>
      <c r="C81" s="42" t="s">
        <v>255</v>
      </c>
      <c r="D81" s="42" t="s">
        <v>360</v>
      </c>
      <c r="E81" s="42" t="s">
        <v>296</v>
      </c>
      <c r="F81" s="42"/>
      <c r="G81" s="42"/>
      <c r="H81" s="43"/>
      <c r="I81" s="43"/>
      <c r="J81" s="43"/>
      <c r="K81" s="44"/>
      <c r="L81" s="42"/>
      <c r="M81" s="42">
        <v>1</v>
      </c>
      <c r="N81" s="42">
        <v>1</v>
      </c>
      <c r="O81" s="42">
        <v>1</v>
      </c>
      <c r="P81" s="42"/>
      <c r="Q81" s="42"/>
      <c r="R81" s="42"/>
      <c r="S81" s="43"/>
      <c r="T81" s="43"/>
      <c r="U81" s="43"/>
      <c r="V81" s="44"/>
      <c r="W81" s="42"/>
      <c r="X81" s="42"/>
      <c r="Y81" s="42">
        <v>1</v>
      </c>
      <c r="Z81" s="42"/>
      <c r="AA81" s="42"/>
      <c r="AB81" s="42"/>
      <c r="AC81" s="42"/>
      <c r="AD81" s="43"/>
      <c r="AE81" s="43"/>
      <c r="AF81" s="43"/>
      <c r="AG81" s="44"/>
      <c r="AH81" s="42"/>
      <c r="AI81" s="42"/>
      <c r="AJ81" s="42">
        <v>1</v>
      </c>
      <c r="AK81" s="42">
        <v>1</v>
      </c>
      <c r="AL81" s="42"/>
      <c r="AM81" s="42"/>
      <c r="AN81" s="42"/>
      <c r="AO81" s="43"/>
      <c r="AP81" s="43"/>
      <c r="AQ81" s="43"/>
      <c r="AR81" s="44"/>
      <c r="AS81" s="44"/>
      <c r="AT81" s="44"/>
      <c r="AU81" s="42"/>
      <c r="AV81" s="42"/>
      <c r="AW81" s="34"/>
      <c r="AX81" s="44"/>
      <c r="AY81" s="44"/>
      <c r="AZ81" s="44"/>
      <c r="BA81" s="34"/>
      <c r="BB81" s="34"/>
      <c r="BC81" s="34"/>
    </row>
    <row r="82" spans="1:55" customFormat="1" ht="21" customHeight="1" x14ac:dyDescent="0.4">
      <c r="A82" s="22"/>
      <c r="B82" s="42" t="s">
        <v>259</v>
      </c>
      <c r="C82" s="42" t="s">
        <v>255</v>
      </c>
      <c r="D82" s="42" t="s">
        <v>361</v>
      </c>
      <c r="E82" s="42" t="s">
        <v>265</v>
      </c>
      <c r="F82" s="42"/>
      <c r="G82" s="42"/>
      <c r="H82" s="43"/>
      <c r="I82" s="43"/>
      <c r="J82" s="43"/>
      <c r="K82" s="44"/>
      <c r="L82" s="42"/>
      <c r="M82" s="42"/>
      <c r="N82" s="42">
        <v>1</v>
      </c>
      <c r="O82" s="42"/>
      <c r="P82" s="42"/>
      <c r="Q82" s="42"/>
      <c r="R82" s="42"/>
      <c r="S82" s="43"/>
      <c r="T82" s="43"/>
      <c r="U82" s="43"/>
      <c r="V82" s="44"/>
      <c r="W82" s="42"/>
      <c r="X82" s="42"/>
      <c r="Y82" s="42">
        <v>1</v>
      </c>
      <c r="Z82" s="42">
        <v>1</v>
      </c>
      <c r="AA82" s="42"/>
      <c r="AB82" s="42"/>
      <c r="AC82" s="42"/>
      <c r="AD82" s="43">
        <v>1</v>
      </c>
      <c r="AE82" s="43"/>
      <c r="AF82" s="43"/>
      <c r="AG82" s="44"/>
      <c r="AH82" s="42"/>
      <c r="AI82" s="42"/>
      <c r="AJ82" s="42">
        <v>1</v>
      </c>
      <c r="AK82" s="42"/>
      <c r="AL82" s="42"/>
      <c r="AM82" s="42"/>
      <c r="AN82" s="42"/>
      <c r="AO82" s="43"/>
      <c r="AP82" s="43"/>
      <c r="AQ82" s="43"/>
      <c r="AR82" s="44"/>
      <c r="AS82" s="44"/>
      <c r="AT82" s="44"/>
      <c r="AU82" s="42">
        <v>1</v>
      </c>
      <c r="AV82" s="42">
        <v>1</v>
      </c>
      <c r="AW82" s="34"/>
      <c r="AX82" s="44"/>
      <c r="AY82" s="44"/>
      <c r="AZ82" s="44"/>
      <c r="BA82" s="34"/>
      <c r="BB82" s="34"/>
      <c r="BC82" s="34"/>
    </row>
    <row r="83" spans="1:55" customFormat="1" ht="21" customHeight="1" x14ac:dyDescent="0.4">
      <c r="A83" s="22"/>
      <c r="B83" s="42" t="s">
        <v>259</v>
      </c>
      <c r="C83" s="42" t="s">
        <v>255</v>
      </c>
      <c r="D83" s="42" t="s">
        <v>362</v>
      </c>
      <c r="E83" s="42" t="s">
        <v>296</v>
      </c>
      <c r="F83" s="42"/>
      <c r="G83" s="42"/>
      <c r="H83" s="43"/>
      <c r="I83" s="43"/>
      <c r="J83" s="43"/>
      <c r="K83" s="44"/>
      <c r="L83" s="42"/>
      <c r="M83" s="42"/>
      <c r="N83" s="42">
        <v>1</v>
      </c>
      <c r="O83" s="42"/>
      <c r="P83" s="42"/>
      <c r="Q83" s="42"/>
      <c r="R83" s="42"/>
      <c r="S83" s="43"/>
      <c r="T83" s="43"/>
      <c r="U83" s="43"/>
      <c r="V83" s="44"/>
      <c r="W83" s="42"/>
      <c r="X83" s="42"/>
      <c r="Y83" s="42">
        <v>1</v>
      </c>
      <c r="Z83" s="42">
        <v>1</v>
      </c>
      <c r="AA83" s="42"/>
      <c r="AB83" s="42"/>
      <c r="AC83" s="42"/>
      <c r="AD83" s="43"/>
      <c r="AE83" s="43"/>
      <c r="AF83" s="43"/>
      <c r="AG83" s="44"/>
      <c r="AH83" s="42"/>
      <c r="AI83" s="42"/>
      <c r="AJ83" s="42">
        <v>1</v>
      </c>
      <c r="AK83" s="42">
        <v>1</v>
      </c>
      <c r="AL83" s="42"/>
      <c r="AM83" s="42"/>
      <c r="AN83" s="42"/>
      <c r="AO83" s="43"/>
      <c r="AP83" s="43"/>
      <c r="AQ83" s="43"/>
      <c r="AR83" s="44"/>
      <c r="AS83" s="44"/>
      <c r="AT83" s="44"/>
      <c r="AU83" s="42"/>
      <c r="AV83" s="42"/>
      <c r="AW83" s="34"/>
      <c r="AX83" s="44"/>
      <c r="AY83" s="44"/>
      <c r="AZ83" s="44"/>
      <c r="BA83" s="34">
        <v>1</v>
      </c>
      <c r="BB83" s="34"/>
      <c r="BC83" s="34"/>
    </row>
    <row r="84" spans="1:55" customFormat="1" ht="21" customHeight="1" x14ac:dyDescent="0.4">
      <c r="A84" s="22"/>
      <c r="B84" s="42" t="s">
        <v>259</v>
      </c>
      <c r="C84" s="42" t="s">
        <v>255</v>
      </c>
      <c r="D84" s="42" t="s">
        <v>363</v>
      </c>
      <c r="E84" s="42" t="s">
        <v>364</v>
      </c>
      <c r="F84" s="42"/>
      <c r="G84" s="42"/>
      <c r="H84" s="43"/>
      <c r="I84" s="43"/>
      <c r="J84" s="43"/>
      <c r="K84" s="44"/>
      <c r="L84" s="42"/>
      <c r="M84" s="42"/>
      <c r="N84" s="42">
        <v>1</v>
      </c>
      <c r="O84" s="42"/>
      <c r="P84" s="42">
        <v>1</v>
      </c>
      <c r="Q84" s="42"/>
      <c r="R84" s="42"/>
      <c r="S84" s="43"/>
      <c r="T84" s="43"/>
      <c r="U84" s="43"/>
      <c r="V84" s="44"/>
      <c r="W84" s="42"/>
      <c r="X84" s="42"/>
      <c r="Y84" s="42"/>
      <c r="Z84" s="42">
        <v>1</v>
      </c>
      <c r="AA84" s="42"/>
      <c r="AB84" s="42"/>
      <c r="AC84" s="42"/>
      <c r="AD84" s="43"/>
      <c r="AE84" s="43"/>
      <c r="AF84" s="43"/>
      <c r="AG84" s="44"/>
      <c r="AH84" s="42"/>
      <c r="AI84" s="42"/>
      <c r="AJ84" s="42">
        <v>1</v>
      </c>
      <c r="AK84" s="42"/>
      <c r="AL84" s="42"/>
      <c r="AM84" s="42"/>
      <c r="AN84" s="42"/>
      <c r="AO84" s="43"/>
      <c r="AP84" s="43"/>
      <c r="AQ84" s="43"/>
      <c r="AR84" s="44"/>
      <c r="AS84" s="44"/>
      <c r="AT84" s="44"/>
      <c r="AU84" s="42">
        <v>1</v>
      </c>
      <c r="AV84" s="42">
        <v>1</v>
      </c>
      <c r="AW84" s="34"/>
      <c r="AX84" s="44"/>
      <c r="AY84" s="44">
        <v>1</v>
      </c>
      <c r="AZ84" s="44">
        <v>1</v>
      </c>
      <c r="BA84" s="34"/>
      <c r="BB84" s="34"/>
      <c r="BC84" s="34"/>
    </row>
    <row r="85" spans="1:55" customFormat="1" ht="21" customHeight="1" x14ac:dyDescent="0.4">
      <c r="A85" s="22"/>
      <c r="B85" s="42" t="s">
        <v>259</v>
      </c>
      <c r="C85" s="42" t="s">
        <v>255</v>
      </c>
      <c r="D85" s="42" t="s">
        <v>365</v>
      </c>
      <c r="E85" s="42" t="s">
        <v>364</v>
      </c>
      <c r="F85" s="42"/>
      <c r="G85" s="42"/>
      <c r="H85" s="43"/>
      <c r="I85" s="43"/>
      <c r="J85" s="43"/>
      <c r="K85" s="44"/>
      <c r="L85" s="42"/>
      <c r="M85" s="42"/>
      <c r="N85" s="42">
        <v>1</v>
      </c>
      <c r="O85" s="42"/>
      <c r="P85" s="42"/>
      <c r="Q85" s="42"/>
      <c r="R85" s="42"/>
      <c r="S85" s="43"/>
      <c r="T85" s="43"/>
      <c r="U85" s="43"/>
      <c r="V85" s="44"/>
      <c r="W85" s="42"/>
      <c r="X85" s="42"/>
      <c r="Y85" s="42">
        <v>1</v>
      </c>
      <c r="Z85" s="42"/>
      <c r="AA85" s="42"/>
      <c r="AB85" s="42"/>
      <c r="AC85" s="42"/>
      <c r="AD85" s="43"/>
      <c r="AE85" s="43"/>
      <c r="AF85" s="43"/>
      <c r="AG85" s="44"/>
      <c r="AH85" s="42"/>
      <c r="AI85" s="42"/>
      <c r="AJ85" s="42">
        <v>1</v>
      </c>
      <c r="AK85" s="42"/>
      <c r="AL85" s="42"/>
      <c r="AM85" s="42"/>
      <c r="AN85" s="42"/>
      <c r="AO85" s="43"/>
      <c r="AP85" s="43"/>
      <c r="AQ85" s="43"/>
      <c r="AR85" s="44"/>
      <c r="AS85" s="44"/>
      <c r="AT85" s="44"/>
      <c r="AU85" s="42"/>
      <c r="AV85" s="42"/>
      <c r="AW85" s="34"/>
      <c r="AX85" s="44"/>
      <c r="AY85" s="44"/>
      <c r="AZ85" s="44"/>
      <c r="BA85" s="34"/>
      <c r="BB85" s="34"/>
      <c r="BC85" s="34"/>
    </row>
    <row r="86" spans="1:55" customFormat="1" ht="21" customHeight="1" x14ac:dyDescent="0.4">
      <c r="A86" s="22"/>
      <c r="B86" s="42" t="s">
        <v>259</v>
      </c>
      <c r="C86" s="42" t="s">
        <v>255</v>
      </c>
      <c r="D86" s="42" t="s">
        <v>366</v>
      </c>
      <c r="E86" s="42" t="s">
        <v>367</v>
      </c>
      <c r="F86" s="42"/>
      <c r="G86" s="42"/>
      <c r="H86" s="43"/>
      <c r="I86" s="43"/>
      <c r="J86" s="43"/>
      <c r="K86" s="44"/>
      <c r="L86" s="42"/>
      <c r="M86" s="42"/>
      <c r="N86" s="42">
        <v>1</v>
      </c>
      <c r="O86" s="42"/>
      <c r="P86" s="42"/>
      <c r="Q86" s="42"/>
      <c r="R86" s="42"/>
      <c r="S86" s="43"/>
      <c r="T86" s="43"/>
      <c r="U86" s="43"/>
      <c r="V86" s="44"/>
      <c r="W86" s="42"/>
      <c r="X86" s="42"/>
      <c r="Y86" s="42">
        <v>1</v>
      </c>
      <c r="Z86" s="42"/>
      <c r="AA86" s="42"/>
      <c r="AB86" s="42"/>
      <c r="AC86" s="42"/>
      <c r="AD86" s="43"/>
      <c r="AE86" s="43"/>
      <c r="AF86" s="43"/>
      <c r="AG86" s="44"/>
      <c r="AH86" s="42"/>
      <c r="AI86" s="42"/>
      <c r="AJ86" s="42">
        <v>1</v>
      </c>
      <c r="AK86" s="42"/>
      <c r="AL86" s="42"/>
      <c r="AM86" s="42"/>
      <c r="AN86" s="42"/>
      <c r="AO86" s="43"/>
      <c r="AP86" s="43"/>
      <c r="AQ86" s="43"/>
      <c r="AR86" s="44"/>
      <c r="AS86" s="44"/>
      <c r="AT86" s="44"/>
      <c r="AU86" s="42">
        <v>1</v>
      </c>
      <c r="AV86" s="42">
        <v>1</v>
      </c>
      <c r="AW86" s="34"/>
      <c r="AX86" s="44"/>
      <c r="AY86" s="44"/>
      <c r="AZ86" s="44"/>
      <c r="BA86" s="34"/>
      <c r="BB86" s="34"/>
      <c r="BC86" s="34"/>
    </row>
    <row r="87" spans="1:55" customFormat="1" ht="21" customHeight="1" x14ac:dyDescent="0.4">
      <c r="A87" s="22"/>
      <c r="B87" s="42" t="s">
        <v>259</v>
      </c>
      <c r="C87" s="42" t="s">
        <v>255</v>
      </c>
      <c r="D87" s="42" t="s">
        <v>368</v>
      </c>
      <c r="E87" s="42" t="s">
        <v>369</v>
      </c>
      <c r="F87" s="42"/>
      <c r="G87" s="42"/>
      <c r="H87" s="43"/>
      <c r="I87" s="43"/>
      <c r="J87" s="43"/>
      <c r="K87" s="44"/>
      <c r="L87" s="42"/>
      <c r="M87" s="42"/>
      <c r="N87" s="42">
        <v>1</v>
      </c>
      <c r="O87" s="42"/>
      <c r="P87" s="42"/>
      <c r="Q87" s="42"/>
      <c r="R87" s="42"/>
      <c r="S87" s="43"/>
      <c r="T87" s="43"/>
      <c r="U87" s="43"/>
      <c r="V87" s="44"/>
      <c r="W87" s="42"/>
      <c r="X87" s="42"/>
      <c r="Y87" s="42">
        <v>1</v>
      </c>
      <c r="Z87" s="42"/>
      <c r="AA87" s="42"/>
      <c r="AB87" s="42"/>
      <c r="AC87" s="42"/>
      <c r="AD87" s="43"/>
      <c r="AE87" s="43"/>
      <c r="AF87" s="43"/>
      <c r="AG87" s="44"/>
      <c r="AH87" s="42"/>
      <c r="AI87" s="42"/>
      <c r="AJ87" s="42">
        <v>1</v>
      </c>
      <c r="AK87" s="42"/>
      <c r="AL87" s="42">
        <v>1</v>
      </c>
      <c r="AM87" s="42">
        <v>1</v>
      </c>
      <c r="AN87" s="42"/>
      <c r="AO87" s="43"/>
      <c r="AP87" s="43"/>
      <c r="AQ87" s="43"/>
      <c r="AR87" s="44"/>
      <c r="AS87" s="44"/>
      <c r="AT87" s="44"/>
      <c r="AU87" s="42"/>
      <c r="AV87" s="42"/>
      <c r="AW87" s="34"/>
      <c r="AX87" s="44"/>
      <c r="AY87" s="44"/>
      <c r="AZ87" s="44"/>
      <c r="BA87" s="34"/>
      <c r="BB87" s="34"/>
      <c r="BC87" s="34"/>
    </row>
    <row r="88" spans="1:55" customFormat="1" ht="21" customHeight="1" x14ac:dyDescent="0.4">
      <c r="A88" s="22"/>
      <c r="B88" s="42" t="s">
        <v>259</v>
      </c>
      <c r="C88" s="42" t="s">
        <v>255</v>
      </c>
      <c r="D88" s="42" t="s">
        <v>370</v>
      </c>
      <c r="E88" s="42" t="s">
        <v>371</v>
      </c>
      <c r="F88" s="42"/>
      <c r="G88" s="42"/>
      <c r="H88" s="43"/>
      <c r="I88" s="43"/>
      <c r="J88" s="43"/>
      <c r="K88" s="44"/>
      <c r="L88" s="42">
        <v>1</v>
      </c>
      <c r="M88" s="42"/>
      <c r="N88" s="42">
        <v>1</v>
      </c>
      <c r="O88" s="42"/>
      <c r="P88" s="42"/>
      <c r="Q88" s="42"/>
      <c r="R88" s="42"/>
      <c r="S88" s="43"/>
      <c r="T88" s="43"/>
      <c r="U88" s="43"/>
      <c r="V88" s="44"/>
      <c r="W88" s="42"/>
      <c r="X88" s="42"/>
      <c r="Y88" s="42"/>
      <c r="Z88" s="42"/>
      <c r="AA88" s="42"/>
      <c r="AB88" s="42"/>
      <c r="AC88" s="42"/>
      <c r="AD88" s="43"/>
      <c r="AE88" s="43"/>
      <c r="AF88" s="43"/>
      <c r="AG88" s="44"/>
      <c r="AH88" s="42"/>
      <c r="AI88" s="42"/>
      <c r="AJ88" s="42">
        <v>1</v>
      </c>
      <c r="AK88" s="42"/>
      <c r="AL88" s="42"/>
      <c r="AM88" s="42"/>
      <c r="AN88" s="42"/>
      <c r="AO88" s="43"/>
      <c r="AP88" s="43"/>
      <c r="AQ88" s="43"/>
      <c r="AR88" s="44"/>
      <c r="AS88" s="44"/>
      <c r="AT88" s="44"/>
      <c r="AU88" s="42"/>
      <c r="AV88" s="42"/>
      <c r="AW88" s="34"/>
      <c r="AX88" s="44"/>
      <c r="AY88" s="44"/>
      <c r="AZ88" s="44"/>
      <c r="BA88" s="34"/>
      <c r="BB88" s="34">
        <v>1</v>
      </c>
      <c r="BC88" s="34"/>
    </row>
    <row r="89" spans="1:55" customFormat="1" ht="21" customHeight="1" x14ac:dyDescent="0.4">
      <c r="A89" s="22"/>
      <c r="B89" s="42" t="s">
        <v>259</v>
      </c>
      <c r="C89" s="42" t="s">
        <v>255</v>
      </c>
      <c r="D89" s="42" t="s">
        <v>372</v>
      </c>
      <c r="E89" s="42" t="s">
        <v>373</v>
      </c>
      <c r="F89" s="42"/>
      <c r="G89" s="42"/>
      <c r="H89" s="43"/>
      <c r="I89" s="43"/>
      <c r="J89" s="43"/>
      <c r="K89" s="44"/>
      <c r="L89" s="42"/>
      <c r="M89" s="42"/>
      <c r="N89" s="42">
        <v>1</v>
      </c>
      <c r="O89" s="42"/>
      <c r="P89" s="42"/>
      <c r="Q89" s="42"/>
      <c r="R89" s="42"/>
      <c r="S89" s="43"/>
      <c r="T89" s="43"/>
      <c r="U89" s="43"/>
      <c r="V89" s="44"/>
      <c r="W89" s="42"/>
      <c r="X89" s="42"/>
      <c r="Y89" s="42">
        <v>1</v>
      </c>
      <c r="Z89" s="42"/>
      <c r="AA89" s="42"/>
      <c r="AB89" s="42"/>
      <c r="AC89" s="42"/>
      <c r="AD89" s="43"/>
      <c r="AE89" s="43"/>
      <c r="AF89" s="43"/>
      <c r="AG89" s="44"/>
      <c r="AH89" s="42"/>
      <c r="AI89" s="42"/>
      <c r="AJ89" s="42">
        <v>1</v>
      </c>
      <c r="AK89" s="42"/>
      <c r="AL89" s="42"/>
      <c r="AM89" s="42"/>
      <c r="AN89" s="42"/>
      <c r="AO89" s="43"/>
      <c r="AP89" s="43"/>
      <c r="AQ89" s="43"/>
      <c r="AR89" s="44"/>
      <c r="AS89" s="44"/>
      <c r="AT89" s="44"/>
      <c r="AU89" s="42"/>
      <c r="AV89" s="42"/>
      <c r="AW89" s="34"/>
      <c r="AX89" s="44"/>
      <c r="AY89" s="44">
        <v>1</v>
      </c>
      <c r="AZ89" s="44"/>
      <c r="BA89" s="34"/>
      <c r="BB89" s="34"/>
      <c r="BC89" s="34"/>
    </row>
    <row r="90" spans="1:55" customFormat="1" ht="21" customHeight="1" x14ac:dyDescent="0.4">
      <c r="A90" s="22"/>
      <c r="B90" s="42" t="s">
        <v>259</v>
      </c>
      <c r="C90" s="42" t="s">
        <v>255</v>
      </c>
      <c r="D90" s="42" t="s">
        <v>374</v>
      </c>
      <c r="E90" s="42" t="s">
        <v>375</v>
      </c>
      <c r="F90" s="42"/>
      <c r="G90" s="42"/>
      <c r="H90" s="43"/>
      <c r="I90" s="43"/>
      <c r="J90" s="43"/>
      <c r="K90" s="44"/>
      <c r="L90" s="42">
        <v>1</v>
      </c>
      <c r="M90" s="42"/>
      <c r="N90" s="42">
        <v>1</v>
      </c>
      <c r="O90" s="42">
        <v>1</v>
      </c>
      <c r="P90" s="42"/>
      <c r="Q90" s="42">
        <v>1</v>
      </c>
      <c r="R90" s="42"/>
      <c r="S90" s="43"/>
      <c r="T90" s="43"/>
      <c r="U90" s="43"/>
      <c r="V90" s="44"/>
      <c r="W90" s="42"/>
      <c r="X90" s="42"/>
      <c r="Y90" s="42">
        <v>1</v>
      </c>
      <c r="Z90" s="42"/>
      <c r="AA90" s="42"/>
      <c r="AB90" s="42"/>
      <c r="AC90" s="42"/>
      <c r="AD90" s="43"/>
      <c r="AE90" s="43"/>
      <c r="AF90" s="43"/>
      <c r="AG90" s="44"/>
      <c r="AH90" s="42"/>
      <c r="AI90" s="42"/>
      <c r="AJ90" s="42">
        <v>1</v>
      </c>
      <c r="AK90" s="42"/>
      <c r="AL90" s="42">
        <v>1</v>
      </c>
      <c r="AM90" s="42">
        <v>1</v>
      </c>
      <c r="AN90" s="42"/>
      <c r="AO90" s="43"/>
      <c r="AP90" s="43"/>
      <c r="AQ90" s="43"/>
      <c r="AR90" s="44"/>
      <c r="AS90" s="44"/>
      <c r="AT90" s="44"/>
      <c r="AU90" s="42"/>
      <c r="AV90" s="42"/>
      <c r="AW90" s="34"/>
      <c r="AX90" s="44"/>
      <c r="AY90" s="44"/>
      <c r="AZ90" s="44"/>
      <c r="BA90" s="34">
        <v>1</v>
      </c>
      <c r="BB90" s="34">
        <v>1</v>
      </c>
      <c r="BC90" s="34"/>
    </row>
    <row r="91" spans="1:55" customFormat="1" ht="21" customHeight="1" x14ac:dyDescent="0.4">
      <c r="A91" s="22"/>
      <c r="B91" s="42" t="s">
        <v>259</v>
      </c>
      <c r="C91" s="42" t="s">
        <v>255</v>
      </c>
      <c r="D91" s="42" t="s">
        <v>376</v>
      </c>
      <c r="E91" s="42" t="s">
        <v>302</v>
      </c>
      <c r="F91" s="42"/>
      <c r="G91" s="42"/>
      <c r="H91" s="43"/>
      <c r="I91" s="43"/>
      <c r="J91" s="43"/>
      <c r="K91" s="44"/>
      <c r="L91" s="42"/>
      <c r="M91" s="42"/>
      <c r="N91" s="42">
        <v>1</v>
      </c>
      <c r="O91" s="42"/>
      <c r="P91" s="42"/>
      <c r="Q91" s="42"/>
      <c r="R91" s="42"/>
      <c r="S91" s="43"/>
      <c r="T91" s="43"/>
      <c r="U91" s="43"/>
      <c r="V91" s="44"/>
      <c r="W91" s="42"/>
      <c r="X91" s="42"/>
      <c r="Y91" s="42">
        <v>1</v>
      </c>
      <c r="Z91" s="42"/>
      <c r="AA91" s="42"/>
      <c r="AB91" s="42"/>
      <c r="AC91" s="42"/>
      <c r="AD91" s="43"/>
      <c r="AE91" s="43"/>
      <c r="AF91" s="43"/>
      <c r="AG91" s="44"/>
      <c r="AH91" s="42"/>
      <c r="AI91" s="42"/>
      <c r="AJ91" s="42">
        <v>1</v>
      </c>
      <c r="AK91" s="42"/>
      <c r="AL91" s="42"/>
      <c r="AM91" s="42"/>
      <c r="AN91" s="42"/>
      <c r="AO91" s="43"/>
      <c r="AP91" s="43"/>
      <c r="AQ91" s="43"/>
      <c r="AR91" s="44"/>
      <c r="AS91" s="44"/>
      <c r="AT91" s="44"/>
      <c r="AU91" s="42">
        <v>1</v>
      </c>
      <c r="AV91" s="42">
        <v>1</v>
      </c>
      <c r="AW91" s="34"/>
      <c r="AX91" s="44"/>
      <c r="AY91" s="44"/>
      <c r="AZ91" s="44"/>
      <c r="BA91" s="34"/>
      <c r="BB91" s="34"/>
      <c r="BC91" s="34"/>
    </row>
    <row r="92" spans="1:55" customFormat="1" ht="21" customHeight="1" x14ac:dyDescent="0.4">
      <c r="A92" s="22"/>
      <c r="B92" s="42" t="s">
        <v>259</v>
      </c>
      <c r="C92" s="42" t="s">
        <v>255</v>
      </c>
      <c r="D92" s="42" t="s">
        <v>377</v>
      </c>
      <c r="E92" s="42" t="s">
        <v>378</v>
      </c>
      <c r="F92" s="42"/>
      <c r="G92" s="42"/>
      <c r="H92" s="43"/>
      <c r="I92" s="43"/>
      <c r="J92" s="43"/>
      <c r="K92" s="44"/>
      <c r="L92" s="42"/>
      <c r="M92" s="42"/>
      <c r="N92" s="42">
        <v>1</v>
      </c>
      <c r="O92" s="42"/>
      <c r="P92" s="42"/>
      <c r="Q92" s="42"/>
      <c r="R92" s="42"/>
      <c r="S92" s="43"/>
      <c r="T92" s="43"/>
      <c r="U92" s="43"/>
      <c r="V92" s="44"/>
      <c r="W92" s="42"/>
      <c r="X92" s="42"/>
      <c r="Y92" s="42">
        <v>1</v>
      </c>
      <c r="Z92" s="42"/>
      <c r="AA92" s="42"/>
      <c r="AB92" s="42"/>
      <c r="AC92" s="42"/>
      <c r="AD92" s="43"/>
      <c r="AE92" s="43"/>
      <c r="AF92" s="43"/>
      <c r="AG92" s="44"/>
      <c r="AH92" s="42"/>
      <c r="AI92" s="42"/>
      <c r="AJ92" s="42">
        <v>1</v>
      </c>
      <c r="AK92" s="42"/>
      <c r="AL92" s="42"/>
      <c r="AM92" s="42"/>
      <c r="AN92" s="42"/>
      <c r="AO92" s="43"/>
      <c r="AP92" s="43"/>
      <c r="AQ92" s="43"/>
      <c r="AR92" s="44"/>
      <c r="AS92" s="44"/>
      <c r="AT92" s="44"/>
      <c r="AU92" s="42"/>
      <c r="AV92" s="42"/>
      <c r="AW92" s="34"/>
      <c r="AX92" s="44"/>
      <c r="AY92" s="44"/>
      <c r="AZ92" s="44"/>
      <c r="BA92" s="34"/>
      <c r="BB92" s="34"/>
      <c r="BC92" s="34"/>
    </row>
    <row r="93" spans="1:55" customFormat="1" ht="21" customHeight="1" x14ac:dyDescent="0.4">
      <c r="A93" s="22"/>
      <c r="B93" s="42" t="s">
        <v>259</v>
      </c>
      <c r="C93" s="42" t="s">
        <v>255</v>
      </c>
      <c r="D93" s="42" t="s">
        <v>379</v>
      </c>
      <c r="E93" s="42" t="s">
        <v>380</v>
      </c>
      <c r="F93" s="42"/>
      <c r="G93" s="42"/>
      <c r="H93" s="43"/>
      <c r="I93" s="43"/>
      <c r="J93" s="43"/>
      <c r="K93" s="44"/>
      <c r="L93" s="42">
        <v>1</v>
      </c>
      <c r="M93" s="42"/>
      <c r="N93" s="42">
        <v>1</v>
      </c>
      <c r="O93" s="42"/>
      <c r="P93" s="42"/>
      <c r="Q93" s="42"/>
      <c r="R93" s="42"/>
      <c r="S93" s="43"/>
      <c r="T93" s="43"/>
      <c r="U93" s="43"/>
      <c r="V93" s="44"/>
      <c r="W93" s="42"/>
      <c r="X93" s="42"/>
      <c r="Y93" s="42">
        <v>1</v>
      </c>
      <c r="Z93" s="42"/>
      <c r="AA93" s="42"/>
      <c r="AB93" s="42"/>
      <c r="AC93" s="42"/>
      <c r="AD93" s="43"/>
      <c r="AE93" s="43"/>
      <c r="AF93" s="43"/>
      <c r="AG93" s="44"/>
      <c r="AH93" s="42"/>
      <c r="AI93" s="42"/>
      <c r="AJ93" s="42">
        <v>1</v>
      </c>
      <c r="AK93" s="42"/>
      <c r="AL93" s="42"/>
      <c r="AM93" s="42"/>
      <c r="AN93" s="42"/>
      <c r="AO93" s="43"/>
      <c r="AP93" s="43"/>
      <c r="AQ93" s="43"/>
      <c r="AR93" s="44"/>
      <c r="AS93" s="44"/>
      <c r="AT93" s="44"/>
      <c r="AU93" s="42"/>
      <c r="AV93" s="42"/>
      <c r="AW93" s="34"/>
      <c r="AX93" s="44"/>
      <c r="AY93" s="44">
        <v>1</v>
      </c>
      <c r="AZ93" s="44"/>
      <c r="BA93" s="34"/>
      <c r="BB93" s="34">
        <v>1</v>
      </c>
      <c r="BC93" s="34">
        <v>1</v>
      </c>
    </row>
    <row r="94" spans="1:55" customFormat="1" ht="21" customHeight="1" x14ac:dyDescent="0.4">
      <c r="A94" s="22"/>
      <c r="B94" s="42" t="s">
        <v>259</v>
      </c>
      <c r="C94" s="42" t="s">
        <v>255</v>
      </c>
      <c r="D94" s="42" t="s">
        <v>381</v>
      </c>
      <c r="E94" s="42" t="s">
        <v>382</v>
      </c>
      <c r="F94" s="42"/>
      <c r="G94" s="42"/>
      <c r="H94" s="43"/>
      <c r="I94" s="43"/>
      <c r="J94" s="43"/>
      <c r="K94" s="44"/>
      <c r="L94" s="42"/>
      <c r="M94" s="42"/>
      <c r="N94" s="42">
        <v>1</v>
      </c>
      <c r="O94" s="42"/>
      <c r="P94" s="42"/>
      <c r="Q94" s="42"/>
      <c r="R94" s="42"/>
      <c r="S94" s="43"/>
      <c r="T94" s="43"/>
      <c r="U94" s="43"/>
      <c r="V94" s="44"/>
      <c r="W94" s="42"/>
      <c r="X94" s="42"/>
      <c r="Y94" s="42">
        <v>1</v>
      </c>
      <c r="Z94" s="42"/>
      <c r="AA94" s="42"/>
      <c r="AB94" s="42"/>
      <c r="AC94" s="42"/>
      <c r="AD94" s="43"/>
      <c r="AE94" s="43"/>
      <c r="AF94" s="43"/>
      <c r="AG94" s="44"/>
      <c r="AH94" s="42"/>
      <c r="AI94" s="42"/>
      <c r="AJ94" s="42">
        <v>1</v>
      </c>
      <c r="AK94" s="42"/>
      <c r="AL94" s="42"/>
      <c r="AM94" s="42"/>
      <c r="AN94" s="42"/>
      <c r="AO94" s="43"/>
      <c r="AP94" s="43"/>
      <c r="AQ94" s="43"/>
      <c r="AR94" s="44"/>
      <c r="AS94" s="44"/>
      <c r="AT94" s="44"/>
      <c r="AU94" s="42">
        <v>1</v>
      </c>
      <c r="AV94" s="42">
        <v>1</v>
      </c>
      <c r="AW94" s="34"/>
      <c r="AX94" s="44"/>
      <c r="AY94" s="44"/>
      <c r="AZ94" s="44"/>
      <c r="BA94" s="34"/>
      <c r="BB94" s="34"/>
      <c r="BC94" s="34"/>
    </row>
    <row r="95" spans="1:55" customFormat="1" ht="21" customHeight="1" x14ac:dyDescent="0.4">
      <c r="A95" s="22"/>
      <c r="B95" s="42" t="s">
        <v>259</v>
      </c>
      <c r="C95" s="42" t="s">
        <v>255</v>
      </c>
      <c r="D95" s="42" t="s">
        <v>383</v>
      </c>
      <c r="E95" s="42" t="s">
        <v>384</v>
      </c>
      <c r="F95" s="42"/>
      <c r="G95" s="42"/>
      <c r="H95" s="43"/>
      <c r="I95" s="43"/>
      <c r="J95" s="43"/>
      <c r="K95" s="44"/>
      <c r="L95" s="42"/>
      <c r="M95" s="42"/>
      <c r="N95" s="42">
        <v>1</v>
      </c>
      <c r="O95" s="42"/>
      <c r="P95" s="42"/>
      <c r="Q95" s="42"/>
      <c r="R95" s="42"/>
      <c r="S95" s="43"/>
      <c r="T95" s="43"/>
      <c r="U95" s="43"/>
      <c r="V95" s="44"/>
      <c r="W95" s="42"/>
      <c r="X95" s="42"/>
      <c r="Y95" s="42">
        <v>1</v>
      </c>
      <c r="Z95" s="42"/>
      <c r="AA95" s="42"/>
      <c r="AB95" s="42"/>
      <c r="AC95" s="42"/>
      <c r="AD95" s="43"/>
      <c r="AE95" s="43"/>
      <c r="AF95" s="43"/>
      <c r="AG95" s="44"/>
      <c r="AH95" s="42"/>
      <c r="AI95" s="42"/>
      <c r="AJ95" s="42">
        <v>1</v>
      </c>
      <c r="AK95" s="42"/>
      <c r="AL95" s="42"/>
      <c r="AM95" s="42"/>
      <c r="AN95" s="42"/>
      <c r="AO95" s="43"/>
      <c r="AP95" s="43"/>
      <c r="AQ95" s="43"/>
      <c r="AR95" s="44"/>
      <c r="AS95" s="44"/>
      <c r="AT95" s="44"/>
      <c r="AU95" s="42"/>
      <c r="AV95" s="42"/>
      <c r="AW95" s="34"/>
      <c r="AX95" s="44"/>
      <c r="AY95" s="44"/>
      <c r="AZ95" s="44"/>
      <c r="BA95" s="34"/>
      <c r="BB95" s="34">
        <v>1</v>
      </c>
      <c r="BC95" s="34"/>
    </row>
    <row r="96" spans="1:55" customFormat="1" ht="21" customHeight="1" x14ac:dyDescent="0.4">
      <c r="A96" s="22"/>
      <c r="B96" s="42" t="s">
        <v>259</v>
      </c>
      <c r="C96" s="42" t="s">
        <v>244</v>
      </c>
      <c r="D96" s="42" t="s">
        <v>385</v>
      </c>
      <c r="E96" s="42" t="s">
        <v>386</v>
      </c>
      <c r="F96" s="42"/>
      <c r="G96" s="42"/>
      <c r="H96" s="43"/>
      <c r="I96" s="43">
        <v>1</v>
      </c>
      <c r="J96" s="43">
        <v>1</v>
      </c>
      <c r="K96" s="44">
        <v>1</v>
      </c>
      <c r="L96" s="42">
        <v>1</v>
      </c>
      <c r="M96" s="42">
        <v>1</v>
      </c>
      <c r="N96" s="42">
        <v>1</v>
      </c>
      <c r="O96" s="42">
        <v>1</v>
      </c>
      <c r="P96" s="42">
        <v>1</v>
      </c>
      <c r="Q96" s="42">
        <v>1</v>
      </c>
      <c r="R96" s="42">
        <v>1</v>
      </c>
      <c r="S96" s="43">
        <v>1</v>
      </c>
      <c r="T96" s="43">
        <v>1</v>
      </c>
      <c r="U96" s="43">
        <v>1</v>
      </c>
      <c r="V96" s="44">
        <v>1</v>
      </c>
      <c r="W96" s="42">
        <v>1</v>
      </c>
      <c r="X96" s="42">
        <v>1</v>
      </c>
      <c r="Y96" s="42">
        <v>1</v>
      </c>
      <c r="Z96" s="42"/>
      <c r="AA96" s="42">
        <v>1</v>
      </c>
      <c r="AB96" s="42">
        <v>1</v>
      </c>
      <c r="AC96" s="42"/>
      <c r="AD96" s="43">
        <v>1</v>
      </c>
      <c r="AE96" s="43">
        <v>1</v>
      </c>
      <c r="AF96" s="43">
        <v>1</v>
      </c>
      <c r="AG96" s="44">
        <v>1</v>
      </c>
      <c r="AH96" s="42">
        <v>1</v>
      </c>
      <c r="AI96" s="42">
        <v>1</v>
      </c>
      <c r="AJ96" s="42">
        <v>1</v>
      </c>
      <c r="AK96" s="42">
        <v>1</v>
      </c>
      <c r="AL96" s="42">
        <v>1</v>
      </c>
      <c r="AM96" s="42">
        <v>1</v>
      </c>
      <c r="AN96" s="42"/>
      <c r="AO96" s="43"/>
      <c r="AP96" s="43">
        <v>1</v>
      </c>
      <c r="AQ96" s="43">
        <v>1</v>
      </c>
      <c r="AR96" s="44">
        <v>1</v>
      </c>
      <c r="AS96" s="44">
        <v>1</v>
      </c>
      <c r="AT96" s="44">
        <v>1</v>
      </c>
      <c r="AU96" s="42">
        <v>1</v>
      </c>
      <c r="AV96" s="42">
        <v>1</v>
      </c>
      <c r="AW96" s="34"/>
      <c r="AX96" s="44"/>
      <c r="AY96" s="44"/>
      <c r="AZ96" s="44"/>
      <c r="BA96" s="34">
        <v>1</v>
      </c>
      <c r="BB96" s="34">
        <v>1</v>
      </c>
      <c r="BC96" s="34"/>
    </row>
    <row r="97" spans="1:55" customFormat="1" ht="21" customHeight="1" x14ac:dyDescent="0.4">
      <c r="A97" s="22"/>
      <c r="B97" s="42" t="s">
        <v>259</v>
      </c>
      <c r="C97" s="42" t="s">
        <v>244</v>
      </c>
      <c r="D97" s="42" t="s">
        <v>387</v>
      </c>
      <c r="E97" s="42" t="s">
        <v>388</v>
      </c>
      <c r="F97" s="42"/>
      <c r="G97" s="42"/>
      <c r="H97" s="43"/>
      <c r="I97" s="43"/>
      <c r="J97" s="43"/>
      <c r="K97" s="44">
        <v>1</v>
      </c>
      <c r="L97" s="42">
        <v>1</v>
      </c>
      <c r="M97" s="42">
        <v>1</v>
      </c>
      <c r="N97" s="42">
        <v>1</v>
      </c>
      <c r="O97" s="42">
        <v>1</v>
      </c>
      <c r="P97" s="42"/>
      <c r="Q97" s="42">
        <v>1</v>
      </c>
      <c r="R97" s="42"/>
      <c r="S97" s="43"/>
      <c r="T97" s="43">
        <v>1</v>
      </c>
      <c r="U97" s="43">
        <v>1</v>
      </c>
      <c r="V97" s="44">
        <v>1</v>
      </c>
      <c r="W97" s="42">
        <v>1</v>
      </c>
      <c r="X97" s="42">
        <v>1</v>
      </c>
      <c r="Y97" s="42">
        <v>1</v>
      </c>
      <c r="Z97" s="42"/>
      <c r="AA97" s="42">
        <v>1</v>
      </c>
      <c r="AB97" s="42">
        <v>1</v>
      </c>
      <c r="AC97" s="42">
        <v>1</v>
      </c>
      <c r="AD97" s="43"/>
      <c r="AE97" s="43">
        <v>1</v>
      </c>
      <c r="AF97" s="43">
        <v>1</v>
      </c>
      <c r="AG97" s="44">
        <v>1</v>
      </c>
      <c r="AH97" s="42">
        <v>1</v>
      </c>
      <c r="AI97" s="42">
        <v>1</v>
      </c>
      <c r="AJ97" s="42">
        <v>1</v>
      </c>
      <c r="AK97" s="42">
        <v>1</v>
      </c>
      <c r="AL97" s="42">
        <v>1</v>
      </c>
      <c r="AM97" s="42">
        <v>1</v>
      </c>
      <c r="AN97" s="42"/>
      <c r="AO97" s="43"/>
      <c r="AP97" s="43"/>
      <c r="AQ97" s="43"/>
      <c r="AR97" s="44"/>
      <c r="AS97" s="44">
        <v>1</v>
      </c>
      <c r="AT97" s="44">
        <v>1</v>
      </c>
      <c r="AU97" s="42">
        <v>1</v>
      </c>
      <c r="AV97" s="42">
        <v>1</v>
      </c>
      <c r="AW97" s="34"/>
      <c r="AX97" s="44"/>
      <c r="AY97" s="44"/>
      <c r="AZ97" s="44"/>
      <c r="BA97" s="34">
        <v>1</v>
      </c>
      <c r="BB97" s="34">
        <v>1</v>
      </c>
      <c r="BC97" s="34"/>
    </row>
    <row r="98" spans="1:55" customFormat="1" ht="21" customHeight="1" x14ac:dyDescent="0.4">
      <c r="A98" s="22"/>
      <c r="B98" s="42" t="s">
        <v>259</v>
      </c>
      <c r="C98" s="42" t="s">
        <v>244</v>
      </c>
      <c r="D98" s="42" t="s">
        <v>389</v>
      </c>
      <c r="E98" s="42" t="s">
        <v>390</v>
      </c>
      <c r="F98" s="42"/>
      <c r="G98" s="42"/>
      <c r="H98" s="43"/>
      <c r="I98" s="43"/>
      <c r="J98" s="43"/>
      <c r="K98" s="44"/>
      <c r="L98" s="42">
        <v>1</v>
      </c>
      <c r="M98" s="42">
        <v>1</v>
      </c>
      <c r="N98" s="42">
        <v>1</v>
      </c>
      <c r="O98" s="42"/>
      <c r="P98" s="42">
        <v>1</v>
      </c>
      <c r="Q98" s="42">
        <v>1</v>
      </c>
      <c r="R98" s="42"/>
      <c r="S98" s="43"/>
      <c r="T98" s="43"/>
      <c r="U98" s="43"/>
      <c r="V98" s="44"/>
      <c r="W98" s="42"/>
      <c r="X98" s="42"/>
      <c r="Y98" s="42">
        <v>1</v>
      </c>
      <c r="Z98" s="42">
        <v>1</v>
      </c>
      <c r="AA98" s="42">
        <v>1</v>
      </c>
      <c r="AB98" s="42">
        <v>1</v>
      </c>
      <c r="AC98" s="42">
        <v>1</v>
      </c>
      <c r="AD98" s="43"/>
      <c r="AE98" s="43">
        <v>1</v>
      </c>
      <c r="AF98" s="43">
        <v>1</v>
      </c>
      <c r="AG98" s="44">
        <v>1</v>
      </c>
      <c r="AH98" s="42">
        <v>1</v>
      </c>
      <c r="AI98" s="42">
        <v>1</v>
      </c>
      <c r="AJ98" s="42">
        <v>1</v>
      </c>
      <c r="AK98" s="42">
        <v>1</v>
      </c>
      <c r="AL98" s="42">
        <v>1</v>
      </c>
      <c r="AM98" s="42">
        <v>1</v>
      </c>
      <c r="AN98" s="42"/>
      <c r="AO98" s="43"/>
      <c r="AP98" s="43"/>
      <c r="AQ98" s="43"/>
      <c r="AR98" s="44"/>
      <c r="AS98" s="44"/>
      <c r="AT98" s="44"/>
      <c r="AU98" s="42">
        <v>1</v>
      </c>
      <c r="AV98" s="42">
        <v>1</v>
      </c>
      <c r="AW98" s="34"/>
      <c r="AX98" s="44"/>
      <c r="AY98" s="44"/>
      <c r="AZ98" s="44"/>
      <c r="BA98" s="34">
        <v>1</v>
      </c>
      <c r="BB98" s="34">
        <v>1</v>
      </c>
      <c r="BC98" s="34"/>
    </row>
    <row r="99" spans="1:55" customFormat="1" ht="21" customHeight="1" x14ac:dyDescent="0.4">
      <c r="A99" s="22"/>
      <c r="B99" s="42" t="s">
        <v>259</v>
      </c>
      <c r="C99" s="42" t="s">
        <v>244</v>
      </c>
      <c r="D99" s="42" t="s">
        <v>391</v>
      </c>
      <c r="E99" s="42" t="s">
        <v>390</v>
      </c>
      <c r="F99" s="42"/>
      <c r="G99" s="42"/>
      <c r="H99" s="43"/>
      <c r="I99" s="43"/>
      <c r="J99" s="43"/>
      <c r="K99" s="44">
        <v>1</v>
      </c>
      <c r="L99" s="42">
        <v>1</v>
      </c>
      <c r="M99" s="42">
        <v>1</v>
      </c>
      <c r="N99" s="42">
        <v>1</v>
      </c>
      <c r="O99" s="42">
        <v>1</v>
      </c>
      <c r="P99" s="42">
        <v>1</v>
      </c>
      <c r="Q99" s="42"/>
      <c r="R99" s="42">
        <v>1</v>
      </c>
      <c r="S99" s="43"/>
      <c r="T99" s="43">
        <v>1</v>
      </c>
      <c r="U99" s="43">
        <v>1</v>
      </c>
      <c r="V99" s="44">
        <v>1</v>
      </c>
      <c r="W99" s="42">
        <v>1</v>
      </c>
      <c r="X99" s="42">
        <v>1</v>
      </c>
      <c r="Y99" s="42"/>
      <c r="Z99" s="42">
        <v>1</v>
      </c>
      <c r="AA99" s="42">
        <v>1</v>
      </c>
      <c r="AB99" s="42">
        <v>1</v>
      </c>
      <c r="AC99" s="42"/>
      <c r="AD99" s="43"/>
      <c r="AE99" s="43">
        <v>1</v>
      </c>
      <c r="AF99" s="43">
        <v>1</v>
      </c>
      <c r="AG99" s="44">
        <v>1</v>
      </c>
      <c r="AH99" s="44">
        <v>1</v>
      </c>
      <c r="AI99" s="42">
        <v>1</v>
      </c>
      <c r="AJ99" s="42">
        <v>1</v>
      </c>
      <c r="AK99" s="42"/>
      <c r="AL99" s="42"/>
      <c r="AM99" s="42"/>
      <c r="AN99" s="42"/>
      <c r="AO99" s="43"/>
      <c r="AP99" s="43"/>
      <c r="AQ99" s="43"/>
      <c r="AR99" s="44"/>
      <c r="AS99" s="44"/>
      <c r="AT99" s="44"/>
      <c r="AU99" s="42">
        <v>1</v>
      </c>
      <c r="AV99" s="42">
        <v>1</v>
      </c>
      <c r="AW99" s="34"/>
      <c r="AX99" s="44"/>
      <c r="AY99" s="44"/>
      <c r="AZ99" s="44"/>
      <c r="BA99" s="34">
        <v>1</v>
      </c>
      <c r="BB99" s="34">
        <v>1</v>
      </c>
      <c r="BC99" s="34"/>
    </row>
    <row r="100" spans="1:55" customFormat="1" ht="21" customHeight="1" x14ac:dyDescent="0.4">
      <c r="A100" s="22"/>
      <c r="B100" s="42" t="s">
        <v>259</v>
      </c>
      <c r="C100" s="42" t="s">
        <v>244</v>
      </c>
      <c r="D100" s="42" t="s">
        <v>392</v>
      </c>
      <c r="E100" s="42" t="s">
        <v>393</v>
      </c>
      <c r="F100" s="42"/>
      <c r="G100" s="42"/>
      <c r="H100" s="43">
        <v>1</v>
      </c>
      <c r="I100" s="43">
        <v>1</v>
      </c>
      <c r="J100" s="43">
        <v>1</v>
      </c>
      <c r="K100" s="44">
        <v>1</v>
      </c>
      <c r="L100" s="42">
        <v>1</v>
      </c>
      <c r="M100" s="42">
        <v>1</v>
      </c>
      <c r="N100" s="42"/>
      <c r="O100" s="42">
        <v>1</v>
      </c>
      <c r="P100" s="42">
        <v>1</v>
      </c>
      <c r="Q100" s="42">
        <v>1</v>
      </c>
      <c r="R100" s="42"/>
      <c r="S100" s="43">
        <v>1</v>
      </c>
      <c r="T100" s="43">
        <v>1</v>
      </c>
      <c r="U100" s="43">
        <v>1</v>
      </c>
      <c r="V100" s="44">
        <v>1</v>
      </c>
      <c r="W100" s="42">
        <v>1</v>
      </c>
      <c r="X100" s="42">
        <v>1</v>
      </c>
      <c r="Y100" s="42">
        <v>1</v>
      </c>
      <c r="Z100" s="42"/>
      <c r="AA100" s="42">
        <v>1</v>
      </c>
      <c r="AB100" s="42">
        <v>1</v>
      </c>
      <c r="AC100" s="42">
        <v>1</v>
      </c>
      <c r="AD100" s="43">
        <v>1</v>
      </c>
      <c r="AE100" s="43">
        <v>1</v>
      </c>
      <c r="AF100" s="43">
        <v>1</v>
      </c>
      <c r="AG100" s="43">
        <v>1</v>
      </c>
      <c r="AH100" s="42">
        <v>1</v>
      </c>
      <c r="AI100" s="42">
        <v>1</v>
      </c>
      <c r="AJ100" s="42">
        <v>1</v>
      </c>
      <c r="AK100" s="42">
        <v>1</v>
      </c>
      <c r="AL100" s="42">
        <v>1</v>
      </c>
      <c r="AM100" s="42">
        <v>1</v>
      </c>
      <c r="AN100" s="42"/>
      <c r="AO100" s="43"/>
      <c r="AP100" s="43"/>
      <c r="AQ100" s="43"/>
      <c r="AR100" s="44"/>
      <c r="AS100" s="44">
        <v>1</v>
      </c>
      <c r="AT100" s="44">
        <v>1</v>
      </c>
      <c r="AU100" s="42">
        <v>1</v>
      </c>
      <c r="AV100" s="42">
        <v>1</v>
      </c>
      <c r="AW100" s="34"/>
      <c r="AX100" s="44"/>
      <c r="AY100" s="44"/>
      <c r="AZ100" s="44"/>
      <c r="BA100" s="34">
        <v>1</v>
      </c>
      <c r="BB100" s="34">
        <v>1</v>
      </c>
      <c r="BC100" s="34"/>
    </row>
    <row r="101" spans="1:55" customFormat="1" ht="21" customHeight="1" x14ac:dyDescent="0.4">
      <c r="A101" s="22"/>
      <c r="B101" s="42" t="s">
        <v>259</v>
      </c>
      <c r="C101" s="42" t="s">
        <v>244</v>
      </c>
      <c r="D101" s="42" t="s">
        <v>394</v>
      </c>
      <c r="E101" s="42" t="s">
        <v>395</v>
      </c>
      <c r="F101" s="42"/>
      <c r="G101" s="42"/>
      <c r="H101" s="43"/>
      <c r="I101" s="43">
        <v>1</v>
      </c>
      <c r="J101" s="43">
        <v>1</v>
      </c>
      <c r="K101" s="44">
        <v>1</v>
      </c>
      <c r="L101" s="42">
        <v>1</v>
      </c>
      <c r="M101" s="42">
        <v>1</v>
      </c>
      <c r="N101" s="42">
        <v>1</v>
      </c>
      <c r="O101" s="42">
        <v>1</v>
      </c>
      <c r="P101" s="42">
        <v>1</v>
      </c>
      <c r="Q101" s="42">
        <v>1</v>
      </c>
      <c r="R101" s="42"/>
      <c r="S101" s="43">
        <v>1</v>
      </c>
      <c r="T101" s="43">
        <v>1</v>
      </c>
      <c r="U101" s="43">
        <v>1</v>
      </c>
      <c r="V101" s="44">
        <v>1</v>
      </c>
      <c r="W101" s="42">
        <v>1</v>
      </c>
      <c r="X101" s="42">
        <v>1</v>
      </c>
      <c r="Y101" s="42">
        <v>1</v>
      </c>
      <c r="Z101" s="42">
        <v>1</v>
      </c>
      <c r="AA101" s="42">
        <v>1</v>
      </c>
      <c r="AB101" s="42">
        <v>1</v>
      </c>
      <c r="AC101" s="42">
        <v>1</v>
      </c>
      <c r="AD101" s="43">
        <v>1</v>
      </c>
      <c r="AE101" s="43">
        <v>1</v>
      </c>
      <c r="AF101" s="43">
        <v>1</v>
      </c>
      <c r="AG101" s="44">
        <v>1</v>
      </c>
      <c r="AH101" s="42">
        <v>1</v>
      </c>
      <c r="AI101" s="42">
        <v>1</v>
      </c>
      <c r="AJ101" s="42">
        <v>1</v>
      </c>
      <c r="AK101" s="42">
        <v>1</v>
      </c>
      <c r="AL101" s="42">
        <v>1</v>
      </c>
      <c r="AM101" s="42">
        <v>1</v>
      </c>
      <c r="AN101" s="42"/>
      <c r="AO101" s="43"/>
      <c r="AP101" s="43"/>
      <c r="AQ101" s="43"/>
      <c r="AR101" s="44"/>
      <c r="AS101" s="44">
        <v>1</v>
      </c>
      <c r="AT101" s="44">
        <v>1</v>
      </c>
      <c r="AU101" s="42"/>
      <c r="AV101" s="42"/>
      <c r="AW101" s="34"/>
      <c r="AX101" s="44"/>
      <c r="AY101" s="44">
        <v>1</v>
      </c>
      <c r="AZ101" s="44"/>
      <c r="BA101" s="34">
        <v>1</v>
      </c>
      <c r="BB101" s="34">
        <v>1</v>
      </c>
      <c r="BC101" s="34"/>
    </row>
    <row r="102" spans="1:55" customFormat="1" ht="21" customHeight="1" x14ac:dyDescent="0.4">
      <c r="A102" s="22"/>
      <c r="B102" s="42" t="s">
        <v>259</v>
      </c>
      <c r="C102" s="42" t="s">
        <v>244</v>
      </c>
      <c r="D102" s="42" t="s">
        <v>396</v>
      </c>
      <c r="E102" s="42" t="s">
        <v>397</v>
      </c>
      <c r="F102" s="42"/>
      <c r="G102" s="42"/>
      <c r="H102" s="43">
        <v>1</v>
      </c>
      <c r="I102" s="43"/>
      <c r="J102" s="43"/>
      <c r="K102" s="44"/>
      <c r="L102" s="42">
        <v>1</v>
      </c>
      <c r="M102" s="42"/>
      <c r="N102" s="42">
        <v>1</v>
      </c>
      <c r="O102" s="42">
        <v>1</v>
      </c>
      <c r="P102" s="42">
        <v>1</v>
      </c>
      <c r="Q102" s="42">
        <v>1</v>
      </c>
      <c r="R102" s="42"/>
      <c r="S102" s="43">
        <v>1</v>
      </c>
      <c r="T102" s="43">
        <v>1</v>
      </c>
      <c r="U102" s="43">
        <v>1</v>
      </c>
      <c r="V102" s="44">
        <v>1</v>
      </c>
      <c r="W102" s="42">
        <v>1</v>
      </c>
      <c r="X102" s="42">
        <v>1</v>
      </c>
      <c r="Y102" s="42">
        <v>1</v>
      </c>
      <c r="Z102" s="42">
        <v>1</v>
      </c>
      <c r="AA102" s="42">
        <v>1</v>
      </c>
      <c r="AB102" s="42">
        <v>1</v>
      </c>
      <c r="AC102" s="42">
        <v>1</v>
      </c>
      <c r="AD102" s="43"/>
      <c r="AE102" s="43">
        <v>1</v>
      </c>
      <c r="AF102" s="42">
        <v>1</v>
      </c>
      <c r="AG102" s="44"/>
      <c r="AH102" s="42">
        <v>1</v>
      </c>
      <c r="AI102" s="42">
        <v>1</v>
      </c>
      <c r="AJ102" s="42">
        <v>1</v>
      </c>
      <c r="AK102" s="42"/>
      <c r="AL102" s="42">
        <v>1</v>
      </c>
      <c r="AM102" s="42">
        <v>1</v>
      </c>
      <c r="AN102" s="42"/>
      <c r="AO102" s="43"/>
      <c r="AP102" s="43"/>
      <c r="AQ102" s="43"/>
      <c r="AR102" s="44"/>
      <c r="AS102" s="44">
        <v>1</v>
      </c>
      <c r="AT102" s="44">
        <v>1</v>
      </c>
      <c r="AU102" s="42"/>
      <c r="AV102" s="42"/>
      <c r="AW102" s="34"/>
      <c r="AX102" s="44"/>
      <c r="AY102" s="44"/>
      <c r="AZ102" s="44"/>
      <c r="BA102" s="34">
        <v>1</v>
      </c>
      <c r="BB102" s="34">
        <v>1</v>
      </c>
      <c r="BC102" s="34"/>
    </row>
    <row r="103" spans="1:55" customFormat="1" ht="21" customHeight="1" x14ac:dyDescent="0.4">
      <c r="A103" s="22"/>
      <c r="B103" s="42" t="s">
        <v>259</v>
      </c>
      <c r="C103" s="42" t="s">
        <v>244</v>
      </c>
      <c r="D103" s="42" t="s">
        <v>398</v>
      </c>
      <c r="E103" s="42" t="s">
        <v>269</v>
      </c>
      <c r="F103" s="42"/>
      <c r="G103" s="42"/>
      <c r="H103" s="43"/>
      <c r="I103" s="43">
        <v>1</v>
      </c>
      <c r="J103" s="43">
        <v>1</v>
      </c>
      <c r="K103" s="44">
        <v>1</v>
      </c>
      <c r="L103" s="42">
        <v>1</v>
      </c>
      <c r="M103" s="42">
        <v>1</v>
      </c>
      <c r="N103" s="42">
        <v>1</v>
      </c>
      <c r="O103" s="42">
        <v>1</v>
      </c>
      <c r="P103" s="42">
        <v>1</v>
      </c>
      <c r="Q103" s="42">
        <v>1</v>
      </c>
      <c r="R103" s="42"/>
      <c r="S103" s="43">
        <v>1</v>
      </c>
      <c r="T103" s="43">
        <v>1</v>
      </c>
      <c r="U103" s="43">
        <v>1</v>
      </c>
      <c r="V103" s="44">
        <v>1</v>
      </c>
      <c r="W103" s="42">
        <v>1</v>
      </c>
      <c r="X103" s="42">
        <v>1</v>
      </c>
      <c r="Y103" s="42"/>
      <c r="Z103" s="42">
        <v>1</v>
      </c>
      <c r="AA103" s="42">
        <v>1</v>
      </c>
      <c r="AB103" s="42">
        <v>1</v>
      </c>
      <c r="AC103" s="42">
        <v>1</v>
      </c>
      <c r="AD103" s="43">
        <v>1</v>
      </c>
      <c r="AE103" s="43">
        <v>1</v>
      </c>
      <c r="AF103" s="43">
        <v>1</v>
      </c>
      <c r="AG103" s="44">
        <v>1</v>
      </c>
      <c r="AH103" s="44">
        <v>1</v>
      </c>
      <c r="AI103" s="42">
        <v>1</v>
      </c>
      <c r="AJ103" s="42">
        <v>1</v>
      </c>
      <c r="AK103" s="42">
        <v>1</v>
      </c>
      <c r="AL103" s="42">
        <v>1</v>
      </c>
      <c r="AM103" s="42">
        <v>1</v>
      </c>
      <c r="AN103" s="42"/>
      <c r="AO103" s="43"/>
      <c r="AP103" s="43">
        <v>1</v>
      </c>
      <c r="AQ103" s="43">
        <v>1</v>
      </c>
      <c r="AR103" s="44">
        <v>1</v>
      </c>
      <c r="AS103" s="44">
        <v>1</v>
      </c>
      <c r="AT103" s="44">
        <v>1</v>
      </c>
      <c r="AU103" s="42">
        <v>1</v>
      </c>
      <c r="AV103" s="42">
        <v>1</v>
      </c>
      <c r="AW103" s="44">
        <v>1</v>
      </c>
      <c r="AX103" s="44">
        <v>1</v>
      </c>
      <c r="AY103" s="44">
        <v>1</v>
      </c>
      <c r="AZ103" s="44"/>
      <c r="BA103" s="34">
        <v>1</v>
      </c>
      <c r="BB103" s="34">
        <v>1</v>
      </c>
      <c r="BC103" s="34">
        <v>1</v>
      </c>
    </row>
    <row r="104" spans="1:55" customFormat="1" ht="21" customHeight="1" x14ac:dyDescent="0.4">
      <c r="A104" s="22"/>
      <c r="B104" s="42" t="s">
        <v>259</v>
      </c>
      <c r="C104" s="42" t="s">
        <v>246</v>
      </c>
      <c r="D104" s="42" t="s">
        <v>399</v>
      </c>
      <c r="E104" s="42" t="s">
        <v>276</v>
      </c>
      <c r="F104" s="42"/>
      <c r="G104" s="42"/>
      <c r="H104" s="43"/>
      <c r="I104" s="43"/>
      <c r="J104" s="43"/>
      <c r="K104" s="44">
        <v>1</v>
      </c>
      <c r="L104" s="42"/>
      <c r="M104" s="42"/>
      <c r="N104" s="42">
        <v>1</v>
      </c>
      <c r="O104" s="42">
        <v>1</v>
      </c>
      <c r="P104" s="42"/>
      <c r="Q104" s="42">
        <v>1</v>
      </c>
      <c r="R104" s="42"/>
      <c r="S104" s="43"/>
      <c r="T104" s="43"/>
      <c r="U104" s="43"/>
      <c r="V104" s="44"/>
      <c r="W104" s="42"/>
      <c r="X104" s="42"/>
      <c r="Y104" s="42">
        <v>1</v>
      </c>
      <c r="Z104" s="42"/>
      <c r="AA104" s="42"/>
      <c r="AB104" s="42">
        <v>1</v>
      </c>
      <c r="AC104" s="42">
        <v>1</v>
      </c>
      <c r="AD104" s="43"/>
      <c r="AE104" s="43">
        <v>1</v>
      </c>
      <c r="AF104" s="43">
        <v>1</v>
      </c>
      <c r="AG104" s="44">
        <v>1</v>
      </c>
      <c r="AH104" s="44">
        <v>1</v>
      </c>
      <c r="AI104" s="44">
        <v>1</v>
      </c>
      <c r="AJ104" s="42">
        <v>1</v>
      </c>
      <c r="AK104" s="42"/>
      <c r="AL104" s="42"/>
      <c r="AM104" s="42">
        <v>1</v>
      </c>
      <c r="AN104" s="42"/>
      <c r="AO104" s="43"/>
      <c r="AP104" s="43"/>
      <c r="AQ104" s="43"/>
      <c r="AR104" s="44"/>
      <c r="AS104" s="44"/>
      <c r="AT104" s="44"/>
      <c r="AU104" s="42">
        <v>1</v>
      </c>
      <c r="AV104" s="42">
        <v>1</v>
      </c>
      <c r="AW104" s="34"/>
      <c r="AX104" s="44"/>
      <c r="AY104" s="44">
        <v>1</v>
      </c>
      <c r="AZ104" s="44">
        <v>1</v>
      </c>
      <c r="BA104" s="34">
        <v>1</v>
      </c>
      <c r="BB104" s="34">
        <v>1</v>
      </c>
      <c r="BC104" s="34">
        <v>1</v>
      </c>
    </row>
    <row r="105" spans="1:55" customFormat="1" ht="21" customHeight="1" x14ac:dyDescent="0.4">
      <c r="A105" s="22"/>
      <c r="B105" s="42" t="s">
        <v>259</v>
      </c>
      <c r="C105" s="42" t="s">
        <v>246</v>
      </c>
      <c r="D105" s="42" t="s">
        <v>400</v>
      </c>
      <c r="E105" s="42" t="s">
        <v>401</v>
      </c>
      <c r="F105" s="42"/>
      <c r="G105" s="42"/>
      <c r="H105" s="43">
        <v>1</v>
      </c>
      <c r="I105" s="43">
        <v>1</v>
      </c>
      <c r="J105" s="43">
        <v>1</v>
      </c>
      <c r="K105" s="44">
        <v>1</v>
      </c>
      <c r="L105" s="42">
        <v>1</v>
      </c>
      <c r="M105" s="42">
        <v>1</v>
      </c>
      <c r="N105" s="42">
        <v>1</v>
      </c>
      <c r="O105" s="42">
        <v>1</v>
      </c>
      <c r="P105" s="42">
        <v>1</v>
      </c>
      <c r="Q105" s="42">
        <v>1</v>
      </c>
      <c r="R105" s="42"/>
      <c r="S105" s="43"/>
      <c r="T105" s="43">
        <v>1</v>
      </c>
      <c r="U105" s="43">
        <v>1</v>
      </c>
      <c r="V105" s="44">
        <v>1</v>
      </c>
      <c r="W105" s="42"/>
      <c r="X105" s="42">
        <v>1</v>
      </c>
      <c r="Y105" s="42"/>
      <c r="Z105" s="42">
        <v>1</v>
      </c>
      <c r="AA105" s="42"/>
      <c r="AB105" s="42">
        <v>1</v>
      </c>
      <c r="AC105" s="42">
        <v>1</v>
      </c>
      <c r="AD105" s="43"/>
      <c r="AE105" s="43">
        <v>1</v>
      </c>
      <c r="AF105" s="43">
        <v>1</v>
      </c>
      <c r="AG105" s="44">
        <v>1</v>
      </c>
      <c r="AH105" s="42">
        <v>1</v>
      </c>
      <c r="AI105" s="42">
        <v>1</v>
      </c>
      <c r="AJ105" s="42">
        <v>1</v>
      </c>
      <c r="AK105" s="42">
        <v>1</v>
      </c>
      <c r="AL105" s="42">
        <v>1</v>
      </c>
      <c r="AM105" s="42">
        <v>1</v>
      </c>
      <c r="AN105" s="42"/>
      <c r="AO105" s="43"/>
      <c r="AP105" s="43"/>
      <c r="AQ105" s="43"/>
      <c r="AR105" s="44"/>
      <c r="AS105" s="44"/>
      <c r="AT105" s="44"/>
      <c r="AU105" s="42">
        <v>1</v>
      </c>
      <c r="AV105" s="42">
        <v>1</v>
      </c>
      <c r="AW105" s="34"/>
      <c r="AX105" s="44"/>
      <c r="AY105" s="44"/>
      <c r="AZ105" s="44"/>
      <c r="BA105" s="34">
        <v>1</v>
      </c>
      <c r="BB105" s="34">
        <v>1</v>
      </c>
      <c r="BC105" s="34"/>
    </row>
    <row r="106" spans="1:55" customFormat="1" ht="21" customHeight="1" x14ac:dyDescent="0.4">
      <c r="A106" s="22"/>
      <c r="B106" s="42" t="s">
        <v>259</v>
      </c>
      <c r="C106" s="42" t="s">
        <v>246</v>
      </c>
      <c r="D106" s="42" t="s">
        <v>402</v>
      </c>
      <c r="E106" s="42" t="s">
        <v>403</v>
      </c>
      <c r="F106" s="42"/>
      <c r="G106" s="42">
        <v>1</v>
      </c>
      <c r="H106" s="43">
        <v>1</v>
      </c>
      <c r="I106" s="43">
        <v>1</v>
      </c>
      <c r="J106" s="43">
        <v>1</v>
      </c>
      <c r="K106" s="44">
        <v>1</v>
      </c>
      <c r="L106" s="42">
        <v>1</v>
      </c>
      <c r="M106" s="42">
        <v>1</v>
      </c>
      <c r="N106" s="42">
        <v>1</v>
      </c>
      <c r="O106" s="42">
        <v>1</v>
      </c>
      <c r="P106" s="42">
        <v>1</v>
      </c>
      <c r="Q106" s="42">
        <v>1</v>
      </c>
      <c r="R106" s="42"/>
      <c r="S106" s="43">
        <v>1</v>
      </c>
      <c r="T106" s="43">
        <v>1</v>
      </c>
      <c r="U106" s="43">
        <v>1</v>
      </c>
      <c r="V106" s="44">
        <v>1</v>
      </c>
      <c r="W106" s="42">
        <v>1</v>
      </c>
      <c r="X106" s="42">
        <v>1</v>
      </c>
      <c r="Y106" s="42"/>
      <c r="Z106" s="42">
        <v>1</v>
      </c>
      <c r="AA106" s="42">
        <v>1</v>
      </c>
      <c r="AB106" s="42">
        <v>1</v>
      </c>
      <c r="AC106" s="42"/>
      <c r="AD106" s="43">
        <v>1</v>
      </c>
      <c r="AE106" s="43">
        <v>1</v>
      </c>
      <c r="AF106" s="43">
        <v>1</v>
      </c>
      <c r="AG106" s="44">
        <v>1</v>
      </c>
      <c r="AH106" s="42">
        <v>1</v>
      </c>
      <c r="AI106" s="42">
        <v>1</v>
      </c>
      <c r="AJ106" s="42">
        <v>1</v>
      </c>
      <c r="AK106" s="42"/>
      <c r="AL106" s="42">
        <v>1</v>
      </c>
      <c r="AM106" s="42">
        <v>1</v>
      </c>
      <c r="AN106" s="42"/>
      <c r="AO106" s="43"/>
      <c r="AP106" s="43">
        <v>1</v>
      </c>
      <c r="AQ106" s="43">
        <v>1</v>
      </c>
      <c r="AR106" s="44">
        <v>1</v>
      </c>
      <c r="AS106" s="44">
        <v>1</v>
      </c>
      <c r="AT106" s="44"/>
      <c r="AU106" s="42"/>
      <c r="AV106" s="42"/>
      <c r="AW106" s="34"/>
      <c r="AX106" s="44"/>
      <c r="AY106" s="44"/>
      <c r="AZ106" s="44"/>
      <c r="BA106" s="34">
        <v>1</v>
      </c>
      <c r="BB106" s="34">
        <v>1</v>
      </c>
      <c r="BC106" s="34"/>
    </row>
    <row r="107" spans="1:55" customFormat="1" ht="21" customHeight="1" x14ac:dyDescent="0.4">
      <c r="A107" s="22"/>
      <c r="B107" s="42" t="s">
        <v>259</v>
      </c>
      <c r="C107" s="42" t="s">
        <v>246</v>
      </c>
      <c r="D107" s="42" t="s">
        <v>404</v>
      </c>
      <c r="E107" s="42" t="s">
        <v>276</v>
      </c>
      <c r="F107" s="42"/>
      <c r="G107" s="42"/>
      <c r="H107" s="43"/>
      <c r="I107" s="43">
        <v>1</v>
      </c>
      <c r="J107" s="43">
        <v>1</v>
      </c>
      <c r="K107" s="44">
        <v>1</v>
      </c>
      <c r="L107" s="42">
        <v>1</v>
      </c>
      <c r="M107" s="42">
        <v>1</v>
      </c>
      <c r="N107" s="42"/>
      <c r="O107" s="42">
        <v>1</v>
      </c>
      <c r="P107" s="42">
        <v>1</v>
      </c>
      <c r="Q107" s="42">
        <v>1</v>
      </c>
      <c r="R107" s="42"/>
      <c r="S107" s="43">
        <v>1</v>
      </c>
      <c r="T107" s="43">
        <v>1</v>
      </c>
      <c r="U107" s="43">
        <v>1</v>
      </c>
      <c r="V107" s="44">
        <v>1</v>
      </c>
      <c r="W107" s="42">
        <v>1</v>
      </c>
      <c r="X107" s="42">
        <v>1</v>
      </c>
      <c r="Y107" s="42">
        <v>1</v>
      </c>
      <c r="Z107" s="42">
        <v>1</v>
      </c>
      <c r="AA107" s="42">
        <v>1</v>
      </c>
      <c r="AB107" s="42"/>
      <c r="AC107" s="42">
        <v>1</v>
      </c>
      <c r="AD107" s="43">
        <v>1</v>
      </c>
      <c r="AE107" s="43">
        <v>1</v>
      </c>
      <c r="AF107" s="43">
        <v>1</v>
      </c>
      <c r="AG107" s="44">
        <v>1</v>
      </c>
      <c r="AH107" s="42">
        <v>1</v>
      </c>
      <c r="AI107" s="42">
        <v>1</v>
      </c>
      <c r="AJ107" s="42">
        <v>1</v>
      </c>
      <c r="AK107" s="42">
        <v>1</v>
      </c>
      <c r="AL107" s="42">
        <v>1</v>
      </c>
      <c r="AM107" s="42">
        <v>1</v>
      </c>
      <c r="AN107" s="42"/>
      <c r="AO107" s="43"/>
      <c r="AP107" s="43">
        <v>1</v>
      </c>
      <c r="AQ107" s="43">
        <v>1</v>
      </c>
      <c r="AR107" s="44">
        <v>1</v>
      </c>
      <c r="AS107" s="44"/>
      <c r="AT107" s="44"/>
      <c r="AU107" s="42"/>
      <c r="AV107" s="42"/>
      <c r="AW107" s="34">
        <v>1</v>
      </c>
      <c r="AX107" s="44">
        <v>1</v>
      </c>
      <c r="AY107" s="44">
        <v>1</v>
      </c>
      <c r="AZ107" s="44"/>
      <c r="BA107" s="34">
        <v>1</v>
      </c>
      <c r="BB107" s="34">
        <v>1</v>
      </c>
      <c r="BC107" s="34">
        <v>1</v>
      </c>
    </row>
    <row r="108" spans="1:55" customFormat="1" ht="21" customHeight="1" x14ac:dyDescent="0.4">
      <c r="A108" s="22"/>
      <c r="B108" s="42" t="s">
        <v>259</v>
      </c>
      <c r="C108" s="42" t="s">
        <v>247</v>
      </c>
      <c r="D108" s="42" t="s">
        <v>405</v>
      </c>
      <c r="E108" s="42" t="s">
        <v>276</v>
      </c>
      <c r="F108" s="42"/>
      <c r="G108" s="42"/>
      <c r="H108" s="43"/>
      <c r="I108" s="43"/>
      <c r="J108" s="43"/>
      <c r="K108" s="44"/>
      <c r="L108" s="42">
        <v>1</v>
      </c>
      <c r="M108" s="42">
        <v>1</v>
      </c>
      <c r="N108" s="42">
        <v>1</v>
      </c>
      <c r="O108" s="42">
        <v>1</v>
      </c>
      <c r="P108" s="42"/>
      <c r="Q108" s="42">
        <v>1</v>
      </c>
      <c r="R108" s="42"/>
      <c r="S108" s="43"/>
      <c r="T108" s="43"/>
      <c r="U108" s="43"/>
      <c r="V108" s="44"/>
      <c r="W108" s="42">
        <v>1</v>
      </c>
      <c r="X108" s="42">
        <v>1</v>
      </c>
      <c r="Y108" s="42"/>
      <c r="Z108" s="42"/>
      <c r="AA108" s="42"/>
      <c r="AB108" s="42"/>
      <c r="AC108" s="42">
        <v>1</v>
      </c>
      <c r="AD108" s="43"/>
      <c r="AE108" s="43"/>
      <c r="AF108" s="43"/>
      <c r="AG108" s="44">
        <v>1</v>
      </c>
      <c r="AH108" s="42"/>
      <c r="AI108" s="42">
        <v>1</v>
      </c>
      <c r="AJ108" s="42">
        <v>1</v>
      </c>
      <c r="AK108" s="42">
        <v>1</v>
      </c>
      <c r="AL108" s="42">
        <v>1</v>
      </c>
      <c r="AM108" s="42">
        <v>1</v>
      </c>
      <c r="AN108" s="42"/>
      <c r="AO108" s="43"/>
      <c r="AP108" s="43"/>
      <c r="AQ108" s="43"/>
      <c r="AR108" s="44"/>
      <c r="AS108" s="44"/>
      <c r="AT108" s="44"/>
      <c r="AU108" s="42">
        <v>1</v>
      </c>
      <c r="AV108" s="42">
        <v>1</v>
      </c>
      <c r="AW108" s="34"/>
      <c r="AX108" s="44"/>
      <c r="AY108" s="44"/>
      <c r="AZ108" s="44">
        <v>1</v>
      </c>
      <c r="BA108" s="34"/>
      <c r="BB108" s="34">
        <v>1</v>
      </c>
      <c r="BC108" s="34"/>
    </row>
    <row r="109" spans="1:55" customFormat="1" ht="21" customHeight="1" x14ac:dyDescent="0.4">
      <c r="A109" s="22"/>
      <c r="B109" s="42" t="s">
        <v>259</v>
      </c>
      <c r="C109" s="42" t="s">
        <v>246</v>
      </c>
      <c r="D109" s="42" t="s">
        <v>406</v>
      </c>
      <c r="E109" s="42" t="s">
        <v>407</v>
      </c>
      <c r="F109" s="42"/>
      <c r="G109" s="42"/>
      <c r="H109" s="43"/>
      <c r="I109" s="43"/>
      <c r="J109" s="43"/>
      <c r="K109" s="44">
        <v>1</v>
      </c>
      <c r="L109" s="42">
        <v>1</v>
      </c>
      <c r="M109" s="42">
        <v>1</v>
      </c>
      <c r="N109" s="42">
        <v>1</v>
      </c>
      <c r="O109" s="42">
        <v>1</v>
      </c>
      <c r="P109" s="42">
        <v>1</v>
      </c>
      <c r="Q109" s="42">
        <v>1</v>
      </c>
      <c r="R109" s="42"/>
      <c r="S109" s="43"/>
      <c r="T109" s="43">
        <v>1</v>
      </c>
      <c r="U109" s="43">
        <v>1</v>
      </c>
      <c r="V109" s="44">
        <v>1</v>
      </c>
      <c r="W109" s="42">
        <v>1</v>
      </c>
      <c r="X109" s="42">
        <v>1</v>
      </c>
      <c r="Y109" s="42"/>
      <c r="Z109" s="42">
        <v>1</v>
      </c>
      <c r="AA109" s="42">
        <v>1</v>
      </c>
      <c r="AB109" s="42">
        <v>1</v>
      </c>
      <c r="AC109" s="42">
        <v>1</v>
      </c>
      <c r="AD109" s="43"/>
      <c r="AE109" s="43">
        <v>1</v>
      </c>
      <c r="AF109" s="43">
        <v>1</v>
      </c>
      <c r="AG109" s="44">
        <v>1</v>
      </c>
      <c r="AH109" s="42">
        <v>1</v>
      </c>
      <c r="AI109" s="42">
        <v>1</v>
      </c>
      <c r="AJ109" s="42">
        <v>1</v>
      </c>
      <c r="AK109" s="42">
        <v>1</v>
      </c>
      <c r="AL109" s="42">
        <v>1</v>
      </c>
      <c r="AM109" s="42">
        <v>1</v>
      </c>
      <c r="AN109" s="42"/>
      <c r="AO109" s="43">
        <v>1</v>
      </c>
      <c r="AP109" s="43"/>
      <c r="AQ109" s="43">
        <v>1</v>
      </c>
      <c r="AR109" s="44">
        <v>1</v>
      </c>
      <c r="AS109" s="44"/>
      <c r="AT109" s="44">
        <v>1</v>
      </c>
      <c r="AU109" s="42">
        <v>1</v>
      </c>
      <c r="AV109" s="42">
        <v>1</v>
      </c>
      <c r="AW109" s="34"/>
      <c r="AX109" s="44"/>
      <c r="AY109" s="44">
        <v>1</v>
      </c>
      <c r="AZ109" s="44">
        <v>1</v>
      </c>
      <c r="BA109" s="34">
        <v>1</v>
      </c>
      <c r="BB109" s="34">
        <v>1</v>
      </c>
      <c r="BC109" s="34"/>
    </row>
    <row r="110" spans="1:55" customFormat="1" ht="21" customHeight="1" x14ac:dyDescent="0.4">
      <c r="A110" s="22"/>
      <c r="B110" s="42" t="s">
        <v>259</v>
      </c>
      <c r="C110" s="42" t="s">
        <v>255</v>
      </c>
      <c r="D110" s="42" t="s">
        <v>408</v>
      </c>
      <c r="E110" s="42" t="s">
        <v>409</v>
      </c>
      <c r="F110" s="42"/>
      <c r="G110" s="42"/>
      <c r="H110" s="43"/>
      <c r="I110" s="43"/>
      <c r="J110" s="43"/>
      <c r="K110" s="44">
        <v>1</v>
      </c>
      <c r="L110" s="42">
        <v>1</v>
      </c>
      <c r="M110" s="42">
        <v>1</v>
      </c>
      <c r="N110" s="42">
        <v>1</v>
      </c>
      <c r="O110" s="42"/>
      <c r="P110" s="42"/>
      <c r="Q110" s="42"/>
      <c r="R110" s="42"/>
      <c r="S110" s="43"/>
      <c r="T110" s="43">
        <v>1</v>
      </c>
      <c r="U110" s="43">
        <v>1</v>
      </c>
      <c r="V110" s="44"/>
      <c r="W110" s="42"/>
      <c r="X110" s="42"/>
      <c r="Y110" s="42">
        <v>1</v>
      </c>
      <c r="Z110" s="42"/>
      <c r="AA110" s="42"/>
      <c r="AB110" s="42"/>
      <c r="AC110" s="42">
        <v>1</v>
      </c>
      <c r="AD110" s="43"/>
      <c r="AE110" s="43"/>
      <c r="AF110" s="43"/>
      <c r="AG110" s="44"/>
      <c r="AH110" s="42"/>
      <c r="AI110" s="42"/>
      <c r="AJ110" s="42"/>
      <c r="AK110" s="42"/>
      <c r="AL110" s="42"/>
      <c r="AM110" s="42"/>
      <c r="AN110" s="42"/>
      <c r="AO110" s="43"/>
      <c r="AP110" s="43"/>
      <c r="AQ110" s="43"/>
      <c r="AR110" s="44"/>
      <c r="AS110" s="44"/>
      <c r="AT110" s="44"/>
      <c r="AU110" s="42"/>
      <c r="AV110" s="42"/>
      <c r="AW110" s="34">
        <v>1</v>
      </c>
      <c r="AX110" s="44">
        <v>1</v>
      </c>
      <c r="AY110" s="44"/>
      <c r="AZ110" s="44">
        <v>1</v>
      </c>
      <c r="BA110" s="34">
        <v>1</v>
      </c>
      <c r="BB110" s="34">
        <v>1</v>
      </c>
      <c r="BC110" s="34"/>
    </row>
    <row r="111" spans="1:55" customFormat="1" ht="21" customHeight="1" x14ac:dyDescent="0.4">
      <c r="A111" s="22"/>
      <c r="B111" s="42" t="s">
        <v>259</v>
      </c>
      <c r="C111" s="42" t="s">
        <v>255</v>
      </c>
      <c r="D111" s="42" t="s">
        <v>410</v>
      </c>
      <c r="E111" s="42" t="s">
        <v>411</v>
      </c>
      <c r="F111" s="42"/>
      <c r="G111" s="42"/>
      <c r="H111" s="43"/>
      <c r="I111" s="43">
        <v>1</v>
      </c>
      <c r="J111" s="43">
        <v>1</v>
      </c>
      <c r="K111" s="44"/>
      <c r="L111" s="42"/>
      <c r="M111" s="42">
        <v>1</v>
      </c>
      <c r="N111" s="42">
        <v>1</v>
      </c>
      <c r="O111" s="42">
        <v>1</v>
      </c>
      <c r="P111" s="42">
        <v>1</v>
      </c>
      <c r="Q111" s="42">
        <v>1</v>
      </c>
      <c r="R111" s="42"/>
      <c r="S111" s="43"/>
      <c r="T111" s="43"/>
      <c r="U111" s="43"/>
      <c r="V111" s="44">
        <v>1</v>
      </c>
      <c r="W111" s="42"/>
      <c r="X111" s="42"/>
      <c r="Y111" s="42"/>
      <c r="Z111" s="42">
        <v>1</v>
      </c>
      <c r="AA111" s="42">
        <v>1</v>
      </c>
      <c r="AB111" s="42"/>
      <c r="AC111" s="42">
        <v>1</v>
      </c>
      <c r="AD111" s="43"/>
      <c r="AE111" s="43"/>
      <c r="AF111" s="42">
        <v>1</v>
      </c>
      <c r="AG111" s="44">
        <v>1</v>
      </c>
      <c r="AH111" s="42">
        <v>1</v>
      </c>
      <c r="AI111" s="42">
        <v>1</v>
      </c>
      <c r="AJ111" s="42">
        <v>1</v>
      </c>
      <c r="AK111" s="42">
        <v>1</v>
      </c>
      <c r="AL111" s="42">
        <v>1</v>
      </c>
      <c r="AM111" s="42">
        <v>1</v>
      </c>
      <c r="AN111" s="42"/>
      <c r="AO111" s="43"/>
      <c r="AP111" s="43"/>
      <c r="AQ111" s="43"/>
      <c r="AR111" s="44"/>
      <c r="AS111" s="44"/>
      <c r="AT111" s="44"/>
      <c r="AU111" s="42">
        <v>1</v>
      </c>
      <c r="AV111" s="42">
        <v>1</v>
      </c>
      <c r="AW111" s="34"/>
      <c r="AX111" s="44"/>
      <c r="AY111" s="44">
        <v>1</v>
      </c>
      <c r="AZ111" s="44">
        <v>1</v>
      </c>
      <c r="BA111" s="34">
        <v>1</v>
      </c>
      <c r="BB111" s="34">
        <v>1</v>
      </c>
      <c r="BC111" s="34"/>
    </row>
    <row r="112" spans="1:55" customFormat="1" ht="21" customHeight="1" x14ac:dyDescent="0.4">
      <c r="A112" s="22"/>
      <c r="B112" s="42" t="s">
        <v>259</v>
      </c>
      <c r="C112" s="42" t="s">
        <v>255</v>
      </c>
      <c r="D112" s="42" t="s">
        <v>412</v>
      </c>
      <c r="E112" s="42" t="s">
        <v>375</v>
      </c>
      <c r="F112" s="42"/>
      <c r="G112" s="42"/>
      <c r="H112" s="43"/>
      <c r="I112" s="43"/>
      <c r="J112" s="43"/>
      <c r="K112" s="44"/>
      <c r="L112" s="42">
        <v>1</v>
      </c>
      <c r="M112" s="42"/>
      <c r="N112" s="42"/>
      <c r="O112" s="42">
        <v>1</v>
      </c>
      <c r="P112" s="42"/>
      <c r="Q112" s="42"/>
      <c r="R112" s="42">
        <v>1</v>
      </c>
      <c r="S112" s="43"/>
      <c r="T112" s="43">
        <v>1</v>
      </c>
      <c r="U112" s="43">
        <v>1</v>
      </c>
      <c r="V112" s="44"/>
      <c r="W112" s="42"/>
      <c r="X112" s="42"/>
      <c r="Y112" s="42"/>
      <c r="Z112" s="42"/>
      <c r="AA112" s="42"/>
      <c r="AB112" s="42"/>
      <c r="AC112" s="42"/>
      <c r="AD112" s="43"/>
      <c r="AE112" s="43"/>
      <c r="AF112" s="42"/>
      <c r="AG112" s="44"/>
      <c r="AH112" s="42"/>
      <c r="AI112" s="42">
        <v>1</v>
      </c>
      <c r="AJ112" s="42"/>
      <c r="AK112" s="42"/>
      <c r="AL112" s="42"/>
      <c r="AM112" s="42"/>
      <c r="AN112" s="42"/>
      <c r="AO112" s="43"/>
      <c r="AP112" s="43"/>
      <c r="AQ112" s="43"/>
      <c r="AR112" s="44"/>
      <c r="AS112" s="44"/>
      <c r="AT112" s="44"/>
      <c r="AU112" s="42"/>
      <c r="AV112" s="42"/>
      <c r="AW112" s="34"/>
      <c r="AX112" s="44"/>
      <c r="AY112" s="44"/>
      <c r="AZ112" s="44"/>
      <c r="BA112" s="34">
        <v>1</v>
      </c>
      <c r="BB112" s="34"/>
      <c r="BC112" s="34"/>
    </row>
    <row r="113" spans="1:55" customFormat="1" ht="21" customHeight="1" x14ac:dyDescent="0.4">
      <c r="A113" s="22"/>
      <c r="B113" s="42" t="s">
        <v>259</v>
      </c>
      <c r="C113" s="42" t="s">
        <v>255</v>
      </c>
      <c r="D113" s="42" t="s">
        <v>413</v>
      </c>
      <c r="E113" s="42" t="s">
        <v>414</v>
      </c>
      <c r="F113" s="42"/>
      <c r="G113" s="42"/>
      <c r="H113" s="43"/>
      <c r="I113" s="43">
        <v>1</v>
      </c>
      <c r="J113" s="43">
        <v>1</v>
      </c>
      <c r="K113" s="44">
        <v>1</v>
      </c>
      <c r="L113" s="42">
        <v>1</v>
      </c>
      <c r="M113" s="42">
        <v>1</v>
      </c>
      <c r="N113" s="42"/>
      <c r="O113" s="42">
        <v>1</v>
      </c>
      <c r="P113" s="42">
        <v>1</v>
      </c>
      <c r="Q113" s="42">
        <v>1</v>
      </c>
      <c r="R113" s="42"/>
      <c r="S113" s="43"/>
      <c r="T113" s="43"/>
      <c r="U113" s="43"/>
      <c r="V113" s="44"/>
      <c r="W113" s="42">
        <v>1</v>
      </c>
      <c r="X113" s="42"/>
      <c r="Y113" s="42"/>
      <c r="Z113" s="42">
        <v>1</v>
      </c>
      <c r="AA113" s="42"/>
      <c r="AB113" s="42"/>
      <c r="AC113" s="42">
        <v>1</v>
      </c>
      <c r="AD113" s="43"/>
      <c r="AE113" s="43"/>
      <c r="AF113" s="42">
        <v>1</v>
      </c>
      <c r="AG113" s="44">
        <v>1</v>
      </c>
      <c r="AH113" s="42">
        <v>1</v>
      </c>
      <c r="AI113" s="42">
        <v>1</v>
      </c>
      <c r="AJ113" s="42"/>
      <c r="AK113" s="42">
        <v>1</v>
      </c>
      <c r="AL113" s="42">
        <v>1</v>
      </c>
      <c r="AM113" s="42">
        <v>1</v>
      </c>
      <c r="AN113" s="42"/>
      <c r="AO113" s="43"/>
      <c r="AP113" s="43"/>
      <c r="AQ113" s="43"/>
      <c r="AR113" s="44"/>
      <c r="AS113" s="44"/>
      <c r="AT113" s="44"/>
      <c r="AU113" s="42"/>
      <c r="AV113" s="42"/>
      <c r="AW113" s="34"/>
      <c r="AX113" s="44"/>
      <c r="AY113" s="44"/>
      <c r="AZ113" s="44"/>
      <c r="BA113" s="34">
        <v>1</v>
      </c>
      <c r="BB113" s="34">
        <v>1</v>
      </c>
      <c r="BC113" s="34"/>
    </row>
    <row r="114" spans="1:55" customFormat="1" ht="21" customHeight="1" x14ac:dyDescent="0.4">
      <c r="A114" s="22"/>
      <c r="B114" s="42" t="s">
        <v>259</v>
      </c>
      <c r="C114" s="42" t="s">
        <v>255</v>
      </c>
      <c r="D114" s="42" t="s">
        <v>415</v>
      </c>
      <c r="E114" s="42" t="s">
        <v>416</v>
      </c>
      <c r="F114" s="42"/>
      <c r="G114" s="42"/>
      <c r="H114" s="43"/>
      <c r="I114" s="43"/>
      <c r="J114" s="43"/>
      <c r="K114" s="44"/>
      <c r="L114" s="42"/>
      <c r="M114" s="42"/>
      <c r="N114" s="42"/>
      <c r="O114" s="42"/>
      <c r="P114" s="42"/>
      <c r="Q114" s="42"/>
      <c r="R114" s="42"/>
      <c r="S114" s="43"/>
      <c r="T114" s="43"/>
      <c r="U114" s="43"/>
      <c r="V114" s="44"/>
      <c r="W114" s="42"/>
      <c r="X114" s="42"/>
      <c r="Y114" s="42"/>
      <c r="Z114" s="42"/>
      <c r="AA114" s="42"/>
      <c r="AB114" s="42"/>
      <c r="AC114" s="42">
        <v>1</v>
      </c>
      <c r="AD114" s="43"/>
      <c r="AE114" s="43"/>
      <c r="AF114" s="42">
        <v>1</v>
      </c>
      <c r="AG114" s="44"/>
      <c r="AH114" s="42">
        <v>1</v>
      </c>
      <c r="AI114" s="42">
        <v>1</v>
      </c>
      <c r="AJ114" s="42"/>
      <c r="AK114" s="42"/>
      <c r="AL114" s="42"/>
      <c r="AM114" s="42"/>
      <c r="AN114" s="42"/>
      <c r="AO114" s="43"/>
      <c r="AP114" s="43"/>
      <c r="AQ114" s="43"/>
      <c r="AR114" s="44"/>
      <c r="AS114" s="44"/>
      <c r="AT114" s="44"/>
      <c r="AU114" s="42"/>
      <c r="AV114" s="42"/>
      <c r="AW114" s="34"/>
      <c r="AX114" s="44"/>
      <c r="AY114" s="44"/>
      <c r="AZ114" s="44"/>
      <c r="BA114" s="34"/>
      <c r="BB114" s="34"/>
      <c r="BC114" s="34"/>
    </row>
    <row r="115" spans="1:55" customFormat="1" ht="21" customHeight="1" x14ac:dyDescent="0.4">
      <c r="A115" s="22"/>
      <c r="B115" s="42" t="s">
        <v>259</v>
      </c>
      <c r="C115" s="42" t="s">
        <v>255</v>
      </c>
      <c r="D115" s="42" t="s">
        <v>417</v>
      </c>
      <c r="E115" s="42" t="s">
        <v>369</v>
      </c>
      <c r="F115" s="42"/>
      <c r="G115" s="42"/>
      <c r="H115" s="43"/>
      <c r="I115" s="43"/>
      <c r="J115" s="43"/>
      <c r="K115" s="44"/>
      <c r="L115" s="42"/>
      <c r="M115" s="42"/>
      <c r="N115" s="42"/>
      <c r="O115" s="42"/>
      <c r="P115" s="42"/>
      <c r="Q115" s="42"/>
      <c r="R115" s="42"/>
      <c r="S115" s="43"/>
      <c r="T115" s="43"/>
      <c r="U115" s="43"/>
      <c r="V115" s="44"/>
      <c r="W115" s="42"/>
      <c r="X115" s="42"/>
      <c r="Y115" s="42"/>
      <c r="Z115" s="42"/>
      <c r="AA115" s="42"/>
      <c r="AB115" s="42"/>
      <c r="AC115" s="42"/>
      <c r="AD115" s="43"/>
      <c r="AE115" s="43"/>
      <c r="AF115" s="43"/>
      <c r="AG115" s="44"/>
      <c r="AH115" s="42"/>
      <c r="AI115" s="42"/>
      <c r="AJ115" s="42"/>
      <c r="AK115" s="42"/>
      <c r="AL115" s="42"/>
      <c r="AM115" s="42"/>
      <c r="AN115" s="42">
        <v>1</v>
      </c>
      <c r="AO115" s="43"/>
      <c r="AP115" s="43"/>
      <c r="AQ115" s="43"/>
      <c r="AR115" s="44"/>
      <c r="AS115" s="44"/>
      <c r="AT115" s="44"/>
      <c r="AU115" s="42"/>
      <c r="AV115" s="42"/>
      <c r="AW115" s="34"/>
      <c r="AX115" s="44"/>
      <c r="AY115" s="44">
        <v>1</v>
      </c>
      <c r="AZ115" s="44"/>
      <c r="BA115" s="34"/>
      <c r="BB115" s="34"/>
      <c r="BC115" s="34"/>
    </row>
    <row r="116" spans="1:55" customFormat="1" ht="21" customHeight="1" x14ac:dyDescent="0.4">
      <c r="A116" s="22"/>
      <c r="B116" s="42" t="s">
        <v>259</v>
      </c>
      <c r="C116" s="42" t="s">
        <v>255</v>
      </c>
      <c r="D116" s="42" t="s">
        <v>418</v>
      </c>
      <c r="E116" s="42" t="s">
        <v>419</v>
      </c>
      <c r="F116" s="42"/>
      <c r="G116" s="42"/>
      <c r="H116" s="43"/>
      <c r="I116" s="43"/>
      <c r="J116" s="43"/>
      <c r="K116" s="44">
        <v>1</v>
      </c>
      <c r="L116" s="42">
        <v>1</v>
      </c>
      <c r="M116" s="42">
        <v>1</v>
      </c>
      <c r="N116" s="42"/>
      <c r="O116" s="42"/>
      <c r="P116" s="42"/>
      <c r="Q116" s="42">
        <v>1</v>
      </c>
      <c r="R116" s="42"/>
      <c r="S116" s="43"/>
      <c r="T116" s="43"/>
      <c r="U116" s="43"/>
      <c r="V116" s="44"/>
      <c r="W116" s="42"/>
      <c r="X116" s="42"/>
      <c r="Y116" s="42"/>
      <c r="Z116" s="42"/>
      <c r="AA116" s="42"/>
      <c r="AB116" s="42"/>
      <c r="AC116" s="42"/>
      <c r="AD116" s="43"/>
      <c r="AE116" s="43"/>
      <c r="AF116" s="43"/>
      <c r="AG116" s="44">
        <v>1</v>
      </c>
      <c r="AH116" s="42">
        <v>1</v>
      </c>
      <c r="AI116" s="42">
        <v>1</v>
      </c>
      <c r="AJ116" s="42">
        <v>1</v>
      </c>
      <c r="AK116" s="42">
        <v>1</v>
      </c>
      <c r="AL116" s="42"/>
      <c r="AM116" s="42">
        <v>1</v>
      </c>
      <c r="AN116" s="42">
        <v>1</v>
      </c>
      <c r="AO116" s="43"/>
      <c r="AP116" s="43"/>
      <c r="AQ116" s="43"/>
      <c r="AR116" s="44"/>
      <c r="AS116" s="44"/>
      <c r="AT116" s="44"/>
      <c r="AU116" s="42"/>
      <c r="AV116" s="42"/>
      <c r="AW116" s="34"/>
      <c r="AX116" s="44"/>
      <c r="AY116" s="44">
        <v>1</v>
      </c>
      <c r="AZ116" s="44">
        <v>1</v>
      </c>
      <c r="BA116" s="34"/>
      <c r="BB116" s="34"/>
      <c r="BC116" s="34"/>
    </row>
    <row r="117" spans="1:55" customFormat="1" ht="21" customHeight="1" x14ac:dyDescent="0.4">
      <c r="A117" s="22"/>
      <c r="B117" s="42" t="s">
        <v>259</v>
      </c>
      <c r="C117" s="42" t="s">
        <v>255</v>
      </c>
      <c r="D117" s="42" t="s">
        <v>420</v>
      </c>
      <c r="E117" s="42" t="s">
        <v>287</v>
      </c>
      <c r="F117" s="42"/>
      <c r="G117" s="42"/>
      <c r="H117" s="43"/>
      <c r="I117" s="43"/>
      <c r="J117" s="43"/>
      <c r="K117" s="44">
        <v>1</v>
      </c>
      <c r="L117" s="42"/>
      <c r="M117" s="42"/>
      <c r="N117" s="42"/>
      <c r="O117" s="42">
        <v>1</v>
      </c>
      <c r="P117" s="42"/>
      <c r="Q117" s="42"/>
      <c r="R117" s="42"/>
      <c r="S117" s="43"/>
      <c r="T117" s="43"/>
      <c r="U117" s="43"/>
      <c r="V117" s="44">
        <v>1</v>
      </c>
      <c r="W117" s="42"/>
      <c r="X117" s="42"/>
      <c r="Y117" s="42">
        <v>1</v>
      </c>
      <c r="Z117" s="42"/>
      <c r="AA117" s="42"/>
      <c r="AB117" s="42"/>
      <c r="AC117" s="42">
        <v>1</v>
      </c>
      <c r="AD117" s="43"/>
      <c r="AE117" s="43"/>
      <c r="AF117" s="43"/>
      <c r="AG117" s="44"/>
      <c r="AH117" s="42"/>
      <c r="AI117" s="42"/>
      <c r="AJ117" s="42"/>
      <c r="AK117" s="42"/>
      <c r="AL117" s="42"/>
      <c r="AM117" s="42"/>
      <c r="AN117" s="42"/>
      <c r="AO117" s="43"/>
      <c r="AP117" s="43">
        <v>1</v>
      </c>
      <c r="AQ117" s="43">
        <v>1</v>
      </c>
      <c r="AR117" s="44"/>
      <c r="AS117" s="44"/>
      <c r="AT117" s="44"/>
      <c r="AU117" s="42"/>
      <c r="AV117" s="42"/>
      <c r="AW117" s="34">
        <v>1</v>
      </c>
      <c r="AX117" s="44">
        <v>1</v>
      </c>
      <c r="AY117" s="44">
        <v>1</v>
      </c>
      <c r="AZ117" s="44">
        <v>1</v>
      </c>
      <c r="BA117" s="34">
        <v>1</v>
      </c>
      <c r="BB117" s="34">
        <v>1</v>
      </c>
      <c r="BC117" s="34"/>
    </row>
    <row r="118" spans="1:55" customFormat="1" ht="21" customHeight="1" x14ac:dyDescent="0.4">
      <c r="A118" s="22"/>
      <c r="B118" s="42" t="s">
        <v>259</v>
      </c>
      <c r="C118" s="42" t="s">
        <v>255</v>
      </c>
      <c r="D118" s="42" t="s">
        <v>421</v>
      </c>
      <c r="E118" s="42" t="s">
        <v>278</v>
      </c>
      <c r="F118" s="42"/>
      <c r="G118" s="42"/>
      <c r="H118" s="43"/>
      <c r="I118" s="43"/>
      <c r="J118" s="43"/>
      <c r="K118" s="44"/>
      <c r="L118" s="42"/>
      <c r="M118" s="42"/>
      <c r="N118" s="42">
        <v>1</v>
      </c>
      <c r="O118" s="42"/>
      <c r="P118" s="42"/>
      <c r="Q118" s="42"/>
      <c r="R118" s="42"/>
      <c r="S118" s="43"/>
      <c r="T118" s="43"/>
      <c r="U118" s="43"/>
      <c r="V118" s="44"/>
      <c r="W118" s="42"/>
      <c r="X118" s="42"/>
      <c r="Y118" s="42">
        <v>1</v>
      </c>
      <c r="Z118" s="42"/>
      <c r="AA118" s="42"/>
      <c r="AB118" s="42"/>
      <c r="AC118" s="42">
        <v>1</v>
      </c>
      <c r="AD118" s="43"/>
      <c r="AE118" s="43"/>
      <c r="AF118" s="43"/>
      <c r="AG118" s="44">
        <v>1</v>
      </c>
      <c r="AH118" s="42">
        <v>1</v>
      </c>
      <c r="AI118" s="42">
        <v>1</v>
      </c>
      <c r="AJ118" s="42">
        <v>1</v>
      </c>
      <c r="AK118" s="42">
        <v>1</v>
      </c>
      <c r="AL118" s="42"/>
      <c r="AM118" s="42"/>
      <c r="AN118" s="42"/>
      <c r="AO118" s="43"/>
      <c r="AP118" s="43"/>
      <c r="AQ118" s="43"/>
      <c r="AR118" s="44"/>
      <c r="AS118" s="44"/>
      <c r="AT118" s="44"/>
      <c r="AU118" s="42"/>
      <c r="AV118" s="42"/>
      <c r="AW118" s="34"/>
      <c r="AX118" s="44"/>
      <c r="AY118" s="44">
        <v>1</v>
      </c>
      <c r="AZ118" s="44"/>
      <c r="BA118" s="34"/>
      <c r="BB118" s="34"/>
      <c r="BC118" s="34"/>
    </row>
    <row r="119" spans="1:55" customFormat="1" ht="21" customHeight="1" x14ac:dyDescent="0.4">
      <c r="A119" s="22"/>
      <c r="B119" s="42" t="s">
        <v>259</v>
      </c>
      <c r="C119" s="42" t="s">
        <v>255</v>
      </c>
      <c r="D119" s="42" t="s">
        <v>422</v>
      </c>
      <c r="E119" s="42" t="s">
        <v>423</v>
      </c>
      <c r="F119" s="42"/>
      <c r="G119" s="42"/>
      <c r="H119" s="43"/>
      <c r="I119" s="43"/>
      <c r="J119" s="43"/>
      <c r="K119" s="44"/>
      <c r="L119" s="42"/>
      <c r="M119" s="42">
        <v>1</v>
      </c>
      <c r="N119" s="42">
        <v>1</v>
      </c>
      <c r="O119" s="42">
        <v>1</v>
      </c>
      <c r="P119" s="42"/>
      <c r="Q119" s="42">
        <v>1</v>
      </c>
      <c r="R119" s="42"/>
      <c r="S119" s="43">
        <v>1</v>
      </c>
      <c r="T119" s="43">
        <v>1</v>
      </c>
      <c r="U119" s="43">
        <v>1</v>
      </c>
      <c r="V119" s="44">
        <v>1</v>
      </c>
      <c r="W119" s="42">
        <v>1</v>
      </c>
      <c r="X119" s="42">
        <v>1</v>
      </c>
      <c r="Y119" s="42">
        <v>1</v>
      </c>
      <c r="Z119" s="42">
        <v>1</v>
      </c>
      <c r="AA119" s="42">
        <v>1</v>
      </c>
      <c r="AB119" s="42">
        <v>1</v>
      </c>
      <c r="AC119" s="42">
        <v>1</v>
      </c>
      <c r="AD119" s="43">
        <v>1</v>
      </c>
      <c r="AE119" s="43"/>
      <c r="AF119" s="43"/>
      <c r="AG119" s="44">
        <v>1</v>
      </c>
      <c r="AH119" s="42">
        <v>1</v>
      </c>
      <c r="AI119" s="42">
        <v>1</v>
      </c>
      <c r="AJ119" s="42">
        <v>1</v>
      </c>
      <c r="AK119" s="42"/>
      <c r="AL119" s="42">
        <v>1</v>
      </c>
      <c r="AM119" s="42">
        <v>1</v>
      </c>
      <c r="AN119" s="42"/>
      <c r="AO119" s="43"/>
      <c r="AP119" s="43"/>
      <c r="AQ119" s="43"/>
      <c r="AR119" s="44"/>
      <c r="AS119" s="44">
        <v>1</v>
      </c>
      <c r="AT119" s="44"/>
      <c r="AU119" s="42">
        <v>1</v>
      </c>
      <c r="AV119" s="42">
        <v>1</v>
      </c>
      <c r="AW119" s="34"/>
      <c r="AX119" s="44"/>
      <c r="AY119" s="44"/>
      <c r="AZ119" s="44"/>
      <c r="BA119" s="34">
        <v>1</v>
      </c>
      <c r="BB119" s="34">
        <v>1</v>
      </c>
      <c r="BC119" s="34">
        <v>1</v>
      </c>
    </row>
    <row r="120" spans="1:55" customFormat="1" ht="21" customHeight="1" x14ac:dyDescent="0.4">
      <c r="A120" s="22"/>
      <c r="B120" s="42" t="s">
        <v>259</v>
      </c>
      <c r="C120" s="42" t="s">
        <v>255</v>
      </c>
      <c r="D120" s="42" t="s">
        <v>424</v>
      </c>
      <c r="E120" s="42" t="s">
        <v>425</v>
      </c>
      <c r="F120" s="42"/>
      <c r="G120" s="42"/>
      <c r="H120" s="43"/>
      <c r="I120" s="43"/>
      <c r="J120" s="43"/>
      <c r="K120" s="44">
        <v>1</v>
      </c>
      <c r="L120" s="42">
        <v>1</v>
      </c>
      <c r="M120" s="42">
        <v>1</v>
      </c>
      <c r="N120" s="42">
        <v>1</v>
      </c>
      <c r="O120" s="42">
        <v>1</v>
      </c>
      <c r="P120" s="42">
        <v>1</v>
      </c>
      <c r="Q120" s="42">
        <v>1</v>
      </c>
      <c r="R120" s="42">
        <v>1</v>
      </c>
      <c r="S120" s="43">
        <v>1</v>
      </c>
      <c r="T120" s="43"/>
      <c r="U120" s="43">
        <v>1</v>
      </c>
      <c r="V120" s="44"/>
      <c r="W120" s="42"/>
      <c r="X120" s="42"/>
      <c r="Y120" s="42">
        <v>1</v>
      </c>
      <c r="Z120" s="42"/>
      <c r="AA120" s="42"/>
      <c r="AB120" s="42">
        <v>1</v>
      </c>
      <c r="AC120" s="42"/>
      <c r="AD120" s="43">
        <v>1</v>
      </c>
      <c r="AE120" s="43">
        <v>1</v>
      </c>
      <c r="AF120" s="43">
        <v>1</v>
      </c>
      <c r="AG120" s="44"/>
      <c r="AH120" s="43">
        <v>1</v>
      </c>
      <c r="AI120" s="42">
        <v>1</v>
      </c>
      <c r="AJ120" s="42">
        <v>1</v>
      </c>
      <c r="AK120" s="42">
        <v>1</v>
      </c>
      <c r="AL120" s="42">
        <v>1</v>
      </c>
      <c r="AM120" s="42">
        <v>1</v>
      </c>
      <c r="AN120" s="42"/>
      <c r="AO120" s="43"/>
      <c r="AP120" s="43"/>
      <c r="AQ120" s="43"/>
      <c r="AR120" s="44"/>
      <c r="AS120" s="44"/>
      <c r="AT120" s="44"/>
      <c r="AU120" s="42"/>
      <c r="AV120" s="42"/>
      <c r="AW120" s="34"/>
      <c r="AX120" s="44"/>
      <c r="AY120" s="44">
        <v>1</v>
      </c>
      <c r="AZ120" s="44"/>
      <c r="BA120" s="34">
        <v>1</v>
      </c>
      <c r="BB120" s="34">
        <v>1</v>
      </c>
      <c r="BC120" s="34">
        <v>1</v>
      </c>
    </row>
    <row r="121" spans="1:55" customFormat="1" ht="21" customHeight="1" x14ac:dyDescent="0.4">
      <c r="A121" s="22"/>
      <c r="B121" s="42" t="s">
        <v>259</v>
      </c>
      <c r="C121" s="42" t="s">
        <v>244</v>
      </c>
      <c r="D121" s="42" t="s">
        <v>426</v>
      </c>
      <c r="E121" s="42" t="s">
        <v>427</v>
      </c>
      <c r="F121" s="42"/>
      <c r="G121" s="42">
        <v>1</v>
      </c>
      <c r="H121" s="43">
        <v>1</v>
      </c>
      <c r="I121" s="43"/>
      <c r="J121" s="43">
        <v>1</v>
      </c>
      <c r="K121" s="44">
        <v>1</v>
      </c>
      <c r="L121" s="42">
        <v>1</v>
      </c>
      <c r="M121" s="42">
        <v>1</v>
      </c>
      <c r="N121" s="42">
        <v>1</v>
      </c>
      <c r="O121" s="42"/>
      <c r="P121" s="42">
        <v>1</v>
      </c>
      <c r="Q121" s="42"/>
      <c r="R121" s="42"/>
      <c r="S121" s="43"/>
      <c r="T121" s="43"/>
      <c r="U121" s="43"/>
      <c r="V121" s="44">
        <v>1</v>
      </c>
      <c r="W121" s="42">
        <v>1</v>
      </c>
      <c r="X121" s="42"/>
      <c r="Y121" s="42"/>
      <c r="Z121" s="42">
        <v>1</v>
      </c>
      <c r="AA121" s="42"/>
      <c r="AB121" s="42">
        <v>1</v>
      </c>
      <c r="AC121" s="42">
        <v>1</v>
      </c>
      <c r="AD121" s="43">
        <v>1</v>
      </c>
      <c r="AE121" s="43"/>
      <c r="AF121" s="43">
        <v>1</v>
      </c>
      <c r="AG121" s="44">
        <v>1</v>
      </c>
      <c r="AH121" s="44">
        <v>1</v>
      </c>
      <c r="AI121" s="44">
        <v>1</v>
      </c>
      <c r="AJ121" s="42">
        <v>1</v>
      </c>
      <c r="AK121" s="42"/>
      <c r="AL121" s="42">
        <v>1</v>
      </c>
      <c r="AM121" s="42">
        <v>1</v>
      </c>
      <c r="AN121" s="42"/>
      <c r="AO121" s="43"/>
      <c r="AP121" s="43"/>
      <c r="AQ121" s="43"/>
      <c r="AR121" s="44"/>
      <c r="AS121" s="44"/>
      <c r="AT121" s="44"/>
      <c r="AU121" s="42"/>
      <c r="AV121" s="42"/>
      <c r="AW121" s="34"/>
      <c r="AX121" s="44"/>
      <c r="AY121" s="44"/>
      <c r="AZ121" s="44"/>
      <c r="BA121" s="34">
        <v>1</v>
      </c>
      <c r="BB121" s="34">
        <v>1</v>
      </c>
      <c r="BC121" s="34"/>
    </row>
    <row r="122" spans="1:55" customFormat="1" ht="21" customHeight="1" x14ac:dyDescent="0.4">
      <c r="A122" s="22"/>
      <c r="B122" s="42" t="s">
        <v>259</v>
      </c>
      <c r="C122" s="42" t="s">
        <v>244</v>
      </c>
      <c r="D122" s="42" t="s">
        <v>428</v>
      </c>
      <c r="E122" s="42" t="s">
        <v>269</v>
      </c>
      <c r="F122" s="42"/>
      <c r="G122" s="42"/>
      <c r="H122" s="43">
        <v>1</v>
      </c>
      <c r="I122" s="43">
        <v>1</v>
      </c>
      <c r="J122" s="43">
        <v>1</v>
      </c>
      <c r="K122" s="44">
        <v>1</v>
      </c>
      <c r="L122" s="42">
        <v>1</v>
      </c>
      <c r="M122" s="42">
        <v>1</v>
      </c>
      <c r="N122" s="42"/>
      <c r="O122" s="42">
        <v>1</v>
      </c>
      <c r="P122" s="42">
        <v>1</v>
      </c>
      <c r="Q122" s="42">
        <v>1</v>
      </c>
      <c r="R122" s="42">
        <v>1</v>
      </c>
      <c r="S122" s="43">
        <v>1</v>
      </c>
      <c r="T122" s="43">
        <v>1</v>
      </c>
      <c r="U122" s="43">
        <v>1</v>
      </c>
      <c r="V122" s="44">
        <v>1</v>
      </c>
      <c r="W122" s="42">
        <v>1</v>
      </c>
      <c r="X122" s="42">
        <v>1</v>
      </c>
      <c r="Y122" s="42"/>
      <c r="Z122" s="42">
        <v>1</v>
      </c>
      <c r="AA122" s="42">
        <v>1</v>
      </c>
      <c r="AB122" s="42">
        <v>1</v>
      </c>
      <c r="AC122" s="42">
        <v>1</v>
      </c>
      <c r="AD122" s="43">
        <v>1</v>
      </c>
      <c r="AE122" s="43">
        <v>1</v>
      </c>
      <c r="AF122" s="43">
        <v>1</v>
      </c>
      <c r="AG122" s="44">
        <v>1</v>
      </c>
      <c r="AH122" s="42">
        <v>1</v>
      </c>
      <c r="AI122" s="42">
        <v>1</v>
      </c>
      <c r="AJ122" s="42"/>
      <c r="AK122" s="42">
        <v>1</v>
      </c>
      <c r="AL122" s="42">
        <v>1</v>
      </c>
      <c r="AM122" s="42">
        <v>1</v>
      </c>
      <c r="AN122" s="42"/>
      <c r="AO122" s="43"/>
      <c r="AP122" s="43">
        <v>1</v>
      </c>
      <c r="AQ122" s="43">
        <v>1</v>
      </c>
      <c r="AR122" s="44">
        <v>1</v>
      </c>
      <c r="AS122" s="44">
        <v>1</v>
      </c>
      <c r="AT122" s="44">
        <v>1</v>
      </c>
      <c r="AU122" s="42">
        <v>1</v>
      </c>
      <c r="AV122" s="42">
        <v>1</v>
      </c>
      <c r="AW122" s="34"/>
      <c r="AX122" s="44"/>
      <c r="AY122" s="44"/>
      <c r="AZ122" s="44"/>
      <c r="BA122" s="34">
        <v>1</v>
      </c>
      <c r="BB122" s="34">
        <v>1</v>
      </c>
      <c r="BC122" s="34"/>
    </row>
    <row r="123" spans="1:55" customFormat="1" ht="21" customHeight="1" x14ac:dyDescent="0.4">
      <c r="A123" s="22"/>
      <c r="B123" s="42" t="s">
        <v>259</v>
      </c>
      <c r="C123" s="42" t="s">
        <v>244</v>
      </c>
      <c r="D123" s="42" t="s">
        <v>429</v>
      </c>
      <c r="E123" s="42" t="s">
        <v>430</v>
      </c>
      <c r="F123" s="42"/>
      <c r="G123" s="42"/>
      <c r="H123" s="43"/>
      <c r="I123" s="43"/>
      <c r="J123" s="43"/>
      <c r="K123" s="44">
        <v>1</v>
      </c>
      <c r="L123" s="42">
        <v>1</v>
      </c>
      <c r="M123" s="42">
        <v>1</v>
      </c>
      <c r="N123" s="42"/>
      <c r="O123" s="42"/>
      <c r="P123" s="42">
        <v>1</v>
      </c>
      <c r="Q123" s="42">
        <v>1</v>
      </c>
      <c r="R123" s="42">
        <v>1</v>
      </c>
      <c r="S123" s="43"/>
      <c r="T123" s="43">
        <v>1</v>
      </c>
      <c r="U123" s="43">
        <v>1</v>
      </c>
      <c r="V123" s="44">
        <v>1</v>
      </c>
      <c r="W123" s="42">
        <v>1</v>
      </c>
      <c r="X123" s="42">
        <v>1</v>
      </c>
      <c r="Y123" s="42"/>
      <c r="Z123" s="42">
        <v>1</v>
      </c>
      <c r="AA123" s="42">
        <v>1</v>
      </c>
      <c r="AB123" s="42">
        <v>1</v>
      </c>
      <c r="AC123" s="42">
        <v>1</v>
      </c>
      <c r="AD123" s="43">
        <v>1</v>
      </c>
      <c r="AE123" s="43">
        <v>1</v>
      </c>
      <c r="AF123" s="43">
        <v>1</v>
      </c>
      <c r="AG123" s="44">
        <v>1</v>
      </c>
      <c r="AH123" s="42">
        <v>1</v>
      </c>
      <c r="AI123" s="42">
        <v>1</v>
      </c>
      <c r="AJ123" s="42"/>
      <c r="AK123" s="42">
        <v>1</v>
      </c>
      <c r="AL123" s="42">
        <v>1</v>
      </c>
      <c r="AM123" s="42">
        <v>1</v>
      </c>
      <c r="AN123" s="42"/>
      <c r="AO123" s="43"/>
      <c r="AP123" s="43"/>
      <c r="AQ123" s="43"/>
      <c r="AR123" s="44">
        <v>1</v>
      </c>
      <c r="AS123" s="44">
        <v>1</v>
      </c>
      <c r="AT123" s="44">
        <v>1</v>
      </c>
      <c r="AU123" s="44">
        <v>1</v>
      </c>
      <c r="AV123" s="44">
        <v>1</v>
      </c>
      <c r="AW123" s="34">
        <v>1</v>
      </c>
      <c r="AX123" s="44">
        <v>1</v>
      </c>
      <c r="AY123" s="44"/>
      <c r="AZ123" s="44"/>
      <c r="BA123" s="34">
        <v>1</v>
      </c>
      <c r="BB123" s="34">
        <v>1</v>
      </c>
      <c r="BC123" s="34">
        <v>1</v>
      </c>
    </row>
    <row r="124" spans="1:55" customFormat="1" ht="21" customHeight="1" x14ac:dyDescent="0.4">
      <c r="A124" s="22"/>
      <c r="B124" s="42" t="s">
        <v>259</v>
      </c>
      <c r="C124" s="42" t="s">
        <v>244</v>
      </c>
      <c r="D124" s="42" t="s">
        <v>431</v>
      </c>
      <c r="E124" s="42" t="s">
        <v>269</v>
      </c>
      <c r="F124" s="42"/>
      <c r="G124" s="42">
        <v>1</v>
      </c>
      <c r="H124" s="43">
        <v>1</v>
      </c>
      <c r="I124" s="43">
        <v>1</v>
      </c>
      <c r="J124" s="43">
        <v>1</v>
      </c>
      <c r="K124" s="44">
        <v>1</v>
      </c>
      <c r="L124" s="42">
        <v>1</v>
      </c>
      <c r="M124" s="42">
        <v>1</v>
      </c>
      <c r="N124" s="42"/>
      <c r="O124" s="42">
        <v>1</v>
      </c>
      <c r="P124" s="42">
        <v>1</v>
      </c>
      <c r="Q124" s="42">
        <v>1</v>
      </c>
      <c r="R124" s="42"/>
      <c r="S124" s="43">
        <v>1</v>
      </c>
      <c r="T124" s="43">
        <v>1</v>
      </c>
      <c r="U124" s="43">
        <v>1</v>
      </c>
      <c r="V124" s="44">
        <v>1</v>
      </c>
      <c r="W124" s="42">
        <v>1</v>
      </c>
      <c r="X124" s="42">
        <v>1</v>
      </c>
      <c r="Y124" s="42">
        <v>1</v>
      </c>
      <c r="Z124" s="42">
        <v>1</v>
      </c>
      <c r="AA124" s="42">
        <v>1</v>
      </c>
      <c r="AB124" s="42">
        <v>1</v>
      </c>
      <c r="AC124" s="42">
        <v>1</v>
      </c>
      <c r="AD124" s="43"/>
      <c r="AE124" s="43">
        <v>1</v>
      </c>
      <c r="AF124" s="43">
        <v>1</v>
      </c>
      <c r="AG124" s="44">
        <v>1</v>
      </c>
      <c r="AH124" s="42">
        <v>1</v>
      </c>
      <c r="AI124" s="42">
        <v>1</v>
      </c>
      <c r="AJ124" s="42"/>
      <c r="AK124" s="42">
        <v>1</v>
      </c>
      <c r="AL124" s="42">
        <v>1</v>
      </c>
      <c r="AM124" s="42">
        <v>1</v>
      </c>
      <c r="AN124" s="42"/>
      <c r="AO124" s="43"/>
      <c r="AP124" s="43">
        <v>1</v>
      </c>
      <c r="AQ124" s="43">
        <v>1</v>
      </c>
      <c r="AR124" s="44">
        <v>1</v>
      </c>
      <c r="AS124" s="44">
        <v>1</v>
      </c>
      <c r="AT124" s="44">
        <v>1</v>
      </c>
      <c r="AU124" s="44">
        <v>1</v>
      </c>
      <c r="AV124" s="44">
        <v>1</v>
      </c>
      <c r="AW124" s="34"/>
      <c r="AX124" s="44"/>
      <c r="AY124" s="44">
        <v>1</v>
      </c>
      <c r="AZ124" s="44">
        <v>1</v>
      </c>
      <c r="BA124" s="34">
        <v>1</v>
      </c>
      <c r="BB124" s="34">
        <v>1</v>
      </c>
      <c r="BC124" s="34"/>
    </row>
    <row r="125" spans="1:55" customFormat="1" ht="21" customHeight="1" x14ac:dyDescent="0.4">
      <c r="A125" s="22"/>
      <c r="B125" s="42" t="s">
        <v>259</v>
      </c>
      <c r="C125" s="42" t="s">
        <v>244</v>
      </c>
      <c r="D125" s="42" t="s">
        <v>432</v>
      </c>
      <c r="E125" s="42" t="s">
        <v>433</v>
      </c>
      <c r="F125" s="42"/>
      <c r="G125" s="42"/>
      <c r="H125" s="43">
        <v>1</v>
      </c>
      <c r="I125" s="43">
        <v>1</v>
      </c>
      <c r="J125" s="43">
        <v>1</v>
      </c>
      <c r="K125" s="44">
        <v>1</v>
      </c>
      <c r="L125" s="42">
        <v>1</v>
      </c>
      <c r="M125" s="42">
        <v>1</v>
      </c>
      <c r="N125" s="42">
        <v>1</v>
      </c>
      <c r="O125" s="42">
        <v>1</v>
      </c>
      <c r="P125" s="42">
        <v>1</v>
      </c>
      <c r="Q125" s="42">
        <v>1</v>
      </c>
      <c r="R125" s="42">
        <v>1</v>
      </c>
      <c r="S125" s="43">
        <v>1</v>
      </c>
      <c r="T125" s="43">
        <v>1</v>
      </c>
      <c r="U125" s="43">
        <v>1</v>
      </c>
      <c r="V125" s="44">
        <v>1</v>
      </c>
      <c r="W125" s="42">
        <v>1</v>
      </c>
      <c r="X125" s="42">
        <v>1</v>
      </c>
      <c r="Y125" s="42"/>
      <c r="Z125" s="42">
        <v>1</v>
      </c>
      <c r="AA125" s="42">
        <v>1</v>
      </c>
      <c r="AB125" s="42">
        <v>1</v>
      </c>
      <c r="AC125" s="42">
        <v>1</v>
      </c>
      <c r="AD125" s="43">
        <v>1</v>
      </c>
      <c r="AE125" s="43">
        <v>1</v>
      </c>
      <c r="AF125" s="43">
        <v>1</v>
      </c>
      <c r="AG125" s="44">
        <v>1</v>
      </c>
      <c r="AH125" s="42">
        <v>1</v>
      </c>
      <c r="AI125" s="42">
        <v>1</v>
      </c>
      <c r="AJ125" s="42">
        <v>1</v>
      </c>
      <c r="AK125" s="42">
        <v>1</v>
      </c>
      <c r="AL125" s="42">
        <v>1</v>
      </c>
      <c r="AM125" s="42">
        <v>1</v>
      </c>
      <c r="AN125" s="42"/>
      <c r="AO125" s="43"/>
      <c r="AP125" s="43">
        <v>1</v>
      </c>
      <c r="AQ125" s="43">
        <v>1</v>
      </c>
      <c r="AR125" s="44">
        <v>1</v>
      </c>
      <c r="AS125" s="44">
        <v>1</v>
      </c>
      <c r="AT125" s="44">
        <v>1</v>
      </c>
      <c r="AU125" s="44">
        <v>1</v>
      </c>
      <c r="AV125" s="44">
        <v>1</v>
      </c>
      <c r="AW125" s="34"/>
      <c r="AX125" s="44"/>
      <c r="AY125" s="44">
        <v>1</v>
      </c>
      <c r="AZ125" s="44"/>
      <c r="BA125" s="34">
        <v>1</v>
      </c>
      <c r="BB125" s="34">
        <v>1</v>
      </c>
      <c r="BC125" s="34"/>
    </row>
    <row r="126" spans="1:55" customFormat="1" ht="21" customHeight="1" x14ac:dyDescent="0.4">
      <c r="A126" s="22"/>
      <c r="B126" s="42" t="s">
        <v>259</v>
      </c>
      <c r="C126" s="42" t="s">
        <v>246</v>
      </c>
      <c r="D126" s="42" t="s">
        <v>434</v>
      </c>
      <c r="E126" s="42" t="s">
        <v>435</v>
      </c>
      <c r="F126" s="42"/>
      <c r="G126" s="42">
        <v>1</v>
      </c>
      <c r="H126" s="43">
        <v>1</v>
      </c>
      <c r="I126" s="43">
        <v>1</v>
      </c>
      <c r="J126" s="43">
        <v>1</v>
      </c>
      <c r="K126" s="44">
        <v>1</v>
      </c>
      <c r="L126" s="42">
        <v>1</v>
      </c>
      <c r="M126" s="42">
        <v>1</v>
      </c>
      <c r="N126" s="42"/>
      <c r="O126" s="42">
        <v>1</v>
      </c>
      <c r="P126" s="42">
        <v>1</v>
      </c>
      <c r="Q126" s="42">
        <v>1</v>
      </c>
      <c r="R126" s="42"/>
      <c r="S126" s="43">
        <v>1</v>
      </c>
      <c r="T126" s="43">
        <v>1</v>
      </c>
      <c r="U126" s="43">
        <v>1</v>
      </c>
      <c r="V126" s="44">
        <v>1</v>
      </c>
      <c r="W126" s="42">
        <v>1</v>
      </c>
      <c r="X126" s="42">
        <v>1</v>
      </c>
      <c r="Y126" s="42">
        <v>1</v>
      </c>
      <c r="Z126" s="42">
        <v>1</v>
      </c>
      <c r="AA126" s="42">
        <v>1</v>
      </c>
      <c r="AB126" s="42">
        <v>1</v>
      </c>
      <c r="AC126" s="42">
        <v>1</v>
      </c>
      <c r="AD126" s="43">
        <v>1</v>
      </c>
      <c r="AE126" s="43">
        <v>1</v>
      </c>
      <c r="AF126" s="43">
        <v>1</v>
      </c>
      <c r="AG126" s="44">
        <v>1</v>
      </c>
      <c r="AH126" s="42">
        <v>1</v>
      </c>
      <c r="AI126" s="42">
        <v>1</v>
      </c>
      <c r="AJ126" s="42"/>
      <c r="AK126" s="42">
        <v>1</v>
      </c>
      <c r="AL126" s="42">
        <v>1</v>
      </c>
      <c r="AM126" s="42">
        <v>1</v>
      </c>
      <c r="AN126" s="42"/>
      <c r="AO126" s="43"/>
      <c r="AP126" s="43">
        <v>1</v>
      </c>
      <c r="AQ126" s="43">
        <v>1</v>
      </c>
      <c r="AR126" s="43">
        <v>1</v>
      </c>
      <c r="AS126" s="44">
        <v>1</v>
      </c>
      <c r="AT126" s="44">
        <v>1</v>
      </c>
      <c r="AU126" s="44">
        <v>1</v>
      </c>
      <c r="AV126" s="44">
        <v>1</v>
      </c>
      <c r="AW126" s="34"/>
      <c r="AX126" s="44"/>
      <c r="AY126" s="44">
        <v>1</v>
      </c>
      <c r="AZ126" s="44">
        <v>1</v>
      </c>
      <c r="BA126" s="34">
        <v>1</v>
      </c>
      <c r="BB126" s="34">
        <v>1</v>
      </c>
      <c r="BC126" s="34">
        <v>1</v>
      </c>
    </row>
    <row r="127" spans="1:55" customFormat="1" ht="21" customHeight="1" x14ac:dyDescent="0.4">
      <c r="A127" s="22"/>
      <c r="B127" s="42" t="s">
        <v>259</v>
      </c>
      <c r="C127" s="42" t="s">
        <v>244</v>
      </c>
      <c r="D127" s="42" t="s">
        <v>436</v>
      </c>
      <c r="E127" s="42" t="s">
        <v>437</v>
      </c>
      <c r="F127" s="42"/>
      <c r="G127" s="42"/>
      <c r="H127" s="43"/>
      <c r="I127" s="43"/>
      <c r="J127" s="43"/>
      <c r="K127" s="44"/>
      <c r="L127" s="42">
        <v>1</v>
      </c>
      <c r="M127" s="42">
        <v>1</v>
      </c>
      <c r="N127" s="42">
        <v>1</v>
      </c>
      <c r="O127" s="42">
        <v>1</v>
      </c>
      <c r="P127" s="42">
        <v>1</v>
      </c>
      <c r="Q127" s="42">
        <v>1</v>
      </c>
      <c r="R127" s="42">
        <v>1</v>
      </c>
      <c r="S127" s="43">
        <v>1</v>
      </c>
      <c r="T127" s="43">
        <v>1</v>
      </c>
      <c r="U127" s="43">
        <v>1</v>
      </c>
      <c r="V127" s="44">
        <v>1</v>
      </c>
      <c r="W127" s="42">
        <v>1</v>
      </c>
      <c r="X127" s="42">
        <v>1</v>
      </c>
      <c r="Y127" s="42">
        <v>1</v>
      </c>
      <c r="Z127" s="42">
        <v>1</v>
      </c>
      <c r="AA127" s="42">
        <v>1</v>
      </c>
      <c r="AB127" s="42">
        <v>1</v>
      </c>
      <c r="AC127" s="42">
        <v>1</v>
      </c>
      <c r="AD127" s="43">
        <v>1</v>
      </c>
      <c r="AE127" s="43">
        <v>1</v>
      </c>
      <c r="AF127" s="43">
        <v>1</v>
      </c>
      <c r="AG127" s="44">
        <v>1</v>
      </c>
      <c r="AH127" s="44">
        <v>1</v>
      </c>
      <c r="AI127" s="42">
        <v>1</v>
      </c>
      <c r="AJ127" s="42">
        <v>1</v>
      </c>
      <c r="AK127" s="42">
        <v>1</v>
      </c>
      <c r="AL127" s="42">
        <v>1</v>
      </c>
      <c r="AM127" s="42">
        <v>1</v>
      </c>
      <c r="AN127" s="42"/>
      <c r="AO127" s="43"/>
      <c r="AP127" s="43">
        <v>1</v>
      </c>
      <c r="AQ127" s="43">
        <v>1</v>
      </c>
      <c r="AR127" s="43">
        <v>1</v>
      </c>
      <c r="AS127" s="44">
        <v>1</v>
      </c>
      <c r="AT127" s="44">
        <v>1</v>
      </c>
      <c r="AU127" s="44">
        <v>1</v>
      </c>
      <c r="AV127" s="44">
        <v>1</v>
      </c>
      <c r="AW127" s="34"/>
      <c r="AX127" s="44"/>
      <c r="AY127" s="44">
        <v>1</v>
      </c>
      <c r="AZ127" s="44"/>
      <c r="BA127" s="34">
        <v>1</v>
      </c>
      <c r="BB127" s="34">
        <v>1</v>
      </c>
      <c r="BC127" s="34"/>
    </row>
    <row r="128" spans="1:55" customFormat="1" ht="21" customHeight="1" x14ac:dyDescent="0.4">
      <c r="A128" s="22"/>
      <c r="B128" s="42" t="s">
        <v>259</v>
      </c>
      <c r="C128" s="42" t="s">
        <v>244</v>
      </c>
      <c r="D128" s="42" t="s">
        <v>438</v>
      </c>
      <c r="E128" s="42" t="s">
        <v>439</v>
      </c>
      <c r="F128" s="42"/>
      <c r="G128" s="42">
        <v>1</v>
      </c>
      <c r="H128" s="43"/>
      <c r="I128" s="43">
        <v>1</v>
      </c>
      <c r="J128" s="43">
        <v>1</v>
      </c>
      <c r="K128" s="44">
        <v>1</v>
      </c>
      <c r="L128" s="42">
        <v>1</v>
      </c>
      <c r="M128" s="42">
        <v>1</v>
      </c>
      <c r="N128" s="42">
        <v>1</v>
      </c>
      <c r="O128" s="42">
        <v>1</v>
      </c>
      <c r="P128" s="42">
        <v>1</v>
      </c>
      <c r="Q128" s="42">
        <v>1</v>
      </c>
      <c r="R128" s="42"/>
      <c r="S128" s="43">
        <v>1</v>
      </c>
      <c r="T128" s="43">
        <v>1</v>
      </c>
      <c r="U128" s="43">
        <v>1</v>
      </c>
      <c r="V128" s="44">
        <v>1</v>
      </c>
      <c r="W128" s="42">
        <v>1</v>
      </c>
      <c r="X128" s="42">
        <v>1</v>
      </c>
      <c r="Y128" s="42"/>
      <c r="Z128" s="42">
        <v>1</v>
      </c>
      <c r="AA128" s="42">
        <v>1</v>
      </c>
      <c r="AB128" s="42">
        <v>1</v>
      </c>
      <c r="AC128" s="42">
        <v>1</v>
      </c>
      <c r="AD128" s="43">
        <v>1</v>
      </c>
      <c r="AE128" s="43">
        <v>1</v>
      </c>
      <c r="AF128" s="43">
        <v>1</v>
      </c>
      <c r="AG128" s="44">
        <v>1</v>
      </c>
      <c r="AH128" s="44">
        <v>1</v>
      </c>
      <c r="AI128" s="42">
        <v>1</v>
      </c>
      <c r="AJ128" s="42">
        <v>1</v>
      </c>
      <c r="AK128" s="42">
        <v>1</v>
      </c>
      <c r="AL128" s="42">
        <v>1</v>
      </c>
      <c r="AM128" s="42">
        <v>1</v>
      </c>
      <c r="AN128" s="42"/>
      <c r="AO128" s="43"/>
      <c r="AP128" s="43">
        <v>1</v>
      </c>
      <c r="AQ128" s="43">
        <v>1</v>
      </c>
      <c r="AR128" s="44">
        <v>1</v>
      </c>
      <c r="AS128" s="44">
        <v>1</v>
      </c>
      <c r="AT128" s="44">
        <v>1</v>
      </c>
      <c r="AU128" s="44">
        <v>1</v>
      </c>
      <c r="AV128" s="44">
        <v>1</v>
      </c>
      <c r="AW128" s="44">
        <v>1</v>
      </c>
      <c r="AX128" s="44"/>
      <c r="AY128" s="44"/>
      <c r="AZ128" s="44">
        <v>1</v>
      </c>
      <c r="BA128" s="34"/>
      <c r="BB128" s="34">
        <v>1</v>
      </c>
      <c r="BC128" s="34"/>
    </row>
    <row r="129" spans="1:55" customFormat="1" ht="21" customHeight="1" x14ac:dyDescent="0.4">
      <c r="A129" s="22"/>
      <c r="B129" s="42" t="s">
        <v>259</v>
      </c>
      <c r="C129" s="42" t="s">
        <v>246</v>
      </c>
      <c r="D129" s="42" t="s">
        <v>440</v>
      </c>
      <c r="E129" s="42" t="s">
        <v>407</v>
      </c>
      <c r="F129" s="42"/>
      <c r="G129" s="42"/>
      <c r="H129" s="43"/>
      <c r="I129" s="43"/>
      <c r="J129" s="43"/>
      <c r="K129" s="44">
        <v>1</v>
      </c>
      <c r="L129" s="42">
        <v>1</v>
      </c>
      <c r="M129" s="42">
        <v>1</v>
      </c>
      <c r="N129" s="42">
        <v>1</v>
      </c>
      <c r="O129" s="42">
        <v>1</v>
      </c>
      <c r="P129" s="42">
        <v>1</v>
      </c>
      <c r="Q129" s="42">
        <v>1</v>
      </c>
      <c r="R129" s="42">
        <v>1</v>
      </c>
      <c r="S129" s="43">
        <v>1</v>
      </c>
      <c r="T129" s="43">
        <v>1</v>
      </c>
      <c r="U129" s="43">
        <v>1</v>
      </c>
      <c r="V129" s="44">
        <v>1</v>
      </c>
      <c r="W129" s="42">
        <v>1</v>
      </c>
      <c r="X129" s="42">
        <v>1</v>
      </c>
      <c r="Y129" s="42">
        <v>1</v>
      </c>
      <c r="Z129" s="42">
        <v>1</v>
      </c>
      <c r="AA129" s="42">
        <v>1</v>
      </c>
      <c r="AB129" s="42">
        <v>1</v>
      </c>
      <c r="AC129" s="42">
        <v>1</v>
      </c>
      <c r="AD129" s="43">
        <v>1</v>
      </c>
      <c r="AE129" s="43">
        <v>1</v>
      </c>
      <c r="AF129" s="43">
        <v>1</v>
      </c>
      <c r="AG129" s="44">
        <v>1</v>
      </c>
      <c r="AH129" s="42">
        <v>1</v>
      </c>
      <c r="AI129" s="42">
        <v>1</v>
      </c>
      <c r="AJ129" s="42">
        <v>1</v>
      </c>
      <c r="AK129" s="42">
        <v>1</v>
      </c>
      <c r="AL129" s="42">
        <v>1</v>
      </c>
      <c r="AM129" s="42">
        <v>1</v>
      </c>
      <c r="AN129" s="42"/>
      <c r="AO129" s="43">
        <v>1</v>
      </c>
      <c r="AP129" s="43">
        <v>1</v>
      </c>
      <c r="AQ129" s="43">
        <v>1</v>
      </c>
      <c r="AR129" s="44">
        <v>1</v>
      </c>
      <c r="AS129" s="44">
        <v>1</v>
      </c>
      <c r="AT129" s="44">
        <v>1</v>
      </c>
      <c r="AU129" s="44">
        <v>1</v>
      </c>
      <c r="AV129" s="44">
        <v>1</v>
      </c>
      <c r="AW129" s="34"/>
      <c r="AX129" s="44"/>
      <c r="AY129" s="44">
        <v>1</v>
      </c>
      <c r="AZ129" s="44">
        <v>1</v>
      </c>
      <c r="BA129" s="34">
        <v>1</v>
      </c>
      <c r="BB129" s="34">
        <v>1</v>
      </c>
      <c r="BC129" s="34">
        <v>1</v>
      </c>
    </row>
    <row r="130" spans="1:55" customFormat="1" ht="21" customHeight="1" x14ac:dyDescent="0.4">
      <c r="A130" s="22"/>
      <c r="B130" s="42" t="s">
        <v>259</v>
      </c>
      <c r="C130" s="42" t="s">
        <v>246</v>
      </c>
      <c r="D130" s="42" t="s">
        <v>441</v>
      </c>
      <c r="E130" s="42" t="s">
        <v>407</v>
      </c>
      <c r="F130" s="42"/>
      <c r="G130" s="42"/>
      <c r="H130" s="43">
        <v>1</v>
      </c>
      <c r="I130" s="43">
        <v>1</v>
      </c>
      <c r="J130" s="43">
        <v>1</v>
      </c>
      <c r="K130" s="44">
        <v>1</v>
      </c>
      <c r="L130" s="42">
        <v>1</v>
      </c>
      <c r="M130" s="42">
        <v>1</v>
      </c>
      <c r="N130" s="42"/>
      <c r="O130" s="42">
        <v>1</v>
      </c>
      <c r="P130" s="42">
        <v>1</v>
      </c>
      <c r="Q130" s="42">
        <v>1</v>
      </c>
      <c r="R130" s="42"/>
      <c r="S130" s="43"/>
      <c r="T130" s="43">
        <v>1</v>
      </c>
      <c r="U130" s="43">
        <v>1</v>
      </c>
      <c r="V130" s="44">
        <v>1</v>
      </c>
      <c r="W130" s="42">
        <v>1</v>
      </c>
      <c r="X130" s="42">
        <v>1</v>
      </c>
      <c r="Y130" s="42">
        <v>1</v>
      </c>
      <c r="Z130" s="42">
        <v>1</v>
      </c>
      <c r="AA130" s="42">
        <v>1</v>
      </c>
      <c r="AB130" s="42">
        <v>1</v>
      </c>
      <c r="AC130" s="42">
        <v>1</v>
      </c>
      <c r="AD130" s="43">
        <v>1</v>
      </c>
      <c r="AE130" s="43">
        <v>1</v>
      </c>
      <c r="AF130" s="43">
        <v>1</v>
      </c>
      <c r="AG130" s="44">
        <v>1</v>
      </c>
      <c r="AH130" s="44">
        <v>1</v>
      </c>
      <c r="AI130" s="42">
        <v>1</v>
      </c>
      <c r="AJ130" s="42">
        <v>1</v>
      </c>
      <c r="AK130" s="42">
        <v>1</v>
      </c>
      <c r="AL130" s="42">
        <v>1</v>
      </c>
      <c r="AM130" s="42">
        <v>1</v>
      </c>
      <c r="AN130" s="42">
        <v>1</v>
      </c>
      <c r="AO130" s="43">
        <v>1</v>
      </c>
      <c r="AP130" s="43"/>
      <c r="AQ130" s="43">
        <v>1</v>
      </c>
      <c r="AR130" s="44">
        <v>1</v>
      </c>
      <c r="AS130" s="44">
        <v>1</v>
      </c>
      <c r="AT130" s="44">
        <v>1</v>
      </c>
      <c r="AU130" s="44">
        <v>1</v>
      </c>
      <c r="AV130" s="44">
        <v>1</v>
      </c>
      <c r="AW130" s="34"/>
      <c r="AX130" s="44"/>
      <c r="AY130" s="44">
        <v>1</v>
      </c>
      <c r="AZ130" s="44">
        <v>1</v>
      </c>
      <c r="BA130" s="34">
        <v>1</v>
      </c>
      <c r="BB130" s="34">
        <v>1</v>
      </c>
      <c r="BC130" s="34">
        <v>1</v>
      </c>
    </row>
    <row r="131" spans="1:55" customFormat="1" ht="21" customHeight="1" x14ac:dyDescent="0.4">
      <c r="A131" s="22"/>
      <c r="B131" s="42" t="s">
        <v>259</v>
      </c>
      <c r="C131" s="42" t="s">
        <v>246</v>
      </c>
      <c r="D131" s="42" t="s">
        <v>442</v>
      </c>
      <c r="E131" s="42" t="s">
        <v>407</v>
      </c>
      <c r="F131" s="42"/>
      <c r="G131" s="42"/>
      <c r="H131" s="43">
        <v>1</v>
      </c>
      <c r="I131" s="43">
        <v>1</v>
      </c>
      <c r="J131" s="43">
        <v>1</v>
      </c>
      <c r="K131" s="44">
        <v>1</v>
      </c>
      <c r="L131" s="42">
        <v>1</v>
      </c>
      <c r="M131" s="42">
        <v>1</v>
      </c>
      <c r="N131" s="42"/>
      <c r="O131" s="42">
        <v>1</v>
      </c>
      <c r="P131" s="42">
        <v>1</v>
      </c>
      <c r="Q131" s="42">
        <v>1</v>
      </c>
      <c r="R131" s="42"/>
      <c r="S131" s="43"/>
      <c r="T131" s="43">
        <v>1</v>
      </c>
      <c r="U131" s="43">
        <v>1</v>
      </c>
      <c r="V131" s="44"/>
      <c r="W131" s="42">
        <v>1</v>
      </c>
      <c r="X131" s="42">
        <v>1</v>
      </c>
      <c r="Y131" s="42">
        <v>1</v>
      </c>
      <c r="Z131" s="42">
        <v>1</v>
      </c>
      <c r="AA131" s="42">
        <v>1</v>
      </c>
      <c r="AB131" s="42">
        <v>1</v>
      </c>
      <c r="AC131" s="42">
        <v>1</v>
      </c>
      <c r="AD131" s="43">
        <v>1</v>
      </c>
      <c r="AE131" s="43">
        <v>1</v>
      </c>
      <c r="AF131" s="43">
        <v>1</v>
      </c>
      <c r="AG131" s="44">
        <v>1</v>
      </c>
      <c r="AH131" s="44">
        <v>1</v>
      </c>
      <c r="AI131" s="42">
        <v>1</v>
      </c>
      <c r="AJ131" s="42">
        <v>1</v>
      </c>
      <c r="AK131" s="42">
        <v>1</v>
      </c>
      <c r="AL131" s="42">
        <v>1</v>
      </c>
      <c r="AM131" s="42">
        <v>1</v>
      </c>
      <c r="AN131" s="42">
        <v>1</v>
      </c>
      <c r="AO131" s="43">
        <v>1</v>
      </c>
      <c r="AP131" s="43"/>
      <c r="AQ131" s="43">
        <v>1</v>
      </c>
      <c r="AR131" s="44">
        <v>1</v>
      </c>
      <c r="AS131" s="44">
        <v>1</v>
      </c>
      <c r="AT131" s="44">
        <v>1</v>
      </c>
      <c r="AU131" s="44">
        <v>1</v>
      </c>
      <c r="AV131" s="44">
        <v>1</v>
      </c>
      <c r="AW131" s="34">
        <v>1</v>
      </c>
      <c r="AX131" s="44">
        <v>1</v>
      </c>
      <c r="AY131" s="44">
        <v>1</v>
      </c>
      <c r="AZ131" s="44">
        <v>1</v>
      </c>
      <c r="BA131" s="34">
        <v>1</v>
      </c>
      <c r="BB131" s="34">
        <v>1</v>
      </c>
      <c r="BC131" s="34"/>
    </row>
    <row r="132" spans="1:55" customFormat="1" ht="21" customHeight="1" x14ac:dyDescent="0.4">
      <c r="A132" s="22"/>
      <c r="B132" s="42" t="s">
        <v>259</v>
      </c>
      <c r="C132" s="42" t="s">
        <v>246</v>
      </c>
      <c r="D132" s="42" t="s">
        <v>443</v>
      </c>
      <c r="E132" s="42" t="s">
        <v>407</v>
      </c>
      <c r="F132" s="42"/>
      <c r="G132" s="42"/>
      <c r="H132" s="43"/>
      <c r="I132" s="43"/>
      <c r="J132" s="43"/>
      <c r="K132" s="44">
        <v>1</v>
      </c>
      <c r="L132" s="42">
        <v>1</v>
      </c>
      <c r="M132" s="42">
        <v>1</v>
      </c>
      <c r="N132" s="42">
        <v>1</v>
      </c>
      <c r="O132" s="42">
        <v>1</v>
      </c>
      <c r="P132" s="42">
        <v>1</v>
      </c>
      <c r="Q132" s="42">
        <v>1</v>
      </c>
      <c r="R132" s="42"/>
      <c r="S132" s="43"/>
      <c r="T132" s="43">
        <v>1</v>
      </c>
      <c r="U132" s="43">
        <v>1</v>
      </c>
      <c r="V132" s="44">
        <v>1</v>
      </c>
      <c r="W132" s="42">
        <v>1</v>
      </c>
      <c r="X132" s="42">
        <v>1</v>
      </c>
      <c r="Y132" s="42"/>
      <c r="Z132" s="42">
        <v>1</v>
      </c>
      <c r="AA132" s="42">
        <v>1</v>
      </c>
      <c r="AB132" s="42">
        <v>1</v>
      </c>
      <c r="AC132" s="42">
        <v>1</v>
      </c>
      <c r="AD132" s="43">
        <v>1</v>
      </c>
      <c r="AE132" s="43">
        <v>1</v>
      </c>
      <c r="AF132" s="43">
        <v>1</v>
      </c>
      <c r="AG132" s="44">
        <v>1</v>
      </c>
      <c r="AH132" s="42">
        <v>1</v>
      </c>
      <c r="AI132" s="42">
        <v>1</v>
      </c>
      <c r="AJ132" s="42"/>
      <c r="AK132" s="42">
        <v>1</v>
      </c>
      <c r="AL132" s="42">
        <v>1</v>
      </c>
      <c r="AM132" s="42">
        <v>1</v>
      </c>
      <c r="AN132" s="42">
        <v>1</v>
      </c>
      <c r="AO132" s="43">
        <v>1</v>
      </c>
      <c r="AP132" s="43"/>
      <c r="AQ132" s="43">
        <v>1</v>
      </c>
      <c r="AR132" s="44">
        <v>1</v>
      </c>
      <c r="AS132" s="44">
        <v>1</v>
      </c>
      <c r="AT132" s="44">
        <v>1</v>
      </c>
      <c r="AU132" s="44">
        <v>1</v>
      </c>
      <c r="AV132" s="44">
        <v>1</v>
      </c>
      <c r="AW132" s="34">
        <v>1</v>
      </c>
      <c r="AX132" s="44">
        <v>1</v>
      </c>
      <c r="AY132" s="44">
        <v>1</v>
      </c>
      <c r="AZ132" s="44">
        <v>1</v>
      </c>
      <c r="BA132" s="34">
        <v>1</v>
      </c>
      <c r="BB132" s="34">
        <v>1</v>
      </c>
      <c r="BC132" s="34">
        <v>1</v>
      </c>
    </row>
    <row r="133" spans="1:55" customFormat="1" ht="21" customHeight="1" x14ac:dyDescent="0.4">
      <c r="A133" s="22"/>
      <c r="B133" s="42" t="s">
        <v>259</v>
      </c>
      <c r="C133" s="42" t="s">
        <v>246</v>
      </c>
      <c r="D133" s="42" t="s">
        <v>444</v>
      </c>
      <c r="E133" s="42" t="s">
        <v>276</v>
      </c>
      <c r="F133" s="42"/>
      <c r="G133" s="42"/>
      <c r="H133" s="43"/>
      <c r="I133" s="43"/>
      <c r="J133" s="43"/>
      <c r="K133" s="44">
        <v>1</v>
      </c>
      <c r="L133" s="42">
        <v>1</v>
      </c>
      <c r="M133" s="42">
        <v>1</v>
      </c>
      <c r="N133" s="42">
        <v>1</v>
      </c>
      <c r="O133" s="42">
        <v>1</v>
      </c>
      <c r="P133" s="42">
        <v>1</v>
      </c>
      <c r="Q133" s="42">
        <v>1</v>
      </c>
      <c r="R133" s="42">
        <v>1</v>
      </c>
      <c r="S133" s="43"/>
      <c r="T133" s="43">
        <v>1</v>
      </c>
      <c r="U133" s="43">
        <v>1</v>
      </c>
      <c r="V133" s="44">
        <v>1</v>
      </c>
      <c r="W133" s="42">
        <v>1</v>
      </c>
      <c r="X133" s="42">
        <v>1</v>
      </c>
      <c r="Y133" s="42"/>
      <c r="Z133" s="42">
        <v>1</v>
      </c>
      <c r="AA133" s="42">
        <v>1</v>
      </c>
      <c r="AB133" s="42">
        <v>1</v>
      </c>
      <c r="AC133" s="42">
        <v>1</v>
      </c>
      <c r="AD133" s="43">
        <v>1</v>
      </c>
      <c r="AE133" s="43">
        <v>1</v>
      </c>
      <c r="AF133" s="43">
        <v>1</v>
      </c>
      <c r="AG133" s="44">
        <v>1</v>
      </c>
      <c r="AH133" s="42">
        <v>1</v>
      </c>
      <c r="AI133" s="42">
        <v>1</v>
      </c>
      <c r="AJ133" s="42">
        <v>1</v>
      </c>
      <c r="AK133" s="42">
        <v>1</v>
      </c>
      <c r="AL133" s="42">
        <v>1</v>
      </c>
      <c r="AM133" s="42">
        <v>1</v>
      </c>
      <c r="AN133" s="42"/>
      <c r="AO133" s="43">
        <v>1</v>
      </c>
      <c r="AP133" s="43"/>
      <c r="AQ133" s="43">
        <v>1</v>
      </c>
      <c r="AR133" s="44">
        <v>1</v>
      </c>
      <c r="AS133" s="44">
        <v>1</v>
      </c>
      <c r="AT133" s="44">
        <v>1</v>
      </c>
      <c r="AU133" s="44">
        <v>1</v>
      </c>
      <c r="AV133" s="44">
        <v>1</v>
      </c>
      <c r="AW133" s="34"/>
      <c r="AX133" s="44"/>
      <c r="AY133" s="44">
        <v>1</v>
      </c>
      <c r="AZ133" s="44">
        <v>1</v>
      </c>
      <c r="BA133" s="34">
        <v>1</v>
      </c>
      <c r="BB133" s="34">
        <v>1</v>
      </c>
      <c r="BC133" s="34">
        <v>1</v>
      </c>
    </row>
    <row r="134" spans="1:55" customFormat="1" ht="21" customHeight="1" x14ac:dyDescent="0.4">
      <c r="A134" s="22"/>
      <c r="B134" s="42" t="s">
        <v>259</v>
      </c>
      <c r="C134" s="42" t="s">
        <v>246</v>
      </c>
      <c r="D134" s="42" t="s">
        <v>445</v>
      </c>
      <c r="E134" s="42" t="s">
        <v>407</v>
      </c>
      <c r="F134" s="42"/>
      <c r="G134" s="42"/>
      <c r="H134" s="43"/>
      <c r="I134" s="43"/>
      <c r="J134" s="43"/>
      <c r="K134" s="44">
        <v>1</v>
      </c>
      <c r="L134" s="42">
        <v>1</v>
      </c>
      <c r="M134" s="42">
        <v>1</v>
      </c>
      <c r="N134" s="42">
        <v>1</v>
      </c>
      <c r="O134" s="42">
        <v>1</v>
      </c>
      <c r="P134" s="42">
        <v>1</v>
      </c>
      <c r="Q134" s="42">
        <v>1</v>
      </c>
      <c r="R134" s="42">
        <v>1</v>
      </c>
      <c r="S134" s="43"/>
      <c r="T134" s="43">
        <v>1</v>
      </c>
      <c r="U134" s="43">
        <v>1</v>
      </c>
      <c r="V134" s="44">
        <v>1</v>
      </c>
      <c r="W134" s="42">
        <v>1</v>
      </c>
      <c r="X134" s="42">
        <v>1</v>
      </c>
      <c r="Y134" s="42"/>
      <c r="Z134" s="42">
        <v>1</v>
      </c>
      <c r="AA134" s="42">
        <v>1</v>
      </c>
      <c r="AB134" s="42">
        <v>1</v>
      </c>
      <c r="AC134" s="42">
        <v>1</v>
      </c>
      <c r="AD134" s="43">
        <v>1</v>
      </c>
      <c r="AE134" s="43">
        <v>1</v>
      </c>
      <c r="AF134" s="43">
        <v>1</v>
      </c>
      <c r="AG134" s="44">
        <v>1</v>
      </c>
      <c r="AH134" s="44">
        <v>1</v>
      </c>
      <c r="AI134" s="42">
        <v>1</v>
      </c>
      <c r="AJ134" s="42"/>
      <c r="AK134" s="42">
        <v>1</v>
      </c>
      <c r="AL134" s="42">
        <v>1</v>
      </c>
      <c r="AM134" s="42">
        <v>1</v>
      </c>
      <c r="AN134" s="42"/>
      <c r="AO134" s="43">
        <v>1</v>
      </c>
      <c r="AP134" s="43">
        <v>1</v>
      </c>
      <c r="AQ134" s="43">
        <v>1</v>
      </c>
      <c r="AR134" s="43">
        <v>1</v>
      </c>
      <c r="AS134" s="43">
        <v>1</v>
      </c>
      <c r="AT134" s="44">
        <v>1</v>
      </c>
      <c r="AU134" s="44">
        <v>1</v>
      </c>
      <c r="AV134" s="44">
        <v>1</v>
      </c>
      <c r="AW134" s="34">
        <v>1</v>
      </c>
      <c r="AX134" s="44">
        <v>1</v>
      </c>
      <c r="AY134" s="44">
        <v>1</v>
      </c>
      <c r="AZ134" s="44"/>
      <c r="BA134" s="34">
        <v>1</v>
      </c>
      <c r="BB134" s="34">
        <v>1</v>
      </c>
      <c r="BC134" s="34"/>
    </row>
    <row r="135" spans="1:55" customFormat="1" ht="21" customHeight="1" x14ac:dyDescent="0.4">
      <c r="A135" s="22"/>
      <c r="B135" s="42" t="s">
        <v>259</v>
      </c>
      <c r="C135" s="42" t="s">
        <v>246</v>
      </c>
      <c r="D135" s="42" t="s">
        <v>446</v>
      </c>
      <c r="E135" s="42" t="s">
        <v>447</v>
      </c>
      <c r="F135" s="42"/>
      <c r="G135" s="42">
        <v>1</v>
      </c>
      <c r="H135" s="43"/>
      <c r="I135" s="43">
        <v>1</v>
      </c>
      <c r="J135" s="43">
        <v>1</v>
      </c>
      <c r="K135" s="44">
        <v>1</v>
      </c>
      <c r="L135" s="42">
        <v>1</v>
      </c>
      <c r="M135" s="42">
        <v>1</v>
      </c>
      <c r="N135" s="42"/>
      <c r="O135" s="42">
        <v>1</v>
      </c>
      <c r="P135" s="42">
        <v>1</v>
      </c>
      <c r="Q135" s="42">
        <v>1</v>
      </c>
      <c r="R135" s="42"/>
      <c r="S135" s="43"/>
      <c r="T135" s="43">
        <v>1</v>
      </c>
      <c r="U135" s="43">
        <v>1</v>
      </c>
      <c r="V135" s="44">
        <v>1</v>
      </c>
      <c r="W135" s="42">
        <v>1</v>
      </c>
      <c r="X135" s="42">
        <v>1</v>
      </c>
      <c r="Y135" s="42"/>
      <c r="Z135" s="42">
        <v>1</v>
      </c>
      <c r="AA135" s="42">
        <v>1</v>
      </c>
      <c r="AB135" s="42">
        <v>1</v>
      </c>
      <c r="AC135" s="42">
        <v>1</v>
      </c>
      <c r="AD135" s="43"/>
      <c r="AE135" s="43">
        <v>1</v>
      </c>
      <c r="AF135" s="43">
        <v>1</v>
      </c>
      <c r="AG135" s="44">
        <v>1</v>
      </c>
      <c r="AH135" s="44">
        <v>1</v>
      </c>
      <c r="AI135" s="44">
        <v>1</v>
      </c>
      <c r="AJ135" s="42"/>
      <c r="AK135" s="42">
        <v>1</v>
      </c>
      <c r="AL135" s="42">
        <v>1</v>
      </c>
      <c r="AM135" s="42">
        <v>1</v>
      </c>
      <c r="AN135" s="42"/>
      <c r="AO135" s="43">
        <v>1</v>
      </c>
      <c r="AP135" s="43"/>
      <c r="AQ135" s="43">
        <v>1</v>
      </c>
      <c r="AR135" s="43">
        <v>1</v>
      </c>
      <c r="AS135" s="43">
        <v>1</v>
      </c>
      <c r="AT135" s="44">
        <v>1</v>
      </c>
      <c r="AU135" s="44">
        <v>1</v>
      </c>
      <c r="AV135" s="44">
        <v>1</v>
      </c>
      <c r="AW135" s="34"/>
      <c r="AX135" s="44"/>
      <c r="AY135" s="44">
        <v>1</v>
      </c>
      <c r="AZ135" s="44">
        <v>1</v>
      </c>
      <c r="BA135" s="34">
        <v>1</v>
      </c>
      <c r="BB135" s="34">
        <v>1</v>
      </c>
      <c r="BC135" s="34">
        <v>1</v>
      </c>
    </row>
    <row r="136" spans="1:55" customFormat="1" ht="21" customHeight="1" x14ac:dyDescent="0.4">
      <c r="A136" s="22"/>
      <c r="B136" s="42" t="s">
        <v>259</v>
      </c>
      <c r="C136" s="42" t="s">
        <v>246</v>
      </c>
      <c r="D136" s="42" t="s">
        <v>448</v>
      </c>
      <c r="E136" s="42" t="s">
        <v>449</v>
      </c>
      <c r="F136" s="42"/>
      <c r="G136" s="42">
        <v>1</v>
      </c>
      <c r="H136" s="43">
        <v>1</v>
      </c>
      <c r="I136" s="43">
        <v>1</v>
      </c>
      <c r="J136" s="43">
        <v>1</v>
      </c>
      <c r="K136" s="44">
        <v>1</v>
      </c>
      <c r="L136" s="42">
        <v>1</v>
      </c>
      <c r="M136" s="42">
        <v>1</v>
      </c>
      <c r="N136" s="42"/>
      <c r="O136" s="42">
        <v>1</v>
      </c>
      <c r="P136" s="42">
        <v>1</v>
      </c>
      <c r="Q136" s="42">
        <v>1</v>
      </c>
      <c r="R136" s="42"/>
      <c r="S136" s="43">
        <v>1</v>
      </c>
      <c r="T136" s="43">
        <v>1</v>
      </c>
      <c r="U136" s="43">
        <v>1</v>
      </c>
      <c r="V136" s="44">
        <v>1</v>
      </c>
      <c r="W136" s="42">
        <v>1</v>
      </c>
      <c r="X136" s="42">
        <v>1</v>
      </c>
      <c r="Y136" s="42"/>
      <c r="Z136" s="42">
        <v>1</v>
      </c>
      <c r="AA136" s="42">
        <v>1</v>
      </c>
      <c r="AB136" s="42">
        <v>1</v>
      </c>
      <c r="AC136" s="42">
        <v>1</v>
      </c>
      <c r="AD136" s="43">
        <v>1</v>
      </c>
      <c r="AE136" s="43">
        <v>1</v>
      </c>
      <c r="AF136" s="43">
        <v>1</v>
      </c>
      <c r="AG136" s="44">
        <v>1</v>
      </c>
      <c r="AH136" s="42">
        <v>1</v>
      </c>
      <c r="AI136" s="42">
        <v>1</v>
      </c>
      <c r="AJ136" s="42"/>
      <c r="AK136" s="42">
        <v>1</v>
      </c>
      <c r="AL136" s="42">
        <v>1</v>
      </c>
      <c r="AM136" s="42">
        <v>1</v>
      </c>
      <c r="AN136" s="42"/>
      <c r="AO136" s="43">
        <v>1</v>
      </c>
      <c r="AP136" s="43">
        <v>1</v>
      </c>
      <c r="AQ136" s="43">
        <v>1</v>
      </c>
      <c r="AR136" s="43">
        <v>1</v>
      </c>
      <c r="AS136" s="43">
        <v>1</v>
      </c>
      <c r="AT136" s="44">
        <v>1</v>
      </c>
      <c r="AU136" s="44">
        <v>1</v>
      </c>
      <c r="AV136" s="44">
        <v>1</v>
      </c>
      <c r="AW136" s="34"/>
      <c r="AX136" s="44"/>
      <c r="AY136" s="44">
        <v>1</v>
      </c>
      <c r="AZ136" s="44">
        <v>1</v>
      </c>
      <c r="BA136" s="34">
        <v>1</v>
      </c>
      <c r="BB136" s="34">
        <v>1</v>
      </c>
      <c r="BC136" s="34">
        <v>1</v>
      </c>
    </row>
    <row r="137" spans="1:55" customFormat="1" ht="21" customHeight="1" x14ac:dyDescent="0.4">
      <c r="A137" s="22"/>
      <c r="B137" s="42" t="s">
        <v>259</v>
      </c>
      <c r="C137" s="42" t="s">
        <v>246</v>
      </c>
      <c r="D137" s="42" t="s">
        <v>450</v>
      </c>
      <c r="E137" s="42" t="s">
        <v>451</v>
      </c>
      <c r="F137" s="42"/>
      <c r="G137" s="42">
        <v>1</v>
      </c>
      <c r="H137" s="43">
        <v>1</v>
      </c>
      <c r="I137" s="43">
        <v>1</v>
      </c>
      <c r="J137" s="43">
        <v>1</v>
      </c>
      <c r="K137" s="44">
        <v>1</v>
      </c>
      <c r="L137" s="42">
        <v>1</v>
      </c>
      <c r="M137" s="42">
        <v>1</v>
      </c>
      <c r="N137" s="42"/>
      <c r="O137" s="42">
        <v>1</v>
      </c>
      <c r="P137" s="42">
        <v>1</v>
      </c>
      <c r="Q137" s="42">
        <v>1</v>
      </c>
      <c r="R137" s="42"/>
      <c r="S137" s="43"/>
      <c r="T137" s="43">
        <v>1</v>
      </c>
      <c r="U137" s="43">
        <v>1</v>
      </c>
      <c r="V137" s="44"/>
      <c r="W137" s="42">
        <v>1</v>
      </c>
      <c r="X137" s="42">
        <v>1</v>
      </c>
      <c r="Y137" s="42"/>
      <c r="Z137" s="42">
        <v>1</v>
      </c>
      <c r="AA137" s="42">
        <v>1</v>
      </c>
      <c r="AB137" s="42">
        <v>1</v>
      </c>
      <c r="AC137" s="42">
        <v>1</v>
      </c>
      <c r="AD137" s="43">
        <v>1</v>
      </c>
      <c r="AE137" s="43">
        <v>1</v>
      </c>
      <c r="AF137" s="43">
        <v>1</v>
      </c>
      <c r="AG137" s="44">
        <v>1</v>
      </c>
      <c r="AH137" s="42">
        <v>1</v>
      </c>
      <c r="AI137" s="42">
        <v>1</v>
      </c>
      <c r="AJ137" s="42"/>
      <c r="AK137" s="42">
        <v>1</v>
      </c>
      <c r="AL137" s="42">
        <v>1</v>
      </c>
      <c r="AM137" s="42">
        <v>1</v>
      </c>
      <c r="AN137" s="42"/>
      <c r="AO137" s="43"/>
      <c r="AP137" s="43"/>
      <c r="AQ137" s="43"/>
      <c r="AR137" s="44"/>
      <c r="AS137" s="44">
        <v>1</v>
      </c>
      <c r="AT137" s="44">
        <v>1</v>
      </c>
      <c r="AU137" s="44">
        <v>1</v>
      </c>
      <c r="AV137" s="44">
        <v>1</v>
      </c>
      <c r="AW137" s="44">
        <v>1</v>
      </c>
      <c r="AX137" s="44">
        <v>1</v>
      </c>
      <c r="AY137" s="44">
        <v>1</v>
      </c>
      <c r="AZ137" s="44">
        <v>1</v>
      </c>
      <c r="BA137" s="34">
        <v>1</v>
      </c>
      <c r="BB137" s="34">
        <v>1</v>
      </c>
      <c r="BC137" s="34">
        <v>1</v>
      </c>
    </row>
    <row r="138" spans="1:55" customFormat="1" ht="21" customHeight="1" x14ac:dyDescent="0.4">
      <c r="A138" s="22"/>
      <c r="B138" s="42" t="s">
        <v>259</v>
      </c>
      <c r="C138" s="42" t="s">
        <v>246</v>
      </c>
      <c r="D138" s="42" t="s">
        <v>452</v>
      </c>
      <c r="E138" s="42" t="s">
        <v>453</v>
      </c>
      <c r="F138" s="42"/>
      <c r="G138" s="42"/>
      <c r="H138" s="43"/>
      <c r="I138" s="43">
        <v>1</v>
      </c>
      <c r="J138" s="43">
        <v>1</v>
      </c>
      <c r="K138" s="44">
        <v>1</v>
      </c>
      <c r="L138" s="42">
        <v>1</v>
      </c>
      <c r="M138" s="42">
        <v>1</v>
      </c>
      <c r="N138" s="42">
        <v>1</v>
      </c>
      <c r="O138" s="42">
        <v>1</v>
      </c>
      <c r="P138" s="42">
        <v>1</v>
      </c>
      <c r="Q138" s="42">
        <v>1</v>
      </c>
      <c r="R138" s="42">
        <v>1</v>
      </c>
      <c r="S138" s="43"/>
      <c r="T138" s="43">
        <v>1</v>
      </c>
      <c r="U138" s="43">
        <v>1</v>
      </c>
      <c r="V138" s="44">
        <v>1</v>
      </c>
      <c r="W138" s="42">
        <v>1</v>
      </c>
      <c r="X138" s="42">
        <v>1</v>
      </c>
      <c r="Y138" s="42"/>
      <c r="Z138" s="42">
        <v>1</v>
      </c>
      <c r="AA138" s="42">
        <v>1</v>
      </c>
      <c r="AB138" s="42">
        <v>1</v>
      </c>
      <c r="AC138" s="42"/>
      <c r="AD138" s="43"/>
      <c r="AE138" s="43">
        <v>1</v>
      </c>
      <c r="AF138" s="43">
        <v>1</v>
      </c>
      <c r="AG138" s="44">
        <v>1</v>
      </c>
      <c r="AH138" s="42">
        <v>1</v>
      </c>
      <c r="AI138" s="42">
        <v>1</v>
      </c>
      <c r="AJ138" s="42">
        <v>1</v>
      </c>
      <c r="AK138" s="42"/>
      <c r="AL138" s="42">
        <v>1</v>
      </c>
      <c r="AM138" s="42">
        <v>1</v>
      </c>
      <c r="AN138" s="42">
        <v>1</v>
      </c>
      <c r="AO138" s="43">
        <v>1</v>
      </c>
      <c r="AP138" s="43"/>
      <c r="AQ138" s="43">
        <v>1</v>
      </c>
      <c r="AR138" s="44">
        <v>1</v>
      </c>
      <c r="AS138" s="44">
        <v>1</v>
      </c>
      <c r="AT138" s="44">
        <v>1</v>
      </c>
      <c r="AU138" s="44">
        <v>1</v>
      </c>
      <c r="AV138" s="44">
        <v>1</v>
      </c>
      <c r="AW138" s="34"/>
      <c r="AX138" s="44"/>
      <c r="AY138" s="44">
        <v>1</v>
      </c>
      <c r="AZ138" s="44">
        <v>1</v>
      </c>
      <c r="BA138" s="34">
        <v>1</v>
      </c>
      <c r="BB138" s="34">
        <v>1</v>
      </c>
      <c r="BC138" s="34">
        <v>1</v>
      </c>
    </row>
    <row r="139" spans="1:55" customFormat="1" ht="21" customHeight="1" x14ac:dyDescent="0.4">
      <c r="A139" s="22"/>
      <c r="B139" s="42" t="s">
        <v>259</v>
      </c>
      <c r="C139" s="42" t="s">
        <v>246</v>
      </c>
      <c r="D139" s="42" t="s">
        <v>454</v>
      </c>
      <c r="E139" s="42" t="s">
        <v>449</v>
      </c>
      <c r="F139" s="42"/>
      <c r="G139" s="42"/>
      <c r="H139" s="43"/>
      <c r="I139" s="43"/>
      <c r="J139" s="43"/>
      <c r="K139" s="44">
        <v>1</v>
      </c>
      <c r="L139" s="42">
        <v>1</v>
      </c>
      <c r="M139" s="42">
        <v>1</v>
      </c>
      <c r="N139" s="42">
        <v>1</v>
      </c>
      <c r="O139" s="42">
        <v>1</v>
      </c>
      <c r="P139" s="42">
        <v>1</v>
      </c>
      <c r="Q139" s="42">
        <v>1</v>
      </c>
      <c r="R139" s="42"/>
      <c r="S139" s="43">
        <v>1</v>
      </c>
      <c r="T139" s="43">
        <v>1</v>
      </c>
      <c r="U139" s="43">
        <v>1</v>
      </c>
      <c r="V139" s="44">
        <v>1</v>
      </c>
      <c r="W139" s="42"/>
      <c r="X139" s="42">
        <v>1</v>
      </c>
      <c r="Y139" s="42">
        <v>1</v>
      </c>
      <c r="Z139" s="42"/>
      <c r="AA139" s="42"/>
      <c r="AB139" s="42">
        <v>1</v>
      </c>
      <c r="AC139" s="42">
        <v>1</v>
      </c>
      <c r="AD139" s="43">
        <v>1</v>
      </c>
      <c r="AE139" s="43">
        <v>1</v>
      </c>
      <c r="AF139" s="43">
        <v>1</v>
      </c>
      <c r="AG139" s="44">
        <v>1</v>
      </c>
      <c r="AH139" s="42">
        <v>1</v>
      </c>
      <c r="AI139" s="42">
        <v>1</v>
      </c>
      <c r="AJ139" s="42">
        <v>1</v>
      </c>
      <c r="AK139" s="42"/>
      <c r="AL139" s="42">
        <v>1</v>
      </c>
      <c r="AM139" s="42">
        <v>1</v>
      </c>
      <c r="AN139" s="42">
        <v>1</v>
      </c>
      <c r="AO139" s="43"/>
      <c r="AP139" s="43"/>
      <c r="AQ139" s="43"/>
      <c r="AR139" s="44"/>
      <c r="AS139" s="44"/>
      <c r="AT139" s="44"/>
      <c r="AU139" s="44"/>
      <c r="AV139" s="44"/>
      <c r="AW139" s="34"/>
      <c r="AX139" s="44"/>
      <c r="AY139" s="44"/>
      <c r="AZ139" s="44">
        <v>1</v>
      </c>
      <c r="BA139" s="34">
        <v>1</v>
      </c>
      <c r="BB139" s="34">
        <v>1</v>
      </c>
      <c r="BC139" s="34">
        <v>1</v>
      </c>
    </row>
    <row r="140" spans="1:55" customFormat="1" ht="21" customHeight="1" x14ac:dyDescent="0.4">
      <c r="A140" s="22"/>
      <c r="B140" s="42" t="s">
        <v>259</v>
      </c>
      <c r="C140" s="42" t="s">
        <v>246</v>
      </c>
      <c r="D140" s="42" t="s">
        <v>455</v>
      </c>
      <c r="E140" s="42" t="s">
        <v>449</v>
      </c>
      <c r="F140" s="42"/>
      <c r="G140" s="42"/>
      <c r="H140" s="43"/>
      <c r="I140" s="43"/>
      <c r="J140" s="43"/>
      <c r="K140" s="44">
        <v>1</v>
      </c>
      <c r="L140" s="42">
        <v>1</v>
      </c>
      <c r="M140" s="42">
        <v>1</v>
      </c>
      <c r="N140" s="42">
        <v>1</v>
      </c>
      <c r="O140" s="42">
        <v>1</v>
      </c>
      <c r="P140" s="42">
        <v>1</v>
      </c>
      <c r="Q140" s="42">
        <v>1</v>
      </c>
      <c r="R140" s="42"/>
      <c r="S140" s="43">
        <v>1</v>
      </c>
      <c r="T140" s="43"/>
      <c r="U140" s="43">
        <v>1</v>
      </c>
      <c r="V140" s="44"/>
      <c r="W140" s="42"/>
      <c r="X140" s="42">
        <v>1</v>
      </c>
      <c r="Y140" s="42">
        <v>1</v>
      </c>
      <c r="Z140" s="42">
        <v>1</v>
      </c>
      <c r="AA140" s="42">
        <v>1</v>
      </c>
      <c r="AB140" s="42">
        <v>1</v>
      </c>
      <c r="AC140" s="42">
        <v>1</v>
      </c>
      <c r="AD140" s="43">
        <v>1</v>
      </c>
      <c r="AE140" s="43">
        <v>1</v>
      </c>
      <c r="AF140" s="43">
        <v>1</v>
      </c>
      <c r="AG140" s="44">
        <v>1</v>
      </c>
      <c r="AH140" s="42">
        <v>1</v>
      </c>
      <c r="AI140" s="42">
        <v>1</v>
      </c>
      <c r="AJ140" s="42">
        <v>1</v>
      </c>
      <c r="AK140" s="42">
        <v>1</v>
      </c>
      <c r="AL140" s="42">
        <v>1</v>
      </c>
      <c r="AM140" s="42">
        <v>1</v>
      </c>
      <c r="AN140" s="42">
        <v>1</v>
      </c>
      <c r="AO140" s="43">
        <v>1</v>
      </c>
      <c r="AP140" s="43"/>
      <c r="AQ140" s="43">
        <v>1</v>
      </c>
      <c r="AR140" s="44">
        <v>1</v>
      </c>
      <c r="AS140" s="44">
        <v>1</v>
      </c>
      <c r="AT140" s="44">
        <v>1</v>
      </c>
      <c r="AU140" s="44">
        <v>1</v>
      </c>
      <c r="AV140" s="44">
        <v>1</v>
      </c>
      <c r="AW140" s="34"/>
      <c r="AX140" s="44"/>
      <c r="AY140" s="44">
        <v>1</v>
      </c>
      <c r="AZ140" s="44">
        <v>1</v>
      </c>
      <c r="BA140" s="34">
        <v>1</v>
      </c>
      <c r="BB140" s="34">
        <v>1</v>
      </c>
      <c r="BC140" s="34"/>
    </row>
    <row r="141" spans="1:55" customFormat="1" ht="21" customHeight="1" x14ac:dyDescent="0.4">
      <c r="A141" s="22"/>
      <c r="B141" s="42" t="s">
        <v>259</v>
      </c>
      <c r="C141" s="42" t="s">
        <v>246</v>
      </c>
      <c r="D141" s="42" t="s">
        <v>456</v>
      </c>
      <c r="E141" s="42" t="s">
        <v>457</v>
      </c>
      <c r="F141" s="42"/>
      <c r="G141" s="42">
        <v>1</v>
      </c>
      <c r="H141" s="43"/>
      <c r="I141" s="43">
        <v>1</v>
      </c>
      <c r="J141" s="43">
        <v>1</v>
      </c>
      <c r="K141" s="44">
        <v>1</v>
      </c>
      <c r="L141" s="42">
        <v>1</v>
      </c>
      <c r="M141" s="42">
        <v>1</v>
      </c>
      <c r="N141" s="42">
        <v>1</v>
      </c>
      <c r="O141" s="42">
        <v>1</v>
      </c>
      <c r="P141" s="42">
        <v>1</v>
      </c>
      <c r="Q141" s="42">
        <v>1</v>
      </c>
      <c r="R141" s="42"/>
      <c r="S141" s="43"/>
      <c r="T141" s="43">
        <v>1</v>
      </c>
      <c r="U141" s="43">
        <v>1</v>
      </c>
      <c r="V141" s="44">
        <v>1</v>
      </c>
      <c r="W141" s="42">
        <v>1</v>
      </c>
      <c r="X141" s="42">
        <v>1</v>
      </c>
      <c r="Y141" s="42"/>
      <c r="Z141" s="42">
        <v>1</v>
      </c>
      <c r="AA141" s="42">
        <v>1</v>
      </c>
      <c r="AB141" s="42">
        <v>1</v>
      </c>
      <c r="AC141" s="42">
        <v>1</v>
      </c>
      <c r="AD141" s="43"/>
      <c r="AE141" s="43">
        <v>1</v>
      </c>
      <c r="AF141" s="43">
        <v>1</v>
      </c>
      <c r="AG141" s="44">
        <v>1</v>
      </c>
      <c r="AH141" s="42">
        <v>1</v>
      </c>
      <c r="AI141" s="42">
        <v>1</v>
      </c>
      <c r="AJ141" s="42">
        <v>1</v>
      </c>
      <c r="AK141" s="42">
        <v>1</v>
      </c>
      <c r="AL141" s="42">
        <v>1</v>
      </c>
      <c r="AM141" s="42">
        <v>1</v>
      </c>
      <c r="AN141" s="42"/>
      <c r="AO141" s="43">
        <v>1</v>
      </c>
      <c r="AP141" s="43"/>
      <c r="AQ141" s="43">
        <v>1</v>
      </c>
      <c r="AR141" s="44">
        <v>1</v>
      </c>
      <c r="AS141" s="44">
        <v>1</v>
      </c>
      <c r="AT141" s="44">
        <v>1</v>
      </c>
      <c r="AU141" s="44">
        <v>1</v>
      </c>
      <c r="AV141" s="44">
        <v>1</v>
      </c>
      <c r="AW141" s="34"/>
      <c r="AX141" s="44"/>
      <c r="AY141" s="44">
        <v>1</v>
      </c>
      <c r="AZ141" s="44">
        <v>1</v>
      </c>
      <c r="BA141" s="34">
        <v>1</v>
      </c>
      <c r="BB141" s="34">
        <v>1</v>
      </c>
      <c r="BC141" s="34">
        <v>1</v>
      </c>
    </row>
    <row r="142" spans="1:55" customFormat="1" ht="21" customHeight="1" x14ac:dyDescent="0.4">
      <c r="A142" s="22"/>
      <c r="B142" s="42" t="s">
        <v>259</v>
      </c>
      <c r="C142" s="42" t="s">
        <v>247</v>
      </c>
      <c r="D142" s="42" t="s">
        <v>458</v>
      </c>
      <c r="E142" s="42" t="s">
        <v>407</v>
      </c>
      <c r="F142" s="42"/>
      <c r="G142" s="42">
        <v>1</v>
      </c>
      <c r="H142" s="43"/>
      <c r="I142" s="43">
        <v>1</v>
      </c>
      <c r="J142" s="43">
        <v>1</v>
      </c>
      <c r="K142" s="44">
        <v>1</v>
      </c>
      <c r="L142" s="42">
        <v>1</v>
      </c>
      <c r="M142" s="42">
        <v>1</v>
      </c>
      <c r="N142" s="42">
        <v>1</v>
      </c>
      <c r="O142" s="42">
        <v>1</v>
      </c>
      <c r="P142" s="42">
        <v>1</v>
      </c>
      <c r="Q142" s="42">
        <v>1</v>
      </c>
      <c r="R142" s="42"/>
      <c r="S142" s="43"/>
      <c r="T142" s="43">
        <v>1</v>
      </c>
      <c r="U142" s="43">
        <v>1</v>
      </c>
      <c r="V142" s="44">
        <v>1</v>
      </c>
      <c r="W142" s="42">
        <v>1</v>
      </c>
      <c r="X142" s="42">
        <v>1</v>
      </c>
      <c r="Y142" s="42">
        <v>1</v>
      </c>
      <c r="Z142" s="42">
        <v>1</v>
      </c>
      <c r="AA142" s="42"/>
      <c r="AB142" s="42">
        <v>1</v>
      </c>
      <c r="AC142" s="42"/>
      <c r="AD142" s="43"/>
      <c r="AE142" s="43">
        <v>1</v>
      </c>
      <c r="AF142" s="43">
        <v>1</v>
      </c>
      <c r="AG142" s="44">
        <v>1</v>
      </c>
      <c r="AH142" s="42">
        <v>1</v>
      </c>
      <c r="AI142" s="42">
        <v>1</v>
      </c>
      <c r="AJ142" s="42">
        <v>1</v>
      </c>
      <c r="AK142" s="42">
        <v>1</v>
      </c>
      <c r="AL142" s="42">
        <v>1</v>
      </c>
      <c r="AM142" s="42">
        <v>1</v>
      </c>
      <c r="AN142" s="42">
        <v>1</v>
      </c>
      <c r="AO142" s="43"/>
      <c r="AP142" s="43"/>
      <c r="AQ142" s="43"/>
      <c r="AR142" s="44"/>
      <c r="AS142" s="44"/>
      <c r="AT142" s="44"/>
      <c r="AU142" s="44"/>
      <c r="AV142" s="44"/>
      <c r="AW142" s="34"/>
      <c r="AX142" s="44"/>
      <c r="AY142" s="44">
        <v>1</v>
      </c>
      <c r="AZ142" s="44">
        <v>1</v>
      </c>
      <c r="BA142" s="34">
        <v>1</v>
      </c>
      <c r="BB142" s="34">
        <v>1</v>
      </c>
      <c r="BC142" s="34"/>
    </row>
    <row r="143" spans="1:55" customFormat="1" ht="21" customHeight="1" x14ac:dyDescent="0.4">
      <c r="A143" s="22"/>
      <c r="B143" s="42" t="s">
        <v>259</v>
      </c>
      <c r="C143" s="42" t="s">
        <v>246</v>
      </c>
      <c r="D143" s="42" t="s">
        <v>459</v>
      </c>
      <c r="E143" s="42" t="s">
        <v>407</v>
      </c>
      <c r="F143" s="42"/>
      <c r="G143" s="42">
        <v>1</v>
      </c>
      <c r="H143" s="43">
        <v>1</v>
      </c>
      <c r="I143" s="43">
        <v>1</v>
      </c>
      <c r="J143" s="43">
        <v>1</v>
      </c>
      <c r="K143" s="44">
        <v>1</v>
      </c>
      <c r="L143" s="42">
        <v>1</v>
      </c>
      <c r="M143" s="42">
        <v>1</v>
      </c>
      <c r="N143" s="42"/>
      <c r="O143" s="42">
        <v>1</v>
      </c>
      <c r="P143" s="42">
        <v>1</v>
      </c>
      <c r="Q143" s="42">
        <v>1</v>
      </c>
      <c r="R143" s="42"/>
      <c r="S143" s="43"/>
      <c r="T143" s="43">
        <v>1</v>
      </c>
      <c r="U143" s="43">
        <v>1</v>
      </c>
      <c r="V143" s="44">
        <v>1</v>
      </c>
      <c r="W143" s="42">
        <v>1</v>
      </c>
      <c r="X143" s="42">
        <v>1</v>
      </c>
      <c r="Y143" s="42">
        <v>1</v>
      </c>
      <c r="Z143" s="42"/>
      <c r="AA143" s="42">
        <v>1</v>
      </c>
      <c r="AB143" s="42">
        <v>1</v>
      </c>
      <c r="AC143" s="42">
        <v>1</v>
      </c>
      <c r="AD143" s="43">
        <v>1</v>
      </c>
      <c r="AE143" s="43">
        <v>1</v>
      </c>
      <c r="AF143" s="43">
        <v>1</v>
      </c>
      <c r="AG143" s="44">
        <v>1</v>
      </c>
      <c r="AH143" s="42">
        <v>1</v>
      </c>
      <c r="AI143" s="42">
        <v>1</v>
      </c>
      <c r="AJ143" s="42">
        <v>1</v>
      </c>
      <c r="AK143" s="42">
        <v>1</v>
      </c>
      <c r="AL143" s="42">
        <v>1</v>
      </c>
      <c r="AM143" s="42">
        <v>1</v>
      </c>
      <c r="AN143" s="42"/>
      <c r="AO143" s="43">
        <v>1</v>
      </c>
      <c r="AP143" s="43"/>
      <c r="AQ143" s="43">
        <v>1</v>
      </c>
      <c r="AR143" s="44">
        <v>1</v>
      </c>
      <c r="AS143" s="44">
        <v>1</v>
      </c>
      <c r="AT143" s="44">
        <v>1</v>
      </c>
      <c r="AU143" s="44">
        <v>1</v>
      </c>
      <c r="AV143" s="44">
        <v>1</v>
      </c>
      <c r="AW143" s="34"/>
      <c r="AX143" s="44"/>
      <c r="AY143" s="44">
        <v>1</v>
      </c>
      <c r="AZ143" s="44">
        <v>1</v>
      </c>
      <c r="BA143" s="34">
        <v>1</v>
      </c>
      <c r="BB143" s="34">
        <v>1</v>
      </c>
      <c r="BC143" s="34">
        <v>1</v>
      </c>
    </row>
    <row r="144" spans="1:55" customFormat="1" ht="21" customHeight="1" x14ac:dyDescent="0.4">
      <c r="A144" s="22"/>
      <c r="B144" s="42" t="s">
        <v>259</v>
      </c>
      <c r="C144" s="42" t="s">
        <v>246</v>
      </c>
      <c r="D144" s="42" t="s">
        <v>460</v>
      </c>
      <c r="E144" s="42" t="s">
        <v>407</v>
      </c>
      <c r="F144" s="42"/>
      <c r="G144" s="42"/>
      <c r="H144" s="43"/>
      <c r="I144" s="43">
        <v>1</v>
      </c>
      <c r="J144" s="43">
        <v>1</v>
      </c>
      <c r="K144" s="44">
        <v>1</v>
      </c>
      <c r="L144" s="42">
        <v>1</v>
      </c>
      <c r="M144" s="42">
        <v>1</v>
      </c>
      <c r="N144" s="42">
        <v>1</v>
      </c>
      <c r="O144" s="42">
        <v>1</v>
      </c>
      <c r="P144" s="42">
        <v>1</v>
      </c>
      <c r="Q144" s="42">
        <v>1</v>
      </c>
      <c r="R144" s="42"/>
      <c r="S144" s="43"/>
      <c r="T144" s="43"/>
      <c r="U144" s="43"/>
      <c r="V144" s="44">
        <v>1</v>
      </c>
      <c r="W144" s="42">
        <v>1</v>
      </c>
      <c r="X144" s="42">
        <v>1</v>
      </c>
      <c r="Y144" s="42">
        <v>1</v>
      </c>
      <c r="Z144" s="42">
        <v>1</v>
      </c>
      <c r="AA144" s="42">
        <v>1</v>
      </c>
      <c r="AB144" s="42">
        <v>1</v>
      </c>
      <c r="AC144" s="42">
        <v>1</v>
      </c>
      <c r="AD144" s="43">
        <v>1</v>
      </c>
      <c r="AE144" s="43">
        <v>1</v>
      </c>
      <c r="AF144" s="43">
        <v>1</v>
      </c>
      <c r="AG144" s="44">
        <v>1</v>
      </c>
      <c r="AH144" s="44">
        <v>1</v>
      </c>
      <c r="AI144" s="44">
        <v>1</v>
      </c>
      <c r="AJ144" s="42">
        <v>1</v>
      </c>
      <c r="AK144" s="42">
        <v>1</v>
      </c>
      <c r="AL144" s="42">
        <v>1</v>
      </c>
      <c r="AM144" s="42">
        <v>1</v>
      </c>
      <c r="AN144" s="42">
        <v>1</v>
      </c>
      <c r="AO144" s="43">
        <v>1</v>
      </c>
      <c r="AP144" s="43"/>
      <c r="AQ144" s="43">
        <v>1</v>
      </c>
      <c r="AR144" s="44">
        <v>1</v>
      </c>
      <c r="AS144" s="44"/>
      <c r="AT144" s="44"/>
      <c r="AU144" s="44"/>
      <c r="AV144" s="44"/>
      <c r="AW144" s="34"/>
      <c r="AX144" s="44"/>
      <c r="AY144" s="44">
        <v>1</v>
      </c>
      <c r="AZ144" s="44">
        <v>1</v>
      </c>
      <c r="BA144" s="34">
        <v>1</v>
      </c>
      <c r="BB144" s="34">
        <v>1</v>
      </c>
      <c r="BC144" s="34">
        <v>1</v>
      </c>
    </row>
    <row r="145" spans="1:55" customFormat="1" ht="21" customHeight="1" x14ac:dyDescent="0.4">
      <c r="A145" s="22"/>
      <c r="B145" s="42" t="s">
        <v>259</v>
      </c>
      <c r="C145" s="42" t="s">
        <v>246</v>
      </c>
      <c r="D145" s="42" t="s">
        <v>461</v>
      </c>
      <c r="E145" s="42" t="s">
        <v>272</v>
      </c>
      <c r="F145" s="42"/>
      <c r="G145" s="42">
        <v>1</v>
      </c>
      <c r="H145" s="43"/>
      <c r="I145" s="43"/>
      <c r="J145" s="42">
        <v>1</v>
      </c>
      <c r="K145" s="44">
        <v>1</v>
      </c>
      <c r="L145" s="42">
        <v>1</v>
      </c>
      <c r="M145" s="42">
        <v>1</v>
      </c>
      <c r="N145" s="42">
        <v>1</v>
      </c>
      <c r="O145" s="42">
        <v>1</v>
      </c>
      <c r="P145" s="42">
        <v>1</v>
      </c>
      <c r="Q145" s="42">
        <v>1</v>
      </c>
      <c r="R145" s="42"/>
      <c r="S145" s="43"/>
      <c r="T145" s="43">
        <v>1</v>
      </c>
      <c r="U145" s="43">
        <v>1</v>
      </c>
      <c r="V145" s="44">
        <v>1</v>
      </c>
      <c r="W145" s="42">
        <v>1</v>
      </c>
      <c r="X145" s="42">
        <v>1</v>
      </c>
      <c r="Y145" s="42"/>
      <c r="Z145" s="42">
        <v>1</v>
      </c>
      <c r="AA145" s="42">
        <v>1</v>
      </c>
      <c r="AB145" s="42">
        <v>1</v>
      </c>
      <c r="AC145" s="42">
        <v>1</v>
      </c>
      <c r="AD145" s="43"/>
      <c r="AE145" s="43">
        <v>1</v>
      </c>
      <c r="AF145" s="43">
        <v>1</v>
      </c>
      <c r="AG145" s="44">
        <v>1</v>
      </c>
      <c r="AH145" s="42">
        <v>1</v>
      </c>
      <c r="AI145" s="42">
        <v>1</v>
      </c>
      <c r="AJ145" s="42"/>
      <c r="AK145" s="42">
        <v>1</v>
      </c>
      <c r="AL145" s="42">
        <v>1</v>
      </c>
      <c r="AM145" s="42">
        <v>1</v>
      </c>
      <c r="AN145" s="42"/>
      <c r="AO145" s="43"/>
      <c r="AP145" s="43"/>
      <c r="AQ145" s="43"/>
      <c r="AR145" s="44"/>
      <c r="AS145" s="44"/>
      <c r="AT145" s="44"/>
      <c r="AU145" s="44"/>
      <c r="AV145" s="44"/>
      <c r="AW145" s="34"/>
      <c r="AX145" s="44"/>
      <c r="AY145" s="44">
        <v>1</v>
      </c>
      <c r="AZ145" s="44">
        <v>1</v>
      </c>
      <c r="BA145" s="34">
        <v>1</v>
      </c>
      <c r="BB145" s="34">
        <v>1</v>
      </c>
      <c r="BC145" s="34">
        <v>1</v>
      </c>
    </row>
    <row r="146" spans="1:55" customFormat="1" ht="21" customHeight="1" x14ac:dyDescent="0.4">
      <c r="A146" s="22"/>
      <c r="B146" s="42" t="s">
        <v>259</v>
      </c>
      <c r="C146" s="42" t="s">
        <v>255</v>
      </c>
      <c r="D146" s="42" t="s">
        <v>462</v>
      </c>
      <c r="E146" s="42" t="s">
        <v>287</v>
      </c>
      <c r="F146" s="42"/>
      <c r="G146" s="42"/>
      <c r="H146" s="43"/>
      <c r="I146" s="43">
        <v>1</v>
      </c>
      <c r="J146" s="43">
        <v>1</v>
      </c>
      <c r="K146" s="44"/>
      <c r="L146" s="42"/>
      <c r="M146" s="42"/>
      <c r="N146" s="42"/>
      <c r="O146" s="42"/>
      <c r="P146" s="42"/>
      <c r="Q146" s="42">
        <v>1</v>
      </c>
      <c r="R146" s="42"/>
      <c r="S146" s="43"/>
      <c r="T146" s="43"/>
      <c r="U146" s="43"/>
      <c r="V146" s="44"/>
      <c r="W146" s="42"/>
      <c r="X146" s="42"/>
      <c r="Y146" s="42">
        <v>1</v>
      </c>
      <c r="Z146" s="42"/>
      <c r="AA146" s="42"/>
      <c r="AB146" s="42"/>
      <c r="AC146" s="42">
        <v>1</v>
      </c>
      <c r="AD146" s="43"/>
      <c r="AE146" s="43">
        <v>1</v>
      </c>
      <c r="AF146" s="42">
        <v>1</v>
      </c>
      <c r="AG146" s="44">
        <v>1</v>
      </c>
      <c r="AH146" s="42">
        <v>1</v>
      </c>
      <c r="AI146" s="42">
        <v>1</v>
      </c>
      <c r="AJ146" s="42">
        <v>1</v>
      </c>
      <c r="AK146" s="42">
        <v>1</v>
      </c>
      <c r="AL146" s="42">
        <v>1</v>
      </c>
      <c r="AM146" s="42">
        <v>1</v>
      </c>
      <c r="AN146" s="42">
        <v>1</v>
      </c>
      <c r="AO146" s="43"/>
      <c r="AP146" s="43">
        <v>1</v>
      </c>
      <c r="AQ146" s="43">
        <v>1</v>
      </c>
      <c r="AR146" s="44"/>
      <c r="AS146" s="44"/>
      <c r="AT146" s="44">
        <v>1</v>
      </c>
      <c r="AU146" s="44">
        <v>1</v>
      </c>
      <c r="AV146" s="44">
        <v>1</v>
      </c>
      <c r="AW146" s="34"/>
      <c r="AX146" s="44"/>
      <c r="AY146" s="44">
        <v>1</v>
      </c>
      <c r="AZ146" s="44"/>
      <c r="BA146" s="34">
        <v>1</v>
      </c>
      <c r="BB146" s="34">
        <v>1</v>
      </c>
      <c r="BC146" s="34"/>
    </row>
    <row r="147" spans="1:55" customFormat="1" ht="21" customHeight="1" x14ac:dyDescent="0.4">
      <c r="A147" s="22"/>
      <c r="B147" s="42" t="s">
        <v>259</v>
      </c>
      <c r="C147" s="42" t="s">
        <v>255</v>
      </c>
      <c r="D147" s="42" t="s">
        <v>463</v>
      </c>
      <c r="E147" s="42" t="s">
        <v>265</v>
      </c>
      <c r="F147" s="42"/>
      <c r="G147" s="42">
        <v>1</v>
      </c>
      <c r="H147" s="43"/>
      <c r="I147" s="43">
        <v>1</v>
      </c>
      <c r="J147" s="43">
        <v>1</v>
      </c>
      <c r="K147" s="44">
        <v>1</v>
      </c>
      <c r="L147" s="42">
        <v>1</v>
      </c>
      <c r="M147" s="42">
        <v>1</v>
      </c>
      <c r="N147" s="42">
        <v>1</v>
      </c>
      <c r="O147" s="42">
        <v>1</v>
      </c>
      <c r="P147" s="42">
        <v>1</v>
      </c>
      <c r="Q147" s="42">
        <v>1</v>
      </c>
      <c r="R147" s="42"/>
      <c r="S147" s="43"/>
      <c r="T147" s="43">
        <v>1</v>
      </c>
      <c r="U147" s="43">
        <v>1</v>
      </c>
      <c r="V147" s="44">
        <v>1</v>
      </c>
      <c r="W147" s="42">
        <v>1</v>
      </c>
      <c r="X147" s="42">
        <v>1</v>
      </c>
      <c r="Y147" s="42"/>
      <c r="Z147" s="42"/>
      <c r="AA147" s="42">
        <v>1</v>
      </c>
      <c r="AB147" s="42">
        <v>1</v>
      </c>
      <c r="AC147" s="42">
        <v>1</v>
      </c>
      <c r="AD147" s="43">
        <v>1</v>
      </c>
      <c r="AE147" s="43">
        <v>1</v>
      </c>
      <c r="AF147" s="43">
        <v>1</v>
      </c>
      <c r="AG147" s="44">
        <v>1</v>
      </c>
      <c r="AH147" s="42">
        <v>1</v>
      </c>
      <c r="AI147" s="42">
        <v>1</v>
      </c>
      <c r="AJ147" s="42">
        <v>1</v>
      </c>
      <c r="AK147" s="42">
        <v>1</v>
      </c>
      <c r="AL147" s="42">
        <v>1</v>
      </c>
      <c r="AM147" s="42">
        <v>1</v>
      </c>
      <c r="AN147" s="42"/>
      <c r="AO147" s="43"/>
      <c r="AP147" s="43"/>
      <c r="AQ147" s="43"/>
      <c r="AR147" s="44"/>
      <c r="AS147" s="44">
        <v>1</v>
      </c>
      <c r="AT147" s="44"/>
      <c r="AU147" s="44"/>
      <c r="AV147" s="44"/>
      <c r="AW147" s="34"/>
      <c r="AX147" s="44"/>
      <c r="AY147" s="44"/>
      <c r="AZ147" s="44"/>
      <c r="BA147" s="34">
        <v>1</v>
      </c>
      <c r="BB147" s="34">
        <v>1</v>
      </c>
      <c r="BC147" s="34">
        <v>1</v>
      </c>
    </row>
    <row r="148" spans="1:55" customFormat="1" ht="21" customHeight="1" x14ac:dyDescent="0.4">
      <c r="A148" s="22"/>
      <c r="B148" s="42" t="s">
        <v>259</v>
      </c>
      <c r="C148" s="42" t="s">
        <v>244</v>
      </c>
      <c r="D148" s="42" t="s">
        <v>464</v>
      </c>
      <c r="E148" s="42" t="s">
        <v>465</v>
      </c>
      <c r="F148" s="42"/>
      <c r="G148" s="42">
        <v>1</v>
      </c>
      <c r="H148" s="43">
        <v>1</v>
      </c>
      <c r="I148" s="43">
        <v>1</v>
      </c>
      <c r="J148" s="43">
        <v>1</v>
      </c>
      <c r="K148" s="44">
        <v>1</v>
      </c>
      <c r="L148" s="42"/>
      <c r="M148" s="42"/>
      <c r="N148" s="42">
        <v>1</v>
      </c>
      <c r="O148" s="42">
        <v>1</v>
      </c>
      <c r="P148" s="42"/>
      <c r="Q148" s="42"/>
      <c r="R148" s="42">
        <v>1</v>
      </c>
      <c r="S148" s="43">
        <v>1</v>
      </c>
      <c r="T148" s="43"/>
      <c r="U148" s="43">
        <v>1</v>
      </c>
      <c r="V148" s="44">
        <v>1</v>
      </c>
      <c r="W148" s="42"/>
      <c r="X148" s="42"/>
      <c r="Y148" s="42"/>
      <c r="Z148" s="42">
        <v>1</v>
      </c>
      <c r="AA148" s="42">
        <v>1</v>
      </c>
      <c r="AB148" s="42">
        <v>1</v>
      </c>
      <c r="AC148" s="42">
        <v>1</v>
      </c>
      <c r="AD148" s="43">
        <v>1</v>
      </c>
      <c r="AE148" s="43">
        <v>1</v>
      </c>
      <c r="AF148" s="43">
        <v>1</v>
      </c>
      <c r="AG148" s="44">
        <v>1</v>
      </c>
      <c r="AH148" s="42">
        <v>1</v>
      </c>
      <c r="AI148" s="42">
        <v>1</v>
      </c>
      <c r="AJ148" s="42">
        <v>1</v>
      </c>
      <c r="AK148" s="42"/>
      <c r="AL148" s="42"/>
      <c r="AM148" s="42">
        <v>1</v>
      </c>
      <c r="AN148" s="42"/>
      <c r="AO148" s="43"/>
      <c r="AP148" s="43">
        <v>1</v>
      </c>
      <c r="AQ148" s="43">
        <v>1</v>
      </c>
      <c r="AR148" s="44">
        <v>1</v>
      </c>
      <c r="AS148" s="44"/>
      <c r="AT148" s="44"/>
      <c r="AU148" s="44"/>
      <c r="AV148" s="44"/>
      <c r="AW148" s="34"/>
      <c r="AX148" s="44"/>
      <c r="AY148" s="44"/>
      <c r="AZ148" s="44"/>
      <c r="BA148" s="34"/>
      <c r="BB148" s="34"/>
      <c r="BC148" s="34"/>
    </row>
    <row r="149" spans="1:55" customFormat="1" ht="21" customHeight="1" x14ac:dyDescent="0.4">
      <c r="A149" s="22"/>
      <c r="B149" s="42" t="s">
        <v>259</v>
      </c>
      <c r="C149" s="42" t="s">
        <v>244</v>
      </c>
      <c r="D149" s="42" t="s">
        <v>466</v>
      </c>
      <c r="E149" s="42" t="s">
        <v>430</v>
      </c>
      <c r="F149" s="42"/>
      <c r="G149" s="42">
        <v>1</v>
      </c>
      <c r="H149" s="43">
        <v>1</v>
      </c>
      <c r="I149" s="43">
        <v>1</v>
      </c>
      <c r="J149" s="43">
        <v>1</v>
      </c>
      <c r="K149" s="44">
        <v>1</v>
      </c>
      <c r="L149" s="42">
        <v>1</v>
      </c>
      <c r="M149" s="42">
        <v>1</v>
      </c>
      <c r="N149" s="42">
        <v>1</v>
      </c>
      <c r="O149" s="42">
        <v>1</v>
      </c>
      <c r="P149" s="42">
        <v>1</v>
      </c>
      <c r="Q149" s="42">
        <v>1</v>
      </c>
      <c r="R149" s="42">
        <v>1</v>
      </c>
      <c r="S149" s="43">
        <v>1</v>
      </c>
      <c r="T149" s="43">
        <v>1</v>
      </c>
      <c r="U149" s="43">
        <v>1</v>
      </c>
      <c r="V149" s="44">
        <v>1</v>
      </c>
      <c r="W149" s="42">
        <v>1</v>
      </c>
      <c r="X149" s="42">
        <v>1</v>
      </c>
      <c r="Y149" s="42">
        <v>1</v>
      </c>
      <c r="Z149" s="42">
        <v>1</v>
      </c>
      <c r="AA149" s="42">
        <v>1</v>
      </c>
      <c r="AB149" s="42">
        <v>1</v>
      </c>
      <c r="AC149" s="42">
        <v>1</v>
      </c>
      <c r="AD149" s="43">
        <v>1</v>
      </c>
      <c r="AE149" s="43">
        <v>1</v>
      </c>
      <c r="AF149" s="43">
        <v>1</v>
      </c>
      <c r="AG149" s="44">
        <v>1</v>
      </c>
      <c r="AH149" s="42">
        <v>1</v>
      </c>
      <c r="AI149" s="42">
        <v>1</v>
      </c>
      <c r="AJ149" s="42">
        <v>1</v>
      </c>
      <c r="AK149" s="42">
        <v>1</v>
      </c>
      <c r="AL149" s="42">
        <v>1</v>
      </c>
      <c r="AM149" s="42">
        <v>1</v>
      </c>
      <c r="AN149" s="42"/>
      <c r="AO149" s="43"/>
      <c r="AP149" s="43"/>
      <c r="AQ149" s="43"/>
      <c r="AR149" s="44"/>
      <c r="AS149" s="44">
        <v>1</v>
      </c>
      <c r="AT149" s="44">
        <v>1</v>
      </c>
      <c r="AU149" s="44">
        <v>1</v>
      </c>
      <c r="AV149" s="44">
        <v>1</v>
      </c>
      <c r="AW149" s="34"/>
      <c r="AX149" s="44"/>
      <c r="AY149" s="44"/>
      <c r="AZ149" s="44"/>
      <c r="BA149" s="34">
        <v>1</v>
      </c>
      <c r="BB149" s="34">
        <v>1</v>
      </c>
      <c r="BC149" s="34"/>
    </row>
    <row r="150" spans="1:55" customFormat="1" ht="21" customHeight="1" x14ac:dyDescent="0.4">
      <c r="A150" s="22"/>
      <c r="B150" s="42" t="s">
        <v>259</v>
      </c>
      <c r="C150" s="42" t="s">
        <v>244</v>
      </c>
      <c r="D150" s="42" t="s">
        <v>467</v>
      </c>
      <c r="E150" s="42" t="s">
        <v>437</v>
      </c>
      <c r="F150" s="42"/>
      <c r="G150" s="42">
        <v>1</v>
      </c>
      <c r="H150" s="43">
        <v>1</v>
      </c>
      <c r="I150" s="43">
        <v>1</v>
      </c>
      <c r="J150" s="43">
        <v>1</v>
      </c>
      <c r="K150" s="44">
        <v>1</v>
      </c>
      <c r="L150" s="42">
        <v>1</v>
      </c>
      <c r="M150" s="42">
        <v>1</v>
      </c>
      <c r="N150" s="42">
        <v>1</v>
      </c>
      <c r="O150" s="42">
        <v>1</v>
      </c>
      <c r="P150" s="42">
        <v>1</v>
      </c>
      <c r="Q150" s="42">
        <v>1</v>
      </c>
      <c r="R150" s="42"/>
      <c r="S150" s="43">
        <v>1</v>
      </c>
      <c r="T150" s="43">
        <v>1</v>
      </c>
      <c r="U150" s="43">
        <v>1</v>
      </c>
      <c r="V150" s="44">
        <v>1</v>
      </c>
      <c r="W150" s="42">
        <v>1</v>
      </c>
      <c r="X150" s="42">
        <v>1</v>
      </c>
      <c r="Y150" s="42">
        <v>1</v>
      </c>
      <c r="Z150" s="42">
        <v>1</v>
      </c>
      <c r="AA150" s="42">
        <v>1</v>
      </c>
      <c r="AB150" s="42">
        <v>1</v>
      </c>
      <c r="AC150" s="42">
        <v>1</v>
      </c>
      <c r="AD150" s="43">
        <v>1</v>
      </c>
      <c r="AE150" s="43">
        <v>1</v>
      </c>
      <c r="AF150" s="43">
        <v>1</v>
      </c>
      <c r="AG150" s="44">
        <v>1</v>
      </c>
      <c r="AH150" s="42">
        <v>1</v>
      </c>
      <c r="AI150" s="42">
        <v>1</v>
      </c>
      <c r="AJ150" s="42">
        <v>1</v>
      </c>
      <c r="AK150" s="42">
        <v>1</v>
      </c>
      <c r="AL150" s="42">
        <v>1</v>
      </c>
      <c r="AM150" s="42">
        <v>1</v>
      </c>
      <c r="AN150" s="42">
        <v>1</v>
      </c>
      <c r="AO150" s="43">
        <v>1</v>
      </c>
      <c r="AP150" s="43">
        <v>1</v>
      </c>
      <c r="AQ150" s="42">
        <v>1</v>
      </c>
      <c r="AR150" s="42">
        <v>1</v>
      </c>
      <c r="AS150" s="42">
        <v>1</v>
      </c>
      <c r="AT150" s="42">
        <v>1</v>
      </c>
      <c r="AU150" s="42">
        <v>1</v>
      </c>
      <c r="AV150" s="42">
        <v>1</v>
      </c>
      <c r="AW150" s="34">
        <v>1</v>
      </c>
      <c r="AX150" s="44">
        <v>1</v>
      </c>
      <c r="AY150" s="44">
        <v>1</v>
      </c>
      <c r="AZ150" s="44">
        <v>1</v>
      </c>
      <c r="BA150" s="34">
        <v>1</v>
      </c>
      <c r="BB150" s="34">
        <v>1</v>
      </c>
      <c r="BC150" s="34">
        <v>1</v>
      </c>
    </row>
    <row r="151" spans="1:55" customFormat="1" ht="21" customHeight="1" x14ac:dyDescent="0.4">
      <c r="A151" s="22"/>
      <c r="B151" s="42" t="s">
        <v>259</v>
      </c>
      <c r="C151" s="42" t="s">
        <v>244</v>
      </c>
      <c r="D151" s="42" t="s">
        <v>468</v>
      </c>
      <c r="E151" s="42" t="s">
        <v>469</v>
      </c>
      <c r="F151" s="42"/>
      <c r="G151" s="42">
        <v>1</v>
      </c>
      <c r="H151" s="43">
        <v>1</v>
      </c>
      <c r="I151" s="43">
        <v>1</v>
      </c>
      <c r="J151" s="43">
        <v>1</v>
      </c>
      <c r="K151" s="44">
        <v>1</v>
      </c>
      <c r="L151" s="42">
        <v>1</v>
      </c>
      <c r="M151" s="42">
        <v>1</v>
      </c>
      <c r="N151" s="42">
        <v>1</v>
      </c>
      <c r="O151" s="42">
        <v>1</v>
      </c>
      <c r="P151" s="42">
        <v>1</v>
      </c>
      <c r="Q151" s="42">
        <v>1</v>
      </c>
      <c r="R151" s="42">
        <v>1</v>
      </c>
      <c r="S151" s="43">
        <v>1</v>
      </c>
      <c r="T151" s="43">
        <v>1</v>
      </c>
      <c r="U151" s="43">
        <v>1</v>
      </c>
      <c r="V151" s="44">
        <v>1</v>
      </c>
      <c r="W151" s="42">
        <v>1</v>
      </c>
      <c r="X151" s="42">
        <v>1</v>
      </c>
      <c r="Y151" s="42"/>
      <c r="Z151" s="42"/>
      <c r="AA151" s="42">
        <v>1</v>
      </c>
      <c r="AB151" s="42">
        <v>1</v>
      </c>
      <c r="AC151" s="42">
        <v>1</v>
      </c>
      <c r="AD151" s="43">
        <v>1</v>
      </c>
      <c r="AE151" s="43">
        <v>1</v>
      </c>
      <c r="AF151" s="43">
        <v>1</v>
      </c>
      <c r="AG151" s="44">
        <v>1</v>
      </c>
      <c r="AH151" s="42">
        <v>1</v>
      </c>
      <c r="AI151" s="42">
        <v>1</v>
      </c>
      <c r="AJ151" s="42">
        <v>1</v>
      </c>
      <c r="AK151" s="42">
        <v>1</v>
      </c>
      <c r="AL151" s="42">
        <v>1</v>
      </c>
      <c r="AM151" s="42">
        <v>1</v>
      </c>
      <c r="AN151" s="42"/>
      <c r="AO151" s="43"/>
      <c r="AP151" s="43">
        <v>1</v>
      </c>
      <c r="AQ151" s="43">
        <v>1</v>
      </c>
      <c r="AR151" s="43">
        <v>1</v>
      </c>
      <c r="AS151" s="43">
        <v>1</v>
      </c>
      <c r="AT151" s="43">
        <v>1</v>
      </c>
      <c r="AU151" s="43">
        <v>1</v>
      </c>
      <c r="AV151" s="43">
        <v>1</v>
      </c>
      <c r="AW151" s="34">
        <v>1</v>
      </c>
      <c r="AX151" s="44">
        <v>1</v>
      </c>
      <c r="AY151" s="44">
        <v>1</v>
      </c>
      <c r="AZ151" s="44"/>
      <c r="BA151" s="34">
        <v>1</v>
      </c>
      <c r="BB151" s="34">
        <v>1</v>
      </c>
      <c r="BC151" s="34">
        <v>1</v>
      </c>
    </row>
    <row r="152" spans="1:55" customFormat="1" ht="21" customHeight="1" x14ac:dyDescent="0.4">
      <c r="A152" s="22"/>
      <c r="B152" s="42" t="s">
        <v>259</v>
      </c>
      <c r="C152" s="42" t="s">
        <v>244</v>
      </c>
      <c r="D152" s="42" t="s">
        <v>470</v>
      </c>
      <c r="E152" s="42" t="s">
        <v>471</v>
      </c>
      <c r="F152" s="42"/>
      <c r="G152" s="42">
        <v>1</v>
      </c>
      <c r="H152" s="43">
        <v>1</v>
      </c>
      <c r="I152" s="43">
        <v>1</v>
      </c>
      <c r="J152" s="43">
        <v>1</v>
      </c>
      <c r="K152" s="44">
        <v>1</v>
      </c>
      <c r="L152" s="42">
        <v>1</v>
      </c>
      <c r="M152" s="42">
        <v>1</v>
      </c>
      <c r="N152" s="42">
        <v>1</v>
      </c>
      <c r="O152" s="42">
        <v>1</v>
      </c>
      <c r="P152" s="42">
        <v>1</v>
      </c>
      <c r="Q152" s="42">
        <v>1</v>
      </c>
      <c r="R152" s="42">
        <v>1</v>
      </c>
      <c r="S152" s="43">
        <v>1</v>
      </c>
      <c r="T152" s="43">
        <v>1</v>
      </c>
      <c r="U152" s="43">
        <v>1</v>
      </c>
      <c r="V152" s="44">
        <v>1</v>
      </c>
      <c r="W152" s="42">
        <v>1</v>
      </c>
      <c r="X152" s="42">
        <v>1</v>
      </c>
      <c r="Y152" s="42">
        <v>1</v>
      </c>
      <c r="Z152" s="42">
        <v>1</v>
      </c>
      <c r="AA152" s="42">
        <v>1</v>
      </c>
      <c r="AB152" s="42">
        <v>1</v>
      </c>
      <c r="AC152" s="42">
        <v>1</v>
      </c>
      <c r="AD152" s="43">
        <v>1</v>
      </c>
      <c r="AE152" s="43">
        <v>1</v>
      </c>
      <c r="AF152" s="43">
        <v>1</v>
      </c>
      <c r="AG152" s="44">
        <v>1</v>
      </c>
      <c r="AH152" s="42">
        <v>1</v>
      </c>
      <c r="AI152" s="42">
        <v>1</v>
      </c>
      <c r="AJ152" s="42">
        <v>1</v>
      </c>
      <c r="AK152" s="42">
        <v>1</v>
      </c>
      <c r="AL152" s="42">
        <v>1</v>
      </c>
      <c r="AM152" s="42">
        <v>1</v>
      </c>
      <c r="AN152" s="42"/>
      <c r="AO152" s="43"/>
      <c r="AP152" s="43"/>
      <c r="AQ152" s="43"/>
      <c r="AR152" s="44"/>
      <c r="AS152" s="44">
        <v>1</v>
      </c>
      <c r="AT152" s="44">
        <v>1</v>
      </c>
      <c r="AU152" s="44"/>
      <c r="AV152" s="44"/>
      <c r="AW152" s="34">
        <v>1</v>
      </c>
      <c r="AX152" s="44">
        <v>1</v>
      </c>
      <c r="AY152" s="44"/>
      <c r="AZ152" s="44"/>
      <c r="BA152" s="34">
        <v>1</v>
      </c>
      <c r="BB152" s="34">
        <v>1</v>
      </c>
      <c r="BC152" s="34"/>
    </row>
    <row r="153" spans="1:55" customFormat="1" ht="21" customHeight="1" x14ac:dyDescent="0.4">
      <c r="A153" s="22"/>
      <c r="B153" s="42" t="s">
        <v>259</v>
      </c>
      <c r="C153" s="42" t="s">
        <v>246</v>
      </c>
      <c r="D153" s="42" t="s">
        <v>472</v>
      </c>
      <c r="E153" s="42" t="s">
        <v>407</v>
      </c>
      <c r="F153" s="42"/>
      <c r="G153" s="42">
        <v>1</v>
      </c>
      <c r="H153" s="43"/>
      <c r="I153" s="43">
        <v>1</v>
      </c>
      <c r="J153" s="43">
        <v>1</v>
      </c>
      <c r="K153" s="44">
        <v>1</v>
      </c>
      <c r="L153" s="42">
        <v>1</v>
      </c>
      <c r="M153" s="42">
        <v>1</v>
      </c>
      <c r="N153" s="42">
        <v>1</v>
      </c>
      <c r="O153" s="42">
        <v>1</v>
      </c>
      <c r="P153" s="42">
        <v>1</v>
      </c>
      <c r="Q153" s="42">
        <v>1</v>
      </c>
      <c r="R153" s="42"/>
      <c r="S153" s="43"/>
      <c r="T153" s="43">
        <v>1</v>
      </c>
      <c r="U153" s="43">
        <v>1</v>
      </c>
      <c r="V153" s="44">
        <v>1</v>
      </c>
      <c r="W153" s="42">
        <v>1</v>
      </c>
      <c r="X153" s="42">
        <v>1</v>
      </c>
      <c r="Y153" s="42">
        <v>1</v>
      </c>
      <c r="Z153" s="42"/>
      <c r="AA153" s="42"/>
      <c r="AB153" s="42">
        <v>1</v>
      </c>
      <c r="AC153" s="42">
        <v>1</v>
      </c>
      <c r="AD153" s="43">
        <v>1</v>
      </c>
      <c r="AE153" s="43">
        <v>1</v>
      </c>
      <c r="AF153" s="43">
        <v>1</v>
      </c>
      <c r="AG153" s="44">
        <v>1</v>
      </c>
      <c r="AH153" s="44">
        <v>1</v>
      </c>
      <c r="AI153" s="42">
        <v>1</v>
      </c>
      <c r="AJ153" s="42">
        <v>1</v>
      </c>
      <c r="AK153" s="42">
        <v>1</v>
      </c>
      <c r="AL153" s="42">
        <v>1</v>
      </c>
      <c r="AM153" s="42">
        <v>1</v>
      </c>
      <c r="AN153" s="42">
        <v>1</v>
      </c>
      <c r="AO153" s="43">
        <v>1</v>
      </c>
      <c r="AP153" s="43"/>
      <c r="AQ153" s="43">
        <v>1</v>
      </c>
      <c r="AR153" s="44">
        <v>1</v>
      </c>
      <c r="AS153" s="44"/>
      <c r="AT153" s="44"/>
      <c r="AU153" s="44">
        <v>1</v>
      </c>
      <c r="AV153" s="44">
        <v>1</v>
      </c>
      <c r="AW153" s="34"/>
      <c r="AX153" s="44"/>
      <c r="AY153" s="44">
        <v>1</v>
      </c>
      <c r="AZ153" s="44">
        <v>1</v>
      </c>
      <c r="BA153" s="34">
        <v>1</v>
      </c>
      <c r="BB153" s="34">
        <v>1</v>
      </c>
      <c r="BC153" s="34"/>
    </row>
    <row r="154" spans="1:55" customFormat="1" ht="21" customHeight="1" x14ac:dyDescent="0.4">
      <c r="A154" s="22"/>
      <c r="B154" s="42" t="s">
        <v>259</v>
      </c>
      <c r="C154" s="42" t="s">
        <v>246</v>
      </c>
      <c r="D154" s="42" t="s">
        <v>473</v>
      </c>
      <c r="E154" s="42" t="s">
        <v>474</v>
      </c>
      <c r="F154" s="42"/>
      <c r="G154" s="42"/>
      <c r="H154" s="43">
        <v>1</v>
      </c>
      <c r="I154" s="43">
        <v>1</v>
      </c>
      <c r="J154" s="43">
        <v>1</v>
      </c>
      <c r="K154" s="44">
        <v>1</v>
      </c>
      <c r="L154" s="42">
        <v>1</v>
      </c>
      <c r="M154" s="42">
        <v>1</v>
      </c>
      <c r="N154" s="42">
        <v>1</v>
      </c>
      <c r="O154" s="42">
        <v>1</v>
      </c>
      <c r="P154" s="42">
        <v>1</v>
      </c>
      <c r="Q154" s="42">
        <v>1</v>
      </c>
      <c r="R154" s="42">
        <v>1</v>
      </c>
      <c r="S154" s="43">
        <v>1</v>
      </c>
      <c r="T154" s="43">
        <v>1</v>
      </c>
      <c r="U154" s="43">
        <v>1</v>
      </c>
      <c r="V154" s="44">
        <v>1</v>
      </c>
      <c r="W154" s="42">
        <v>1</v>
      </c>
      <c r="X154" s="42">
        <v>1</v>
      </c>
      <c r="Y154" s="42">
        <v>1</v>
      </c>
      <c r="Z154" s="42">
        <v>1</v>
      </c>
      <c r="AA154" s="42">
        <v>1</v>
      </c>
      <c r="AB154" s="42">
        <v>1</v>
      </c>
      <c r="AC154" s="42">
        <v>1</v>
      </c>
      <c r="AD154" s="43">
        <v>1</v>
      </c>
      <c r="AE154" s="43">
        <v>1</v>
      </c>
      <c r="AF154" s="43">
        <v>1</v>
      </c>
      <c r="AG154" s="44">
        <v>1</v>
      </c>
      <c r="AH154" s="44">
        <v>1</v>
      </c>
      <c r="AI154" s="42">
        <v>1</v>
      </c>
      <c r="AJ154" s="42">
        <v>1</v>
      </c>
      <c r="AK154" s="42">
        <v>1</v>
      </c>
      <c r="AL154" s="42">
        <v>1</v>
      </c>
      <c r="AM154" s="42">
        <v>1</v>
      </c>
      <c r="AN154" s="42">
        <v>1</v>
      </c>
      <c r="AO154" s="43"/>
      <c r="AP154" s="43">
        <v>1</v>
      </c>
      <c r="AQ154" s="43">
        <v>1</v>
      </c>
      <c r="AR154" s="44">
        <v>1</v>
      </c>
      <c r="AS154" s="44">
        <v>1</v>
      </c>
      <c r="AT154" s="44">
        <v>1</v>
      </c>
      <c r="AU154" s="44">
        <v>1</v>
      </c>
      <c r="AV154" s="44">
        <v>1</v>
      </c>
      <c r="AW154" s="34"/>
      <c r="AX154" s="44"/>
      <c r="AY154" s="44">
        <v>1</v>
      </c>
      <c r="AZ154" s="44">
        <v>1</v>
      </c>
      <c r="BA154" s="34">
        <v>1</v>
      </c>
      <c r="BB154" s="34">
        <v>1</v>
      </c>
      <c r="BC154" s="34">
        <v>1</v>
      </c>
    </row>
    <row r="155" spans="1:55" customFormat="1" ht="21" customHeight="1" x14ac:dyDescent="0.4">
      <c r="A155" s="22"/>
      <c r="B155" s="42" t="s">
        <v>259</v>
      </c>
      <c r="C155" s="42" t="s">
        <v>246</v>
      </c>
      <c r="D155" s="42" t="s">
        <v>475</v>
      </c>
      <c r="E155" s="42" t="s">
        <v>476</v>
      </c>
      <c r="F155" s="42"/>
      <c r="G155" s="42"/>
      <c r="H155" s="43">
        <v>1</v>
      </c>
      <c r="I155" s="43">
        <v>1</v>
      </c>
      <c r="J155" s="43">
        <v>1</v>
      </c>
      <c r="K155" s="44">
        <v>1</v>
      </c>
      <c r="L155" s="42">
        <v>1</v>
      </c>
      <c r="M155" s="42">
        <v>1</v>
      </c>
      <c r="N155" s="42">
        <v>1</v>
      </c>
      <c r="O155" s="42">
        <v>1</v>
      </c>
      <c r="P155" s="42">
        <v>1</v>
      </c>
      <c r="Q155" s="42">
        <v>1</v>
      </c>
      <c r="R155" s="42">
        <v>1</v>
      </c>
      <c r="S155" s="43">
        <v>1</v>
      </c>
      <c r="T155" s="43">
        <v>1</v>
      </c>
      <c r="U155" s="43">
        <v>1</v>
      </c>
      <c r="V155" s="44">
        <v>1</v>
      </c>
      <c r="W155" s="42">
        <v>1</v>
      </c>
      <c r="X155" s="42">
        <v>1</v>
      </c>
      <c r="Y155" s="42">
        <v>1</v>
      </c>
      <c r="Z155" s="42">
        <v>1</v>
      </c>
      <c r="AA155" s="42">
        <v>1</v>
      </c>
      <c r="AB155" s="42">
        <v>1</v>
      </c>
      <c r="AC155" s="42">
        <v>1</v>
      </c>
      <c r="AD155" s="43">
        <v>1</v>
      </c>
      <c r="AE155" s="43">
        <v>1</v>
      </c>
      <c r="AF155" s="43">
        <v>1</v>
      </c>
      <c r="AG155" s="44">
        <v>1</v>
      </c>
      <c r="AH155" s="42">
        <v>1</v>
      </c>
      <c r="AI155" s="42">
        <v>1</v>
      </c>
      <c r="AJ155" s="42">
        <v>1</v>
      </c>
      <c r="AK155" s="42">
        <v>1</v>
      </c>
      <c r="AL155" s="42">
        <v>1</v>
      </c>
      <c r="AM155" s="42">
        <v>1</v>
      </c>
      <c r="AN155" s="42">
        <v>1</v>
      </c>
      <c r="AO155" s="43">
        <v>1</v>
      </c>
      <c r="AP155" s="43"/>
      <c r="AQ155" s="43">
        <v>1</v>
      </c>
      <c r="AR155" s="44">
        <v>1</v>
      </c>
      <c r="AS155" s="44"/>
      <c r="AT155" s="44"/>
      <c r="AU155" s="44"/>
      <c r="AV155" s="44"/>
      <c r="AW155" s="34"/>
      <c r="AX155" s="44"/>
      <c r="AY155" s="44">
        <v>1</v>
      </c>
      <c r="AZ155" s="44">
        <v>1</v>
      </c>
      <c r="BA155" s="34">
        <v>1</v>
      </c>
      <c r="BB155" s="34">
        <v>1</v>
      </c>
      <c r="BC155" s="34">
        <v>1</v>
      </c>
    </row>
    <row r="156" spans="1:55" customFormat="1" ht="21" customHeight="1" x14ac:dyDescent="0.4">
      <c r="A156" s="22"/>
      <c r="B156" s="42" t="s">
        <v>259</v>
      </c>
      <c r="C156" s="42" t="s">
        <v>246</v>
      </c>
      <c r="D156" s="42" t="s">
        <v>477</v>
      </c>
      <c r="E156" s="42" t="s">
        <v>276</v>
      </c>
      <c r="F156" s="42"/>
      <c r="G156" s="42">
        <v>1</v>
      </c>
      <c r="H156" s="43">
        <v>1</v>
      </c>
      <c r="I156" s="43">
        <v>1</v>
      </c>
      <c r="J156" s="43">
        <v>1</v>
      </c>
      <c r="K156" s="44">
        <v>1</v>
      </c>
      <c r="L156" s="42">
        <v>1</v>
      </c>
      <c r="M156" s="42">
        <v>1</v>
      </c>
      <c r="N156" s="42">
        <v>1</v>
      </c>
      <c r="O156" s="42">
        <v>1</v>
      </c>
      <c r="P156" s="42">
        <v>1</v>
      </c>
      <c r="Q156" s="42">
        <v>1</v>
      </c>
      <c r="R156" s="42">
        <v>1</v>
      </c>
      <c r="S156" s="43">
        <v>1</v>
      </c>
      <c r="T156" s="43">
        <v>1</v>
      </c>
      <c r="U156" s="43">
        <v>1</v>
      </c>
      <c r="V156" s="44">
        <v>1</v>
      </c>
      <c r="W156" s="42">
        <v>1</v>
      </c>
      <c r="X156" s="42">
        <v>1</v>
      </c>
      <c r="Y156" s="42">
        <v>1</v>
      </c>
      <c r="Z156" s="42">
        <v>1</v>
      </c>
      <c r="AA156" s="42">
        <v>1</v>
      </c>
      <c r="AB156" s="42">
        <v>1</v>
      </c>
      <c r="AC156" s="42">
        <v>1</v>
      </c>
      <c r="AD156" s="43"/>
      <c r="AE156" s="43">
        <v>1</v>
      </c>
      <c r="AF156" s="43">
        <v>1</v>
      </c>
      <c r="AG156" s="44">
        <v>1</v>
      </c>
      <c r="AH156" s="42">
        <v>1</v>
      </c>
      <c r="AI156" s="42">
        <v>1</v>
      </c>
      <c r="AJ156" s="42">
        <v>1</v>
      </c>
      <c r="AK156" s="42">
        <v>1</v>
      </c>
      <c r="AL156" s="42">
        <v>1</v>
      </c>
      <c r="AM156" s="42">
        <v>1</v>
      </c>
      <c r="AN156" s="42"/>
      <c r="AO156" s="43">
        <v>1</v>
      </c>
      <c r="AP156" s="43"/>
      <c r="AQ156" s="43">
        <v>1</v>
      </c>
      <c r="AR156" s="44">
        <v>1</v>
      </c>
      <c r="AS156" s="44"/>
      <c r="AT156" s="44"/>
      <c r="AU156" s="44"/>
      <c r="AV156" s="44"/>
      <c r="AW156" s="34"/>
      <c r="AX156" s="44"/>
      <c r="AY156" s="44">
        <v>1</v>
      </c>
      <c r="AZ156" s="44">
        <v>1</v>
      </c>
      <c r="BA156" s="34">
        <v>1</v>
      </c>
      <c r="BB156" s="34">
        <v>1</v>
      </c>
      <c r="BC156" s="34">
        <v>1</v>
      </c>
    </row>
    <row r="157" spans="1:55" customFormat="1" ht="21" customHeight="1" x14ac:dyDescent="0.4">
      <c r="A157" s="22"/>
      <c r="B157" s="42" t="s">
        <v>259</v>
      </c>
      <c r="C157" s="42" t="s">
        <v>246</v>
      </c>
      <c r="D157" s="42" t="s">
        <v>478</v>
      </c>
      <c r="E157" s="42" t="s">
        <v>276</v>
      </c>
      <c r="F157" s="42"/>
      <c r="G157" s="42">
        <v>1</v>
      </c>
      <c r="H157" s="43"/>
      <c r="I157" s="43"/>
      <c r="J157" s="42">
        <v>1</v>
      </c>
      <c r="K157" s="44">
        <v>1</v>
      </c>
      <c r="L157" s="42">
        <v>1</v>
      </c>
      <c r="M157" s="42">
        <v>1</v>
      </c>
      <c r="N157" s="42">
        <v>1</v>
      </c>
      <c r="O157" s="42">
        <v>1</v>
      </c>
      <c r="P157" s="42">
        <v>1</v>
      </c>
      <c r="Q157" s="42">
        <v>1</v>
      </c>
      <c r="R157" s="42"/>
      <c r="S157" s="43"/>
      <c r="T157" s="43"/>
      <c r="U157" s="42">
        <v>1</v>
      </c>
      <c r="V157" s="44"/>
      <c r="W157" s="42">
        <v>1</v>
      </c>
      <c r="X157" s="42">
        <v>1</v>
      </c>
      <c r="Y157" s="42">
        <v>1</v>
      </c>
      <c r="Z157" s="42">
        <v>1</v>
      </c>
      <c r="AA157" s="42">
        <v>1</v>
      </c>
      <c r="AB157" s="42"/>
      <c r="AC157" s="42">
        <v>1</v>
      </c>
      <c r="AD157" s="43">
        <v>1</v>
      </c>
      <c r="AE157" s="43">
        <v>1</v>
      </c>
      <c r="AF157" s="43">
        <v>1</v>
      </c>
      <c r="AG157" s="44">
        <v>1</v>
      </c>
      <c r="AH157" s="42">
        <v>1</v>
      </c>
      <c r="AI157" s="42">
        <v>1</v>
      </c>
      <c r="AJ157" s="42">
        <v>1</v>
      </c>
      <c r="AK157" s="42">
        <v>1</v>
      </c>
      <c r="AL157" s="42">
        <v>1</v>
      </c>
      <c r="AM157" s="42">
        <v>1</v>
      </c>
      <c r="AN157" s="42">
        <v>1</v>
      </c>
      <c r="AO157" s="43"/>
      <c r="AP157" s="43">
        <v>1</v>
      </c>
      <c r="AQ157" s="42">
        <v>1</v>
      </c>
      <c r="AR157" s="42">
        <v>1</v>
      </c>
      <c r="AS157" s="42">
        <v>1</v>
      </c>
      <c r="AT157" s="42">
        <v>1</v>
      </c>
      <c r="AU157" s="42">
        <v>1</v>
      </c>
      <c r="AV157" s="42">
        <v>1</v>
      </c>
      <c r="AW157" s="34"/>
      <c r="AX157" s="44"/>
      <c r="AY157" s="44">
        <v>1</v>
      </c>
      <c r="AZ157" s="44">
        <v>1</v>
      </c>
      <c r="BA157" s="34">
        <v>1</v>
      </c>
      <c r="BB157" s="34">
        <v>1</v>
      </c>
      <c r="BC157" s="34">
        <v>1</v>
      </c>
    </row>
    <row r="158" spans="1:55" customFormat="1" ht="21" customHeight="1" x14ac:dyDescent="0.4">
      <c r="A158" s="22"/>
      <c r="B158" s="42" t="s">
        <v>259</v>
      </c>
      <c r="C158" s="42" t="s">
        <v>246</v>
      </c>
      <c r="D158" s="42" t="s">
        <v>479</v>
      </c>
      <c r="E158" s="42" t="s">
        <v>449</v>
      </c>
      <c r="F158" s="42"/>
      <c r="G158" s="42">
        <v>1</v>
      </c>
      <c r="H158" s="43"/>
      <c r="I158" s="43">
        <v>1</v>
      </c>
      <c r="J158" s="43">
        <v>1</v>
      </c>
      <c r="K158" s="44">
        <v>1</v>
      </c>
      <c r="L158" s="42">
        <v>1</v>
      </c>
      <c r="M158" s="42">
        <v>1</v>
      </c>
      <c r="N158" s="42">
        <v>1</v>
      </c>
      <c r="O158" s="42">
        <v>1</v>
      </c>
      <c r="P158" s="42">
        <v>1</v>
      </c>
      <c r="Q158" s="42">
        <v>1</v>
      </c>
      <c r="R158" s="42"/>
      <c r="S158" s="43"/>
      <c r="T158" s="43"/>
      <c r="U158" s="43">
        <v>1</v>
      </c>
      <c r="V158" s="44"/>
      <c r="W158" s="42">
        <v>1</v>
      </c>
      <c r="X158" s="42">
        <v>1</v>
      </c>
      <c r="Y158" s="42">
        <v>1</v>
      </c>
      <c r="Z158" s="42">
        <v>1</v>
      </c>
      <c r="AA158" s="42">
        <v>1</v>
      </c>
      <c r="AB158" s="42">
        <v>1</v>
      </c>
      <c r="AC158" s="42">
        <v>1</v>
      </c>
      <c r="AD158" s="43"/>
      <c r="AE158" s="43">
        <v>1</v>
      </c>
      <c r="AF158" s="43">
        <v>1</v>
      </c>
      <c r="AG158" s="44">
        <v>1</v>
      </c>
      <c r="AH158" s="44">
        <v>1</v>
      </c>
      <c r="AI158" s="42">
        <v>1</v>
      </c>
      <c r="AJ158" s="42">
        <v>1</v>
      </c>
      <c r="AK158" s="42">
        <v>1</v>
      </c>
      <c r="AL158" s="42">
        <v>1</v>
      </c>
      <c r="AM158" s="42">
        <v>1</v>
      </c>
      <c r="AN158" s="42">
        <v>1</v>
      </c>
      <c r="AO158" s="43">
        <v>1</v>
      </c>
      <c r="AP158" s="43"/>
      <c r="AQ158" s="42">
        <v>1</v>
      </c>
      <c r="AR158" s="42">
        <v>1</v>
      </c>
      <c r="AS158" s="42">
        <v>1</v>
      </c>
      <c r="AT158" s="42">
        <v>1</v>
      </c>
      <c r="AU158" s="42">
        <v>1</v>
      </c>
      <c r="AV158" s="42">
        <v>1</v>
      </c>
      <c r="AW158" s="34"/>
      <c r="AX158" s="44"/>
      <c r="AY158" s="44"/>
      <c r="AZ158" s="44">
        <v>1</v>
      </c>
      <c r="BA158" s="34">
        <v>1</v>
      </c>
      <c r="BB158" s="34">
        <v>1</v>
      </c>
      <c r="BC158" s="34">
        <v>1</v>
      </c>
    </row>
    <row r="159" spans="1:55" customFormat="1" ht="21" customHeight="1" x14ac:dyDescent="0.4">
      <c r="A159" s="22"/>
      <c r="B159" s="42" t="s">
        <v>259</v>
      </c>
      <c r="C159" s="42" t="s">
        <v>246</v>
      </c>
      <c r="D159" s="42" t="s">
        <v>480</v>
      </c>
      <c r="E159" s="42" t="s">
        <v>449</v>
      </c>
      <c r="F159" s="42"/>
      <c r="G159" s="42">
        <v>1</v>
      </c>
      <c r="H159" s="43">
        <v>1</v>
      </c>
      <c r="I159" s="43">
        <v>1</v>
      </c>
      <c r="J159" s="43">
        <v>1</v>
      </c>
      <c r="K159" s="44">
        <v>1</v>
      </c>
      <c r="L159" s="42">
        <v>1</v>
      </c>
      <c r="M159" s="42">
        <v>1</v>
      </c>
      <c r="N159" s="42">
        <v>1</v>
      </c>
      <c r="O159" s="42">
        <v>1</v>
      </c>
      <c r="P159" s="42">
        <v>1</v>
      </c>
      <c r="Q159" s="42">
        <v>1</v>
      </c>
      <c r="R159" s="42"/>
      <c r="S159" s="43"/>
      <c r="T159" s="43"/>
      <c r="U159" s="43">
        <v>1</v>
      </c>
      <c r="V159" s="44">
        <v>1</v>
      </c>
      <c r="W159" s="42">
        <v>1</v>
      </c>
      <c r="X159" s="42">
        <v>1</v>
      </c>
      <c r="Y159" s="42">
        <v>1</v>
      </c>
      <c r="Z159" s="42">
        <v>1</v>
      </c>
      <c r="AA159" s="42">
        <v>1</v>
      </c>
      <c r="AB159" s="42">
        <v>1</v>
      </c>
      <c r="AC159" s="42">
        <v>1</v>
      </c>
      <c r="AD159" s="43">
        <v>1</v>
      </c>
      <c r="AE159" s="43">
        <v>1</v>
      </c>
      <c r="AF159" s="43">
        <v>1</v>
      </c>
      <c r="AG159" s="44">
        <v>1</v>
      </c>
      <c r="AH159" s="42">
        <v>1</v>
      </c>
      <c r="AI159" s="42">
        <v>1</v>
      </c>
      <c r="AJ159" s="42">
        <v>1</v>
      </c>
      <c r="AK159" s="42">
        <v>1</v>
      </c>
      <c r="AL159" s="42">
        <v>1</v>
      </c>
      <c r="AM159" s="42">
        <v>1</v>
      </c>
      <c r="AN159" s="42">
        <v>1</v>
      </c>
      <c r="AO159" s="43">
        <v>1</v>
      </c>
      <c r="AP159" s="43">
        <v>1</v>
      </c>
      <c r="AQ159" s="43">
        <v>1</v>
      </c>
      <c r="AR159" s="43">
        <v>1</v>
      </c>
      <c r="AS159" s="43">
        <v>1</v>
      </c>
      <c r="AT159" s="44"/>
      <c r="AU159" s="44">
        <v>1</v>
      </c>
      <c r="AV159" s="44">
        <v>1</v>
      </c>
      <c r="AW159" s="34"/>
      <c r="AX159" s="44"/>
      <c r="AY159" s="44">
        <v>1</v>
      </c>
      <c r="AZ159" s="44">
        <v>1</v>
      </c>
      <c r="BA159" s="34">
        <v>1</v>
      </c>
      <c r="BB159" s="34">
        <v>1</v>
      </c>
      <c r="BC159" s="34">
        <v>1</v>
      </c>
    </row>
    <row r="160" spans="1:55" customFormat="1" ht="21" customHeight="1" x14ac:dyDescent="0.4">
      <c r="A160" s="22"/>
      <c r="B160" s="42" t="s">
        <v>259</v>
      </c>
      <c r="C160" s="42" t="s">
        <v>246</v>
      </c>
      <c r="D160" s="42" t="s">
        <v>481</v>
      </c>
      <c r="E160" s="42" t="s">
        <v>482</v>
      </c>
      <c r="F160" s="42"/>
      <c r="G160" s="42">
        <v>1</v>
      </c>
      <c r="H160" s="43">
        <v>1</v>
      </c>
      <c r="I160" s="43">
        <v>1</v>
      </c>
      <c r="J160" s="43">
        <v>1</v>
      </c>
      <c r="K160" s="44">
        <v>1</v>
      </c>
      <c r="L160" s="42">
        <v>1</v>
      </c>
      <c r="M160" s="42">
        <v>1</v>
      </c>
      <c r="N160" s="42">
        <v>1</v>
      </c>
      <c r="O160" s="42">
        <v>1</v>
      </c>
      <c r="P160" s="42">
        <v>1</v>
      </c>
      <c r="Q160" s="42">
        <v>1</v>
      </c>
      <c r="R160" s="42">
        <v>1</v>
      </c>
      <c r="S160" s="43"/>
      <c r="T160" s="43"/>
      <c r="U160" s="43"/>
      <c r="V160" s="44">
        <v>1</v>
      </c>
      <c r="W160" s="42">
        <v>1</v>
      </c>
      <c r="X160" s="42">
        <v>1</v>
      </c>
      <c r="Y160" s="42">
        <v>1</v>
      </c>
      <c r="Z160" s="42">
        <v>1</v>
      </c>
      <c r="AA160" s="42">
        <v>1</v>
      </c>
      <c r="AB160" s="42">
        <v>1</v>
      </c>
      <c r="AC160" s="42">
        <v>1</v>
      </c>
      <c r="AD160" s="43">
        <v>1</v>
      </c>
      <c r="AE160" s="43">
        <v>1</v>
      </c>
      <c r="AF160" s="43">
        <v>1</v>
      </c>
      <c r="AG160" s="44">
        <v>1</v>
      </c>
      <c r="AH160" s="42">
        <v>1</v>
      </c>
      <c r="AI160" s="42">
        <v>1</v>
      </c>
      <c r="AJ160" s="42">
        <v>1</v>
      </c>
      <c r="AK160" s="42">
        <v>1</v>
      </c>
      <c r="AL160" s="42">
        <v>1</v>
      </c>
      <c r="AM160" s="42">
        <v>1</v>
      </c>
      <c r="AN160" s="42"/>
      <c r="AO160" s="43">
        <v>1</v>
      </c>
      <c r="AP160" s="43"/>
      <c r="AQ160" s="43"/>
      <c r="AR160" s="43"/>
      <c r="AS160" s="43"/>
      <c r="AT160" s="44"/>
      <c r="AU160" s="44"/>
      <c r="AV160" s="44"/>
      <c r="AW160" s="34"/>
      <c r="AX160" s="44"/>
      <c r="AY160" s="44">
        <v>1</v>
      </c>
      <c r="AZ160" s="44">
        <v>1</v>
      </c>
      <c r="BA160" s="34">
        <v>1</v>
      </c>
      <c r="BB160" s="34">
        <v>1</v>
      </c>
      <c r="BC160" s="34">
        <v>1</v>
      </c>
    </row>
    <row r="161" spans="1:55" customFormat="1" ht="21" customHeight="1" x14ac:dyDescent="0.4">
      <c r="A161" s="22"/>
      <c r="B161" s="42" t="s">
        <v>259</v>
      </c>
      <c r="C161" s="42" t="s">
        <v>246</v>
      </c>
      <c r="D161" s="42" t="s">
        <v>483</v>
      </c>
      <c r="E161" s="42" t="s">
        <v>407</v>
      </c>
      <c r="F161" s="42"/>
      <c r="G161" s="42">
        <v>1</v>
      </c>
      <c r="H161" s="43">
        <v>1</v>
      </c>
      <c r="I161" s="43">
        <v>1</v>
      </c>
      <c r="J161" s="43">
        <v>1</v>
      </c>
      <c r="K161" s="44">
        <v>1</v>
      </c>
      <c r="L161" s="42">
        <v>1</v>
      </c>
      <c r="M161" s="42">
        <v>1</v>
      </c>
      <c r="N161" s="42">
        <v>1</v>
      </c>
      <c r="O161" s="42">
        <v>1</v>
      </c>
      <c r="P161" s="42">
        <v>1</v>
      </c>
      <c r="Q161" s="42">
        <v>1</v>
      </c>
      <c r="R161" s="42">
        <v>1</v>
      </c>
      <c r="S161" s="43">
        <v>1</v>
      </c>
      <c r="T161" s="43">
        <v>1</v>
      </c>
      <c r="U161" s="43">
        <v>1</v>
      </c>
      <c r="V161" s="44">
        <v>1</v>
      </c>
      <c r="W161" s="42">
        <v>1</v>
      </c>
      <c r="X161" s="42">
        <v>1</v>
      </c>
      <c r="Y161" s="42">
        <v>1</v>
      </c>
      <c r="Z161" s="42">
        <v>1</v>
      </c>
      <c r="AA161" s="42">
        <v>1</v>
      </c>
      <c r="AB161" s="42">
        <v>1</v>
      </c>
      <c r="AC161" s="42">
        <v>1</v>
      </c>
      <c r="AD161" s="43">
        <v>1</v>
      </c>
      <c r="AE161" s="43">
        <v>1</v>
      </c>
      <c r="AF161" s="43">
        <v>1</v>
      </c>
      <c r="AG161" s="44">
        <v>1</v>
      </c>
      <c r="AH161" s="44">
        <v>1</v>
      </c>
      <c r="AI161" s="44">
        <v>1</v>
      </c>
      <c r="AJ161" s="42">
        <v>1</v>
      </c>
      <c r="AK161" s="42">
        <v>1</v>
      </c>
      <c r="AL161" s="42">
        <v>1</v>
      </c>
      <c r="AM161" s="42">
        <v>1</v>
      </c>
      <c r="AN161" s="42">
        <v>1</v>
      </c>
      <c r="AO161" s="43">
        <v>1</v>
      </c>
      <c r="AP161" s="43">
        <v>1</v>
      </c>
      <c r="AQ161" s="43">
        <v>1</v>
      </c>
      <c r="AR161" s="43">
        <v>1</v>
      </c>
      <c r="AS161" s="43">
        <v>1</v>
      </c>
      <c r="AT161" s="44">
        <v>1</v>
      </c>
      <c r="AU161" s="44">
        <v>1</v>
      </c>
      <c r="AV161" s="44">
        <v>1</v>
      </c>
      <c r="AW161" s="44">
        <v>1</v>
      </c>
      <c r="AX161" s="44">
        <v>1</v>
      </c>
      <c r="AY161" s="44">
        <v>1</v>
      </c>
      <c r="AZ161" s="44">
        <v>1</v>
      </c>
      <c r="BA161" s="34">
        <v>1</v>
      </c>
      <c r="BB161" s="34">
        <v>1</v>
      </c>
      <c r="BC161" s="34">
        <v>1</v>
      </c>
    </row>
    <row r="162" spans="1:55" customFormat="1" ht="21" customHeight="1" x14ac:dyDescent="0.4">
      <c r="A162" s="22"/>
      <c r="B162" s="42" t="s">
        <v>259</v>
      </c>
      <c r="C162" s="42" t="s">
        <v>246</v>
      </c>
      <c r="D162" s="42" t="s">
        <v>484</v>
      </c>
      <c r="E162" s="42" t="s">
        <v>485</v>
      </c>
      <c r="F162" s="42"/>
      <c r="G162" s="42">
        <v>1</v>
      </c>
      <c r="H162" s="43">
        <v>1</v>
      </c>
      <c r="I162" s="43">
        <v>1</v>
      </c>
      <c r="J162" s="43">
        <v>1</v>
      </c>
      <c r="K162" s="44">
        <v>1</v>
      </c>
      <c r="L162" s="42">
        <v>1</v>
      </c>
      <c r="M162" s="42">
        <v>1</v>
      </c>
      <c r="N162" s="42">
        <v>1</v>
      </c>
      <c r="O162" s="42">
        <v>1</v>
      </c>
      <c r="P162" s="42">
        <v>1</v>
      </c>
      <c r="Q162" s="42">
        <v>1</v>
      </c>
      <c r="R162" s="42">
        <v>1</v>
      </c>
      <c r="S162" s="43">
        <v>1</v>
      </c>
      <c r="T162" s="43">
        <v>1</v>
      </c>
      <c r="U162" s="43">
        <v>1</v>
      </c>
      <c r="V162" s="44"/>
      <c r="W162" s="42">
        <v>1</v>
      </c>
      <c r="X162" s="42">
        <v>1</v>
      </c>
      <c r="Y162" s="42">
        <v>1</v>
      </c>
      <c r="Z162" s="42"/>
      <c r="AA162" s="42">
        <v>1</v>
      </c>
      <c r="AB162" s="42">
        <v>1</v>
      </c>
      <c r="AC162" s="42">
        <v>1</v>
      </c>
      <c r="AD162" s="43"/>
      <c r="AE162" s="43">
        <v>1</v>
      </c>
      <c r="AF162" s="43">
        <v>1</v>
      </c>
      <c r="AG162" s="44">
        <v>1</v>
      </c>
      <c r="AH162" s="42">
        <v>1</v>
      </c>
      <c r="AI162" s="42">
        <v>1</v>
      </c>
      <c r="AJ162" s="42">
        <v>1</v>
      </c>
      <c r="AK162" s="42"/>
      <c r="AL162" s="42">
        <v>1</v>
      </c>
      <c r="AM162" s="42">
        <v>1</v>
      </c>
      <c r="AN162" s="42"/>
      <c r="AO162" s="43"/>
      <c r="AP162" s="43">
        <v>1</v>
      </c>
      <c r="AQ162" s="43">
        <v>1</v>
      </c>
      <c r="AR162" s="43">
        <v>1</v>
      </c>
      <c r="AS162" s="44"/>
      <c r="AT162" s="44"/>
      <c r="AU162" s="44"/>
      <c r="AV162" s="44"/>
      <c r="AW162" s="34"/>
      <c r="AX162" s="44"/>
      <c r="AY162" s="44">
        <v>1</v>
      </c>
      <c r="AZ162" s="44">
        <v>1</v>
      </c>
      <c r="BA162" s="34"/>
      <c r="BB162" s="34">
        <v>1</v>
      </c>
      <c r="BC162" s="34"/>
    </row>
    <row r="163" spans="1:55" customFormat="1" ht="21" customHeight="1" x14ac:dyDescent="0.4">
      <c r="A163" s="22"/>
      <c r="B163" s="42" t="s">
        <v>259</v>
      </c>
      <c r="C163" s="42" t="s">
        <v>247</v>
      </c>
      <c r="D163" s="42" t="s">
        <v>486</v>
      </c>
      <c r="E163" s="42" t="s">
        <v>276</v>
      </c>
      <c r="F163" s="42"/>
      <c r="G163" s="42"/>
      <c r="H163" s="43"/>
      <c r="I163" s="43">
        <v>1</v>
      </c>
      <c r="J163" s="43">
        <v>1</v>
      </c>
      <c r="K163" s="44">
        <v>1</v>
      </c>
      <c r="L163" s="42">
        <v>1</v>
      </c>
      <c r="M163" s="42">
        <v>1</v>
      </c>
      <c r="N163" s="42">
        <v>1</v>
      </c>
      <c r="O163" s="42">
        <v>1</v>
      </c>
      <c r="P163" s="42">
        <v>1</v>
      </c>
      <c r="Q163" s="42">
        <v>1</v>
      </c>
      <c r="R163" s="42">
        <v>1</v>
      </c>
      <c r="S163" s="43"/>
      <c r="T163" s="43">
        <v>1</v>
      </c>
      <c r="U163" s="43">
        <v>1</v>
      </c>
      <c r="V163" s="44">
        <v>1</v>
      </c>
      <c r="W163" s="42"/>
      <c r="X163" s="42">
        <v>1</v>
      </c>
      <c r="Y163" s="42">
        <v>1</v>
      </c>
      <c r="Z163" s="42">
        <v>1</v>
      </c>
      <c r="AA163" s="42">
        <v>1</v>
      </c>
      <c r="AB163" s="42">
        <v>1</v>
      </c>
      <c r="AC163" s="42">
        <v>1</v>
      </c>
      <c r="AD163" s="43"/>
      <c r="AE163" s="43">
        <v>1</v>
      </c>
      <c r="AF163" s="43">
        <v>1</v>
      </c>
      <c r="AG163" s="44">
        <v>1</v>
      </c>
      <c r="AH163" s="42">
        <v>1</v>
      </c>
      <c r="AI163" s="42">
        <v>1</v>
      </c>
      <c r="AJ163" s="42">
        <v>1</v>
      </c>
      <c r="AK163" s="42">
        <v>1</v>
      </c>
      <c r="AL163" s="42">
        <v>1</v>
      </c>
      <c r="AM163" s="42">
        <v>1</v>
      </c>
      <c r="AN163" s="42">
        <v>1</v>
      </c>
      <c r="AO163" s="43">
        <v>1</v>
      </c>
      <c r="AP163" s="43"/>
      <c r="AQ163" s="43">
        <v>1</v>
      </c>
      <c r="AR163" s="43">
        <v>1</v>
      </c>
      <c r="AS163" s="44"/>
      <c r="AT163" s="44"/>
      <c r="AU163" s="44"/>
      <c r="AV163" s="44"/>
      <c r="AW163" s="34"/>
      <c r="AX163" s="44"/>
      <c r="AY163" s="44"/>
      <c r="AZ163" s="44">
        <v>1</v>
      </c>
      <c r="BA163" s="34">
        <v>1</v>
      </c>
      <c r="BB163" s="34">
        <v>1</v>
      </c>
      <c r="BC163" s="34"/>
    </row>
    <row r="164" spans="1:55" customFormat="1" ht="21" customHeight="1" x14ac:dyDescent="0.4">
      <c r="A164" s="22"/>
      <c r="B164" s="42" t="s">
        <v>259</v>
      </c>
      <c r="C164" s="42" t="s">
        <v>244</v>
      </c>
      <c r="D164" s="42" t="s">
        <v>487</v>
      </c>
      <c r="E164" s="42" t="s">
        <v>437</v>
      </c>
      <c r="F164" s="42"/>
      <c r="G164" s="42">
        <v>1</v>
      </c>
      <c r="H164" s="43">
        <v>1</v>
      </c>
      <c r="I164" s="43">
        <v>1</v>
      </c>
      <c r="J164" s="43">
        <v>1</v>
      </c>
      <c r="K164" s="44">
        <v>1</v>
      </c>
      <c r="L164" s="42">
        <v>1</v>
      </c>
      <c r="M164" s="42">
        <v>1</v>
      </c>
      <c r="N164" s="42">
        <v>1</v>
      </c>
      <c r="O164" s="42">
        <v>1</v>
      </c>
      <c r="P164" s="42">
        <v>1</v>
      </c>
      <c r="Q164" s="42">
        <v>1</v>
      </c>
      <c r="R164" s="42">
        <v>1</v>
      </c>
      <c r="S164" s="43">
        <v>1</v>
      </c>
      <c r="T164" s="43"/>
      <c r="U164" s="42">
        <v>1</v>
      </c>
      <c r="V164" s="44">
        <v>1</v>
      </c>
      <c r="W164" s="42">
        <v>1</v>
      </c>
      <c r="X164" s="42">
        <v>1</v>
      </c>
      <c r="Y164" s="42">
        <v>1</v>
      </c>
      <c r="Z164" s="42">
        <v>1</v>
      </c>
      <c r="AA164" s="42">
        <v>1</v>
      </c>
      <c r="AB164" s="42">
        <v>1</v>
      </c>
      <c r="AC164" s="42">
        <v>1</v>
      </c>
      <c r="AD164" s="43">
        <v>1</v>
      </c>
      <c r="AE164" s="43">
        <v>1</v>
      </c>
      <c r="AF164" s="43">
        <v>1</v>
      </c>
      <c r="AG164" s="44">
        <v>1</v>
      </c>
      <c r="AH164" s="42">
        <v>1</v>
      </c>
      <c r="AI164" s="42">
        <v>1</v>
      </c>
      <c r="AJ164" s="42">
        <v>1</v>
      </c>
      <c r="AK164" s="42">
        <v>1</v>
      </c>
      <c r="AL164" s="42">
        <v>1</v>
      </c>
      <c r="AM164" s="42">
        <v>1</v>
      </c>
      <c r="AN164" s="42"/>
      <c r="AO164" s="43">
        <v>1</v>
      </c>
      <c r="AP164" s="43">
        <v>1</v>
      </c>
      <c r="AQ164" s="43">
        <v>1</v>
      </c>
      <c r="AR164" s="44"/>
      <c r="AS164" s="44">
        <v>1</v>
      </c>
      <c r="AT164" s="44">
        <v>1</v>
      </c>
      <c r="AU164" s="44">
        <v>1</v>
      </c>
      <c r="AV164" s="44">
        <v>1</v>
      </c>
      <c r="AW164" s="44">
        <v>1</v>
      </c>
      <c r="AX164" s="44">
        <v>1</v>
      </c>
      <c r="AY164" s="44">
        <v>1</v>
      </c>
      <c r="AZ164" s="44">
        <v>1</v>
      </c>
      <c r="BA164" s="34">
        <v>1</v>
      </c>
      <c r="BB164" s="34">
        <v>1</v>
      </c>
      <c r="BC164" s="34">
        <v>1</v>
      </c>
    </row>
    <row r="165" spans="1:55" customFormat="1" ht="21" customHeight="1" x14ac:dyDescent="0.4">
      <c r="A165" s="22"/>
      <c r="B165" s="42" t="s">
        <v>259</v>
      </c>
      <c r="C165" s="42" t="s">
        <v>248</v>
      </c>
      <c r="D165" s="42" t="s">
        <v>488</v>
      </c>
      <c r="E165" s="42" t="s">
        <v>276</v>
      </c>
      <c r="F165" s="42"/>
      <c r="G165" s="42"/>
      <c r="H165" s="43"/>
      <c r="I165" s="43"/>
      <c r="J165" s="43"/>
      <c r="K165" s="44"/>
      <c r="L165" s="42"/>
      <c r="M165" s="42">
        <v>1</v>
      </c>
      <c r="N165" s="42">
        <v>1</v>
      </c>
      <c r="O165" s="42">
        <v>1</v>
      </c>
      <c r="P165" s="42">
        <v>1</v>
      </c>
      <c r="Q165" s="42">
        <v>1</v>
      </c>
      <c r="R165" s="42">
        <v>1</v>
      </c>
      <c r="S165" s="43"/>
      <c r="T165" s="43"/>
      <c r="U165" s="42">
        <v>1</v>
      </c>
      <c r="V165" s="44">
        <v>1</v>
      </c>
      <c r="W165" s="42">
        <v>1</v>
      </c>
      <c r="X165" s="42">
        <v>1</v>
      </c>
      <c r="Y165" s="42">
        <v>1</v>
      </c>
      <c r="Z165" s="42">
        <v>1</v>
      </c>
      <c r="AA165" s="42">
        <v>1</v>
      </c>
      <c r="AB165" s="42">
        <v>1</v>
      </c>
      <c r="AC165" s="42">
        <v>1</v>
      </c>
      <c r="AD165" s="43">
        <v>1</v>
      </c>
      <c r="AE165" s="43">
        <v>1</v>
      </c>
      <c r="AF165" s="43">
        <v>1</v>
      </c>
      <c r="AG165" s="44">
        <v>1</v>
      </c>
      <c r="AH165" s="44">
        <v>1</v>
      </c>
      <c r="AI165" s="42">
        <v>1</v>
      </c>
      <c r="AJ165" s="42">
        <v>1</v>
      </c>
      <c r="AK165" s="42">
        <v>1</v>
      </c>
      <c r="AL165" s="42">
        <v>1</v>
      </c>
      <c r="AM165" s="42">
        <v>1</v>
      </c>
      <c r="AN165" s="42">
        <v>1</v>
      </c>
      <c r="AO165" s="43">
        <v>1</v>
      </c>
      <c r="AP165" s="43"/>
      <c r="AQ165" s="43">
        <v>1</v>
      </c>
      <c r="AR165" s="44"/>
      <c r="AS165" s="44"/>
      <c r="AT165" s="44"/>
      <c r="AU165" s="44"/>
      <c r="AV165" s="44"/>
      <c r="AW165" s="34"/>
      <c r="AX165" s="44"/>
      <c r="AY165" s="44">
        <v>1</v>
      </c>
      <c r="AZ165" s="44">
        <v>1</v>
      </c>
      <c r="BA165" s="34"/>
      <c r="BB165" s="34">
        <v>1</v>
      </c>
      <c r="BC165" s="34">
        <v>1</v>
      </c>
    </row>
    <row r="166" spans="1:55" customFormat="1" ht="21" customHeight="1" x14ac:dyDescent="0.4">
      <c r="A166" s="22"/>
      <c r="B166" s="42" t="s">
        <v>259</v>
      </c>
      <c r="C166" s="42" t="s">
        <v>244</v>
      </c>
      <c r="D166" s="42" t="s">
        <v>489</v>
      </c>
      <c r="E166" s="42" t="s">
        <v>269</v>
      </c>
      <c r="F166" s="42"/>
      <c r="G166" s="42">
        <v>1</v>
      </c>
      <c r="H166" s="43">
        <v>1</v>
      </c>
      <c r="I166" s="43">
        <v>1</v>
      </c>
      <c r="J166" s="43">
        <v>1</v>
      </c>
      <c r="K166" s="44">
        <v>1</v>
      </c>
      <c r="L166" s="42">
        <v>1</v>
      </c>
      <c r="M166" s="42">
        <v>1</v>
      </c>
      <c r="N166" s="42">
        <v>1</v>
      </c>
      <c r="O166" s="42">
        <v>1</v>
      </c>
      <c r="P166" s="42">
        <v>1</v>
      </c>
      <c r="Q166" s="42">
        <v>1</v>
      </c>
      <c r="R166" s="42">
        <v>1</v>
      </c>
      <c r="S166" s="43">
        <v>1</v>
      </c>
      <c r="T166" s="43">
        <v>1</v>
      </c>
      <c r="U166" s="43">
        <v>1</v>
      </c>
      <c r="V166" s="44">
        <v>1</v>
      </c>
      <c r="W166" s="42">
        <v>1</v>
      </c>
      <c r="X166" s="42">
        <v>1</v>
      </c>
      <c r="Y166" s="42">
        <v>1</v>
      </c>
      <c r="Z166" s="42">
        <v>1</v>
      </c>
      <c r="AA166" s="42">
        <v>1</v>
      </c>
      <c r="AB166" s="42">
        <v>1</v>
      </c>
      <c r="AC166" s="42">
        <v>1</v>
      </c>
      <c r="AD166" s="43">
        <v>1</v>
      </c>
      <c r="AE166" s="43">
        <v>1</v>
      </c>
      <c r="AF166" s="43">
        <v>1</v>
      </c>
      <c r="AG166" s="44">
        <v>1</v>
      </c>
      <c r="AH166" s="44">
        <v>1</v>
      </c>
      <c r="AI166" s="42">
        <v>1</v>
      </c>
      <c r="AJ166" s="42">
        <v>1</v>
      </c>
      <c r="AK166" s="42">
        <v>1</v>
      </c>
      <c r="AL166" s="42">
        <v>1</v>
      </c>
      <c r="AM166" s="42">
        <v>1</v>
      </c>
      <c r="AN166" s="42">
        <v>1</v>
      </c>
      <c r="AO166" s="43">
        <v>1</v>
      </c>
      <c r="AP166" s="43">
        <v>1</v>
      </c>
      <c r="AQ166" s="43">
        <v>1</v>
      </c>
      <c r="AR166" s="44">
        <v>1</v>
      </c>
      <c r="AS166" s="44">
        <v>1</v>
      </c>
      <c r="AT166" s="44">
        <v>1</v>
      </c>
      <c r="AU166" s="44">
        <v>1</v>
      </c>
      <c r="AV166" s="44">
        <v>1</v>
      </c>
      <c r="AW166" s="34">
        <v>1</v>
      </c>
      <c r="AX166" s="44">
        <v>1</v>
      </c>
      <c r="AY166" s="44">
        <v>1</v>
      </c>
      <c r="AZ166" s="44">
        <v>1</v>
      </c>
      <c r="BA166" s="34">
        <v>1</v>
      </c>
      <c r="BB166" s="34">
        <v>1</v>
      </c>
      <c r="BC166" s="34">
        <v>1</v>
      </c>
    </row>
    <row r="167" spans="1:55" customFormat="1" ht="21" customHeight="1" x14ac:dyDescent="0.4">
      <c r="A167" s="22"/>
      <c r="B167" s="42" t="s">
        <v>259</v>
      </c>
      <c r="C167" s="42" t="s">
        <v>244</v>
      </c>
      <c r="D167" s="42" t="s">
        <v>490</v>
      </c>
      <c r="E167" s="42" t="s">
        <v>430</v>
      </c>
      <c r="F167" s="42"/>
      <c r="G167" s="42">
        <v>1</v>
      </c>
      <c r="H167" s="43">
        <v>1</v>
      </c>
      <c r="I167" s="43">
        <v>1</v>
      </c>
      <c r="J167" s="43">
        <v>1</v>
      </c>
      <c r="K167" s="44">
        <v>1</v>
      </c>
      <c r="L167" s="42">
        <v>1</v>
      </c>
      <c r="M167" s="42">
        <v>1</v>
      </c>
      <c r="N167" s="42">
        <v>1</v>
      </c>
      <c r="O167" s="42">
        <v>1</v>
      </c>
      <c r="P167" s="42">
        <v>1</v>
      </c>
      <c r="Q167" s="42">
        <v>1</v>
      </c>
      <c r="R167" s="42">
        <v>1</v>
      </c>
      <c r="S167" s="43">
        <v>1</v>
      </c>
      <c r="T167" s="43">
        <v>1</v>
      </c>
      <c r="U167" s="43">
        <v>1</v>
      </c>
      <c r="V167" s="44">
        <v>1</v>
      </c>
      <c r="W167" s="42">
        <v>1</v>
      </c>
      <c r="X167" s="42">
        <v>1</v>
      </c>
      <c r="Y167" s="42">
        <v>1</v>
      </c>
      <c r="Z167" s="42"/>
      <c r="AA167" s="42">
        <v>1</v>
      </c>
      <c r="AB167" s="42">
        <v>1</v>
      </c>
      <c r="AC167" s="42">
        <v>1</v>
      </c>
      <c r="AD167" s="43">
        <v>1</v>
      </c>
      <c r="AE167" s="43">
        <v>1</v>
      </c>
      <c r="AF167" s="43">
        <v>1</v>
      </c>
      <c r="AG167" s="44">
        <v>1</v>
      </c>
      <c r="AH167" s="44">
        <v>1</v>
      </c>
      <c r="AI167" s="42">
        <v>1</v>
      </c>
      <c r="AJ167" s="42">
        <v>1</v>
      </c>
      <c r="AK167" s="42">
        <v>1</v>
      </c>
      <c r="AL167" s="42">
        <v>1</v>
      </c>
      <c r="AM167" s="42">
        <v>1</v>
      </c>
      <c r="AN167" s="42">
        <v>1</v>
      </c>
      <c r="AO167" s="43">
        <v>1</v>
      </c>
      <c r="AP167" s="43"/>
      <c r="AQ167" s="43">
        <v>1</v>
      </c>
      <c r="AR167" s="44">
        <v>1</v>
      </c>
      <c r="AS167" s="44">
        <v>1</v>
      </c>
      <c r="AT167" s="44">
        <v>1</v>
      </c>
      <c r="AU167" s="44">
        <v>1</v>
      </c>
      <c r="AV167" s="44">
        <v>1</v>
      </c>
      <c r="AW167" s="44">
        <v>1</v>
      </c>
      <c r="AX167" s="44">
        <v>1</v>
      </c>
      <c r="AY167" s="44">
        <v>1</v>
      </c>
      <c r="AZ167" s="44">
        <v>1</v>
      </c>
      <c r="BA167" s="34">
        <v>1</v>
      </c>
      <c r="BB167" s="34">
        <v>1</v>
      </c>
      <c r="BC167" s="34">
        <v>1</v>
      </c>
    </row>
    <row r="168" spans="1:55" customFormat="1" ht="21" customHeight="1" x14ac:dyDescent="0.4">
      <c r="A168" s="22"/>
      <c r="B168" s="42" t="s">
        <v>259</v>
      </c>
      <c r="C168" s="42" t="s">
        <v>244</v>
      </c>
      <c r="D168" s="42" t="s">
        <v>491</v>
      </c>
      <c r="E168" s="42" t="s">
        <v>430</v>
      </c>
      <c r="F168" s="42"/>
      <c r="G168" s="42">
        <v>1</v>
      </c>
      <c r="H168" s="43"/>
      <c r="I168" s="43">
        <v>1</v>
      </c>
      <c r="J168" s="43">
        <v>1</v>
      </c>
      <c r="K168" s="44">
        <v>1</v>
      </c>
      <c r="L168" s="42">
        <v>1</v>
      </c>
      <c r="M168" s="42">
        <v>1</v>
      </c>
      <c r="N168" s="42">
        <v>1</v>
      </c>
      <c r="O168" s="42">
        <v>1</v>
      </c>
      <c r="P168" s="42">
        <v>1</v>
      </c>
      <c r="Q168" s="42">
        <v>1</v>
      </c>
      <c r="R168" s="42">
        <v>1</v>
      </c>
      <c r="S168" s="43">
        <v>1</v>
      </c>
      <c r="T168" s="43">
        <v>1</v>
      </c>
      <c r="U168" s="43">
        <v>1</v>
      </c>
      <c r="V168" s="44">
        <v>1</v>
      </c>
      <c r="W168" s="42">
        <v>1</v>
      </c>
      <c r="X168" s="42">
        <v>1</v>
      </c>
      <c r="Y168" s="42">
        <v>1</v>
      </c>
      <c r="Z168" s="42">
        <v>1</v>
      </c>
      <c r="AA168" s="42">
        <v>1</v>
      </c>
      <c r="AB168" s="42">
        <v>1</v>
      </c>
      <c r="AC168" s="42">
        <v>1</v>
      </c>
      <c r="AD168" s="43">
        <v>1</v>
      </c>
      <c r="AE168" s="43">
        <v>1</v>
      </c>
      <c r="AF168" s="43">
        <v>1</v>
      </c>
      <c r="AG168" s="44">
        <v>1</v>
      </c>
      <c r="AH168" s="42">
        <v>1</v>
      </c>
      <c r="AI168" s="42">
        <v>1</v>
      </c>
      <c r="AJ168" s="42">
        <v>1</v>
      </c>
      <c r="AK168" s="42">
        <v>1</v>
      </c>
      <c r="AL168" s="42">
        <v>1</v>
      </c>
      <c r="AM168" s="42">
        <v>1</v>
      </c>
      <c r="AN168" s="42">
        <v>1</v>
      </c>
      <c r="AO168" s="43">
        <v>1</v>
      </c>
      <c r="AP168" s="43">
        <v>1</v>
      </c>
      <c r="AQ168" s="43">
        <v>1</v>
      </c>
      <c r="AR168" s="44">
        <v>1</v>
      </c>
      <c r="AS168" s="44">
        <v>1</v>
      </c>
      <c r="AT168" s="44">
        <v>1</v>
      </c>
      <c r="AU168" s="44">
        <v>1</v>
      </c>
      <c r="AV168" s="44">
        <v>1</v>
      </c>
      <c r="AW168" s="44">
        <v>1</v>
      </c>
      <c r="AX168" s="44">
        <v>1</v>
      </c>
      <c r="AY168" s="44">
        <v>1</v>
      </c>
      <c r="AZ168" s="44">
        <v>1</v>
      </c>
      <c r="BA168" s="34">
        <v>1</v>
      </c>
      <c r="BB168" s="34">
        <v>1</v>
      </c>
      <c r="BC168" s="34">
        <v>1</v>
      </c>
    </row>
    <row r="169" spans="1:55" customFormat="1" ht="21" customHeight="1" x14ac:dyDescent="0.4">
      <c r="A169" s="22"/>
      <c r="B169" s="42" t="s">
        <v>259</v>
      </c>
      <c r="C169" s="42" t="s">
        <v>244</v>
      </c>
      <c r="D169" s="42" t="s">
        <v>492</v>
      </c>
      <c r="E169" s="42" t="s">
        <v>493</v>
      </c>
      <c r="F169" s="42"/>
      <c r="G169" s="42">
        <v>1</v>
      </c>
      <c r="H169" s="43">
        <v>1</v>
      </c>
      <c r="I169" s="43">
        <v>1</v>
      </c>
      <c r="J169" s="43">
        <v>1</v>
      </c>
      <c r="K169" s="44">
        <v>1</v>
      </c>
      <c r="L169" s="42">
        <v>1</v>
      </c>
      <c r="M169" s="42">
        <v>1</v>
      </c>
      <c r="N169" s="42">
        <v>1</v>
      </c>
      <c r="O169" s="42">
        <v>1</v>
      </c>
      <c r="P169" s="42">
        <v>1</v>
      </c>
      <c r="Q169" s="42">
        <v>1</v>
      </c>
      <c r="R169" s="42">
        <v>1</v>
      </c>
      <c r="S169" s="43">
        <v>1</v>
      </c>
      <c r="T169" s="43">
        <v>1</v>
      </c>
      <c r="U169" s="43">
        <v>1</v>
      </c>
      <c r="V169" s="44">
        <v>1</v>
      </c>
      <c r="W169" s="42">
        <v>1</v>
      </c>
      <c r="X169" s="42">
        <v>1</v>
      </c>
      <c r="Y169" s="42">
        <v>1</v>
      </c>
      <c r="Z169" s="42"/>
      <c r="AA169" s="42">
        <v>1</v>
      </c>
      <c r="AB169" s="42">
        <v>1</v>
      </c>
      <c r="AC169" s="42">
        <v>1</v>
      </c>
      <c r="AD169" s="43">
        <v>1</v>
      </c>
      <c r="AE169" s="43">
        <v>1</v>
      </c>
      <c r="AF169" s="43">
        <v>1</v>
      </c>
      <c r="AG169" s="44">
        <v>1</v>
      </c>
      <c r="AH169" s="42">
        <v>1</v>
      </c>
      <c r="AI169" s="42">
        <v>1</v>
      </c>
      <c r="AJ169" s="42">
        <v>1</v>
      </c>
      <c r="AK169" s="42">
        <v>1</v>
      </c>
      <c r="AL169" s="42">
        <v>1</v>
      </c>
      <c r="AM169" s="42">
        <v>1</v>
      </c>
      <c r="AN169" s="42">
        <v>1</v>
      </c>
      <c r="AO169" s="43">
        <v>1</v>
      </c>
      <c r="AP169" s="43">
        <v>1</v>
      </c>
      <c r="AQ169" s="43">
        <v>1</v>
      </c>
      <c r="AR169" s="44">
        <v>1</v>
      </c>
      <c r="AS169" s="44">
        <v>1</v>
      </c>
      <c r="AT169" s="44">
        <v>1</v>
      </c>
      <c r="AU169" s="44">
        <v>1</v>
      </c>
      <c r="AV169" s="44">
        <v>1</v>
      </c>
      <c r="AW169" s="44">
        <v>1</v>
      </c>
      <c r="AX169" s="44">
        <v>1</v>
      </c>
      <c r="AY169" s="44">
        <v>1</v>
      </c>
      <c r="AZ169" s="44"/>
      <c r="BA169" s="34">
        <v>1</v>
      </c>
      <c r="BB169" s="34">
        <v>1</v>
      </c>
      <c r="BC169" s="34">
        <v>1</v>
      </c>
    </row>
    <row r="170" spans="1:55" customFormat="1" ht="21" customHeight="1" x14ac:dyDescent="0.4">
      <c r="A170" s="22"/>
      <c r="B170" s="42" t="s">
        <v>259</v>
      </c>
      <c r="C170" s="42" t="s">
        <v>244</v>
      </c>
      <c r="D170" s="42" t="s">
        <v>494</v>
      </c>
      <c r="E170" s="42" t="s">
        <v>407</v>
      </c>
      <c r="F170" s="42"/>
      <c r="G170" s="42">
        <v>1</v>
      </c>
      <c r="H170" s="43">
        <v>1</v>
      </c>
      <c r="I170" s="43">
        <v>1</v>
      </c>
      <c r="J170" s="43">
        <v>1</v>
      </c>
      <c r="K170" s="44">
        <v>1</v>
      </c>
      <c r="L170" s="42">
        <v>1</v>
      </c>
      <c r="M170" s="42">
        <v>1</v>
      </c>
      <c r="N170" s="42">
        <v>1</v>
      </c>
      <c r="O170" s="42">
        <v>1</v>
      </c>
      <c r="P170" s="42">
        <v>1</v>
      </c>
      <c r="Q170" s="42">
        <v>1</v>
      </c>
      <c r="R170" s="42">
        <v>1</v>
      </c>
      <c r="S170" s="43"/>
      <c r="T170" s="43">
        <v>1</v>
      </c>
      <c r="U170" s="43">
        <v>1</v>
      </c>
      <c r="V170" s="44">
        <v>1</v>
      </c>
      <c r="W170" s="42">
        <v>1</v>
      </c>
      <c r="X170" s="42">
        <v>1</v>
      </c>
      <c r="Y170" s="42">
        <v>1</v>
      </c>
      <c r="Z170" s="42">
        <v>1</v>
      </c>
      <c r="AA170" s="42">
        <v>1</v>
      </c>
      <c r="AB170" s="42">
        <v>1</v>
      </c>
      <c r="AC170" s="42">
        <v>1</v>
      </c>
      <c r="AD170" s="43">
        <v>1</v>
      </c>
      <c r="AE170" s="43">
        <v>1</v>
      </c>
      <c r="AF170" s="43">
        <v>1</v>
      </c>
      <c r="AG170" s="44">
        <v>1</v>
      </c>
      <c r="AH170" s="42">
        <v>1</v>
      </c>
      <c r="AI170" s="42">
        <v>1</v>
      </c>
      <c r="AJ170" s="42">
        <v>1</v>
      </c>
      <c r="AK170" s="42">
        <v>1</v>
      </c>
      <c r="AL170" s="42">
        <v>1</v>
      </c>
      <c r="AM170" s="42">
        <v>1</v>
      </c>
      <c r="AN170" s="42">
        <v>1</v>
      </c>
      <c r="AO170" s="43">
        <v>1</v>
      </c>
      <c r="AP170" s="43"/>
      <c r="AQ170" s="43">
        <v>1</v>
      </c>
      <c r="AR170" s="43">
        <v>1</v>
      </c>
      <c r="AS170" s="43">
        <v>1</v>
      </c>
      <c r="AT170" s="44">
        <v>1</v>
      </c>
      <c r="AU170" s="44">
        <v>1</v>
      </c>
      <c r="AV170" s="44">
        <v>1</v>
      </c>
      <c r="AW170" s="34">
        <v>1</v>
      </c>
      <c r="AX170" s="44">
        <v>1</v>
      </c>
      <c r="AY170" s="44">
        <v>1</v>
      </c>
      <c r="AZ170" s="44">
        <v>1</v>
      </c>
      <c r="BA170" s="34">
        <v>1</v>
      </c>
      <c r="BB170" s="34">
        <v>1</v>
      </c>
      <c r="BC170" s="34">
        <v>1</v>
      </c>
    </row>
    <row r="171" spans="1:55" customFormat="1" ht="21" customHeight="1" x14ac:dyDescent="0.4">
      <c r="A171" s="22"/>
      <c r="B171" s="42" t="s">
        <v>259</v>
      </c>
      <c r="C171" s="42" t="s">
        <v>255</v>
      </c>
      <c r="D171" s="42" t="s">
        <v>495</v>
      </c>
      <c r="E171" s="42" t="s">
        <v>407</v>
      </c>
      <c r="F171" s="42"/>
      <c r="G171" s="42">
        <v>1</v>
      </c>
      <c r="H171" s="43">
        <v>1</v>
      </c>
      <c r="I171" s="43">
        <v>1</v>
      </c>
      <c r="J171" s="43">
        <v>1</v>
      </c>
      <c r="K171" s="44">
        <v>1</v>
      </c>
      <c r="L171" s="42">
        <v>1</v>
      </c>
      <c r="M171" s="42">
        <v>1</v>
      </c>
      <c r="N171" s="42">
        <v>1</v>
      </c>
      <c r="O171" s="42">
        <v>1</v>
      </c>
      <c r="P171" s="42">
        <v>1</v>
      </c>
      <c r="Q171" s="42">
        <v>1</v>
      </c>
      <c r="R171" s="42">
        <v>1</v>
      </c>
      <c r="S171" s="43">
        <v>1</v>
      </c>
      <c r="T171" s="43"/>
      <c r="U171" s="43">
        <v>1</v>
      </c>
      <c r="V171" s="44">
        <v>1</v>
      </c>
      <c r="W171" s="42">
        <v>1</v>
      </c>
      <c r="X171" s="42">
        <v>1</v>
      </c>
      <c r="Y171" s="42"/>
      <c r="Z171" s="42">
        <v>1</v>
      </c>
      <c r="AA171" s="42">
        <v>1</v>
      </c>
      <c r="AB171" s="42"/>
      <c r="AC171" s="42">
        <v>1</v>
      </c>
      <c r="AD171" s="43">
        <v>1</v>
      </c>
      <c r="AE171" s="43">
        <v>1</v>
      </c>
      <c r="AF171" s="43">
        <v>1</v>
      </c>
      <c r="AG171" s="44">
        <v>1</v>
      </c>
      <c r="AH171" s="42">
        <v>1</v>
      </c>
      <c r="AI171" s="42">
        <v>1</v>
      </c>
      <c r="AJ171" s="42">
        <v>1</v>
      </c>
      <c r="AK171" s="42">
        <v>1</v>
      </c>
      <c r="AL171" s="42"/>
      <c r="AM171" s="42">
        <v>1</v>
      </c>
      <c r="AN171" s="42">
        <v>1</v>
      </c>
      <c r="AO171" s="43">
        <v>1</v>
      </c>
      <c r="AP171" s="43"/>
      <c r="AQ171" s="43">
        <v>1</v>
      </c>
      <c r="AR171" s="43">
        <v>1</v>
      </c>
      <c r="AS171" s="43">
        <v>1</v>
      </c>
      <c r="AT171" s="43">
        <v>1</v>
      </c>
      <c r="AU171" s="43">
        <v>1</v>
      </c>
      <c r="AV171" s="43">
        <v>1</v>
      </c>
      <c r="AW171" s="34"/>
      <c r="AX171" s="44"/>
      <c r="AY171" s="44">
        <v>1</v>
      </c>
      <c r="AZ171" s="44">
        <v>1</v>
      </c>
      <c r="BA171" s="34">
        <v>1</v>
      </c>
      <c r="BB171" s="34">
        <v>1</v>
      </c>
      <c r="BC171" s="34"/>
    </row>
    <row r="172" spans="1:55" customFormat="1" ht="21" customHeight="1" x14ac:dyDescent="0.4">
      <c r="A172" s="22"/>
      <c r="B172" s="42" t="s">
        <v>259</v>
      </c>
      <c r="C172" s="42" t="s">
        <v>246</v>
      </c>
      <c r="D172" s="42" t="s">
        <v>496</v>
      </c>
      <c r="E172" s="42" t="s">
        <v>485</v>
      </c>
      <c r="F172" s="42"/>
      <c r="G172" s="42">
        <v>1</v>
      </c>
      <c r="H172" s="43"/>
      <c r="I172" s="43"/>
      <c r="J172" s="42">
        <v>1</v>
      </c>
      <c r="K172" s="44">
        <v>1</v>
      </c>
      <c r="L172" s="42">
        <v>1</v>
      </c>
      <c r="M172" s="42">
        <v>1</v>
      </c>
      <c r="N172" s="42">
        <v>1</v>
      </c>
      <c r="O172" s="42">
        <v>1</v>
      </c>
      <c r="P172" s="42">
        <v>1</v>
      </c>
      <c r="Q172" s="42">
        <v>1</v>
      </c>
      <c r="R172" s="42">
        <v>1</v>
      </c>
      <c r="S172" s="43"/>
      <c r="T172" s="43">
        <v>1</v>
      </c>
      <c r="U172" s="43">
        <v>1</v>
      </c>
      <c r="V172" s="44"/>
      <c r="W172" s="42">
        <v>1</v>
      </c>
      <c r="X172" s="42">
        <v>1</v>
      </c>
      <c r="Y172" s="42">
        <v>1</v>
      </c>
      <c r="Z172" s="42">
        <v>1</v>
      </c>
      <c r="AA172" s="42">
        <v>1</v>
      </c>
      <c r="AB172" s="42">
        <v>1</v>
      </c>
      <c r="AC172" s="42">
        <v>1</v>
      </c>
      <c r="AD172" s="43"/>
      <c r="AE172" s="43">
        <v>1</v>
      </c>
      <c r="AF172" s="43">
        <v>1</v>
      </c>
      <c r="AG172" s="44">
        <v>1</v>
      </c>
      <c r="AH172" s="42">
        <v>1</v>
      </c>
      <c r="AI172" s="42">
        <v>1</v>
      </c>
      <c r="AJ172" s="42">
        <v>1</v>
      </c>
      <c r="AK172" s="42">
        <v>1</v>
      </c>
      <c r="AL172" s="42">
        <v>1</v>
      </c>
      <c r="AM172" s="42">
        <v>1</v>
      </c>
      <c r="AN172" s="42">
        <v>1</v>
      </c>
      <c r="AO172" s="43"/>
      <c r="AP172" s="43"/>
      <c r="AQ172" s="43"/>
      <c r="AR172" s="44"/>
      <c r="AS172" s="44"/>
      <c r="AT172" s="44"/>
      <c r="AU172" s="44"/>
      <c r="AV172" s="44"/>
      <c r="AW172" s="34"/>
      <c r="AX172" s="44"/>
      <c r="AY172" s="44">
        <v>1</v>
      </c>
      <c r="AZ172" s="44">
        <v>1</v>
      </c>
      <c r="BA172" s="34">
        <v>1</v>
      </c>
      <c r="BB172" s="34">
        <v>1</v>
      </c>
      <c r="BC172" s="34">
        <v>1</v>
      </c>
    </row>
    <row r="173" spans="1:55" customFormat="1" ht="21" customHeight="1" x14ac:dyDescent="0.4">
      <c r="A173" s="22"/>
      <c r="B173" s="42" t="s">
        <v>259</v>
      </c>
      <c r="C173" s="42" t="s">
        <v>246</v>
      </c>
      <c r="D173" s="42" t="s">
        <v>497</v>
      </c>
      <c r="E173" s="42" t="s">
        <v>407</v>
      </c>
      <c r="F173" s="42"/>
      <c r="G173" s="42">
        <v>1</v>
      </c>
      <c r="H173" s="43">
        <v>1</v>
      </c>
      <c r="I173" s="43">
        <v>1</v>
      </c>
      <c r="J173" s="43">
        <v>1</v>
      </c>
      <c r="K173" s="44">
        <v>1</v>
      </c>
      <c r="L173" s="42">
        <v>1</v>
      </c>
      <c r="M173" s="42">
        <v>1</v>
      </c>
      <c r="N173" s="42">
        <v>1</v>
      </c>
      <c r="O173" s="42">
        <v>1</v>
      </c>
      <c r="P173" s="42">
        <v>1</v>
      </c>
      <c r="Q173" s="42">
        <v>1</v>
      </c>
      <c r="R173" s="42">
        <v>1</v>
      </c>
      <c r="S173" s="43"/>
      <c r="T173" s="43">
        <v>1</v>
      </c>
      <c r="U173" s="43">
        <v>1</v>
      </c>
      <c r="V173" s="44">
        <v>1</v>
      </c>
      <c r="W173" s="42">
        <v>1</v>
      </c>
      <c r="X173" s="42">
        <v>1</v>
      </c>
      <c r="Y173" s="42">
        <v>1</v>
      </c>
      <c r="Z173" s="42">
        <v>1</v>
      </c>
      <c r="AA173" s="42">
        <v>1</v>
      </c>
      <c r="AB173" s="42">
        <v>1</v>
      </c>
      <c r="AC173" s="42">
        <v>1</v>
      </c>
      <c r="AD173" s="43">
        <v>1</v>
      </c>
      <c r="AE173" s="43">
        <v>1</v>
      </c>
      <c r="AF173" s="43">
        <v>1</v>
      </c>
      <c r="AG173" s="44">
        <v>1</v>
      </c>
      <c r="AH173" s="42">
        <v>1</v>
      </c>
      <c r="AI173" s="42">
        <v>1</v>
      </c>
      <c r="AJ173" s="42">
        <v>1</v>
      </c>
      <c r="AK173" s="42">
        <v>1</v>
      </c>
      <c r="AL173" s="42">
        <v>1</v>
      </c>
      <c r="AM173" s="42">
        <v>1</v>
      </c>
      <c r="AN173" s="42">
        <v>1</v>
      </c>
      <c r="AO173" s="43">
        <v>1</v>
      </c>
      <c r="AP173" s="43"/>
      <c r="AQ173" s="43">
        <v>1</v>
      </c>
      <c r="AR173" s="44">
        <v>1</v>
      </c>
      <c r="AS173" s="44">
        <v>1</v>
      </c>
      <c r="AT173" s="44">
        <v>1</v>
      </c>
      <c r="AU173" s="44">
        <v>1</v>
      </c>
      <c r="AV173" s="44">
        <v>1</v>
      </c>
      <c r="AW173" s="34"/>
      <c r="AX173" s="44"/>
      <c r="AY173" s="44">
        <v>1</v>
      </c>
      <c r="AZ173" s="44">
        <v>1</v>
      </c>
      <c r="BA173" s="34">
        <v>1</v>
      </c>
      <c r="BB173" s="34">
        <v>1</v>
      </c>
      <c r="BC173" s="34">
        <v>1</v>
      </c>
    </row>
    <row r="174" spans="1:55" customFormat="1" ht="21" customHeight="1" x14ac:dyDescent="0.4">
      <c r="A174" s="22"/>
      <c r="B174" s="42" t="s">
        <v>259</v>
      </c>
      <c r="C174" s="42" t="s">
        <v>255</v>
      </c>
      <c r="D174" s="42" t="s">
        <v>498</v>
      </c>
      <c r="E174" s="42" t="s">
        <v>437</v>
      </c>
      <c r="F174" s="42"/>
      <c r="G174" s="42">
        <v>1</v>
      </c>
      <c r="H174" s="43">
        <v>1</v>
      </c>
      <c r="I174" s="43">
        <v>1</v>
      </c>
      <c r="J174" s="43">
        <v>1</v>
      </c>
      <c r="K174" s="44">
        <v>1</v>
      </c>
      <c r="L174" s="42">
        <v>1</v>
      </c>
      <c r="M174" s="42">
        <v>1</v>
      </c>
      <c r="N174" s="42">
        <v>1</v>
      </c>
      <c r="O174" s="42">
        <v>1</v>
      </c>
      <c r="P174" s="42">
        <v>1</v>
      </c>
      <c r="Q174" s="42">
        <v>1</v>
      </c>
      <c r="R174" s="42">
        <v>1</v>
      </c>
      <c r="S174" s="43">
        <v>1</v>
      </c>
      <c r="T174" s="43"/>
      <c r="U174" s="43">
        <v>1</v>
      </c>
      <c r="V174" s="44">
        <v>1</v>
      </c>
      <c r="W174" s="42">
        <v>1</v>
      </c>
      <c r="X174" s="42">
        <v>1</v>
      </c>
      <c r="Y174" s="42">
        <v>1</v>
      </c>
      <c r="Z174" s="42">
        <v>1</v>
      </c>
      <c r="AA174" s="42">
        <v>1</v>
      </c>
      <c r="AB174" s="42">
        <v>1</v>
      </c>
      <c r="AC174" s="42">
        <v>1</v>
      </c>
      <c r="AD174" s="43">
        <v>1</v>
      </c>
      <c r="AE174" s="43">
        <v>1</v>
      </c>
      <c r="AF174" s="43">
        <v>1</v>
      </c>
      <c r="AG174" s="44">
        <v>1</v>
      </c>
      <c r="AH174" s="42">
        <v>1</v>
      </c>
      <c r="AI174" s="42">
        <v>1</v>
      </c>
      <c r="AJ174" s="42">
        <v>1</v>
      </c>
      <c r="AK174" s="42">
        <v>1</v>
      </c>
      <c r="AL174" s="42">
        <v>1</v>
      </c>
      <c r="AM174" s="42">
        <v>1</v>
      </c>
      <c r="AN174" s="42">
        <v>1</v>
      </c>
      <c r="AO174" s="43">
        <v>1</v>
      </c>
      <c r="AP174" s="43">
        <v>1</v>
      </c>
      <c r="AQ174" s="43">
        <v>1</v>
      </c>
      <c r="AR174" s="44">
        <v>1</v>
      </c>
      <c r="AS174" s="44">
        <v>1</v>
      </c>
      <c r="AT174" s="44">
        <v>1</v>
      </c>
      <c r="AU174" s="44">
        <v>1</v>
      </c>
      <c r="AV174" s="44">
        <v>1</v>
      </c>
      <c r="AW174" s="44">
        <v>1</v>
      </c>
      <c r="AX174" s="44">
        <v>1</v>
      </c>
      <c r="AY174" s="44">
        <v>1</v>
      </c>
      <c r="AZ174" s="44"/>
      <c r="BA174" s="34">
        <v>1</v>
      </c>
      <c r="BB174" s="34">
        <v>1</v>
      </c>
      <c r="BC174" s="34">
        <v>1</v>
      </c>
    </row>
    <row r="175" spans="1:55" customFormat="1" ht="21" customHeight="1" x14ac:dyDescent="0.25">
      <c r="A175" s="22"/>
      <c r="B175" s="42" t="s">
        <v>499</v>
      </c>
      <c r="C175" s="42" t="s">
        <v>255</v>
      </c>
      <c r="D175" s="42" t="s">
        <v>500</v>
      </c>
      <c r="E175" s="34" t="s">
        <v>501</v>
      </c>
      <c r="F175" s="42"/>
      <c r="G175" s="42"/>
      <c r="H175" s="42"/>
      <c r="I175" s="42">
        <v>1</v>
      </c>
      <c r="J175" s="42">
        <v>1</v>
      </c>
      <c r="K175" s="44">
        <v>1</v>
      </c>
      <c r="L175" s="42">
        <v>1</v>
      </c>
      <c r="M175" s="42">
        <v>1</v>
      </c>
      <c r="N175" s="42">
        <v>1</v>
      </c>
      <c r="O175" s="42">
        <v>1</v>
      </c>
      <c r="P175" s="42">
        <v>1</v>
      </c>
      <c r="Q175" s="42">
        <v>1</v>
      </c>
      <c r="R175" s="42"/>
      <c r="S175" s="42"/>
      <c r="T175" s="42"/>
      <c r="U175" s="42"/>
      <c r="V175" s="44"/>
      <c r="W175" s="42">
        <v>1</v>
      </c>
      <c r="X175" s="42"/>
      <c r="Y175" s="42">
        <v>1</v>
      </c>
      <c r="Z175" s="42"/>
      <c r="AA175" s="42">
        <v>1</v>
      </c>
      <c r="AB175" s="42">
        <v>1</v>
      </c>
      <c r="AC175" s="42"/>
      <c r="AD175" s="42"/>
      <c r="AE175" s="42"/>
      <c r="AF175" s="42"/>
      <c r="AG175" s="44">
        <v>1</v>
      </c>
      <c r="AH175" s="42">
        <v>1</v>
      </c>
      <c r="AI175" s="42">
        <v>1</v>
      </c>
      <c r="AJ175" s="42">
        <v>1</v>
      </c>
      <c r="AK175" s="42">
        <v>1</v>
      </c>
      <c r="AL175" s="42">
        <v>1</v>
      </c>
      <c r="AM175" s="42">
        <v>1</v>
      </c>
      <c r="AN175" s="42"/>
      <c r="AO175" s="42"/>
      <c r="AP175" s="42">
        <v>1</v>
      </c>
      <c r="AQ175" s="42">
        <v>1</v>
      </c>
      <c r="AR175" s="44"/>
      <c r="AS175" s="44">
        <v>1</v>
      </c>
      <c r="AT175" s="44"/>
      <c r="AU175" s="42"/>
      <c r="AV175" s="42"/>
      <c r="AW175" s="46">
        <v>1</v>
      </c>
      <c r="AX175" s="44">
        <v>1</v>
      </c>
      <c r="AY175" s="44"/>
      <c r="AZ175" s="44">
        <v>1</v>
      </c>
      <c r="BA175" s="46"/>
      <c r="BB175" s="34"/>
      <c r="BC175" s="34"/>
    </row>
    <row r="176" spans="1:55" customFormat="1" ht="21" customHeight="1" x14ac:dyDescent="0.25">
      <c r="A176" s="22"/>
      <c r="B176" s="42" t="s">
        <v>499</v>
      </c>
      <c r="C176" s="42" t="s">
        <v>246</v>
      </c>
      <c r="D176" s="42" t="s">
        <v>502</v>
      </c>
      <c r="E176" s="42" t="s">
        <v>276</v>
      </c>
      <c r="F176" s="42"/>
      <c r="G176" s="42"/>
      <c r="H176" s="42"/>
      <c r="I176" s="42"/>
      <c r="J176" s="42"/>
      <c r="K176" s="44">
        <v>1</v>
      </c>
      <c r="L176" s="42">
        <v>1</v>
      </c>
      <c r="M176" s="42">
        <v>1</v>
      </c>
      <c r="N176" s="42">
        <v>1</v>
      </c>
      <c r="O176" s="42">
        <v>1</v>
      </c>
      <c r="P176" s="42">
        <v>1</v>
      </c>
      <c r="Q176" s="42">
        <v>1</v>
      </c>
      <c r="R176" s="42"/>
      <c r="S176" s="42"/>
      <c r="T176" s="42">
        <v>1</v>
      </c>
      <c r="U176" s="42">
        <v>1</v>
      </c>
      <c r="V176" s="44">
        <v>1</v>
      </c>
      <c r="W176" s="42">
        <v>1</v>
      </c>
      <c r="X176" s="42">
        <v>1</v>
      </c>
      <c r="Y176" s="42">
        <v>1</v>
      </c>
      <c r="Z176" s="42"/>
      <c r="AA176" s="42">
        <v>1</v>
      </c>
      <c r="AB176" s="42">
        <v>1</v>
      </c>
      <c r="AC176" s="42"/>
      <c r="AD176" s="42"/>
      <c r="AE176" s="42">
        <v>1</v>
      </c>
      <c r="AF176" s="42">
        <v>1</v>
      </c>
      <c r="AG176" s="44"/>
      <c r="AH176" s="42"/>
      <c r="AI176" s="42">
        <v>1</v>
      </c>
      <c r="AJ176" s="42">
        <v>1</v>
      </c>
      <c r="AK176" s="42">
        <v>1</v>
      </c>
      <c r="AL176" s="42"/>
      <c r="AM176" s="42">
        <v>1</v>
      </c>
      <c r="AN176" s="42"/>
      <c r="AO176" s="42"/>
      <c r="AP176" s="42"/>
      <c r="AQ176" s="42"/>
      <c r="AR176" s="44"/>
      <c r="AS176" s="44"/>
      <c r="AT176" s="44"/>
      <c r="AU176" s="42"/>
      <c r="AV176" s="42"/>
      <c r="AW176" s="46"/>
      <c r="AX176" s="44"/>
      <c r="AY176" s="44">
        <v>1</v>
      </c>
      <c r="AZ176" s="44">
        <v>1</v>
      </c>
      <c r="BA176" s="46"/>
      <c r="BB176" s="34">
        <v>1</v>
      </c>
      <c r="BC176" s="34"/>
    </row>
    <row r="177" spans="1:55" customFormat="1" ht="21" customHeight="1" x14ac:dyDescent="0.25">
      <c r="A177" s="22"/>
      <c r="B177" s="42" t="s">
        <v>499</v>
      </c>
      <c r="C177" s="42" t="s">
        <v>255</v>
      </c>
      <c r="D177" s="42" t="s">
        <v>503</v>
      </c>
      <c r="E177" s="34" t="s">
        <v>504</v>
      </c>
      <c r="F177" s="42"/>
      <c r="G177" s="42"/>
      <c r="H177" s="42"/>
      <c r="I177" s="42">
        <v>1</v>
      </c>
      <c r="J177" s="42">
        <v>1</v>
      </c>
      <c r="K177" s="44">
        <v>1</v>
      </c>
      <c r="L177" s="42">
        <v>1</v>
      </c>
      <c r="M177" s="42">
        <v>1</v>
      </c>
      <c r="N177" s="42">
        <v>1</v>
      </c>
      <c r="O177" s="42">
        <v>1</v>
      </c>
      <c r="P177" s="42">
        <v>1</v>
      </c>
      <c r="Q177" s="42">
        <v>1</v>
      </c>
      <c r="R177" s="42"/>
      <c r="S177" s="42"/>
      <c r="T177" s="42"/>
      <c r="U177" s="42"/>
      <c r="V177" s="44"/>
      <c r="W177" s="42"/>
      <c r="X177" s="42"/>
      <c r="Y177" s="42"/>
      <c r="Z177" s="42"/>
      <c r="AA177" s="42"/>
      <c r="AB177" s="42">
        <v>1</v>
      </c>
      <c r="AC177" s="42"/>
      <c r="AD177" s="42"/>
      <c r="AE177" s="42"/>
      <c r="AF177" s="42"/>
      <c r="AG177" s="44">
        <v>1</v>
      </c>
      <c r="AH177" s="42">
        <v>1</v>
      </c>
      <c r="AI177" s="42">
        <v>1</v>
      </c>
      <c r="AJ177" s="42">
        <v>1</v>
      </c>
      <c r="AK177" s="42">
        <v>1</v>
      </c>
      <c r="AL177" s="42">
        <v>1</v>
      </c>
      <c r="AM177" s="42">
        <v>1</v>
      </c>
      <c r="AN177" s="42"/>
      <c r="AO177" s="42"/>
      <c r="AP177" s="42">
        <v>1</v>
      </c>
      <c r="AQ177" s="42">
        <v>1</v>
      </c>
      <c r="AR177" s="44"/>
      <c r="AS177" s="44"/>
      <c r="AT177" s="44">
        <v>1</v>
      </c>
      <c r="AU177" s="42">
        <v>1</v>
      </c>
      <c r="AV177" s="42">
        <v>1</v>
      </c>
      <c r="AW177" s="46"/>
      <c r="AX177" s="44"/>
      <c r="AY177" s="44">
        <v>1</v>
      </c>
      <c r="AZ177" s="44">
        <v>1</v>
      </c>
      <c r="BA177" s="46"/>
      <c r="BB177" s="34"/>
      <c r="BC177" s="34"/>
    </row>
    <row r="178" spans="1:55" customFormat="1" ht="21" customHeight="1" x14ac:dyDescent="0.25">
      <c r="A178" s="22"/>
      <c r="B178" s="42" t="s">
        <v>499</v>
      </c>
      <c r="C178" s="42" t="s">
        <v>244</v>
      </c>
      <c r="D178" s="42" t="s">
        <v>505</v>
      </c>
      <c r="E178" s="34" t="s">
        <v>506</v>
      </c>
      <c r="F178" s="42"/>
      <c r="G178" s="42"/>
      <c r="H178" s="42"/>
      <c r="I178" s="42"/>
      <c r="J178" s="42"/>
      <c r="K178" s="44">
        <v>1</v>
      </c>
      <c r="L178" s="42"/>
      <c r="M178" s="42">
        <v>1</v>
      </c>
      <c r="N178" s="42">
        <v>1</v>
      </c>
      <c r="O178" s="42"/>
      <c r="P178" s="42">
        <v>1</v>
      </c>
      <c r="Q178" s="42">
        <v>1</v>
      </c>
      <c r="R178" s="42"/>
      <c r="S178" s="42"/>
      <c r="T178" s="42"/>
      <c r="U178" s="42"/>
      <c r="V178" s="44"/>
      <c r="W178" s="42"/>
      <c r="X178" s="42"/>
      <c r="Y178" s="42">
        <v>1</v>
      </c>
      <c r="Z178" s="42"/>
      <c r="AA178" s="42"/>
      <c r="AB178" s="42"/>
      <c r="AC178" s="42"/>
      <c r="AD178" s="42"/>
      <c r="AE178" s="42"/>
      <c r="AF178" s="42"/>
      <c r="AG178" s="44">
        <v>1</v>
      </c>
      <c r="AH178" s="42">
        <v>1</v>
      </c>
      <c r="AI178" s="42">
        <v>1</v>
      </c>
      <c r="AJ178" s="42">
        <v>1</v>
      </c>
      <c r="AK178" s="42">
        <v>1</v>
      </c>
      <c r="AL178" s="42">
        <v>1</v>
      </c>
      <c r="AM178" s="42">
        <v>1</v>
      </c>
      <c r="AN178" s="42"/>
      <c r="AO178" s="42"/>
      <c r="AP178" s="42">
        <v>1</v>
      </c>
      <c r="AQ178" s="42">
        <v>1</v>
      </c>
      <c r="AR178" s="44">
        <v>1</v>
      </c>
      <c r="AS178" s="44"/>
      <c r="AT178" s="44">
        <v>1</v>
      </c>
      <c r="AU178" s="42">
        <v>1</v>
      </c>
      <c r="AV178" s="42">
        <v>1</v>
      </c>
      <c r="AW178" s="46">
        <v>1</v>
      </c>
      <c r="AX178" s="44">
        <v>1</v>
      </c>
      <c r="AY178" s="44"/>
      <c r="AZ178" s="44">
        <v>1</v>
      </c>
      <c r="BA178" s="46"/>
      <c r="BB178" s="34">
        <v>1</v>
      </c>
      <c r="BC178" s="34">
        <v>1</v>
      </c>
    </row>
    <row r="179" spans="1:55" customFormat="1" ht="21" customHeight="1" x14ac:dyDescent="0.25">
      <c r="A179" s="22"/>
      <c r="B179" s="42" t="s">
        <v>499</v>
      </c>
      <c r="C179" s="42" t="s">
        <v>255</v>
      </c>
      <c r="D179" s="42" t="s">
        <v>507</v>
      </c>
      <c r="E179" s="42" t="s">
        <v>390</v>
      </c>
      <c r="F179" s="42"/>
      <c r="G179" s="42"/>
      <c r="H179" s="42"/>
      <c r="I179" s="42"/>
      <c r="J179" s="42"/>
      <c r="K179" s="44"/>
      <c r="L179" s="42">
        <v>1</v>
      </c>
      <c r="M179" s="42">
        <v>1</v>
      </c>
      <c r="N179" s="42">
        <v>1</v>
      </c>
      <c r="O179" s="42">
        <v>1</v>
      </c>
      <c r="P179" s="42">
        <v>1</v>
      </c>
      <c r="Q179" s="42">
        <v>1</v>
      </c>
      <c r="R179" s="42"/>
      <c r="S179" s="42"/>
      <c r="T179" s="42"/>
      <c r="U179" s="42"/>
      <c r="V179" s="44">
        <v>1</v>
      </c>
      <c r="W179" s="42">
        <v>1</v>
      </c>
      <c r="X179" s="42">
        <v>1</v>
      </c>
      <c r="Y179" s="42">
        <v>1</v>
      </c>
      <c r="Z179" s="42">
        <v>1</v>
      </c>
      <c r="AA179" s="42">
        <v>1</v>
      </c>
      <c r="AB179" s="42">
        <v>1</v>
      </c>
      <c r="AC179" s="42"/>
      <c r="AD179" s="42"/>
      <c r="AE179" s="42"/>
      <c r="AF179" s="42"/>
      <c r="AG179" s="44">
        <v>1</v>
      </c>
      <c r="AH179" s="42">
        <v>1</v>
      </c>
      <c r="AI179" s="42"/>
      <c r="AJ179" s="42">
        <v>1</v>
      </c>
      <c r="AK179" s="42">
        <v>1</v>
      </c>
      <c r="AL179" s="42">
        <v>1</v>
      </c>
      <c r="AM179" s="42">
        <v>1</v>
      </c>
      <c r="AN179" s="42"/>
      <c r="AO179" s="42"/>
      <c r="AP179" s="42"/>
      <c r="AQ179" s="42"/>
      <c r="AR179" s="44">
        <v>1</v>
      </c>
      <c r="AS179" s="44">
        <v>1</v>
      </c>
      <c r="AT179" s="44">
        <v>1</v>
      </c>
      <c r="AU179" s="44">
        <v>1</v>
      </c>
      <c r="AV179" s="44">
        <v>1</v>
      </c>
      <c r="AW179" s="44">
        <v>1</v>
      </c>
      <c r="AX179" s="44">
        <v>1</v>
      </c>
      <c r="AY179" s="44">
        <v>1</v>
      </c>
      <c r="AZ179" s="44"/>
      <c r="BA179" s="34">
        <v>1</v>
      </c>
      <c r="BB179" s="34">
        <v>1</v>
      </c>
      <c r="BC179" s="34"/>
    </row>
    <row r="180" spans="1:55" customFormat="1" ht="21" customHeight="1" x14ac:dyDescent="0.25">
      <c r="A180" s="22"/>
      <c r="B180" s="42" t="s">
        <v>499</v>
      </c>
      <c r="C180" s="42" t="s">
        <v>255</v>
      </c>
      <c r="D180" s="42" t="s">
        <v>508</v>
      </c>
      <c r="E180" s="42" t="s">
        <v>390</v>
      </c>
      <c r="F180" s="42"/>
      <c r="G180" s="42"/>
      <c r="H180" s="42"/>
      <c r="I180" s="42"/>
      <c r="J180" s="42"/>
      <c r="K180" s="44">
        <v>1</v>
      </c>
      <c r="L180" s="42">
        <v>1</v>
      </c>
      <c r="M180" s="42">
        <v>1</v>
      </c>
      <c r="N180" s="42">
        <v>1</v>
      </c>
      <c r="O180" s="42">
        <v>1</v>
      </c>
      <c r="P180" s="42">
        <v>1</v>
      </c>
      <c r="Q180" s="42">
        <v>1</v>
      </c>
      <c r="R180" s="42"/>
      <c r="S180" s="42"/>
      <c r="T180" s="42"/>
      <c r="U180" s="42"/>
      <c r="V180" s="44">
        <v>1</v>
      </c>
      <c r="W180" s="42">
        <v>1</v>
      </c>
      <c r="X180" s="42">
        <v>1</v>
      </c>
      <c r="Y180" s="42">
        <v>1</v>
      </c>
      <c r="Z180" s="42">
        <v>1</v>
      </c>
      <c r="AA180" s="42">
        <v>1</v>
      </c>
      <c r="AB180" s="42">
        <v>1</v>
      </c>
      <c r="AC180" s="42"/>
      <c r="AD180" s="42"/>
      <c r="AE180" s="42"/>
      <c r="AF180" s="42"/>
      <c r="AG180" s="44">
        <v>1</v>
      </c>
      <c r="AH180" s="42"/>
      <c r="AI180" s="42">
        <v>1</v>
      </c>
      <c r="AJ180" s="42">
        <v>1</v>
      </c>
      <c r="AK180" s="42">
        <v>1</v>
      </c>
      <c r="AL180" s="42">
        <v>1</v>
      </c>
      <c r="AM180" s="42">
        <v>1</v>
      </c>
      <c r="AN180" s="42"/>
      <c r="AO180" s="42"/>
      <c r="AP180" s="42"/>
      <c r="AQ180" s="42"/>
      <c r="AR180" s="44"/>
      <c r="AS180" s="44">
        <v>1</v>
      </c>
      <c r="AT180" s="44">
        <v>1</v>
      </c>
      <c r="AU180" s="44">
        <v>1</v>
      </c>
      <c r="AV180" s="44">
        <v>1</v>
      </c>
      <c r="AW180" s="46"/>
      <c r="AX180" s="44"/>
      <c r="AY180" s="44"/>
      <c r="AZ180" s="44"/>
      <c r="BA180" s="34">
        <v>1</v>
      </c>
      <c r="BB180" s="34">
        <v>1</v>
      </c>
      <c r="BC180" s="34"/>
    </row>
    <row r="181" spans="1:55" customFormat="1" ht="21" customHeight="1" x14ac:dyDescent="0.25">
      <c r="A181" s="22"/>
      <c r="B181" s="42" t="s">
        <v>499</v>
      </c>
      <c r="C181" s="42" t="s">
        <v>255</v>
      </c>
      <c r="D181" s="42" t="s">
        <v>509</v>
      </c>
      <c r="E181" s="42" t="s">
        <v>390</v>
      </c>
      <c r="F181" s="42"/>
      <c r="G181" s="42"/>
      <c r="H181" s="42"/>
      <c r="I181" s="42"/>
      <c r="J181" s="42"/>
      <c r="K181" s="44">
        <v>1</v>
      </c>
      <c r="L181" s="42">
        <v>1</v>
      </c>
      <c r="M181" s="42">
        <v>1</v>
      </c>
      <c r="N181" s="42">
        <v>1</v>
      </c>
      <c r="O181" s="42">
        <v>1</v>
      </c>
      <c r="P181" s="42">
        <v>1</v>
      </c>
      <c r="Q181" s="42">
        <v>1</v>
      </c>
      <c r="R181" s="42"/>
      <c r="S181" s="42"/>
      <c r="T181" s="42"/>
      <c r="U181" s="42"/>
      <c r="V181" s="44">
        <v>1</v>
      </c>
      <c r="W181" s="42">
        <v>1</v>
      </c>
      <c r="X181" s="42">
        <v>1</v>
      </c>
      <c r="Y181" s="42">
        <v>1</v>
      </c>
      <c r="Z181" s="42">
        <v>1</v>
      </c>
      <c r="AA181" s="42">
        <v>1</v>
      </c>
      <c r="AB181" s="42">
        <v>1</v>
      </c>
      <c r="AC181" s="42"/>
      <c r="AD181" s="42"/>
      <c r="AE181" s="42"/>
      <c r="AF181" s="42"/>
      <c r="AG181" s="44">
        <v>1</v>
      </c>
      <c r="AH181" s="42">
        <v>1</v>
      </c>
      <c r="AI181" s="42"/>
      <c r="AJ181" s="42">
        <v>1</v>
      </c>
      <c r="AK181" s="42">
        <v>1</v>
      </c>
      <c r="AL181" s="42">
        <v>1</v>
      </c>
      <c r="AM181" s="42">
        <v>1</v>
      </c>
      <c r="AN181" s="42"/>
      <c r="AO181" s="42"/>
      <c r="AP181" s="42"/>
      <c r="AQ181" s="42"/>
      <c r="AR181" s="44">
        <v>1</v>
      </c>
      <c r="AS181" s="44">
        <v>1</v>
      </c>
      <c r="AT181" s="44">
        <v>1</v>
      </c>
      <c r="AU181" s="44">
        <v>1</v>
      </c>
      <c r="AV181" s="44">
        <v>1</v>
      </c>
      <c r="AW181" s="44">
        <v>1</v>
      </c>
      <c r="AX181" s="44">
        <v>1</v>
      </c>
      <c r="AY181" s="44">
        <v>1</v>
      </c>
      <c r="AZ181" s="44">
        <v>1</v>
      </c>
      <c r="BA181" s="34">
        <v>1</v>
      </c>
      <c r="BB181" s="34">
        <v>1</v>
      </c>
      <c r="BC181" s="34"/>
    </row>
    <row r="182" spans="1:55" customFormat="1" ht="21" customHeight="1" x14ac:dyDescent="0.25">
      <c r="A182" s="22"/>
      <c r="B182" s="42" t="s">
        <v>499</v>
      </c>
      <c r="C182" s="42" t="s">
        <v>255</v>
      </c>
      <c r="D182" s="42" t="s">
        <v>510</v>
      </c>
      <c r="E182" s="34" t="s">
        <v>511</v>
      </c>
      <c r="F182" s="42"/>
      <c r="G182" s="42"/>
      <c r="H182" s="42"/>
      <c r="I182" s="42"/>
      <c r="J182" s="42"/>
      <c r="K182" s="44">
        <v>1</v>
      </c>
      <c r="L182" s="42">
        <v>1</v>
      </c>
      <c r="M182" s="42">
        <v>1</v>
      </c>
      <c r="N182" s="42">
        <v>1</v>
      </c>
      <c r="O182" s="42">
        <v>1</v>
      </c>
      <c r="P182" s="42">
        <v>1</v>
      </c>
      <c r="Q182" s="42">
        <v>1</v>
      </c>
      <c r="R182" s="42"/>
      <c r="S182" s="42"/>
      <c r="T182" s="42"/>
      <c r="U182" s="42"/>
      <c r="V182" s="44"/>
      <c r="W182" s="42">
        <v>1</v>
      </c>
      <c r="X182" s="42">
        <v>1</v>
      </c>
      <c r="Y182" s="42">
        <v>1</v>
      </c>
      <c r="Z182" s="42">
        <v>1</v>
      </c>
      <c r="AA182" s="42"/>
      <c r="AB182" s="42"/>
      <c r="AC182" s="42"/>
      <c r="AD182" s="42"/>
      <c r="AE182" s="42"/>
      <c r="AF182" s="42"/>
      <c r="AG182" s="44">
        <v>1</v>
      </c>
      <c r="AH182" s="42">
        <v>1</v>
      </c>
      <c r="AI182" s="42">
        <v>1</v>
      </c>
      <c r="AJ182" s="42">
        <v>1</v>
      </c>
      <c r="AK182" s="42">
        <v>1</v>
      </c>
      <c r="AL182" s="42">
        <v>1</v>
      </c>
      <c r="AM182" s="42">
        <v>1</v>
      </c>
      <c r="AN182" s="42"/>
      <c r="AO182" s="42"/>
      <c r="AP182" s="42">
        <v>1</v>
      </c>
      <c r="AQ182" s="42">
        <v>1</v>
      </c>
      <c r="AR182" s="44">
        <v>1</v>
      </c>
      <c r="AS182" s="44">
        <v>1</v>
      </c>
      <c r="AT182" s="44">
        <v>1</v>
      </c>
      <c r="AU182" s="44">
        <v>1</v>
      </c>
      <c r="AV182" s="44">
        <v>1</v>
      </c>
      <c r="AW182" s="44">
        <v>1</v>
      </c>
      <c r="AX182" s="44">
        <v>1</v>
      </c>
      <c r="AY182" s="44">
        <v>1</v>
      </c>
      <c r="AZ182" s="44">
        <v>1</v>
      </c>
      <c r="BA182" s="34">
        <v>1</v>
      </c>
      <c r="BB182" s="34">
        <v>1</v>
      </c>
      <c r="BC182" s="34">
        <v>1</v>
      </c>
    </row>
    <row r="183" spans="1:55" customFormat="1" ht="21" customHeight="1" x14ac:dyDescent="0.25">
      <c r="A183" s="22"/>
      <c r="B183" s="42" t="s">
        <v>499</v>
      </c>
      <c r="C183" s="42" t="s">
        <v>255</v>
      </c>
      <c r="D183" s="42" t="s">
        <v>512</v>
      </c>
      <c r="E183" s="34" t="s">
        <v>513</v>
      </c>
      <c r="F183" s="42"/>
      <c r="G183" s="42"/>
      <c r="H183" s="42"/>
      <c r="I183" s="42"/>
      <c r="J183" s="42"/>
      <c r="K183" s="44">
        <v>1</v>
      </c>
      <c r="L183" s="42">
        <v>1</v>
      </c>
      <c r="M183" s="42">
        <v>1</v>
      </c>
      <c r="N183" s="42">
        <v>1</v>
      </c>
      <c r="O183" s="42">
        <v>1</v>
      </c>
      <c r="P183" s="42">
        <v>1</v>
      </c>
      <c r="Q183" s="42">
        <v>1</v>
      </c>
      <c r="R183" s="42"/>
      <c r="S183" s="42"/>
      <c r="T183" s="42"/>
      <c r="U183" s="42"/>
      <c r="V183" s="44">
        <v>1</v>
      </c>
      <c r="W183" s="42">
        <v>1</v>
      </c>
      <c r="X183" s="42">
        <v>1</v>
      </c>
      <c r="Y183" s="42"/>
      <c r="Z183" s="42">
        <v>1</v>
      </c>
      <c r="AA183" s="42">
        <v>1</v>
      </c>
      <c r="AB183" s="42">
        <v>1</v>
      </c>
      <c r="AC183" s="42"/>
      <c r="AD183" s="42"/>
      <c r="AE183" s="42"/>
      <c r="AF183" s="42"/>
      <c r="AG183" s="44">
        <v>1</v>
      </c>
      <c r="AH183" s="42">
        <v>1</v>
      </c>
      <c r="AI183" s="42">
        <v>1</v>
      </c>
      <c r="AJ183" s="42">
        <v>1</v>
      </c>
      <c r="AK183" s="42">
        <v>1</v>
      </c>
      <c r="AL183" s="42">
        <v>1</v>
      </c>
      <c r="AM183" s="42">
        <v>1</v>
      </c>
      <c r="AN183" s="42"/>
      <c r="AO183" s="42"/>
      <c r="AP183" s="42"/>
      <c r="AQ183" s="42"/>
      <c r="AR183" s="44"/>
      <c r="AS183" s="44">
        <v>1</v>
      </c>
      <c r="AT183" s="44">
        <v>1</v>
      </c>
      <c r="AU183" s="44">
        <v>1</v>
      </c>
      <c r="AV183" s="44">
        <v>1</v>
      </c>
      <c r="AW183" s="46"/>
      <c r="AX183" s="44"/>
      <c r="AY183" s="44"/>
      <c r="AZ183" s="44"/>
      <c r="BA183" s="34">
        <v>1</v>
      </c>
      <c r="BB183" s="34">
        <v>1</v>
      </c>
      <c r="BC183" s="34"/>
    </row>
    <row r="184" spans="1:55" customFormat="1" ht="21" customHeight="1" x14ac:dyDescent="0.25">
      <c r="A184" s="22"/>
      <c r="B184" s="42" t="s">
        <v>499</v>
      </c>
      <c r="C184" s="42" t="s">
        <v>255</v>
      </c>
      <c r="D184" s="42" t="s">
        <v>514</v>
      </c>
      <c r="E184" s="34" t="s">
        <v>515</v>
      </c>
      <c r="F184" s="42"/>
      <c r="G184" s="42"/>
      <c r="H184" s="42"/>
      <c r="I184" s="42"/>
      <c r="J184" s="42"/>
      <c r="K184" s="44"/>
      <c r="L184" s="42"/>
      <c r="M184" s="42"/>
      <c r="N184" s="42">
        <v>1</v>
      </c>
      <c r="O184" s="42"/>
      <c r="P184" s="42"/>
      <c r="Q184" s="42"/>
      <c r="R184" s="42"/>
      <c r="S184" s="42"/>
      <c r="T184" s="42"/>
      <c r="U184" s="42"/>
      <c r="V184" s="44"/>
      <c r="W184" s="42"/>
      <c r="X184" s="42">
        <v>1</v>
      </c>
      <c r="Y184" s="42">
        <v>1</v>
      </c>
      <c r="Z184" s="42">
        <v>1</v>
      </c>
      <c r="AA184" s="42"/>
      <c r="AB184" s="42"/>
      <c r="AC184" s="42"/>
      <c r="AD184" s="42"/>
      <c r="AE184" s="42"/>
      <c r="AF184" s="42"/>
      <c r="AG184" s="44"/>
      <c r="AH184" s="42"/>
      <c r="AI184" s="42"/>
      <c r="AJ184" s="42">
        <v>1</v>
      </c>
      <c r="AK184" s="42"/>
      <c r="AL184" s="42"/>
      <c r="AM184" s="42"/>
      <c r="AN184" s="42"/>
      <c r="AO184" s="42"/>
      <c r="AP184" s="42"/>
      <c r="AQ184" s="42"/>
      <c r="AR184" s="44">
        <v>1</v>
      </c>
      <c r="AS184" s="44">
        <v>1</v>
      </c>
      <c r="AT184" s="44">
        <v>1</v>
      </c>
      <c r="AU184" s="44">
        <v>1</v>
      </c>
      <c r="AV184" s="44">
        <v>1</v>
      </c>
      <c r="AW184" s="44">
        <v>1</v>
      </c>
      <c r="AX184" s="44">
        <v>1</v>
      </c>
      <c r="AY184" s="44"/>
      <c r="AZ184" s="44"/>
      <c r="BA184" s="46"/>
      <c r="BB184" s="34">
        <v>1</v>
      </c>
      <c r="BC184" s="34"/>
    </row>
    <row r="185" spans="1:55" customFormat="1" ht="21" customHeight="1" x14ac:dyDescent="0.25">
      <c r="A185" s="22"/>
      <c r="B185" s="42" t="s">
        <v>499</v>
      </c>
      <c r="C185" s="42" t="s">
        <v>255</v>
      </c>
      <c r="D185" s="42" t="s">
        <v>516</v>
      </c>
      <c r="E185" s="34" t="s">
        <v>517</v>
      </c>
      <c r="F185" s="42"/>
      <c r="G185" s="42"/>
      <c r="H185" s="42"/>
      <c r="I185" s="42">
        <v>1</v>
      </c>
      <c r="J185" s="42">
        <v>1</v>
      </c>
      <c r="K185" s="44">
        <v>1</v>
      </c>
      <c r="L185" s="42">
        <v>1</v>
      </c>
      <c r="M185" s="42">
        <v>1</v>
      </c>
      <c r="N185" s="42">
        <v>1</v>
      </c>
      <c r="O185" s="42">
        <v>1</v>
      </c>
      <c r="P185" s="42">
        <v>1</v>
      </c>
      <c r="Q185" s="42">
        <v>1</v>
      </c>
      <c r="R185" s="42"/>
      <c r="S185" s="42"/>
      <c r="T185" s="42"/>
      <c r="U185" s="42"/>
      <c r="V185" s="44">
        <v>1</v>
      </c>
      <c r="W185" s="42">
        <v>1</v>
      </c>
      <c r="X185" s="42">
        <v>1</v>
      </c>
      <c r="Y185" s="42">
        <v>1</v>
      </c>
      <c r="Z185" s="42">
        <v>1</v>
      </c>
      <c r="AA185" s="42">
        <v>1</v>
      </c>
      <c r="AB185" s="42">
        <v>1</v>
      </c>
      <c r="AC185" s="42"/>
      <c r="AD185" s="42"/>
      <c r="AE185" s="42"/>
      <c r="AF185" s="42"/>
      <c r="AG185" s="44">
        <v>1</v>
      </c>
      <c r="AH185" s="42">
        <v>1</v>
      </c>
      <c r="AI185" s="42">
        <v>1</v>
      </c>
      <c r="AJ185" s="42">
        <v>1</v>
      </c>
      <c r="AK185" s="42">
        <v>1</v>
      </c>
      <c r="AL185" s="42">
        <v>1</v>
      </c>
      <c r="AM185" s="42">
        <v>1</v>
      </c>
      <c r="AN185" s="42"/>
      <c r="AO185" s="42"/>
      <c r="AP185" s="42"/>
      <c r="AQ185" s="42"/>
      <c r="AR185" s="44"/>
      <c r="AS185" s="44">
        <v>1</v>
      </c>
      <c r="AT185" s="44">
        <v>1</v>
      </c>
      <c r="AU185" s="42">
        <v>1</v>
      </c>
      <c r="AV185" s="42">
        <v>1</v>
      </c>
      <c r="AW185" s="46">
        <v>1</v>
      </c>
      <c r="AX185" s="44">
        <v>1</v>
      </c>
      <c r="AY185" s="44">
        <v>1</v>
      </c>
      <c r="AZ185" s="44">
        <v>1</v>
      </c>
      <c r="BA185" s="34">
        <v>1</v>
      </c>
      <c r="BB185" s="34"/>
      <c r="BC185" s="34">
        <v>1</v>
      </c>
    </row>
    <row r="186" spans="1:55" customFormat="1" ht="21" customHeight="1" x14ac:dyDescent="0.25">
      <c r="A186" s="22"/>
      <c r="B186" s="42" t="s">
        <v>499</v>
      </c>
      <c r="C186" s="42" t="s">
        <v>255</v>
      </c>
      <c r="D186" s="42" t="s">
        <v>518</v>
      </c>
      <c r="E186" s="34" t="s">
        <v>519</v>
      </c>
      <c r="F186" s="42"/>
      <c r="G186" s="42"/>
      <c r="H186" s="42"/>
      <c r="I186" s="42"/>
      <c r="J186" s="42"/>
      <c r="K186" s="44">
        <v>1</v>
      </c>
      <c r="L186" s="42">
        <v>1</v>
      </c>
      <c r="M186" s="42">
        <v>1</v>
      </c>
      <c r="N186" s="42">
        <v>1</v>
      </c>
      <c r="O186" s="42"/>
      <c r="P186" s="42">
        <v>1</v>
      </c>
      <c r="Q186" s="42">
        <v>1</v>
      </c>
      <c r="R186" s="42"/>
      <c r="S186" s="42"/>
      <c r="T186" s="42"/>
      <c r="U186" s="42"/>
      <c r="V186" s="44"/>
      <c r="W186" s="42"/>
      <c r="X186" s="42"/>
      <c r="Y186" s="42">
        <v>1</v>
      </c>
      <c r="Z186" s="42">
        <v>1</v>
      </c>
      <c r="AA186" s="42"/>
      <c r="AB186" s="42">
        <v>1</v>
      </c>
      <c r="AC186" s="42"/>
      <c r="AD186" s="42"/>
      <c r="AE186" s="42"/>
      <c r="AF186" s="42"/>
      <c r="AG186" s="44">
        <v>1</v>
      </c>
      <c r="AH186" s="42"/>
      <c r="AI186" s="42">
        <v>1</v>
      </c>
      <c r="AJ186" s="42">
        <v>1</v>
      </c>
      <c r="AK186" s="42">
        <v>1</v>
      </c>
      <c r="AL186" s="42">
        <v>1</v>
      </c>
      <c r="AM186" s="42">
        <v>1</v>
      </c>
      <c r="AN186" s="42"/>
      <c r="AO186" s="42"/>
      <c r="AP186" s="42"/>
      <c r="AQ186" s="42"/>
      <c r="AR186" s="44">
        <v>1</v>
      </c>
      <c r="AS186" s="44"/>
      <c r="AT186" s="44"/>
      <c r="AU186" s="42"/>
      <c r="AV186" s="42"/>
      <c r="AW186" s="44">
        <v>1</v>
      </c>
      <c r="AX186" s="44">
        <v>1</v>
      </c>
      <c r="AY186" s="44"/>
      <c r="AZ186" s="44">
        <v>1</v>
      </c>
      <c r="BA186" s="46"/>
      <c r="BB186" s="34">
        <v>1</v>
      </c>
      <c r="BC186" s="34">
        <v>1</v>
      </c>
    </row>
    <row r="187" spans="1:55" customFormat="1" ht="21" customHeight="1" x14ac:dyDescent="0.25">
      <c r="A187" s="22"/>
      <c r="B187" s="42" t="s">
        <v>499</v>
      </c>
      <c r="C187" s="42" t="s">
        <v>255</v>
      </c>
      <c r="D187" s="42" t="s">
        <v>520</v>
      </c>
      <c r="E187" s="42" t="s">
        <v>521</v>
      </c>
      <c r="F187" s="42"/>
      <c r="G187" s="42"/>
      <c r="H187" s="42"/>
      <c r="I187" s="42"/>
      <c r="J187" s="42"/>
      <c r="K187" s="44"/>
      <c r="L187" s="42">
        <v>1</v>
      </c>
      <c r="M187" s="42">
        <v>1</v>
      </c>
      <c r="N187" s="42">
        <v>1</v>
      </c>
      <c r="O187" s="42">
        <v>1</v>
      </c>
      <c r="P187" s="42"/>
      <c r="Q187" s="42"/>
      <c r="R187" s="42"/>
      <c r="S187" s="42"/>
      <c r="T187" s="42"/>
      <c r="U187" s="42"/>
      <c r="V187" s="44"/>
      <c r="W187" s="42">
        <v>1</v>
      </c>
      <c r="X187" s="42">
        <v>1</v>
      </c>
      <c r="Y187" s="42">
        <v>1</v>
      </c>
      <c r="Z187" s="42">
        <v>1</v>
      </c>
      <c r="AA187" s="42"/>
      <c r="AB187" s="42">
        <v>1</v>
      </c>
      <c r="AC187" s="42"/>
      <c r="AD187" s="42"/>
      <c r="AE187" s="42"/>
      <c r="AF187" s="42"/>
      <c r="AG187" s="44">
        <v>1</v>
      </c>
      <c r="AH187" s="42">
        <v>1</v>
      </c>
      <c r="AI187" s="42">
        <v>1</v>
      </c>
      <c r="AJ187" s="42">
        <v>1</v>
      </c>
      <c r="AK187" s="42">
        <v>1</v>
      </c>
      <c r="AL187" s="42"/>
      <c r="AM187" s="42">
        <v>1</v>
      </c>
      <c r="AN187" s="42"/>
      <c r="AO187" s="42"/>
      <c r="AP187" s="42"/>
      <c r="AQ187" s="42"/>
      <c r="AR187" s="44"/>
      <c r="AS187" s="44"/>
      <c r="AT187" s="44">
        <v>1</v>
      </c>
      <c r="AU187" s="44">
        <v>1</v>
      </c>
      <c r="AV187" s="44">
        <v>1</v>
      </c>
      <c r="AW187" s="44">
        <v>1</v>
      </c>
      <c r="AX187" s="44">
        <v>1</v>
      </c>
      <c r="AY187" s="44"/>
      <c r="AZ187" s="44"/>
      <c r="BA187" s="46"/>
      <c r="BB187" s="34"/>
      <c r="BC187" s="34"/>
    </row>
    <row r="188" spans="1:55" customFormat="1" ht="21" customHeight="1" x14ac:dyDescent="0.25">
      <c r="A188" s="22"/>
      <c r="B188" s="42" t="s">
        <v>499</v>
      </c>
      <c r="C188" s="42" t="s">
        <v>254</v>
      </c>
      <c r="D188" s="42" t="s">
        <v>522</v>
      </c>
      <c r="E188" s="42" t="s">
        <v>523</v>
      </c>
      <c r="F188" s="42"/>
      <c r="G188" s="42"/>
      <c r="H188" s="42"/>
      <c r="I188" s="42"/>
      <c r="J188" s="42"/>
      <c r="K188" s="44"/>
      <c r="L188" s="42"/>
      <c r="M188" s="42"/>
      <c r="N188" s="42">
        <v>1</v>
      </c>
      <c r="O188" s="42"/>
      <c r="P188" s="42"/>
      <c r="Q188" s="42"/>
      <c r="R188" s="42"/>
      <c r="S188" s="42"/>
      <c r="T188" s="42"/>
      <c r="U188" s="42"/>
      <c r="V188" s="44"/>
      <c r="W188" s="42"/>
      <c r="X188" s="42"/>
      <c r="Y188" s="42">
        <v>1</v>
      </c>
      <c r="Z188" s="42"/>
      <c r="AA188" s="42"/>
      <c r="AB188" s="42"/>
      <c r="AC188" s="42"/>
      <c r="AD188" s="42"/>
      <c r="AE188" s="42"/>
      <c r="AF188" s="42"/>
      <c r="AG188" s="44"/>
      <c r="AH188" s="42"/>
      <c r="AI188" s="42"/>
      <c r="AJ188" s="42">
        <v>1</v>
      </c>
      <c r="AK188" s="42"/>
      <c r="AL188" s="42"/>
      <c r="AM188" s="42"/>
      <c r="AN188" s="42"/>
      <c r="AO188" s="42"/>
      <c r="AP188" s="42"/>
      <c r="AQ188" s="42"/>
      <c r="AR188" s="44"/>
      <c r="AS188" s="44"/>
      <c r="AT188" s="44"/>
      <c r="AU188" s="42"/>
      <c r="AV188" s="42"/>
      <c r="AW188" s="46"/>
      <c r="AX188" s="44"/>
      <c r="AY188" s="44"/>
      <c r="AZ188" s="44"/>
      <c r="BA188" s="46"/>
      <c r="BB188" s="34"/>
      <c r="BC188" s="34"/>
    </row>
    <row r="189" spans="1:55" customFormat="1" ht="21" customHeight="1" x14ac:dyDescent="0.25">
      <c r="A189" s="22"/>
      <c r="B189" s="42" t="s">
        <v>499</v>
      </c>
      <c r="C189" s="42" t="s">
        <v>254</v>
      </c>
      <c r="D189" s="42" t="s">
        <v>524</v>
      </c>
      <c r="E189" s="42" t="s">
        <v>306</v>
      </c>
      <c r="F189" s="42"/>
      <c r="G189" s="42"/>
      <c r="H189" s="42"/>
      <c r="I189" s="42"/>
      <c r="J189" s="42"/>
      <c r="K189" s="44"/>
      <c r="L189" s="42">
        <v>1</v>
      </c>
      <c r="M189" s="42">
        <v>1</v>
      </c>
      <c r="N189" s="42">
        <v>1</v>
      </c>
      <c r="O189" s="42">
        <v>1</v>
      </c>
      <c r="P189" s="42"/>
      <c r="Q189" s="42">
        <v>1</v>
      </c>
      <c r="R189" s="42"/>
      <c r="S189" s="42"/>
      <c r="T189" s="42"/>
      <c r="U189" s="42"/>
      <c r="V189" s="44"/>
      <c r="W189" s="42"/>
      <c r="X189" s="42"/>
      <c r="Y189" s="42">
        <v>1</v>
      </c>
      <c r="Z189" s="42"/>
      <c r="AA189" s="42"/>
      <c r="AB189" s="42"/>
      <c r="AC189" s="42"/>
      <c r="AD189" s="42"/>
      <c r="AE189" s="42"/>
      <c r="AF189" s="42"/>
      <c r="AG189" s="44"/>
      <c r="AH189" s="42"/>
      <c r="AI189" s="42"/>
      <c r="AJ189" s="42">
        <v>1</v>
      </c>
      <c r="AK189" s="42"/>
      <c r="AL189" s="42">
        <v>1</v>
      </c>
      <c r="AM189" s="42">
        <v>1</v>
      </c>
      <c r="AN189" s="42"/>
      <c r="AO189" s="42"/>
      <c r="AP189" s="42"/>
      <c r="AQ189" s="42"/>
      <c r="AR189" s="44"/>
      <c r="AS189" s="44"/>
      <c r="AT189" s="44"/>
      <c r="AU189" s="42"/>
      <c r="AV189" s="42"/>
      <c r="AW189" s="46"/>
      <c r="AX189" s="44"/>
      <c r="AY189" s="44"/>
      <c r="AZ189" s="44">
        <v>1</v>
      </c>
      <c r="BA189" s="34">
        <v>1</v>
      </c>
      <c r="BB189" s="34">
        <v>1</v>
      </c>
      <c r="BC189" s="34"/>
    </row>
    <row r="190" spans="1:55" customFormat="1" ht="21" customHeight="1" x14ac:dyDescent="0.25">
      <c r="A190" s="22"/>
      <c r="B190" s="42" t="s">
        <v>499</v>
      </c>
      <c r="C190" s="42" t="s">
        <v>249</v>
      </c>
      <c r="D190" s="42" t="s">
        <v>525</v>
      </c>
      <c r="E190" s="42" t="s">
        <v>526</v>
      </c>
      <c r="F190" s="42"/>
      <c r="G190" s="42"/>
      <c r="H190" s="42"/>
      <c r="I190" s="42"/>
      <c r="J190" s="42"/>
      <c r="K190" s="44"/>
      <c r="L190" s="42"/>
      <c r="M190" s="42"/>
      <c r="N190" s="42">
        <v>1</v>
      </c>
      <c r="O190" s="42"/>
      <c r="P190" s="42"/>
      <c r="Q190" s="42">
        <v>1</v>
      </c>
      <c r="R190" s="42"/>
      <c r="S190" s="42"/>
      <c r="T190" s="42"/>
      <c r="U190" s="42"/>
      <c r="V190" s="44"/>
      <c r="W190" s="42"/>
      <c r="X190" s="42"/>
      <c r="Y190" s="42">
        <v>1</v>
      </c>
      <c r="Z190" s="42">
        <v>1</v>
      </c>
      <c r="AA190" s="42">
        <v>1</v>
      </c>
      <c r="AB190" s="42">
        <v>1</v>
      </c>
      <c r="AC190" s="42"/>
      <c r="AD190" s="42"/>
      <c r="AE190" s="42"/>
      <c r="AF190" s="42"/>
      <c r="AG190" s="44"/>
      <c r="AH190" s="42"/>
      <c r="AI190" s="42"/>
      <c r="AJ190" s="42">
        <v>1</v>
      </c>
      <c r="AK190" s="42"/>
      <c r="AL190" s="42">
        <v>1</v>
      </c>
      <c r="AM190" s="42">
        <v>1</v>
      </c>
      <c r="AN190" s="42"/>
      <c r="AO190" s="42"/>
      <c r="AP190" s="42"/>
      <c r="AQ190" s="42"/>
      <c r="AR190" s="44"/>
      <c r="AS190" s="44"/>
      <c r="AT190" s="44"/>
      <c r="AU190" s="42"/>
      <c r="AV190" s="42"/>
      <c r="AW190" s="44">
        <v>1</v>
      </c>
      <c r="AX190" s="44">
        <v>1</v>
      </c>
      <c r="AY190" s="44"/>
      <c r="AZ190" s="44">
        <v>1</v>
      </c>
      <c r="BA190" s="46"/>
      <c r="BB190" s="34">
        <v>1</v>
      </c>
      <c r="BC190" s="34">
        <v>1</v>
      </c>
    </row>
    <row r="191" spans="1:55" customFormat="1" ht="21" customHeight="1" x14ac:dyDescent="0.25">
      <c r="A191" s="22"/>
      <c r="B191" s="42" t="s">
        <v>499</v>
      </c>
      <c r="C191" s="42" t="s">
        <v>244</v>
      </c>
      <c r="D191" s="42" t="s">
        <v>527</v>
      </c>
      <c r="E191" s="42" t="s">
        <v>528</v>
      </c>
      <c r="F191" s="42"/>
      <c r="G191" s="42"/>
      <c r="H191" s="42"/>
      <c r="I191" s="42">
        <v>1</v>
      </c>
      <c r="J191" s="42">
        <v>1</v>
      </c>
      <c r="K191" s="44">
        <v>1</v>
      </c>
      <c r="L191" s="42">
        <v>1</v>
      </c>
      <c r="M191" s="42">
        <v>1</v>
      </c>
      <c r="N191" s="42">
        <v>1</v>
      </c>
      <c r="O191" s="42">
        <v>1</v>
      </c>
      <c r="P191" s="42">
        <v>1</v>
      </c>
      <c r="Q191" s="42">
        <v>1</v>
      </c>
      <c r="R191" s="42"/>
      <c r="S191" s="42"/>
      <c r="T191" s="42">
        <v>1</v>
      </c>
      <c r="U191" s="42">
        <v>1</v>
      </c>
      <c r="V191" s="44">
        <v>1</v>
      </c>
      <c r="W191" s="42">
        <v>1</v>
      </c>
      <c r="X191" s="42">
        <v>1</v>
      </c>
      <c r="Y191" s="42"/>
      <c r="Z191" s="42"/>
      <c r="AA191" s="42">
        <v>1</v>
      </c>
      <c r="AB191" s="42">
        <v>1</v>
      </c>
      <c r="AC191" s="42"/>
      <c r="AD191" s="42"/>
      <c r="AE191" s="42">
        <v>1</v>
      </c>
      <c r="AF191" s="42">
        <v>1</v>
      </c>
      <c r="AG191" s="44">
        <v>1</v>
      </c>
      <c r="AH191" s="42">
        <v>1</v>
      </c>
      <c r="AI191" s="42">
        <v>1</v>
      </c>
      <c r="AJ191" s="42">
        <v>1</v>
      </c>
      <c r="AK191" s="42">
        <v>1</v>
      </c>
      <c r="AL191" s="42">
        <v>1</v>
      </c>
      <c r="AM191" s="42">
        <v>1</v>
      </c>
      <c r="AN191" s="42"/>
      <c r="AO191" s="42"/>
      <c r="AP191" s="42"/>
      <c r="AQ191" s="42"/>
      <c r="AR191" s="44">
        <v>1</v>
      </c>
      <c r="AS191" s="44">
        <v>1</v>
      </c>
      <c r="AT191" s="44">
        <v>1</v>
      </c>
      <c r="AU191" s="42">
        <v>1</v>
      </c>
      <c r="AV191" s="42">
        <v>1</v>
      </c>
      <c r="AW191" s="44">
        <v>1</v>
      </c>
      <c r="AX191" s="44">
        <v>1</v>
      </c>
      <c r="AY191" s="44"/>
      <c r="AZ191" s="44"/>
      <c r="BA191" s="34">
        <v>1</v>
      </c>
      <c r="BB191" s="34">
        <v>1</v>
      </c>
      <c r="BC191" s="34"/>
    </row>
    <row r="192" spans="1:55" customFormat="1" ht="21" customHeight="1" x14ac:dyDescent="0.25">
      <c r="A192" s="22"/>
      <c r="B192" s="42" t="s">
        <v>499</v>
      </c>
      <c r="C192" s="42" t="s">
        <v>244</v>
      </c>
      <c r="D192" s="42" t="s">
        <v>529</v>
      </c>
      <c r="E192" s="42" t="s">
        <v>530</v>
      </c>
      <c r="F192" s="42"/>
      <c r="G192" s="42"/>
      <c r="H192" s="42"/>
      <c r="I192" s="42"/>
      <c r="J192" s="42"/>
      <c r="K192" s="44">
        <v>1</v>
      </c>
      <c r="L192" s="42">
        <v>1</v>
      </c>
      <c r="M192" s="42">
        <v>1</v>
      </c>
      <c r="N192" s="42"/>
      <c r="O192" s="42">
        <v>1</v>
      </c>
      <c r="P192" s="42">
        <v>1</v>
      </c>
      <c r="Q192" s="42">
        <v>1</v>
      </c>
      <c r="R192" s="42"/>
      <c r="S192" s="42"/>
      <c r="T192" s="42"/>
      <c r="U192" s="42"/>
      <c r="V192" s="44">
        <v>1</v>
      </c>
      <c r="W192" s="42">
        <v>1</v>
      </c>
      <c r="X192" s="42">
        <v>1</v>
      </c>
      <c r="Y192" s="42"/>
      <c r="Z192" s="42"/>
      <c r="AA192" s="42">
        <v>1</v>
      </c>
      <c r="AB192" s="42">
        <v>1</v>
      </c>
      <c r="AC192" s="42"/>
      <c r="AD192" s="42"/>
      <c r="AE192" s="42"/>
      <c r="AF192" s="42"/>
      <c r="AG192" s="44">
        <v>1</v>
      </c>
      <c r="AH192" s="42"/>
      <c r="AI192" s="42">
        <v>1</v>
      </c>
      <c r="AJ192" s="42"/>
      <c r="AK192" s="42">
        <v>1</v>
      </c>
      <c r="AL192" s="42">
        <v>1</v>
      </c>
      <c r="AM192" s="42">
        <v>1</v>
      </c>
      <c r="AN192" s="42"/>
      <c r="AO192" s="42"/>
      <c r="AP192" s="42"/>
      <c r="AQ192" s="42"/>
      <c r="AR192" s="44"/>
      <c r="AS192" s="44">
        <v>1</v>
      </c>
      <c r="AT192" s="44">
        <v>1</v>
      </c>
      <c r="AU192" s="42">
        <v>1</v>
      </c>
      <c r="AV192" s="42">
        <v>1</v>
      </c>
      <c r="AW192" s="46">
        <v>1</v>
      </c>
      <c r="AX192" s="44">
        <v>1</v>
      </c>
      <c r="AY192" s="44"/>
      <c r="AZ192" s="44"/>
      <c r="BA192" s="46">
        <v>1</v>
      </c>
      <c r="BB192" s="34">
        <v>1</v>
      </c>
      <c r="BC192" s="34"/>
    </row>
    <row r="193" spans="1:55" customFormat="1" ht="21" customHeight="1" x14ac:dyDescent="0.25">
      <c r="A193" s="22"/>
      <c r="B193" s="42" t="s">
        <v>499</v>
      </c>
      <c r="C193" s="42" t="s">
        <v>244</v>
      </c>
      <c r="D193" s="42" t="s">
        <v>531</v>
      </c>
      <c r="E193" s="42" t="s">
        <v>433</v>
      </c>
      <c r="F193" s="42"/>
      <c r="G193" s="42"/>
      <c r="H193" s="42"/>
      <c r="I193" s="42">
        <v>1</v>
      </c>
      <c r="J193" s="42">
        <v>1</v>
      </c>
      <c r="K193" s="44">
        <v>1</v>
      </c>
      <c r="L193" s="42">
        <v>1</v>
      </c>
      <c r="M193" s="42">
        <v>1</v>
      </c>
      <c r="N193" s="42"/>
      <c r="O193" s="42">
        <v>1</v>
      </c>
      <c r="P193" s="42">
        <v>1</v>
      </c>
      <c r="Q193" s="42">
        <v>1</v>
      </c>
      <c r="R193" s="42"/>
      <c r="S193" s="42"/>
      <c r="T193" s="42">
        <v>1</v>
      </c>
      <c r="U193" s="42">
        <v>1</v>
      </c>
      <c r="V193" s="44">
        <v>1</v>
      </c>
      <c r="W193" s="42">
        <v>1</v>
      </c>
      <c r="X193" s="42">
        <v>1</v>
      </c>
      <c r="Y193" s="42"/>
      <c r="Z193" s="42">
        <v>1</v>
      </c>
      <c r="AA193" s="42">
        <v>1</v>
      </c>
      <c r="AB193" s="42">
        <v>1</v>
      </c>
      <c r="AC193" s="42"/>
      <c r="AD193" s="42"/>
      <c r="AE193" s="42">
        <v>1</v>
      </c>
      <c r="AF193" s="42">
        <v>1</v>
      </c>
      <c r="AG193" s="44">
        <v>1</v>
      </c>
      <c r="AH193" s="42">
        <v>1</v>
      </c>
      <c r="AI193" s="42">
        <v>1</v>
      </c>
      <c r="AJ193" s="42"/>
      <c r="AK193" s="42">
        <v>1</v>
      </c>
      <c r="AL193" s="42">
        <v>1</v>
      </c>
      <c r="AM193" s="42">
        <v>1</v>
      </c>
      <c r="AN193" s="42"/>
      <c r="AO193" s="42"/>
      <c r="AP193" s="42">
        <v>1</v>
      </c>
      <c r="AQ193" s="42">
        <v>1</v>
      </c>
      <c r="AR193" s="44">
        <v>1</v>
      </c>
      <c r="AS193" s="44">
        <v>1</v>
      </c>
      <c r="AT193" s="44">
        <v>1</v>
      </c>
      <c r="AU193" s="42">
        <v>1</v>
      </c>
      <c r="AV193" s="42">
        <v>1</v>
      </c>
      <c r="AW193" s="44">
        <v>1</v>
      </c>
      <c r="AX193" s="44">
        <v>1</v>
      </c>
      <c r="AY193" s="44"/>
      <c r="AZ193" s="44"/>
      <c r="BA193" s="34">
        <v>1</v>
      </c>
      <c r="BB193" s="34">
        <v>1</v>
      </c>
      <c r="BC193" s="34">
        <v>1</v>
      </c>
    </row>
    <row r="194" spans="1:55" customFormat="1" ht="21" customHeight="1" x14ac:dyDescent="0.25">
      <c r="A194" s="22"/>
      <c r="B194" s="42" t="s">
        <v>499</v>
      </c>
      <c r="C194" s="42" t="s">
        <v>246</v>
      </c>
      <c r="D194" s="42" t="s">
        <v>532</v>
      </c>
      <c r="E194" s="42" t="s">
        <v>482</v>
      </c>
      <c r="F194" s="42"/>
      <c r="G194" s="42"/>
      <c r="H194" s="42"/>
      <c r="I194" s="42"/>
      <c r="J194" s="42"/>
      <c r="K194" s="44">
        <v>1</v>
      </c>
      <c r="L194" s="42">
        <v>1</v>
      </c>
      <c r="M194" s="42">
        <v>1</v>
      </c>
      <c r="N194" s="42"/>
      <c r="O194" s="42">
        <v>1</v>
      </c>
      <c r="P194" s="42">
        <v>1</v>
      </c>
      <c r="Q194" s="42">
        <v>1</v>
      </c>
      <c r="R194" s="42"/>
      <c r="S194" s="42"/>
      <c r="T194" s="42"/>
      <c r="U194" s="42"/>
      <c r="V194" s="44">
        <v>1</v>
      </c>
      <c r="W194" s="42">
        <v>1</v>
      </c>
      <c r="X194" s="42">
        <v>1</v>
      </c>
      <c r="Y194" s="42"/>
      <c r="Z194" s="42">
        <v>1</v>
      </c>
      <c r="AA194" s="42">
        <v>1</v>
      </c>
      <c r="AB194" s="42">
        <v>1</v>
      </c>
      <c r="AC194" s="42"/>
      <c r="AD194" s="42"/>
      <c r="AE194" s="42">
        <v>1</v>
      </c>
      <c r="AF194" s="42">
        <v>1</v>
      </c>
      <c r="AG194" s="44">
        <v>1</v>
      </c>
      <c r="AH194" s="42">
        <v>1</v>
      </c>
      <c r="AI194" s="42">
        <v>1</v>
      </c>
      <c r="AJ194" s="42"/>
      <c r="AK194" s="42">
        <v>1</v>
      </c>
      <c r="AL194" s="42">
        <v>1</v>
      </c>
      <c r="AM194" s="42">
        <v>1</v>
      </c>
      <c r="AN194" s="42"/>
      <c r="AO194" s="42"/>
      <c r="AP194" s="42">
        <v>1</v>
      </c>
      <c r="AQ194" s="42">
        <v>1</v>
      </c>
      <c r="AR194" s="44">
        <v>1</v>
      </c>
      <c r="AS194" s="44"/>
      <c r="AT194" s="44">
        <v>1</v>
      </c>
      <c r="AU194" s="42">
        <v>1</v>
      </c>
      <c r="AV194" s="42">
        <v>1</v>
      </c>
      <c r="AW194" s="44">
        <v>1</v>
      </c>
      <c r="AX194" s="44">
        <v>1</v>
      </c>
      <c r="AY194" s="44">
        <v>1</v>
      </c>
      <c r="AZ194" s="44">
        <v>1</v>
      </c>
      <c r="BA194" s="34">
        <v>1</v>
      </c>
      <c r="BB194" s="34">
        <v>1</v>
      </c>
      <c r="BC194" s="34">
        <v>1</v>
      </c>
    </row>
    <row r="195" spans="1:55" customFormat="1" ht="21" customHeight="1" x14ac:dyDescent="0.25">
      <c r="A195" s="22"/>
      <c r="B195" s="42" t="s">
        <v>499</v>
      </c>
      <c r="C195" s="42" t="s">
        <v>246</v>
      </c>
      <c r="D195" s="42" t="s">
        <v>533</v>
      </c>
      <c r="E195" s="34" t="s">
        <v>534</v>
      </c>
      <c r="F195" s="42"/>
      <c r="G195" s="42"/>
      <c r="H195" s="42"/>
      <c r="I195" s="42"/>
      <c r="J195" s="42"/>
      <c r="K195" s="44">
        <v>1</v>
      </c>
      <c r="L195" s="42">
        <v>1</v>
      </c>
      <c r="M195" s="42">
        <v>1</v>
      </c>
      <c r="N195" s="42"/>
      <c r="O195" s="42">
        <v>1</v>
      </c>
      <c r="P195" s="42">
        <v>1</v>
      </c>
      <c r="Q195" s="42">
        <v>1</v>
      </c>
      <c r="R195" s="42"/>
      <c r="S195" s="42"/>
      <c r="T195" s="42">
        <v>1</v>
      </c>
      <c r="U195" s="42">
        <v>1</v>
      </c>
      <c r="V195" s="44">
        <v>1</v>
      </c>
      <c r="W195" s="42">
        <v>1</v>
      </c>
      <c r="X195" s="42">
        <v>1</v>
      </c>
      <c r="Y195" s="42"/>
      <c r="Z195" s="42">
        <v>1</v>
      </c>
      <c r="AA195" s="42">
        <v>1</v>
      </c>
      <c r="AB195" s="42">
        <v>1</v>
      </c>
      <c r="AC195" s="42"/>
      <c r="AD195" s="42"/>
      <c r="AE195" s="42">
        <v>1</v>
      </c>
      <c r="AF195" s="42">
        <v>1</v>
      </c>
      <c r="AG195" s="44">
        <v>1</v>
      </c>
      <c r="AH195" s="42">
        <v>1</v>
      </c>
      <c r="AI195" s="42">
        <v>1</v>
      </c>
      <c r="AJ195" s="42"/>
      <c r="AK195" s="42">
        <v>1</v>
      </c>
      <c r="AL195" s="42">
        <v>1</v>
      </c>
      <c r="AM195" s="42">
        <v>1</v>
      </c>
      <c r="AN195" s="42"/>
      <c r="AO195" s="42"/>
      <c r="AP195" s="42">
        <v>1</v>
      </c>
      <c r="AQ195" s="42">
        <v>1</v>
      </c>
      <c r="AR195" s="44">
        <v>1</v>
      </c>
      <c r="AS195" s="44">
        <v>1</v>
      </c>
      <c r="AT195" s="44">
        <v>1</v>
      </c>
      <c r="AU195" s="42">
        <v>1</v>
      </c>
      <c r="AV195" s="42">
        <v>1</v>
      </c>
      <c r="AW195" s="46">
        <v>1</v>
      </c>
      <c r="AX195" s="44">
        <v>1</v>
      </c>
      <c r="AY195" s="44"/>
      <c r="AZ195" s="44">
        <v>1</v>
      </c>
      <c r="BA195" s="34">
        <v>1</v>
      </c>
      <c r="BB195" s="34">
        <v>1</v>
      </c>
      <c r="BC195" s="34">
        <v>1</v>
      </c>
    </row>
    <row r="196" spans="1:55" customFormat="1" ht="21" customHeight="1" x14ac:dyDescent="0.25">
      <c r="A196" s="22"/>
      <c r="B196" s="42" t="s">
        <v>499</v>
      </c>
      <c r="C196" s="42" t="s">
        <v>247</v>
      </c>
      <c r="D196" s="42" t="s">
        <v>535</v>
      </c>
      <c r="E196" s="42" t="s">
        <v>276</v>
      </c>
      <c r="F196" s="42"/>
      <c r="G196" s="42"/>
      <c r="H196" s="42"/>
      <c r="I196" s="42"/>
      <c r="J196" s="42"/>
      <c r="K196" s="44"/>
      <c r="L196" s="42"/>
      <c r="M196" s="42"/>
      <c r="N196" s="42"/>
      <c r="O196" s="42"/>
      <c r="P196" s="42">
        <v>1</v>
      </c>
      <c r="Q196" s="42">
        <v>1</v>
      </c>
      <c r="R196" s="42"/>
      <c r="S196" s="42"/>
      <c r="T196" s="42"/>
      <c r="U196" s="42"/>
      <c r="V196" s="44"/>
      <c r="W196" s="42"/>
      <c r="X196" s="42"/>
      <c r="Y196" s="42"/>
      <c r="Z196" s="42"/>
      <c r="AA196" s="42"/>
      <c r="AB196" s="42"/>
      <c r="AC196" s="42"/>
      <c r="AD196" s="42"/>
      <c r="AE196" s="42">
        <v>1</v>
      </c>
      <c r="AF196" s="42">
        <v>1</v>
      </c>
      <c r="AG196" s="44"/>
      <c r="AH196" s="42"/>
      <c r="AI196" s="42">
        <v>1</v>
      </c>
      <c r="AJ196" s="42"/>
      <c r="AK196" s="42"/>
      <c r="AL196" s="42"/>
      <c r="AM196" s="42"/>
      <c r="AN196" s="42"/>
      <c r="AO196" s="42"/>
      <c r="AP196" s="42"/>
      <c r="AQ196" s="42"/>
      <c r="AR196" s="44"/>
      <c r="AS196" s="44"/>
      <c r="AT196" s="44"/>
      <c r="AU196" s="42"/>
      <c r="AV196" s="42"/>
      <c r="AW196" s="46"/>
      <c r="AX196" s="44"/>
      <c r="AY196" s="44"/>
      <c r="AZ196" s="44"/>
      <c r="BA196" s="46"/>
      <c r="BB196" s="34"/>
      <c r="BC196" s="34"/>
    </row>
    <row r="197" spans="1:55" customFormat="1" ht="21" customHeight="1" x14ac:dyDescent="0.25">
      <c r="A197" s="22"/>
      <c r="B197" s="42" t="s">
        <v>499</v>
      </c>
      <c r="C197" s="42" t="s">
        <v>255</v>
      </c>
      <c r="D197" s="42" t="s">
        <v>536</v>
      </c>
      <c r="E197" s="42" t="s">
        <v>287</v>
      </c>
      <c r="F197" s="42"/>
      <c r="G197" s="42"/>
      <c r="H197" s="42"/>
      <c r="I197" s="42">
        <v>1</v>
      </c>
      <c r="J197" s="42">
        <v>1</v>
      </c>
      <c r="K197" s="44">
        <v>1</v>
      </c>
      <c r="L197" s="42">
        <v>1</v>
      </c>
      <c r="M197" s="42">
        <v>1</v>
      </c>
      <c r="N197" s="42"/>
      <c r="O197" s="42">
        <v>1</v>
      </c>
      <c r="P197" s="42">
        <v>1</v>
      </c>
      <c r="Q197" s="42"/>
      <c r="R197" s="42"/>
      <c r="S197" s="42"/>
      <c r="T197" s="42"/>
      <c r="U197" s="42"/>
      <c r="V197" s="44"/>
      <c r="W197" s="42"/>
      <c r="X197" s="42"/>
      <c r="Y197" s="42"/>
      <c r="Z197" s="42"/>
      <c r="AA197" s="42">
        <v>1</v>
      </c>
      <c r="AB197" s="42"/>
      <c r="AC197" s="42"/>
      <c r="AD197" s="42"/>
      <c r="AE197" s="42"/>
      <c r="AF197" s="42"/>
      <c r="AG197" s="44">
        <v>1</v>
      </c>
      <c r="AH197" s="42">
        <v>1</v>
      </c>
      <c r="AI197" s="42">
        <v>1</v>
      </c>
      <c r="AJ197" s="42"/>
      <c r="AK197" s="42">
        <v>1</v>
      </c>
      <c r="AL197" s="42"/>
      <c r="AM197" s="42">
        <v>1</v>
      </c>
      <c r="AN197" s="42"/>
      <c r="AO197" s="42"/>
      <c r="AP197" s="42">
        <v>1</v>
      </c>
      <c r="AQ197" s="42">
        <v>1</v>
      </c>
      <c r="AR197" s="44">
        <v>1</v>
      </c>
      <c r="AS197" s="44"/>
      <c r="AT197" s="44">
        <v>1</v>
      </c>
      <c r="AU197" s="44">
        <v>1</v>
      </c>
      <c r="AV197" s="44">
        <v>1</v>
      </c>
      <c r="AW197" s="44">
        <v>1</v>
      </c>
      <c r="AX197" s="44">
        <v>1</v>
      </c>
      <c r="AY197" s="44">
        <v>1</v>
      </c>
      <c r="AZ197" s="44">
        <v>1</v>
      </c>
      <c r="BA197" s="46"/>
      <c r="BB197" s="34"/>
      <c r="BC197" s="34"/>
    </row>
    <row r="198" spans="1:55" customFormat="1" ht="21" customHeight="1" x14ac:dyDescent="0.25">
      <c r="A198" s="22"/>
      <c r="B198" s="42" t="s">
        <v>499</v>
      </c>
      <c r="C198" s="42" t="s">
        <v>244</v>
      </c>
      <c r="D198" s="42" t="s">
        <v>537</v>
      </c>
      <c r="E198" s="42" t="s">
        <v>538</v>
      </c>
      <c r="F198" s="42"/>
      <c r="G198" s="42"/>
      <c r="H198" s="42"/>
      <c r="I198" s="42"/>
      <c r="J198" s="42"/>
      <c r="K198" s="44">
        <v>1</v>
      </c>
      <c r="L198" s="42">
        <v>1</v>
      </c>
      <c r="M198" s="42"/>
      <c r="N198" s="42"/>
      <c r="O198" s="42"/>
      <c r="P198" s="42"/>
      <c r="Q198" s="42"/>
      <c r="R198" s="42"/>
      <c r="S198" s="42"/>
      <c r="T198" s="42"/>
      <c r="U198" s="42"/>
      <c r="V198" s="44"/>
      <c r="W198" s="42">
        <v>1</v>
      </c>
      <c r="X198" s="42">
        <v>1</v>
      </c>
      <c r="Y198" s="42"/>
      <c r="Z198" s="42">
        <v>1</v>
      </c>
      <c r="AA198" s="42"/>
      <c r="AB198" s="42"/>
      <c r="AC198" s="42"/>
      <c r="AD198" s="42"/>
      <c r="AE198" s="42">
        <v>1</v>
      </c>
      <c r="AF198" s="42">
        <v>1</v>
      </c>
      <c r="AG198" s="44"/>
      <c r="AH198" s="42"/>
      <c r="AI198" s="42">
        <v>1</v>
      </c>
      <c r="AJ198" s="42"/>
      <c r="AK198" s="42"/>
      <c r="AL198" s="42"/>
      <c r="AM198" s="42"/>
      <c r="AN198" s="42"/>
      <c r="AO198" s="42"/>
      <c r="AP198" s="42"/>
      <c r="AQ198" s="42"/>
      <c r="AR198" s="44"/>
      <c r="AS198" s="44"/>
      <c r="AT198" s="44"/>
      <c r="AU198" s="44"/>
      <c r="AV198" s="44"/>
      <c r="AW198" s="44">
        <v>1</v>
      </c>
      <c r="AX198" s="44">
        <v>1</v>
      </c>
      <c r="AY198" s="44"/>
      <c r="AZ198" s="44"/>
      <c r="BA198" s="34">
        <v>1</v>
      </c>
      <c r="BB198" s="34">
        <v>1</v>
      </c>
      <c r="BC198" s="34"/>
    </row>
    <row r="199" spans="1:55" customFormat="1" ht="21" customHeight="1" x14ac:dyDescent="0.25">
      <c r="A199" s="22"/>
      <c r="B199" s="42" t="s">
        <v>499</v>
      </c>
      <c r="C199" s="42" t="s">
        <v>244</v>
      </c>
      <c r="D199" s="42" t="s">
        <v>539</v>
      </c>
      <c r="E199" s="42" t="s">
        <v>430</v>
      </c>
      <c r="F199" s="42"/>
      <c r="G199" s="42"/>
      <c r="H199" s="42"/>
      <c r="I199" s="42">
        <v>1</v>
      </c>
      <c r="J199" s="42">
        <v>1</v>
      </c>
      <c r="K199" s="44">
        <v>1</v>
      </c>
      <c r="L199" s="42">
        <v>1</v>
      </c>
      <c r="M199" s="42">
        <v>1</v>
      </c>
      <c r="N199" s="42"/>
      <c r="O199" s="42">
        <v>1</v>
      </c>
      <c r="P199" s="42">
        <v>1</v>
      </c>
      <c r="Q199" s="42">
        <v>1</v>
      </c>
      <c r="R199" s="42"/>
      <c r="S199" s="42"/>
      <c r="T199" s="42">
        <v>1</v>
      </c>
      <c r="U199" s="42">
        <v>1</v>
      </c>
      <c r="V199" s="44">
        <v>1</v>
      </c>
      <c r="W199" s="42">
        <v>1</v>
      </c>
      <c r="X199" s="42">
        <v>1</v>
      </c>
      <c r="Y199" s="42"/>
      <c r="Z199" s="42">
        <v>1</v>
      </c>
      <c r="AA199" s="42">
        <v>1</v>
      </c>
      <c r="AB199" s="42">
        <v>1</v>
      </c>
      <c r="AC199" s="42"/>
      <c r="AD199" s="42"/>
      <c r="AE199" s="42">
        <v>1</v>
      </c>
      <c r="AF199" s="42">
        <v>1</v>
      </c>
      <c r="AG199" s="44">
        <v>1</v>
      </c>
      <c r="AH199" s="42">
        <v>1</v>
      </c>
      <c r="AI199" s="42">
        <v>1</v>
      </c>
      <c r="AJ199" s="42"/>
      <c r="AK199" s="42">
        <v>1</v>
      </c>
      <c r="AL199" s="42">
        <v>1</v>
      </c>
      <c r="AM199" s="42">
        <v>1</v>
      </c>
      <c r="AN199" s="42"/>
      <c r="AO199" s="42"/>
      <c r="AP199" s="42"/>
      <c r="AQ199" s="42"/>
      <c r="AR199" s="44"/>
      <c r="AS199" s="44">
        <v>1</v>
      </c>
      <c r="AT199" s="44">
        <v>1</v>
      </c>
      <c r="AU199" s="44">
        <v>1</v>
      </c>
      <c r="AV199" s="44">
        <v>1</v>
      </c>
      <c r="AW199" s="46"/>
      <c r="AX199" s="44"/>
      <c r="AY199" s="44"/>
      <c r="AZ199" s="44"/>
      <c r="BA199" s="34">
        <v>1</v>
      </c>
      <c r="BB199" s="34">
        <v>1</v>
      </c>
      <c r="BC199" s="34"/>
    </row>
    <row r="200" spans="1:55" customFormat="1" ht="21" customHeight="1" x14ac:dyDescent="0.25">
      <c r="A200" s="22"/>
      <c r="B200" s="42" t="s">
        <v>499</v>
      </c>
      <c r="C200" s="42" t="s">
        <v>246</v>
      </c>
      <c r="D200" s="42" t="s">
        <v>540</v>
      </c>
      <c r="E200" s="42" t="s">
        <v>449</v>
      </c>
      <c r="F200" s="42"/>
      <c r="G200" s="42"/>
      <c r="H200" s="42"/>
      <c r="I200" s="42"/>
      <c r="J200" s="42"/>
      <c r="K200" s="44"/>
      <c r="L200" s="42">
        <v>1</v>
      </c>
      <c r="M200" s="42"/>
      <c r="N200" s="42"/>
      <c r="O200" s="42"/>
      <c r="P200" s="42"/>
      <c r="Q200" s="42">
        <v>1</v>
      </c>
      <c r="R200" s="42"/>
      <c r="S200" s="42"/>
      <c r="T200" s="42"/>
      <c r="U200" s="42"/>
      <c r="V200" s="44"/>
      <c r="W200" s="42">
        <v>1</v>
      </c>
      <c r="X200" s="42">
        <v>1</v>
      </c>
      <c r="Y200" s="42"/>
      <c r="Z200" s="42">
        <v>1</v>
      </c>
      <c r="AA200" s="42"/>
      <c r="AB200" s="42"/>
      <c r="AC200" s="42"/>
      <c r="AD200" s="42"/>
      <c r="AE200" s="42"/>
      <c r="AF200" s="42"/>
      <c r="AG200" s="44"/>
      <c r="AH200" s="42"/>
      <c r="AI200" s="42">
        <v>1</v>
      </c>
      <c r="AJ200" s="42"/>
      <c r="AK200" s="42">
        <v>1</v>
      </c>
      <c r="AL200" s="42">
        <v>1</v>
      </c>
      <c r="AM200" s="42">
        <v>1</v>
      </c>
      <c r="AN200" s="42"/>
      <c r="AO200" s="42"/>
      <c r="AP200" s="42"/>
      <c r="AQ200" s="42"/>
      <c r="AR200" s="44"/>
      <c r="AS200" s="44"/>
      <c r="AT200" s="44"/>
      <c r="AU200" s="44"/>
      <c r="AV200" s="44"/>
      <c r="AW200" s="44">
        <v>1</v>
      </c>
      <c r="AX200" s="44">
        <v>1</v>
      </c>
      <c r="AY200" s="44"/>
      <c r="AZ200" s="44"/>
      <c r="BA200" s="46"/>
      <c r="BB200" s="34"/>
      <c r="BC200" s="34"/>
    </row>
    <row r="201" spans="1:55" customFormat="1" ht="21" customHeight="1" x14ac:dyDescent="0.25">
      <c r="A201" s="22"/>
      <c r="B201" s="42" t="s">
        <v>499</v>
      </c>
      <c r="C201" s="42" t="s">
        <v>246</v>
      </c>
      <c r="D201" s="42" t="s">
        <v>541</v>
      </c>
      <c r="E201" s="42" t="s">
        <v>449</v>
      </c>
      <c r="F201" s="42"/>
      <c r="G201" s="42"/>
      <c r="H201" s="42"/>
      <c r="I201" s="42"/>
      <c r="J201" s="42"/>
      <c r="K201" s="44">
        <v>1</v>
      </c>
      <c r="L201" s="42">
        <v>1</v>
      </c>
      <c r="M201" s="42">
        <v>1</v>
      </c>
      <c r="N201" s="42"/>
      <c r="O201" s="42">
        <v>1</v>
      </c>
      <c r="P201" s="42"/>
      <c r="Q201" s="42">
        <v>1</v>
      </c>
      <c r="R201" s="42"/>
      <c r="S201" s="42"/>
      <c r="T201" s="42"/>
      <c r="U201" s="42"/>
      <c r="V201" s="44">
        <v>1</v>
      </c>
      <c r="W201" s="42"/>
      <c r="X201" s="42"/>
      <c r="Y201" s="42"/>
      <c r="Z201" s="42"/>
      <c r="AA201" s="42">
        <v>1</v>
      </c>
      <c r="AB201" s="42"/>
      <c r="AC201" s="42"/>
      <c r="AD201" s="42"/>
      <c r="AE201" s="42"/>
      <c r="AF201" s="42"/>
      <c r="AG201" s="44"/>
      <c r="AH201" s="42">
        <v>1</v>
      </c>
      <c r="AI201" s="42">
        <v>1</v>
      </c>
      <c r="AJ201" s="42"/>
      <c r="AK201" s="42">
        <v>1</v>
      </c>
      <c r="AL201" s="42">
        <v>1</v>
      </c>
      <c r="AM201" s="42">
        <v>1</v>
      </c>
      <c r="AN201" s="42"/>
      <c r="AO201" s="42"/>
      <c r="AP201" s="42"/>
      <c r="AQ201" s="42"/>
      <c r="AR201" s="44"/>
      <c r="AS201" s="44">
        <v>1</v>
      </c>
      <c r="AT201" s="44"/>
      <c r="AU201" s="44"/>
      <c r="AV201" s="44"/>
      <c r="AW201" s="44">
        <v>1</v>
      </c>
      <c r="AX201" s="44">
        <v>1</v>
      </c>
      <c r="AY201" s="44"/>
      <c r="AZ201" s="44">
        <v>1</v>
      </c>
      <c r="BA201" s="34">
        <v>1</v>
      </c>
      <c r="BB201" s="34"/>
      <c r="BC201" s="34">
        <v>1</v>
      </c>
    </row>
    <row r="202" spans="1:55" customFormat="1" ht="21" customHeight="1" x14ac:dyDescent="0.25">
      <c r="A202" s="22"/>
      <c r="B202" s="42" t="s">
        <v>499</v>
      </c>
      <c r="C202" s="42" t="s">
        <v>255</v>
      </c>
      <c r="D202" s="42" t="s">
        <v>542</v>
      </c>
      <c r="E202" s="42" t="s">
        <v>543</v>
      </c>
      <c r="F202" s="42"/>
      <c r="G202" s="42"/>
      <c r="H202" s="42"/>
      <c r="I202" s="42"/>
      <c r="J202" s="42"/>
      <c r="K202" s="44"/>
      <c r="L202" s="42">
        <v>1</v>
      </c>
      <c r="M202" s="42">
        <v>1</v>
      </c>
      <c r="N202" s="42"/>
      <c r="O202" s="42"/>
      <c r="P202" s="42"/>
      <c r="Q202" s="42"/>
      <c r="R202" s="42"/>
      <c r="S202" s="42"/>
      <c r="T202" s="42"/>
      <c r="U202" s="42"/>
      <c r="V202" s="44"/>
      <c r="W202" s="42"/>
      <c r="X202" s="42"/>
      <c r="Y202" s="42"/>
      <c r="Z202" s="42"/>
      <c r="AA202" s="42"/>
      <c r="AB202" s="42">
        <v>1</v>
      </c>
      <c r="AC202" s="42"/>
      <c r="AD202" s="42"/>
      <c r="AE202" s="42"/>
      <c r="AF202" s="42"/>
      <c r="AG202" s="44"/>
      <c r="AH202" s="42"/>
      <c r="AI202" s="42"/>
      <c r="AJ202" s="42"/>
      <c r="AK202" s="42">
        <v>1</v>
      </c>
      <c r="AL202" s="42"/>
      <c r="AM202" s="42"/>
      <c r="AN202" s="42"/>
      <c r="AO202" s="42"/>
      <c r="AP202" s="42"/>
      <c r="AQ202" s="42"/>
      <c r="AR202" s="44"/>
      <c r="AS202" s="44"/>
      <c r="AT202" s="44"/>
      <c r="AU202" s="44"/>
      <c r="AV202" s="44"/>
      <c r="AW202" s="46">
        <v>1</v>
      </c>
      <c r="AX202" s="44">
        <v>1</v>
      </c>
      <c r="AY202" s="44">
        <v>1</v>
      </c>
      <c r="AZ202" s="44">
        <v>1</v>
      </c>
      <c r="BA202" s="34">
        <v>1</v>
      </c>
      <c r="BB202" s="34">
        <v>1</v>
      </c>
      <c r="BC202" s="34"/>
    </row>
    <row r="203" spans="1:55" customFormat="1" ht="21" customHeight="1" x14ac:dyDescent="0.25">
      <c r="A203" s="22"/>
      <c r="B203" s="42" t="s">
        <v>499</v>
      </c>
      <c r="C203" s="42" t="s">
        <v>244</v>
      </c>
      <c r="D203" s="42" t="s">
        <v>544</v>
      </c>
      <c r="E203" s="42" t="s">
        <v>545</v>
      </c>
      <c r="F203" s="42"/>
      <c r="G203" s="42"/>
      <c r="H203" s="42"/>
      <c r="I203" s="42">
        <v>1</v>
      </c>
      <c r="J203" s="42">
        <v>1</v>
      </c>
      <c r="K203" s="44">
        <v>1</v>
      </c>
      <c r="L203" s="42">
        <v>1</v>
      </c>
      <c r="M203" s="42">
        <v>1</v>
      </c>
      <c r="N203" s="42"/>
      <c r="O203" s="42">
        <v>1</v>
      </c>
      <c r="P203" s="42">
        <v>1</v>
      </c>
      <c r="Q203" s="42">
        <v>1</v>
      </c>
      <c r="R203" s="42"/>
      <c r="S203" s="42"/>
      <c r="T203" s="42">
        <v>1</v>
      </c>
      <c r="U203" s="42">
        <v>1</v>
      </c>
      <c r="V203" s="44">
        <v>1</v>
      </c>
      <c r="W203" s="42">
        <v>1</v>
      </c>
      <c r="X203" s="42">
        <v>1</v>
      </c>
      <c r="Y203" s="42"/>
      <c r="Z203" s="42">
        <v>1</v>
      </c>
      <c r="AA203" s="42">
        <v>1</v>
      </c>
      <c r="AB203" s="42">
        <v>1</v>
      </c>
      <c r="AC203" s="42"/>
      <c r="AD203" s="42"/>
      <c r="AE203" s="42"/>
      <c r="AF203" s="42"/>
      <c r="AG203" s="44">
        <v>1</v>
      </c>
      <c r="AH203" s="42">
        <v>1</v>
      </c>
      <c r="AI203" s="42">
        <v>1</v>
      </c>
      <c r="AJ203" s="42"/>
      <c r="AK203" s="42">
        <v>1</v>
      </c>
      <c r="AL203" s="42">
        <v>1</v>
      </c>
      <c r="AM203" s="42">
        <v>1</v>
      </c>
      <c r="AN203" s="42"/>
      <c r="AO203" s="42"/>
      <c r="AP203" s="42">
        <v>1</v>
      </c>
      <c r="AQ203" s="42">
        <v>1</v>
      </c>
      <c r="AR203" s="44">
        <v>1</v>
      </c>
      <c r="AS203" s="44">
        <v>1</v>
      </c>
      <c r="AT203" s="44">
        <v>1</v>
      </c>
      <c r="AU203" s="44">
        <v>1</v>
      </c>
      <c r="AV203" s="44">
        <v>1</v>
      </c>
      <c r="AW203" s="44">
        <v>1</v>
      </c>
      <c r="AX203" s="44">
        <v>1</v>
      </c>
      <c r="AY203" s="44"/>
      <c r="AZ203" s="44"/>
      <c r="BA203" s="34">
        <v>1</v>
      </c>
      <c r="BB203" s="34">
        <v>1</v>
      </c>
      <c r="BC203" s="34">
        <v>1</v>
      </c>
    </row>
    <row r="204" spans="1:55" customFormat="1" ht="21" customHeight="1" x14ac:dyDescent="0.25">
      <c r="A204" s="22"/>
      <c r="B204" s="42" t="s">
        <v>499</v>
      </c>
      <c r="C204" s="42" t="s">
        <v>244</v>
      </c>
      <c r="D204" s="42" t="s">
        <v>546</v>
      </c>
      <c r="E204" s="42" t="s">
        <v>547</v>
      </c>
      <c r="F204" s="42"/>
      <c r="G204" s="42"/>
      <c r="H204" s="42"/>
      <c r="I204" s="42"/>
      <c r="J204" s="42"/>
      <c r="K204" s="44">
        <v>1</v>
      </c>
      <c r="L204" s="42">
        <v>1</v>
      </c>
      <c r="M204" s="42">
        <v>1</v>
      </c>
      <c r="N204" s="42"/>
      <c r="O204" s="42">
        <v>1</v>
      </c>
      <c r="P204" s="42">
        <v>1</v>
      </c>
      <c r="Q204" s="42">
        <v>1</v>
      </c>
      <c r="R204" s="42"/>
      <c r="S204" s="42"/>
      <c r="T204" s="42"/>
      <c r="U204" s="42"/>
      <c r="V204" s="44">
        <v>1</v>
      </c>
      <c r="W204" s="42">
        <v>1</v>
      </c>
      <c r="X204" s="42">
        <v>1</v>
      </c>
      <c r="Y204" s="42"/>
      <c r="Z204" s="42">
        <v>1</v>
      </c>
      <c r="AA204" s="42">
        <v>1</v>
      </c>
      <c r="AB204" s="42">
        <v>1</v>
      </c>
      <c r="AC204" s="42"/>
      <c r="AD204" s="42"/>
      <c r="AE204" s="42">
        <v>1</v>
      </c>
      <c r="AF204" s="42">
        <v>1</v>
      </c>
      <c r="AG204" s="44">
        <v>1</v>
      </c>
      <c r="AH204" s="42">
        <v>1</v>
      </c>
      <c r="AI204" s="42">
        <v>1</v>
      </c>
      <c r="AJ204" s="42"/>
      <c r="AK204" s="42">
        <v>1</v>
      </c>
      <c r="AL204" s="42">
        <v>1</v>
      </c>
      <c r="AM204" s="42">
        <v>1</v>
      </c>
      <c r="AN204" s="42"/>
      <c r="AO204" s="42"/>
      <c r="AP204" s="42">
        <v>1</v>
      </c>
      <c r="AQ204" s="42">
        <v>1</v>
      </c>
      <c r="AR204" s="44">
        <v>1</v>
      </c>
      <c r="AS204" s="44">
        <v>1</v>
      </c>
      <c r="AT204" s="44">
        <v>1</v>
      </c>
      <c r="AU204" s="44">
        <v>1</v>
      </c>
      <c r="AV204" s="44">
        <v>1</v>
      </c>
      <c r="AW204" s="46"/>
      <c r="AX204" s="44"/>
      <c r="AY204" s="44"/>
      <c r="AZ204" s="44"/>
      <c r="BA204" s="34">
        <v>1</v>
      </c>
      <c r="BB204" s="34">
        <v>1</v>
      </c>
      <c r="BC204" s="34"/>
    </row>
    <row r="205" spans="1:55" customFormat="1" ht="21" customHeight="1" x14ac:dyDescent="0.25">
      <c r="A205" s="22"/>
      <c r="B205" s="42" t="s">
        <v>499</v>
      </c>
      <c r="C205" s="42" t="s">
        <v>244</v>
      </c>
      <c r="D205" s="42" t="s">
        <v>548</v>
      </c>
      <c r="E205" s="42" t="s">
        <v>549</v>
      </c>
      <c r="F205" s="42"/>
      <c r="G205" s="42"/>
      <c r="H205" s="42"/>
      <c r="I205" s="42">
        <v>1</v>
      </c>
      <c r="J205" s="42">
        <v>1</v>
      </c>
      <c r="K205" s="44">
        <v>1</v>
      </c>
      <c r="L205" s="42">
        <v>1</v>
      </c>
      <c r="M205" s="42">
        <v>1</v>
      </c>
      <c r="N205" s="42"/>
      <c r="O205" s="42">
        <v>1</v>
      </c>
      <c r="P205" s="42">
        <v>1</v>
      </c>
      <c r="Q205" s="42">
        <v>1</v>
      </c>
      <c r="R205" s="42"/>
      <c r="S205" s="42"/>
      <c r="T205" s="42">
        <v>1</v>
      </c>
      <c r="U205" s="42">
        <v>1</v>
      </c>
      <c r="V205" s="44">
        <v>1</v>
      </c>
      <c r="W205" s="42">
        <v>1</v>
      </c>
      <c r="X205" s="42">
        <v>1</v>
      </c>
      <c r="Y205" s="42"/>
      <c r="Z205" s="42">
        <v>1</v>
      </c>
      <c r="AA205" s="42">
        <v>1</v>
      </c>
      <c r="AB205" s="42">
        <v>1</v>
      </c>
      <c r="AC205" s="42"/>
      <c r="AD205" s="42"/>
      <c r="AE205" s="42">
        <v>1</v>
      </c>
      <c r="AF205" s="42">
        <v>1</v>
      </c>
      <c r="AG205" s="44">
        <v>1</v>
      </c>
      <c r="AH205" s="42">
        <v>1</v>
      </c>
      <c r="AI205" s="42">
        <v>1</v>
      </c>
      <c r="AJ205" s="42"/>
      <c r="AK205" s="42">
        <v>1</v>
      </c>
      <c r="AL205" s="42">
        <v>1</v>
      </c>
      <c r="AM205" s="42">
        <v>1</v>
      </c>
      <c r="AN205" s="42"/>
      <c r="AO205" s="42"/>
      <c r="AP205" s="42">
        <v>1</v>
      </c>
      <c r="AQ205" s="42">
        <v>1</v>
      </c>
      <c r="AR205" s="42">
        <v>1</v>
      </c>
      <c r="AS205" s="42">
        <v>1</v>
      </c>
      <c r="AT205" s="44">
        <v>1</v>
      </c>
      <c r="AU205" s="44">
        <v>1</v>
      </c>
      <c r="AV205" s="44">
        <v>1</v>
      </c>
      <c r="AW205" s="46"/>
      <c r="AX205" s="44"/>
      <c r="AY205" s="44"/>
      <c r="AZ205" s="44"/>
      <c r="BA205" s="34">
        <v>1</v>
      </c>
      <c r="BB205" s="34">
        <v>1</v>
      </c>
      <c r="BC205" s="34">
        <v>1</v>
      </c>
    </row>
    <row r="206" spans="1:55" customFormat="1" ht="21" customHeight="1" x14ac:dyDescent="0.25">
      <c r="A206" s="22"/>
      <c r="B206" s="42" t="s">
        <v>499</v>
      </c>
      <c r="C206" s="42" t="s">
        <v>249</v>
      </c>
      <c r="D206" s="42" t="s">
        <v>550</v>
      </c>
      <c r="E206" s="34" t="s">
        <v>551</v>
      </c>
      <c r="F206" s="42"/>
      <c r="G206" s="42"/>
      <c r="H206" s="42"/>
      <c r="I206" s="42"/>
      <c r="J206" s="42"/>
      <c r="K206" s="44">
        <v>1</v>
      </c>
      <c r="L206" s="42">
        <v>1</v>
      </c>
      <c r="M206" s="42">
        <v>1</v>
      </c>
      <c r="N206" s="42">
        <v>1</v>
      </c>
      <c r="O206" s="42"/>
      <c r="P206" s="42">
        <v>1</v>
      </c>
      <c r="Q206" s="42">
        <v>1</v>
      </c>
      <c r="R206" s="42"/>
      <c r="S206" s="42"/>
      <c r="T206" s="42"/>
      <c r="U206" s="42"/>
      <c r="V206" s="44"/>
      <c r="W206" s="42"/>
      <c r="X206" s="42"/>
      <c r="Y206" s="42"/>
      <c r="Z206" s="42"/>
      <c r="AA206" s="42">
        <v>1</v>
      </c>
      <c r="AB206" s="42">
        <v>1</v>
      </c>
      <c r="AC206" s="42"/>
      <c r="AD206" s="42"/>
      <c r="AE206" s="42">
        <v>1</v>
      </c>
      <c r="AF206" s="42">
        <v>1</v>
      </c>
      <c r="AG206" s="44">
        <v>1</v>
      </c>
      <c r="AH206" s="44">
        <v>1</v>
      </c>
      <c r="AI206" s="44">
        <v>1</v>
      </c>
      <c r="AJ206" s="42">
        <v>1</v>
      </c>
      <c r="AK206" s="42"/>
      <c r="AL206" s="42">
        <v>1</v>
      </c>
      <c r="AM206" s="42">
        <v>1</v>
      </c>
      <c r="AN206" s="42"/>
      <c r="AO206" s="42"/>
      <c r="AP206" s="42"/>
      <c r="AQ206" s="42"/>
      <c r="AR206" s="44"/>
      <c r="AS206" s="44"/>
      <c r="AT206" s="44"/>
      <c r="AU206" s="44"/>
      <c r="AV206" s="44"/>
      <c r="AW206" s="44">
        <v>1</v>
      </c>
      <c r="AX206" s="44"/>
      <c r="AY206" s="44"/>
      <c r="AZ206" s="44"/>
      <c r="BA206" s="34">
        <v>1</v>
      </c>
      <c r="BB206" s="34">
        <v>1</v>
      </c>
      <c r="BC206" s="34">
        <v>1</v>
      </c>
    </row>
    <row r="207" spans="1:55" customFormat="1" ht="21" customHeight="1" x14ac:dyDescent="0.25">
      <c r="A207" s="22"/>
      <c r="B207" s="42" t="s">
        <v>499</v>
      </c>
      <c r="C207" s="42" t="s">
        <v>247</v>
      </c>
      <c r="D207" s="42" t="s">
        <v>552</v>
      </c>
      <c r="E207" s="42" t="s">
        <v>276</v>
      </c>
      <c r="F207" s="42"/>
      <c r="G207" s="42"/>
      <c r="H207" s="42"/>
      <c r="I207" s="42"/>
      <c r="J207" s="42"/>
      <c r="K207" s="44">
        <v>1</v>
      </c>
      <c r="L207" s="42">
        <v>1</v>
      </c>
      <c r="M207" s="42">
        <v>1</v>
      </c>
      <c r="N207" s="42"/>
      <c r="O207" s="42">
        <v>1</v>
      </c>
      <c r="P207" s="42">
        <v>1</v>
      </c>
      <c r="Q207" s="42">
        <v>1</v>
      </c>
      <c r="R207" s="42"/>
      <c r="S207" s="42"/>
      <c r="T207" s="42"/>
      <c r="U207" s="42"/>
      <c r="V207" s="44"/>
      <c r="W207" s="42">
        <v>1</v>
      </c>
      <c r="X207" s="42">
        <v>1</v>
      </c>
      <c r="Y207" s="42"/>
      <c r="Z207" s="42">
        <v>1</v>
      </c>
      <c r="AA207" s="42">
        <v>1</v>
      </c>
      <c r="AB207" s="42"/>
      <c r="AC207" s="42"/>
      <c r="AD207" s="42"/>
      <c r="AE207" s="42"/>
      <c r="AF207" s="42"/>
      <c r="AG207" s="44">
        <v>1</v>
      </c>
      <c r="AH207" s="42">
        <v>1</v>
      </c>
      <c r="AI207" s="42">
        <v>1</v>
      </c>
      <c r="AJ207" s="42"/>
      <c r="AK207" s="42">
        <v>1</v>
      </c>
      <c r="AL207" s="42">
        <v>1</v>
      </c>
      <c r="AM207" s="42">
        <v>1</v>
      </c>
      <c r="AN207" s="42"/>
      <c r="AO207" s="42"/>
      <c r="AP207" s="42"/>
      <c r="AQ207" s="42"/>
      <c r="AR207" s="44"/>
      <c r="AS207" s="44"/>
      <c r="AT207" s="44"/>
      <c r="AU207" s="44"/>
      <c r="AV207" s="44"/>
      <c r="AW207" s="46"/>
      <c r="AX207" s="44"/>
      <c r="AY207" s="44">
        <v>1</v>
      </c>
      <c r="AZ207" s="44"/>
      <c r="BA207" s="34">
        <v>1</v>
      </c>
      <c r="BB207" s="34"/>
      <c r="BC207" s="34"/>
    </row>
    <row r="208" spans="1:55" customFormat="1" ht="21" customHeight="1" x14ac:dyDescent="0.25">
      <c r="A208" s="22"/>
      <c r="B208" s="42" t="s">
        <v>499</v>
      </c>
      <c r="C208" s="42" t="s">
        <v>255</v>
      </c>
      <c r="D208" s="42" t="s">
        <v>553</v>
      </c>
      <c r="E208" s="42" t="s">
        <v>373</v>
      </c>
      <c r="F208" s="42"/>
      <c r="G208" s="42"/>
      <c r="H208" s="42"/>
      <c r="I208" s="42"/>
      <c r="J208" s="42"/>
      <c r="K208" s="44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4"/>
      <c r="W208" s="42"/>
      <c r="X208" s="42"/>
      <c r="Y208" s="42"/>
      <c r="Z208" s="42"/>
      <c r="AA208" s="42"/>
      <c r="AB208" s="42"/>
      <c r="AC208" s="42"/>
      <c r="AD208" s="42"/>
      <c r="AE208" s="42"/>
      <c r="AF208" s="42"/>
      <c r="AG208" s="44"/>
      <c r="AH208" s="42"/>
      <c r="AI208" s="42"/>
      <c r="AJ208" s="42"/>
      <c r="AK208" s="42"/>
      <c r="AL208" s="42"/>
      <c r="AM208" s="42"/>
      <c r="AN208" s="42"/>
      <c r="AO208" s="42"/>
      <c r="AP208" s="42"/>
      <c r="AQ208" s="42"/>
      <c r="AR208" s="44"/>
      <c r="AS208" s="44"/>
      <c r="AT208" s="44"/>
      <c r="AU208" s="44"/>
      <c r="AV208" s="44"/>
      <c r="AW208" s="46"/>
      <c r="AX208" s="44"/>
      <c r="AY208" s="44"/>
      <c r="AZ208" s="44"/>
      <c r="BA208" s="46"/>
      <c r="BB208" s="34"/>
      <c r="BC208" s="34"/>
    </row>
    <row r="209" spans="1:55" customFormat="1" ht="21" customHeight="1" x14ac:dyDescent="0.25">
      <c r="A209" s="22"/>
      <c r="B209" s="42" t="s">
        <v>499</v>
      </c>
      <c r="C209" s="42" t="s">
        <v>255</v>
      </c>
      <c r="D209" s="42" t="s">
        <v>554</v>
      </c>
      <c r="E209" s="42" t="s">
        <v>287</v>
      </c>
      <c r="F209" s="42"/>
      <c r="G209" s="42"/>
      <c r="H209" s="42"/>
      <c r="I209" s="42"/>
      <c r="J209" s="42"/>
      <c r="K209" s="44"/>
      <c r="L209" s="42">
        <v>1</v>
      </c>
      <c r="M209" s="42">
        <v>1</v>
      </c>
      <c r="N209" s="42"/>
      <c r="O209" s="42">
        <v>1</v>
      </c>
      <c r="P209" s="42"/>
      <c r="Q209" s="42">
        <v>1</v>
      </c>
      <c r="R209" s="42"/>
      <c r="S209" s="42"/>
      <c r="T209" s="42"/>
      <c r="U209" s="42"/>
      <c r="V209" s="44">
        <v>1</v>
      </c>
      <c r="W209" s="42">
        <v>1</v>
      </c>
      <c r="X209" s="42">
        <v>1</v>
      </c>
      <c r="Y209" s="42"/>
      <c r="Z209" s="42">
        <v>1</v>
      </c>
      <c r="AA209" s="42">
        <v>1</v>
      </c>
      <c r="AB209" s="42"/>
      <c r="AC209" s="42"/>
      <c r="AD209" s="42"/>
      <c r="AE209" s="42"/>
      <c r="AF209" s="42"/>
      <c r="AG209" s="44"/>
      <c r="AH209" s="42"/>
      <c r="AI209" s="42"/>
      <c r="AJ209" s="42"/>
      <c r="AK209" s="42">
        <v>1</v>
      </c>
      <c r="AL209" s="42"/>
      <c r="AM209" s="42">
        <v>1</v>
      </c>
      <c r="AN209" s="42"/>
      <c r="AO209" s="42"/>
      <c r="AP209" s="42"/>
      <c r="AQ209" s="42"/>
      <c r="AR209" s="44"/>
      <c r="AS209" s="44">
        <v>1</v>
      </c>
      <c r="AT209" s="44">
        <v>1</v>
      </c>
      <c r="AU209" s="44">
        <v>1</v>
      </c>
      <c r="AV209" s="44">
        <v>1</v>
      </c>
      <c r="AW209" s="46">
        <v>1</v>
      </c>
      <c r="AX209" s="44">
        <v>1</v>
      </c>
      <c r="AY209" s="44">
        <v>1</v>
      </c>
      <c r="AZ209" s="44">
        <v>1</v>
      </c>
      <c r="BA209" s="46"/>
      <c r="BB209" s="34"/>
      <c r="BC209" s="34">
        <v>1</v>
      </c>
    </row>
    <row r="210" spans="1:55" customFormat="1" ht="21" customHeight="1" x14ac:dyDescent="0.25">
      <c r="A210" s="22"/>
      <c r="B210" s="42" t="s">
        <v>499</v>
      </c>
      <c r="C210" s="42" t="s">
        <v>247</v>
      </c>
      <c r="D210" s="42" t="s">
        <v>555</v>
      </c>
      <c r="E210" s="42" t="s">
        <v>276</v>
      </c>
      <c r="F210" s="42"/>
      <c r="G210" s="42"/>
      <c r="H210" s="42"/>
      <c r="I210" s="42"/>
      <c r="J210" s="42"/>
      <c r="K210" s="44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4"/>
      <c r="W210" s="42"/>
      <c r="X210" s="42"/>
      <c r="Y210" s="42"/>
      <c r="Z210" s="42"/>
      <c r="AA210" s="42"/>
      <c r="AB210" s="42">
        <v>1</v>
      </c>
      <c r="AC210" s="42"/>
      <c r="AD210" s="42"/>
      <c r="AE210" s="42"/>
      <c r="AF210" s="42"/>
      <c r="AG210" s="44"/>
      <c r="AH210" s="42"/>
      <c r="AI210" s="42"/>
      <c r="AJ210" s="42"/>
      <c r="AK210" s="42"/>
      <c r="AL210" s="42"/>
      <c r="AM210" s="42"/>
      <c r="AN210" s="42"/>
      <c r="AO210" s="42"/>
      <c r="AP210" s="42"/>
      <c r="AQ210" s="42"/>
      <c r="AR210" s="44"/>
      <c r="AS210" s="44"/>
      <c r="AT210" s="44"/>
      <c r="AU210" s="44"/>
      <c r="AV210" s="44"/>
      <c r="AW210" s="46"/>
      <c r="AX210" s="44"/>
      <c r="AY210" s="44"/>
      <c r="AZ210" s="44"/>
      <c r="BA210" s="46"/>
      <c r="BB210" s="34"/>
      <c r="BC210" s="34"/>
    </row>
    <row r="211" spans="1:55" customFormat="1" ht="21" customHeight="1" x14ac:dyDescent="0.25">
      <c r="A211" s="22"/>
      <c r="B211" s="42" t="s">
        <v>499</v>
      </c>
      <c r="C211" s="42" t="s">
        <v>255</v>
      </c>
      <c r="D211" s="42" t="s">
        <v>556</v>
      </c>
      <c r="E211" s="42" t="s">
        <v>557</v>
      </c>
      <c r="F211" s="42"/>
      <c r="G211" s="42"/>
      <c r="H211" s="42"/>
      <c r="I211" s="42"/>
      <c r="J211" s="42"/>
      <c r="K211" s="44">
        <v>1</v>
      </c>
      <c r="L211" s="42"/>
      <c r="M211" s="42">
        <v>1</v>
      </c>
      <c r="N211" s="42"/>
      <c r="O211" s="42"/>
      <c r="P211" s="42">
        <v>1</v>
      </c>
      <c r="Q211" s="42">
        <v>1</v>
      </c>
      <c r="R211" s="42"/>
      <c r="S211" s="42">
        <v>1</v>
      </c>
      <c r="T211" s="42">
        <v>1</v>
      </c>
      <c r="U211" s="42">
        <v>1</v>
      </c>
      <c r="V211" s="44">
        <v>1</v>
      </c>
      <c r="W211" s="42">
        <v>1</v>
      </c>
      <c r="X211" s="42">
        <v>1</v>
      </c>
      <c r="Y211" s="42">
        <v>1</v>
      </c>
      <c r="Z211" s="42">
        <v>1</v>
      </c>
      <c r="AA211" s="42">
        <v>1</v>
      </c>
      <c r="AB211" s="42">
        <v>1</v>
      </c>
      <c r="AC211" s="42"/>
      <c r="AD211" s="42"/>
      <c r="AE211" s="42"/>
      <c r="AF211" s="42"/>
      <c r="AG211" s="44"/>
      <c r="AH211" s="42"/>
      <c r="AI211" s="42"/>
      <c r="AJ211" s="42"/>
      <c r="AK211" s="42">
        <v>1</v>
      </c>
      <c r="AL211" s="42">
        <v>1</v>
      </c>
      <c r="AM211" s="42">
        <v>1</v>
      </c>
      <c r="AN211" s="42"/>
      <c r="AO211" s="42"/>
      <c r="AP211" s="42"/>
      <c r="AQ211" s="42"/>
      <c r="AR211" s="44"/>
      <c r="AS211" s="44"/>
      <c r="AT211" s="44"/>
      <c r="AU211" s="44"/>
      <c r="AV211" s="44"/>
      <c r="AW211" s="46"/>
      <c r="AX211" s="44"/>
      <c r="AY211" s="44">
        <v>1</v>
      </c>
      <c r="AZ211" s="44"/>
      <c r="BA211" s="34">
        <v>1</v>
      </c>
      <c r="BB211" s="34">
        <v>1</v>
      </c>
      <c r="BC211" s="34"/>
    </row>
    <row r="212" spans="1:55" customFormat="1" ht="21" customHeight="1" x14ac:dyDescent="0.25">
      <c r="A212" s="22"/>
      <c r="B212" s="42" t="s">
        <v>499</v>
      </c>
      <c r="C212" s="42" t="s">
        <v>255</v>
      </c>
      <c r="D212" s="42" t="s">
        <v>558</v>
      </c>
      <c r="E212" s="42" t="s">
        <v>269</v>
      </c>
      <c r="F212" s="42"/>
      <c r="G212" s="42"/>
      <c r="H212" s="42"/>
      <c r="I212" s="42">
        <v>1</v>
      </c>
      <c r="J212" s="42">
        <v>1</v>
      </c>
      <c r="K212" s="44">
        <v>1</v>
      </c>
      <c r="L212" s="42">
        <v>1</v>
      </c>
      <c r="M212" s="42">
        <v>1</v>
      </c>
      <c r="N212" s="42"/>
      <c r="O212" s="42">
        <v>1</v>
      </c>
      <c r="P212" s="42">
        <v>1</v>
      </c>
      <c r="Q212" s="42">
        <v>1</v>
      </c>
      <c r="R212" s="42"/>
      <c r="S212" s="42"/>
      <c r="T212" s="42"/>
      <c r="U212" s="42"/>
      <c r="V212" s="44">
        <v>1</v>
      </c>
      <c r="W212" s="42">
        <v>1</v>
      </c>
      <c r="X212" s="42">
        <v>1</v>
      </c>
      <c r="Y212" s="42">
        <v>1</v>
      </c>
      <c r="Z212" s="42"/>
      <c r="AA212" s="42">
        <v>1</v>
      </c>
      <c r="AB212" s="42">
        <v>1</v>
      </c>
      <c r="AC212" s="42"/>
      <c r="AD212" s="42">
        <v>1</v>
      </c>
      <c r="AE212" s="42">
        <v>1</v>
      </c>
      <c r="AF212" s="42">
        <v>1</v>
      </c>
      <c r="AG212" s="44">
        <v>1</v>
      </c>
      <c r="AH212" s="42">
        <v>1</v>
      </c>
      <c r="AI212" s="42">
        <v>1</v>
      </c>
      <c r="AJ212" s="42"/>
      <c r="AK212" s="42">
        <v>1</v>
      </c>
      <c r="AL212" s="42">
        <v>1</v>
      </c>
      <c r="AM212" s="42">
        <v>1</v>
      </c>
      <c r="AN212" s="42"/>
      <c r="AO212" s="42"/>
      <c r="AP212" s="42">
        <v>1</v>
      </c>
      <c r="AQ212" s="42">
        <v>1</v>
      </c>
      <c r="AR212" s="44">
        <v>1</v>
      </c>
      <c r="AS212" s="44">
        <v>1</v>
      </c>
      <c r="AT212" s="44">
        <v>1</v>
      </c>
      <c r="AU212" s="44">
        <v>1</v>
      </c>
      <c r="AV212" s="44">
        <v>1</v>
      </c>
      <c r="AW212" s="46"/>
      <c r="AX212" s="44"/>
      <c r="AY212" s="44">
        <v>1</v>
      </c>
      <c r="AZ212" s="44">
        <v>1</v>
      </c>
      <c r="BA212" s="34">
        <v>1</v>
      </c>
      <c r="BB212" s="34">
        <v>1</v>
      </c>
      <c r="BC212" s="34">
        <v>1</v>
      </c>
    </row>
    <row r="213" spans="1:55" customFormat="1" ht="21" customHeight="1" x14ac:dyDescent="0.25">
      <c r="A213" s="22"/>
      <c r="B213" s="42" t="s">
        <v>499</v>
      </c>
      <c r="C213" s="42" t="s">
        <v>255</v>
      </c>
      <c r="D213" s="42" t="s">
        <v>559</v>
      </c>
      <c r="E213" s="42" t="s">
        <v>390</v>
      </c>
      <c r="F213" s="42"/>
      <c r="G213" s="42"/>
      <c r="H213" s="42"/>
      <c r="I213" s="42"/>
      <c r="J213" s="42"/>
      <c r="K213" s="44">
        <v>1</v>
      </c>
      <c r="L213" s="42">
        <v>1</v>
      </c>
      <c r="M213" s="42">
        <v>1</v>
      </c>
      <c r="N213" s="42"/>
      <c r="O213" s="42">
        <v>1</v>
      </c>
      <c r="P213" s="42">
        <v>1</v>
      </c>
      <c r="Q213" s="42">
        <v>1</v>
      </c>
      <c r="R213" s="42"/>
      <c r="S213" s="42">
        <v>1</v>
      </c>
      <c r="T213" s="42">
        <v>1</v>
      </c>
      <c r="U213" s="42">
        <v>1</v>
      </c>
      <c r="V213" s="44">
        <v>1</v>
      </c>
      <c r="W213" s="42">
        <v>1</v>
      </c>
      <c r="X213" s="42">
        <v>1</v>
      </c>
      <c r="Y213" s="42">
        <v>1</v>
      </c>
      <c r="Z213" s="42"/>
      <c r="AA213" s="42">
        <v>1</v>
      </c>
      <c r="AB213" s="42">
        <v>1</v>
      </c>
      <c r="AC213" s="42"/>
      <c r="AD213" s="42"/>
      <c r="AE213" s="42">
        <v>1</v>
      </c>
      <c r="AF213" s="42">
        <v>1</v>
      </c>
      <c r="AG213" s="44"/>
      <c r="AH213" s="42">
        <v>1</v>
      </c>
      <c r="AI213" s="42">
        <v>1</v>
      </c>
      <c r="AJ213" s="42"/>
      <c r="AK213" s="42">
        <v>1</v>
      </c>
      <c r="AL213" s="42">
        <v>1</v>
      </c>
      <c r="AM213" s="42">
        <v>1</v>
      </c>
      <c r="AN213" s="42"/>
      <c r="AO213" s="42"/>
      <c r="AP213" s="42"/>
      <c r="AQ213" s="42"/>
      <c r="AR213" s="44">
        <v>1</v>
      </c>
      <c r="AS213" s="44">
        <v>1</v>
      </c>
      <c r="AT213" s="44">
        <v>1</v>
      </c>
      <c r="AU213" s="44">
        <v>1</v>
      </c>
      <c r="AV213" s="44">
        <v>1</v>
      </c>
      <c r="AW213" s="44">
        <v>1</v>
      </c>
      <c r="AX213" s="44">
        <v>1</v>
      </c>
      <c r="AY213" s="44"/>
      <c r="AZ213" s="44"/>
      <c r="BA213" s="34">
        <v>1</v>
      </c>
      <c r="BB213" s="34">
        <v>1</v>
      </c>
      <c r="BC213" s="34">
        <v>1</v>
      </c>
    </row>
    <row r="214" spans="1:55" customFormat="1" ht="21" customHeight="1" x14ac:dyDescent="0.25">
      <c r="A214" s="22"/>
      <c r="B214" s="42" t="s">
        <v>499</v>
      </c>
      <c r="C214" s="42" t="s">
        <v>255</v>
      </c>
      <c r="D214" s="42" t="s">
        <v>560</v>
      </c>
      <c r="E214" s="42" t="s">
        <v>561</v>
      </c>
      <c r="F214" s="42"/>
      <c r="G214" s="42"/>
      <c r="H214" s="42">
        <v>1</v>
      </c>
      <c r="I214" s="42">
        <v>1</v>
      </c>
      <c r="J214" s="42">
        <v>1</v>
      </c>
      <c r="K214" s="44">
        <v>1</v>
      </c>
      <c r="L214" s="42">
        <v>1</v>
      </c>
      <c r="M214" s="42">
        <v>1</v>
      </c>
      <c r="N214" s="42">
        <v>1</v>
      </c>
      <c r="O214" s="42">
        <v>1</v>
      </c>
      <c r="P214" s="42">
        <v>1</v>
      </c>
      <c r="Q214" s="42">
        <v>1</v>
      </c>
      <c r="R214" s="42"/>
      <c r="S214" s="42"/>
      <c r="T214" s="42"/>
      <c r="U214" s="42"/>
      <c r="V214" s="44">
        <v>1</v>
      </c>
      <c r="W214" s="42">
        <v>1</v>
      </c>
      <c r="X214" s="42">
        <v>1</v>
      </c>
      <c r="Y214" s="42">
        <v>1</v>
      </c>
      <c r="Z214" s="42">
        <v>1</v>
      </c>
      <c r="AA214" s="42">
        <v>1</v>
      </c>
      <c r="AB214" s="42">
        <v>1</v>
      </c>
      <c r="AC214" s="42"/>
      <c r="AD214" s="42"/>
      <c r="AE214" s="42">
        <v>1</v>
      </c>
      <c r="AF214" s="42">
        <v>1</v>
      </c>
      <c r="AG214" s="44">
        <v>1</v>
      </c>
      <c r="AH214" s="42">
        <v>1</v>
      </c>
      <c r="AI214" s="42">
        <v>1</v>
      </c>
      <c r="AJ214" s="42">
        <v>1</v>
      </c>
      <c r="AK214" s="42">
        <v>1</v>
      </c>
      <c r="AL214" s="42">
        <v>1</v>
      </c>
      <c r="AM214" s="42">
        <v>1</v>
      </c>
      <c r="AN214" s="42"/>
      <c r="AO214" s="42"/>
      <c r="AP214" s="42">
        <v>1</v>
      </c>
      <c r="AQ214" s="42">
        <v>1</v>
      </c>
      <c r="AR214" s="44">
        <v>1</v>
      </c>
      <c r="AS214" s="44">
        <v>1</v>
      </c>
      <c r="AT214" s="44">
        <v>1</v>
      </c>
      <c r="AU214" s="44">
        <v>1</v>
      </c>
      <c r="AV214" s="44">
        <v>1</v>
      </c>
      <c r="AW214" s="46">
        <v>1</v>
      </c>
      <c r="AX214" s="44">
        <v>1</v>
      </c>
      <c r="AY214" s="44">
        <v>1</v>
      </c>
      <c r="AZ214" s="44">
        <v>1</v>
      </c>
      <c r="BA214" s="34">
        <v>1</v>
      </c>
      <c r="BB214" s="34">
        <v>1</v>
      </c>
      <c r="BC214" s="34">
        <v>1</v>
      </c>
    </row>
    <row r="215" spans="1:55" customFormat="1" ht="21" customHeight="1" x14ac:dyDescent="0.25">
      <c r="A215" s="22"/>
      <c r="B215" s="42" t="s">
        <v>499</v>
      </c>
      <c r="C215" s="42" t="s">
        <v>255</v>
      </c>
      <c r="D215" s="42" t="s">
        <v>562</v>
      </c>
      <c r="E215" s="42" t="s">
        <v>433</v>
      </c>
      <c r="F215" s="42"/>
      <c r="G215" s="42"/>
      <c r="H215" s="42"/>
      <c r="I215" s="42">
        <v>1</v>
      </c>
      <c r="J215" s="42">
        <v>1</v>
      </c>
      <c r="K215" s="44">
        <v>1</v>
      </c>
      <c r="L215" s="42">
        <v>1</v>
      </c>
      <c r="M215" s="42">
        <v>1</v>
      </c>
      <c r="N215" s="42">
        <v>1</v>
      </c>
      <c r="O215" s="42">
        <v>1</v>
      </c>
      <c r="P215" s="42">
        <v>1</v>
      </c>
      <c r="Q215" s="42">
        <v>1</v>
      </c>
      <c r="R215" s="42"/>
      <c r="S215" s="42"/>
      <c r="T215" s="42"/>
      <c r="U215" s="42"/>
      <c r="V215" s="44">
        <v>1</v>
      </c>
      <c r="W215" s="42"/>
      <c r="X215" s="42"/>
      <c r="Y215" s="42">
        <v>1</v>
      </c>
      <c r="Z215" s="42">
        <v>1</v>
      </c>
      <c r="AA215" s="42"/>
      <c r="AB215" s="42"/>
      <c r="AC215" s="42"/>
      <c r="AD215" s="42">
        <v>1</v>
      </c>
      <c r="AE215" s="42">
        <v>1</v>
      </c>
      <c r="AF215" s="42">
        <v>1</v>
      </c>
      <c r="AG215" s="44">
        <v>1</v>
      </c>
      <c r="AH215" s="42">
        <v>1</v>
      </c>
      <c r="AI215" s="42">
        <v>1</v>
      </c>
      <c r="AJ215" s="42">
        <v>1</v>
      </c>
      <c r="AK215" s="42">
        <v>1</v>
      </c>
      <c r="AL215" s="42">
        <v>1</v>
      </c>
      <c r="AM215" s="42">
        <v>1</v>
      </c>
      <c r="AN215" s="42"/>
      <c r="AO215" s="42"/>
      <c r="AP215" s="42">
        <v>1</v>
      </c>
      <c r="AQ215" s="42">
        <v>1</v>
      </c>
      <c r="AR215" s="44">
        <v>1</v>
      </c>
      <c r="AS215" s="44">
        <v>1</v>
      </c>
      <c r="AT215" s="44">
        <v>1</v>
      </c>
      <c r="AU215" s="44">
        <v>1</v>
      </c>
      <c r="AV215" s="44">
        <v>1</v>
      </c>
      <c r="AW215" s="44">
        <v>1</v>
      </c>
      <c r="AX215" s="44">
        <v>1</v>
      </c>
      <c r="AY215" s="44">
        <v>1</v>
      </c>
      <c r="AZ215" s="44"/>
      <c r="BA215" s="34">
        <v>1</v>
      </c>
      <c r="BB215" s="34">
        <v>1</v>
      </c>
      <c r="BC215" s="34"/>
    </row>
    <row r="216" spans="1:55" customFormat="1" ht="21" customHeight="1" x14ac:dyDescent="0.25">
      <c r="A216" s="22"/>
      <c r="B216" s="42" t="s">
        <v>499</v>
      </c>
      <c r="C216" s="42" t="s">
        <v>255</v>
      </c>
      <c r="D216" s="42" t="s">
        <v>563</v>
      </c>
      <c r="E216" s="42" t="s">
        <v>427</v>
      </c>
      <c r="F216" s="42"/>
      <c r="G216" s="42"/>
      <c r="H216" s="42"/>
      <c r="I216" s="42">
        <v>1</v>
      </c>
      <c r="J216" s="42">
        <v>1</v>
      </c>
      <c r="K216" s="44">
        <v>1</v>
      </c>
      <c r="L216" s="42">
        <v>1</v>
      </c>
      <c r="M216" s="42">
        <v>1</v>
      </c>
      <c r="N216" s="42">
        <v>1</v>
      </c>
      <c r="O216" s="42">
        <v>1</v>
      </c>
      <c r="P216" s="42">
        <v>1</v>
      </c>
      <c r="Q216" s="42">
        <v>1</v>
      </c>
      <c r="R216" s="42"/>
      <c r="S216" s="42">
        <v>1</v>
      </c>
      <c r="T216" s="42">
        <v>1</v>
      </c>
      <c r="U216" s="42">
        <v>1</v>
      </c>
      <c r="V216" s="44">
        <v>1</v>
      </c>
      <c r="W216" s="42">
        <v>1</v>
      </c>
      <c r="X216" s="42">
        <v>1</v>
      </c>
      <c r="Y216" s="42">
        <v>1</v>
      </c>
      <c r="Z216" s="42">
        <v>1</v>
      </c>
      <c r="AA216" s="42">
        <v>1</v>
      </c>
      <c r="AB216" s="42">
        <v>1</v>
      </c>
      <c r="AC216" s="42"/>
      <c r="AD216" s="42"/>
      <c r="AE216" s="42"/>
      <c r="AF216" s="42"/>
      <c r="AG216" s="44">
        <v>1</v>
      </c>
      <c r="AH216" s="44">
        <v>1</v>
      </c>
      <c r="AI216" s="42">
        <v>1</v>
      </c>
      <c r="AJ216" s="42">
        <v>1</v>
      </c>
      <c r="AK216" s="42">
        <v>1</v>
      </c>
      <c r="AL216" s="42">
        <v>1</v>
      </c>
      <c r="AM216" s="42">
        <v>1</v>
      </c>
      <c r="AN216" s="42"/>
      <c r="AO216" s="42"/>
      <c r="AP216" s="42"/>
      <c r="AQ216" s="42"/>
      <c r="AR216" s="44">
        <v>1</v>
      </c>
      <c r="AS216" s="44">
        <v>1</v>
      </c>
      <c r="AT216" s="44">
        <v>1</v>
      </c>
      <c r="AU216" s="44">
        <v>1</v>
      </c>
      <c r="AV216" s="44">
        <v>1</v>
      </c>
      <c r="AW216" s="46">
        <v>1</v>
      </c>
      <c r="AX216" s="44">
        <v>1</v>
      </c>
      <c r="AY216" s="44">
        <v>1</v>
      </c>
      <c r="AZ216" s="44">
        <v>1</v>
      </c>
      <c r="BA216" s="46"/>
      <c r="BB216" s="34">
        <v>1</v>
      </c>
      <c r="BC216" s="34">
        <v>1</v>
      </c>
    </row>
    <row r="217" spans="1:55" customFormat="1" ht="21" customHeight="1" x14ac:dyDescent="0.25">
      <c r="A217" s="22"/>
      <c r="B217" s="42" t="s">
        <v>499</v>
      </c>
      <c r="C217" s="42" t="s">
        <v>255</v>
      </c>
      <c r="D217" s="42" t="s">
        <v>564</v>
      </c>
      <c r="E217" s="42" t="s">
        <v>401</v>
      </c>
      <c r="F217" s="42"/>
      <c r="G217" s="42"/>
      <c r="H217" s="42">
        <v>1</v>
      </c>
      <c r="I217" s="42">
        <v>1</v>
      </c>
      <c r="J217" s="42">
        <v>1</v>
      </c>
      <c r="K217" s="44">
        <v>1</v>
      </c>
      <c r="L217" s="42">
        <v>1</v>
      </c>
      <c r="M217" s="42">
        <v>1</v>
      </c>
      <c r="N217" s="42">
        <v>1</v>
      </c>
      <c r="O217" s="42">
        <v>1</v>
      </c>
      <c r="P217" s="42">
        <v>1</v>
      </c>
      <c r="Q217" s="42">
        <v>1</v>
      </c>
      <c r="R217" s="42"/>
      <c r="S217" s="42"/>
      <c r="T217" s="42">
        <v>1</v>
      </c>
      <c r="U217" s="42">
        <v>1</v>
      </c>
      <c r="V217" s="44">
        <v>1</v>
      </c>
      <c r="W217" s="42">
        <v>1</v>
      </c>
      <c r="X217" s="42">
        <v>1</v>
      </c>
      <c r="Y217" s="42"/>
      <c r="Z217" s="42">
        <v>1</v>
      </c>
      <c r="AA217" s="42">
        <v>1</v>
      </c>
      <c r="AB217" s="42">
        <v>1</v>
      </c>
      <c r="AC217" s="42"/>
      <c r="AD217" s="42"/>
      <c r="AE217" s="42"/>
      <c r="AF217" s="42"/>
      <c r="AG217" s="44">
        <v>1</v>
      </c>
      <c r="AH217" s="42">
        <v>1</v>
      </c>
      <c r="AI217" s="42">
        <v>1</v>
      </c>
      <c r="AJ217" s="42">
        <v>1</v>
      </c>
      <c r="AK217" s="42">
        <v>1</v>
      </c>
      <c r="AL217" s="42"/>
      <c r="AM217" s="42">
        <v>1</v>
      </c>
      <c r="AN217" s="42"/>
      <c r="AO217" s="42"/>
      <c r="AP217" s="42">
        <v>1</v>
      </c>
      <c r="AQ217" s="42">
        <v>1</v>
      </c>
      <c r="AR217" s="44">
        <v>1</v>
      </c>
      <c r="AS217" s="44">
        <v>1</v>
      </c>
      <c r="AT217" s="44">
        <v>1</v>
      </c>
      <c r="AU217" s="44">
        <v>1</v>
      </c>
      <c r="AV217" s="44">
        <v>1</v>
      </c>
      <c r="AW217" s="44">
        <v>1</v>
      </c>
      <c r="AX217" s="44">
        <v>1</v>
      </c>
      <c r="AY217" s="44">
        <v>1</v>
      </c>
      <c r="AZ217" s="44">
        <v>1</v>
      </c>
      <c r="BA217" s="34">
        <v>1</v>
      </c>
      <c r="BB217" s="34">
        <v>1</v>
      </c>
      <c r="BC217" s="34">
        <v>1</v>
      </c>
    </row>
    <row r="218" spans="1:55" customFormat="1" ht="21" customHeight="1" x14ac:dyDescent="0.25">
      <c r="A218" s="22"/>
      <c r="B218" s="42" t="s">
        <v>499</v>
      </c>
      <c r="C218" s="42" t="s">
        <v>255</v>
      </c>
      <c r="D218" s="42" t="s">
        <v>565</v>
      </c>
      <c r="E218" s="42" t="s">
        <v>557</v>
      </c>
      <c r="F218" s="42"/>
      <c r="G218" s="42"/>
      <c r="H218" s="42"/>
      <c r="I218" s="42"/>
      <c r="J218" s="42"/>
      <c r="K218" s="44">
        <v>1</v>
      </c>
      <c r="L218" s="42">
        <v>1</v>
      </c>
      <c r="M218" s="42">
        <v>1</v>
      </c>
      <c r="N218" s="42">
        <v>1</v>
      </c>
      <c r="O218" s="42">
        <v>1</v>
      </c>
      <c r="P218" s="42">
        <v>1</v>
      </c>
      <c r="Q218" s="42">
        <v>1</v>
      </c>
      <c r="R218" s="42"/>
      <c r="S218" s="42">
        <v>1</v>
      </c>
      <c r="T218" s="42">
        <v>1</v>
      </c>
      <c r="U218" s="42">
        <v>1</v>
      </c>
      <c r="V218" s="44">
        <v>1</v>
      </c>
      <c r="W218" s="42">
        <v>1</v>
      </c>
      <c r="X218" s="42">
        <v>1</v>
      </c>
      <c r="Y218" s="42"/>
      <c r="Z218" s="42">
        <v>1</v>
      </c>
      <c r="AA218" s="42"/>
      <c r="AB218" s="42">
        <v>1</v>
      </c>
      <c r="AC218" s="42"/>
      <c r="AD218" s="42"/>
      <c r="AE218" s="42"/>
      <c r="AF218" s="42"/>
      <c r="AG218" s="44">
        <v>1</v>
      </c>
      <c r="AH218" s="42">
        <v>1</v>
      </c>
      <c r="AI218" s="42">
        <v>1</v>
      </c>
      <c r="AJ218" s="42">
        <v>1</v>
      </c>
      <c r="AK218" s="42">
        <v>1</v>
      </c>
      <c r="AL218" s="42">
        <v>1</v>
      </c>
      <c r="AM218" s="42">
        <v>1</v>
      </c>
      <c r="AN218" s="42"/>
      <c r="AO218" s="42"/>
      <c r="AP218" s="42"/>
      <c r="AQ218" s="42"/>
      <c r="AR218" s="44"/>
      <c r="AS218" s="44"/>
      <c r="AT218" s="44"/>
      <c r="AU218" s="44">
        <v>1</v>
      </c>
      <c r="AV218" s="44">
        <v>1</v>
      </c>
      <c r="AW218" s="46"/>
      <c r="AX218" s="44"/>
      <c r="AY218" s="44"/>
      <c r="AZ218" s="44"/>
      <c r="BA218" s="34">
        <v>1</v>
      </c>
      <c r="BB218" s="34">
        <v>1</v>
      </c>
      <c r="BC218" s="34"/>
    </row>
    <row r="219" spans="1:55" customFormat="1" ht="21" customHeight="1" x14ac:dyDescent="0.25">
      <c r="A219" s="22"/>
      <c r="B219" s="42" t="s">
        <v>499</v>
      </c>
      <c r="C219" s="42" t="s">
        <v>244</v>
      </c>
      <c r="D219" s="42" t="s">
        <v>566</v>
      </c>
      <c r="E219" s="42" t="s">
        <v>567</v>
      </c>
      <c r="F219" s="42"/>
      <c r="G219" s="42"/>
      <c r="H219" s="42"/>
      <c r="I219" s="42"/>
      <c r="J219" s="42"/>
      <c r="K219" s="44"/>
      <c r="L219" s="42">
        <v>1</v>
      </c>
      <c r="M219" s="42">
        <v>1</v>
      </c>
      <c r="N219" s="42">
        <v>1</v>
      </c>
      <c r="O219" s="42">
        <v>1</v>
      </c>
      <c r="P219" s="42">
        <v>1</v>
      </c>
      <c r="Q219" s="42">
        <v>1</v>
      </c>
      <c r="R219" s="42"/>
      <c r="S219" s="42"/>
      <c r="T219" s="42">
        <v>1</v>
      </c>
      <c r="U219" s="42">
        <v>1</v>
      </c>
      <c r="V219" s="44">
        <v>1</v>
      </c>
      <c r="W219" s="42">
        <v>1</v>
      </c>
      <c r="X219" s="42">
        <v>1</v>
      </c>
      <c r="Y219" s="42">
        <v>1</v>
      </c>
      <c r="Z219" s="42"/>
      <c r="AA219" s="42">
        <v>1</v>
      </c>
      <c r="AB219" s="42">
        <v>1</v>
      </c>
      <c r="AC219" s="42"/>
      <c r="AD219" s="42">
        <v>1</v>
      </c>
      <c r="AE219" s="42">
        <v>1</v>
      </c>
      <c r="AF219" s="42">
        <v>1</v>
      </c>
      <c r="AG219" s="44">
        <v>1</v>
      </c>
      <c r="AH219" s="42">
        <v>1</v>
      </c>
      <c r="AI219" s="42"/>
      <c r="AJ219" s="42">
        <v>1</v>
      </c>
      <c r="AK219" s="42">
        <v>1</v>
      </c>
      <c r="AL219" s="42">
        <v>1</v>
      </c>
      <c r="AM219" s="42">
        <v>1</v>
      </c>
      <c r="AN219" s="42"/>
      <c r="AO219" s="42"/>
      <c r="AP219" s="42"/>
      <c r="AQ219" s="42"/>
      <c r="AR219" s="44"/>
      <c r="AS219" s="44"/>
      <c r="AT219" s="44"/>
      <c r="AU219" s="44"/>
      <c r="AV219" s="44"/>
      <c r="AW219" s="46"/>
      <c r="AX219" s="44"/>
      <c r="AY219" s="44"/>
      <c r="AZ219" s="44"/>
      <c r="BA219" s="46"/>
      <c r="BB219" s="34">
        <v>1</v>
      </c>
      <c r="BC219" s="34"/>
    </row>
    <row r="220" spans="1:55" customFormat="1" ht="21" customHeight="1" x14ac:dyDescent="0.25">
      <c r="A220" s="22"/>
      <c r="B220" s="42" t="s">
        <v>499</v>
      </c>
      <c r="C220" s="42" t="s">
        <v>244</v>
      </c>
      <c r="D220" s="42" t="s">
        <v>568</v>
      </c>
      <c r="E220" s="42" t="s">
        <v>569</v>
      </c>
      <c r="F220" s="42"/>
      <c r="G220" s="42"/>
      <c r="H220" s="42"/>
      <c r="I220" s="42"/>
      <c r="J220" s="42"/>
      <c r="K220" s="44"/>
      <c r="L220" s="42"/>
      <c r="M220" s="42">
        <v>1</v>
      </c>
      <c r="N220" s="42"/>
      <c r="O220" s="42"/>
      <c r="P220" s="42"/>
      <c r="Q220" s="42"/>
      <c r="R220" s="42"/>
      <c r="S220" s="42">
        <v>1</v>
      </c>
      <c r="T220" s="42">
        <v>1</v>
      </c>
      <c r="U220" s="42">
        <v>1</v>
      </c>
      <c r="V220" s="42">
        <v>1</v>
      </c>
      <c r="W220" s="42">
        <v>1</v>
      </c>
      <c r="X220" s="42">
        <v>1</v>
      </c>
      <c r="Y220" s="42"/>
      <c r="Z220" s="42">
        <v>1</v>
      </c>
      <c r="AA220" s="42"/>
      <c r="AB220" s="42"/>
      <c r="AC220" s="42"/>
      <c r="AD220" s="42"/>
      <c r="AE220" s="42"/>
      <c r="AF220" s="42"/>
      <c r="AG220" s="44"/>
      <c r="AH220" s="42"/>
      <c r="AI220" s="42"/>
      <c r="AJ220" s="42"/>
      <c r="AK220" s="42"/>
      <c r="AL220" s="42"/>
      <c r="AM220" s="42"/>
      <c r="AN220" s="42"/>
      <c r="AO220" s="42"/>
      <c r="AP220" s="42"/>
      <c r="AQ220" s="42"/>
      <c r="AR220" s="44"/>
      <c r="AS220" s="44"/>
      <c r="AT220" s="44"/>
      <c r="AU220" s="44"/>
      <c r="AV220" s="44"/>
      <c r="AW220" s="46"/>
      <c r="AX220" s="44"/>
      <c r="AY220" s="44"/>
      <c r="AZ220" s="44"/>
      <c r="BA220" s="34">
        <v>1</v>
      </c>
      <c r="BB220" s="34">
        <v>1</v>
      </c>
      <c r="BC220" s="34"/>
    </row>
    <row r="221" spans="1:55" customFormat="1" ht="21" customHeight="1" x14ac:dyDescent="0.25">
      <c r="A221" s="22"/>
      <c r="B221" s="42" t="s">
        <v>499</v>
      </c>
      <c r="C221" s="42" t="s">
        <v>246</v>
      </c>
      <c r="D221" s="42" t="s">
        <v>570</v>
      </c>
      <c r="E221" s="34" t="s">
        <v>571</v>
      </c>
      <c r="F221" s="42"/>
      <c r="G221" s="42"/>
      <c r="H221" s="42"/>
      <c r="I221" s="42">
        <v>1</v>
      </c>
      <c r="J221" s="42">
        <v>1</v>
      </c>
      <c r="K221" s="44">
        <v>1</v>
      </c>
      <c r="L221" s="42">
        <v>1</v>
      </c>
      <c r="M221" s="42">
        <v>1</v>
      </c>
      <c r="N221" s="42">
        <v>1</v>
      </c>
      <c r="O221" s="42">
        <v>1</v>
      </c>
      <c r="P221" s="42">
        <v>1</v>
      </c>
      <c r="Q221" s="42">
        <v>1</v>
      </c>
      <c r="R221" s="42"/>
      <c r="S221" s="42"/>
      <c r="T221" s="42"/>
      <c r="U221" s="42"/>
      <c r="V221" s="44">
        <v>1</v>
      </c>
      <c r="W221" s="42">
        <v>1</v>
      </c>
      <c r="X221" s="42">
        <v>1</v>
      </c>
      <c r="Y221" s="42">
        <v>1</v>
      </c>
      <c r="Z221" s="42"/>
      <c r="AA221" s="42">
        <v>1</v>
      </c>
      <c r="AB221" s="42">
        <v>1</v>
      </c>
      <c r="AC221" s="42"/>
      <c r="AD221" s="42">
        <v>1</v>
      </c>
      <c r="AE221" s="42">
        <v>1</v>
      </c>
      <c r="AF221" s="42">
        <v>1</v>
      </c>
      <c r="AG221" s="44">
        <v>1</v>
      </c>
      <c r="AH221" s="42">
        <v>1</v>
      </c>
      <c r="AI221" s="42">
        <v>1</v>
      </c>
      <c r="AJ221" s="42">
        <v>1</v>
      </c>
      <c r="AK221" s="42">
        <v>1</v>
      </c>
      <c r="AL221" s="42">
        <v>1</v>
      </c>
      <c r="AM221" s="42">
        <v>1</v>
      </c>
      <c r="AN221" s="42"/>
      <c r="AO221" s="42"/>
      <c r="AP221" s="42"/>
      <c r="AQ221" s="42"/>
      <c r="AR221" s="44"/>
      <c r="AS221" s="44">
        <v>1</v>
      </c>
      <c r="AT221" s="44">
        <v>1</v>
      </c>
      <c r="AU221" s="44">
        <v>1</v>
      </c>
      <c r="AV221" s="44">
        <v>1</v>
      </c>
      <c r="AW221" s="46">
        <v>1</v>
      </c>
      <c r="AX221" s="44">
        <v>1</v>
      </c>
      <c r="AY221" s="44">
        <v>1</v>
      </c>
      <c r="AZ221" s="44">
        <v>1</v>
      </c>
      <c r="BA221" s="34">
        <v>1</v>
      </c>
      <c r="BB221" s="34">
        <v>1</v>
      </c>
      <c r="BC221" s="34">
        <v>1</v>
      </c>
    </row>
    <row r="222" spans="1:55" customFormat="1" ht="21" customHeight="1" x14ac:dyDescent="0.25">
      <c r="A222" s="22"/>
      <c r="B222" s="42" t="s">
        <v>499</v>
      </c>
      <c r="C222" s="42" t="s">
        <v>249</v>
      </c>
      <c r="D222" s="42" t="s">
        <v>572</v>
      </c>
      <c r="E222" s="42" t="s">
        <v>449</v>
      </c>
      <c r="F222" s="42"/>
      <c r="G222" s="42"/>
      <c r="H222" s="42"/>
      <c r="I222" s="42">
        <v>1</v>
      </c>
      <c r="J222" s="42">
        <v>1</v>
      </c>
      <c r="K222" s="44">
        <v>1</v>
      </c>
      <c r="L222" s="42">
        <v>1</v>
      </c>
      <c r="M222" s="42">
        <v>1</v>
      </c>
      <c r="N222" s="42">
        <v>1</v>
      </c>
      <c r="O222" s="42">
        <v>1</v>
      </c>
      <c r="P222" s="42">
        <v>1</v>
      </c>
      <c r="Q222" s="42">
        <v>1</v>
      </c>
      <c r="R222" s="42"/>
      <c r="S222" s="42"/>
      <c r="T222" s="42">
        <v>1</v>
      </c>
      <c r="U222" s="42">
        <v>1</v>
      </c>
      <c r="V222" s="44">
        <v>1</v>
      </c>
      <c r="W222" s="42">
        <v>1</v>
      </c>
      <c r="X222" s="42">
        <v>1</v>
      </c>
      <c r="Y222" s="42"/>
      <c r="Z222" s="42"/>
      <c r="AA222" s="42">
        <v>1</v>
      </c>
      <c r="AB222" s="42">
        <v>1</v>
      </c>
      <c r="AC222" s="42"/>
      <c r="AD222" s="42">
        <v>1</v>
      </c>
      <c r="AE222" s="42">
        <v>1</v>
      </c>
      <c r="AF222" s="42">
        <v>1</v>
      </c>
      <c r="AG222" s="44">
        <v>1</v>
      </c>
      <c r="AH222" s="44">
        <v>1</v>
      </c>
      <c r="AI222" s="42">
        <v>1</v>
      </c>
      <c r="AJ222" s="42">
        <v>1</v>
      </c>
      <c r="AK222" s="42">
        <v>1</v>
      </c>
      <c r="AL222" s="42">
        <v>1</v>
      </c>
      <c r="AM222" s="42">
        <v>1</v>
      </c>
      <c r="AN222" s="42"/>
      <c r="AO222" s="42"/>
      <c r="AP222" s="42">
        <v>1</v>
      </c>
      <c r="AQ222" s="42">
        <v>1</v>
      </c>
      <c r="AR222" s="44"/>
      <c r="AS222" s="44">
        <v>1</v>
      </c>
      <c r="AT222" s="44">
        <v>1</v>
      </c>
      <c r="AU222" s="44">
        <v>1</v>
      </c>
      <c r="AV222" s="44">
        <v>1</v>
      </c>
      <c r="AW222" s="44">
        <v>1</v>
      </c>
      <c r="AX222" s="44"/>
      <c r="AY222" s="44">
        <v>1</v>
      </c>
      <c r="AZ222" s="44"/>
      <c r="BA222" s="34">
        <v>1</v>
      </c>
      <c r="BB222" s="34">
        <v>1</v>
      </c>
      <c r="BC222" s="34">
        <v>1</v>
      </c>
    </row>
    <row r="223" spans="1:55" customFormat="1" ht="21" customHeight="1" x14ac:dyDescent="0.25">
      <c r="A223" s="22"/>
      <c r="B223" s="42" t="s">
        <v>499</v>
      </c>
      <c r="C223" s="42" t="s">
        <v>246</v>
      </c>
      <c r="D223" s="42" t="s">
        <v>573</v>
      </c>
      <c r="E223" s="34" t="s">
        <v>574</v>
      </c>
      <c r="F223" s="42"/>
      <c r="G223" s="42"/>
      <c r="H223" s="42"/>
      <c r="I223" s="42">
        <v>1</v>
      </c>
      <c r="J223" s="42">
        <v>1</v>
      </c>
      <c r="K223" s="44">
        <v>1</v>
      </c>
      <c r="L223" s="42">
        <v>1</v>
      </c>
      <c r="M223" s="42">
        <v>1</v>
      </c>
      <c r="N223" s="42"/>
      <c r="O223" s="42">
        <v>1</v>
      </c>
      <c r="P223" s="42">
        <v>1</v>
      </c>
      <c r="Q223" s="42">
        <v>1</v>
      </c>
      <c r="R223" s="42"/>
      <c r="S223" s="42"/>
      <c r="T223" s="42">
        <v>1</v>
      </c>
      <c r="U223" s="42">
        <v>1</v>
      </c>
      <c r="V223" s="44"/>
      <c r="W223" s="42">
        <v>1</v>
      </c>
      <c r="X223" s="42">
        <v>1</v>
      </c>
      <c r="Y223" s="42"/>
      <c r="Z223" s="42">
        <v>1</v>
      </c>
      <c r="AA223" s="42">
        <v>1</v>
      </c>
      <c r="AB223" s="42"/>
      <c r="AC223" s="42"/>
      <c r="AD223" s="42">
        <v>1</v>
      </c>
      <c r="AE223" s="42">
        <v>1</v>
      </c>
      <c r="AF223" s="42">
        <v>1</v>
      </c>
      <c r="AG223" s="44">
        <v>1</v>
      </c>
      <c r="AH223" s="42">
        <v>1</v>
      </c>
      <c r="AI223" s="42">
        <v>1</v>
      </c>
      <c r="AJ223" s="42"/>
      <c r="AK223" s="42">
        <v>1</v>
      </c>
      <c r="AL223" s="42">
        <v>1</v>
      </c>
      <c r="AM223" s="42">
        <v>1</v>
      </c>
      <c r="AN223" s="42"/>
      <c r="AO223" s="42"/>
      <c r="AP223" s="42">
        <v>1</v>
      </c>
      <c r="AQ223" s="42">
        <v>1</v>
      </c>
      <c r="AR223" s="44">
        <v>1</v>
      </c>
      <c r="AS223" s="44">
        <v>1</v>
      </c>
      <c r="AT223" s="44">
        <v>1</v>
      </c>
      <c r="AU223" s="44">
        <v>1</v>
      </c>
      <c r="AV223" s="44">
        <v>1</v>
      </c>
      <c r="AW223" s="46"/>
      <c r="AX223" s="44"/>
      <c r="AY223" s="44">
        <v>1</v>
      </c>
      <c r="AZ223" s="44">
        <v>1</v>
      </c>
      <c r="BA223" s="34">
        <v>1</v>
      </c>
      <c r="BB223" s="34">
        <v>1</v>
      </c>
      <c r="BC223" s="34">
        <v>1</v>
      </c>
    </row>
    <row r="224" spans="1:55" customFormat="1" ht="21" customHeight="1" x14ac:dyDescent="0.25">
      <c r="A224" s="22"/>
      <c r="B224" s="42" t="s">
        <v>499</v>
      </c>
      <c r="C224" s="42" t="s">
        <v>246</v>
      </c>
      <c r="D224" s="42" t="s">
        <v>575</v>
      </c>
      <c r="E224" s="34" t="s">
        <v>576</v>
      </c>
      <c r="F224" s="42"/>
      <c r="G224" s="42"/>
      <c r="H224" s="42"/>
      <c r="I224" s="42">
        <v>1</v>
      </c>
      <c r="J224" s="42">
        <v>1</v>
      </c>
      <c r="K224" s="44">
        <v>1</v>
      </c>
      <c r="L224" s="42">
        <v>1</v>
      </c>
      <c r="M224" s="42">
        <v>1</v>
      </c>
      <c r="N224" s="42">
        <v>1</v>
      </c>
      <c r="O224" s="42">
        <v>1</v>
      </c>
      <c r="P224" s="42">
        <v>1</v>
      </c>
      <c r="Q224" s="42">
        <v>1</v>
      </c>
      <c r="R224" s="42"/>
      <c r="S224" s="42"/>
      <c r="T224" s="42">
        <v>1</v>
      </c>
      <c r="U224" s="42">
        <v>1</v>
      </c>
      <c r="V224" s="44">
        <v>1</v>
      </c>
      <c r="W224" s="42">
        <v>1</v>
      </c>
      <c r="X224" s="42">
        <v>1</v>
      </c>
      <c r="Y224" s="42">
        <v>1</v>
      </c>
      <c r="Z224" s="42">
        <v>1</v>
      </c>
      <c r="AA224" s="42">
        <v>1</v>
      </c>
      <c r="AB224" s="42">
        <v>1</v>
      </c>
      <c r="AC224" s="42"/>
      <c r="AD224" s="42">
        <v>1</v>
      </c>
      <c r="AE224" s="42">
        <v>1</v>
      </c>
      <c r="AF224" s="42">
        <v>1</v>
      </c>
      <c r="AG224" s="44">
        <v>1</v>
      </c>
      <c r="AH224" s="42">
        <v>1</v>
      </c>
      <c r="AI224" s="42">
        <v>1</v>
      </c>
      <c r="AJ224" s="42">
        <v>1</v>
      </c>
      <c r="AK224" s="42">
        <v>1</v>
      </c>
      <c r="AL224" s="42">
        <v>1</v>
      </c>
      <c r="AM224" s="42">
        <v>1</v>
      </c>
      <c r="AN224" s="42"/>
      <c r="AO224" s="42"/>
      <c r="AP224" s="42"/>
      <c r="AQ224" s="42"/>
      <c r="AR224" s="44"/>
      <c r="AS224" s="44"/>
      <c r="AT224" s="44"/>
      <c r="AU224" s="44"/>
      <c r="AV224" s="44"/>
      <c r="AW224" s="44">
        <v>1</v>
      </c>
      <c r="AX224" s="44">
        <v>1</v>
      </c>
      <c r="AY224" s="44">
        <v>1</v>
      </c>
      <c r="AZ224" s="44">
        <v>1</v>
      </c>
      <c r="BA224" s="34">
        <v>1</v>
      </c>
      <c r="BB224" s="34">
        <v>1</v>
      </c>
      <c r="BC224" s="34"/>
    </row>
    <row r="225" spans="1:55" customFormat="1" ht="21" customHeight="1" x14ac:dyDescent="0.25">
      <c r="A225" s="22"/>
      <c r="B225" s="42" t="s">
        <v>499</v>
      </c>
      <c r="C225" s="42" t="s">
        <v>246</v>
      </c>
      <c r="D225" s="42" t="s">
        <v>577</v>
      </c>
      <c r="E225" s="34" t="s">
        <v>578</v>
      </c>
      <c r="F225" s="42"/>
      <c r="G225" s="42"/>
      <c r="H225" s="42"/>
      <c r="I225" s="42">
        <v>1</v>
      </c>
      <c r="J225" s="42">
        <v>1</v>
      </c>
      <c r="K225" s="44">
        <v>1</v>
      </c>
      <c r="L225" s="42">
        <v>1</v>
      </c>
      <c r="M225" s="42">
        <v>1</v>
      </c>
      <c r="N225" s="42">
        <v>1</v>
      </c>
      <c r="O225" s="42">
        <v>1</v>
      </c>
      <c r="P225" s="42">
        <v>1</v>
      </c>
      <c r="Q225" s="42">
        <v>1</v>
      </c>
      <c r="R225" s="42"/>
      <c r="S225" s="42"/>
      <c r="T225" s="42">
        <v>1</v>
      </c>
      <c r="U225" s="42">
        <v>1</v>
      </c>
      <c r="V225" s="44">
        <v>1</v>
      </c>
      <c r="W225" s="42">
        <v>1</v>
      </c>
      <c r="X225" s="42">
        <v>1</v>
      </c>
      <c r="Y225" s="42"/>
      <c r="Z225" s="42">
        <v>1</v>
      </c>
      <c r="AA225" s="42">
        <v>1</v>
      </c>
      <c r="AB225" s="42">
        <v>1</v>
      </c>
      <c r="AC225" s="42"/>
      <c r="AD225" s="42">
        <v>1</v>
      </c>
      <c r="AE225" s="42">
        <v>1</v>
      </c>
      <c r="AF225" s="42">
        <v>1</v>
      </c>
      <c r="AG225" s="44">
        <v>1</v>
      </c>
      <c r="AH225" s="44">
        <v>1</v>
      </c>
      <c r="AI225" s="42">
        <v>1</v>
      </c>
      <c r="AJ225" s="42"/>
      <c r="AK225" s="42">
        <v>1</v>
      </c>
      <c r="AL225" s="42">
        <v>1</v>
      </c>
      <c r="AM225" s="42">
        <v>1</v>
      </c>
      <c r="AN225" s="42"/>
      <c r="AO225" s="42"/>
      <c r="AP225" s="42">
        <v>1</v>
      </c>
      <c r="AQ225" s="42">
        <v>1</v>
      </c>
      <c r="AR225" s="44">
        <v>1</v>
      </c>
      <c r="AS225" s="44">
        <v>1</v>
      </c>
      <c r="AT225" s="44">
        <v>1</v>
      </c>
      <c r="AU225" s="44">
        <v>1</v>
      </c>
      <c r="AV225" s="44">
        <v>1</v>
      </c>
      <c r="AW225" s="46"/>
      <c r="AX225" s="44"/>
      <c r="AY225" s="44">
        <v>1</v>
      </c>
      <c r="AZ225" s="44">
        <v>1</v>
      </c>
      <c r="BA225" s="34">
        <v>1</v>
      </c>
      <c r="BB225" s="34">
        <v>1</v>
      </c>
      <c r="BC225" s="34">
        <v>1</v>
      </c>
    </row>
    <row r="226" spans="1:55" customFormat="1" ht="21" customHeight="1" x14ac:dyDescent="0.25">
      <c r="A226" s="22"/>
      <c r="B226" s="42" t="s">
        <v>499</v>
      </c>
      <c r="C226" s="42" t="s">
        <v>246</v>
      </c>
      <c r="D226" s="42" t="s">
        <v>579</v>
      </c>
      <c r="E226" s="34" t="s">
        <v>580</v>
      </c>
      <c r="F226" s="42"/>
      <c r="G226" s="42"/>
      <c r="H226" s="42"/>
      <c r="I226" s="42">
        <v>1</v>
      </c>
      <c r="J226" s="42">
        <v>1</v>
      </c>
      <c r="K226" s="44">
        <v>1</v>
      </c>
      <c r="L226" s="42">
        <v>1</v>
      </c>
      <c r="M226" s="42">
        <v>1</v>
      </c>
      <c r="N226" s="42"/>
      <c r="O226" s="42">
        <v>1</v>
      </c>
      <c r="P226" s="42">
        <v>1</v>
      </c>
      <c r="Q226" s="42">
        <v>1</v>
      </c>
      <c r="R226" s="42"/>
      <c r="S226" s="42"/>
      <c r="T226" s="42">
        <v>1</v>
      </c>
      <c r="U226" s="42">
        <v>1</v>
      </c>
      <c r="V226" s="44">
        <v>1</v>
      </c>
      <c r="W226" s="42">
        <v>1</v>
      </c>
      <c r="X226" s="42">
        <v>1</v>
      </c>
      <c r="Y226" s="42">
        <v>1</v>
      </c>
      <c r="Z226" s="42">
        <v>1</v>
      </c>
      <c r="AA226" s="42">
        <v>1</v>
      </c>
      <c r="AB226" s="42">
        <v>1</v>
      </c>
      <c r="AC226" s="42"/>
      <c r="AD226" s="42"/>
      <c r="AE226" s="42">
        <v>1</v>
      </c>
      <c r="AF226" s="42">
        <v>1</v>
      </c>
      <c r="AG226" s="44">
        <v>1</v>
      </c>
      <c r="AH226" s="44">
        <v>1</v>
      </c>
      <c r="AI226" s="42">
        <v>1</v>
      </c>
      <c r="AJ226" s="42"/>
      <c r="AK226" s="42">
        <v>1</v>
      </c>
      <c r="AL226" s="42">
        <v>1</v>
      </c>
      <c r="AM226" s="42">
        <v>1</v>
      </c>
      <c r="AN226" s="42"/>
      <c r="AO226" s="42">
        <v>1</v>
      </c>
      <c r="AP226" s="42">
        <v>1</v>
      </c>
      <c r="AQ226" s="42">
        <v>1</v>
      </c>
      <c r="AR226" s="42">
        <v>1</v>
      </c>
      <c r="AS226" s="42">
        <v>1</v>
      </c>
      <c r="AT226" s="42">
        <v>1</v>
      </c>
      <c r="AU226" s="42">
        <v>1</v>
      </c>
      <c r="AV226" s="42">
        <v>1</v>
      </c>
      <c r="AW226" s="46"/>
      <c r="AX226" s="44"/>
      <c r="AY226" s="44">
        <v>1</v>
      </c>
      <c r="AZ226" s="44">
        <v>1</v>
      </c>
      <c r="BA226" s="34">
        <v>1</v>
      </c>
      <c r="BB226" s="34">
        <v>1</v>
      </c>
      <c r="BC226" s="34">
        <v>1</v>
      </c>
    </row>
    <row r="227" spans="1:55" customFormat="1" ht="21" customHeight="1" x14ac:dyDescent="0.25">
      <c r="A227" s="22"/>
      <c r="B227" s="42" t="s">
        <v>499</v>
      </c>
      <c r="C227" s="42" t="s">
        <v>246</v>
      </c>
      <c r="D227" s="42" t="s">
        <v>581</v>
      </c>
      <c r="E227" s="42" t="s">
        <v>276</v>
      </c>
      <c r="F227" s="42"/>
      <c r="G227" s="42"/>
      <c r="H227" s="42">
        <v>1</v>
      </c>
      <c r="I227" s="42">
        <v>1</v>
      </c>
      <c r="J227" s="42">
        <v>1</v>
      </c>
      <c r="K227" s="44">
        <v>1</v>
      </c>
      <c r="L227" s="42">
        <v>1</v>
      </c>
      <c r="M227" s="42">
        <v>1</v>
      </c>
      <c r="N227" s="42">
        <v>1</v>
      </c>
      <c r="O227" s="42">
        <v>1</v>
      </c>
      <c r="P227" s="42">
        <v>1</v>
      </c>
      <c r="Q227" s="42">
        <v>1</v>
      </c>
      <c r="R227" s="42"/>
      <c r="S227" s="42"/>
      <c r="T227" s="42">
        <v>1</v>
      </c>
      <c r="U227" s="42">
        <v>1</v>
      </c>
      <c r="V227" s="44">
        <v>1</v>
      </c>
      <c r="W227" s="42">
        <v>1</v>
      </c>
      <c r="X227" s="42">
        <v>1</v>
      </c>
      <c r="Y227" s="42">
        <v>1</v>
      </c>
      <c r="Z227" s="42">
        <v>1</v>
      </c>
      <c r="AA227" s="42">
        <v>1</v>
      </c>
      <c r="AB227" s="42">
        <v>1</v>
      </c>
      <c r="AC227" s="42"/>
      <c r="AD227" s="42"/>
      <c r="AE227" s="42">
        <v>1</v>
      </c>
      <c r="AF227" s="42">
        <v>1</v>
      </c>
      <c r="AG227" s="44">
        <v>1</v>
      </c>
      <c r="AH227" s="44">
        <v>1</v>
      </c>
      <c r="AI227" s="42">
        <v>1</v>
      </c>
      <c r="AJ227" s="42">
        <v>1</v>
      </c>
      <c r="AK227" s="42">
        <v>1</v>
      </c>
      <c r="AL227" s="42">
        <v>1</v>
      </c>
      <c r="AM227" s="42">
        <v>1</v>
      </c>
      <c r="AN227" s="42"/>
      <c r="AO227" s="42"/>
      <c r="AP227" s="42"/>
      <c r="AQ227" s="42"/>
      <c r="AR227" s="44">
        <v>1</v>
      </c>
      <c r="AS227" s="44"/>
      <c r="AT227" s="44">
        <v>1</v>
      </c>
      <c r="AU227" s="44">
        <v>1</v>
      </c>
      <c r="AV227" s="44">
        <v>1</v>
      </c>
      <c r="AW227" s="46"/>
      <c r="AX227" s="44"/>
      <c r="AY227" s="44">
        <v>1</v>
      </c>
      <c r="AZ227" s="44">
        <v>1</v>
      </c>
      <c r="BA227" s="34">
        <v>1</v>
      </c>
      <c r="BB227" s="34">
        <v>1</v>
      </c>
      <c r="BC227" s="34">
        <v>1</v>
      </c>
    </row>
    <row r="228" spans="1:55" customFormat="1" ht="21" customHeight="1" x14ac:dyDescent="0.25">
      <c r="A228" s="22"/>
      <c r="B228" s="42" t="s">
        <v>499</v>
      </c>
      <c r="C228" s="42" t="s">
        <v>246</v>
      </c>
      <c r="D228" s="42" t="s">
        <v>582</v>
      </c>
      <c r="E228" s="34" t="s">
        <v>583</v>
      </c>
      <c r="F228" s="42"/>
      <c r="G228" s="42"/>
      <c r="H228" s="42"/>
      <c r="I228" s="42">
        <v>1</v>
      </c>
      <c r="J228" s="42">
        <v>1</v>
      </c>
      <c r="K228" s="44">
        <v>1</v>
      </c>
      <c r="L228" s="42">
        <v>1</v>
      </c>
      <c r="M228" s="42">
        <v>1</v>
      </c>
      <c r="N228" s="42">
        <v>1</v>
      </c>
      <c r="O228" s="42">
        <v>1</v>
      </c>
      <c r="P228" s="42">
        <v>1</v>
      </c>
      <c r="Q228" s="42">
        <v>1</v>
      </c>
      <c r="R228" s="42"/>
      <c r="S228" s="42"/>
      <c r="T228" s="42"/>
      <c r="U228" s="42"/>
      <c r="V228" s="44">
        <v>1</v>
      </c>
      <c r="W228" s="42">
        <v>1</v>
      </c>
      <c r="X228" s="42">
        <v>1</v>
      </c>
      <c r="Y228" s="42"/>
      <c r="Z228" s="42">
        <v>1</v>
      </c>
      <c r="AA228" s="42">
        <v>1</v>
      </c>
      <c r="AB228" s="42">
        <v>1</v>
      </c>
      <c r="AC228" s="42"/>
      <c r="AD228" s="42">
        <v>1</v>
      </c>
      <c r="AE228" s="42">
        <v>1</v>
      </c>
      <c r="AF228" s="42">
        <v>1</v>
      </c>
      <c r="AG228" s="44">
        <v>1</v>
      </c>
      <c r="AH228" s="44">
        <v>1</v>
      </c>
      <c r="AI228" s="42">
        <v>1</v>
      </c>
      <c r="AJ228" s="42">
        <v>1</v>
      </c>
      <c r="AK228" s="42">
        <v>1</v>
      </c>
      <c r="AL228" s="42">
        <v>1</v>
      </c>
      <c r="AM228" s="42">
        <v>1</v>
      </c>
      <c r="AN228" s="42"/>
      <c r="AO228" s="42"/>
      <c r="AP228" s="42"/>
      <c r="AQ228" s="42"/>
      <c r="AR228" s="44">
        <v>1</v>
      </c>
      <c r="AS228" s="44"/>
      <c r="AT228" s="44">
        <v>1</v>
      </c>
      <c r="AU228" s="44">
        <v>1</v>
      </c>
      <c r="AV228" s="44">
        <v>1</v>
      </c>
      <c r="AW228" s="46"/>
      <c r="AX228" s="44"/>
      <c r="AY228" s="44"/>
      <c r="AZ228" s="44">
        <v>1</v>
      </c>
      <c r="BA228" s="34">
        <v>1</v>
      </c>
      <c r="BB228" s="34">
        <v>1</v>
      </c>
      <c r="BC228" s="34"/>
    </row>
    <row r="229" spans="1:55" customFormat="1" ht="21" customHeight="1" x14ac:dyDescent="0.25">
      <c r="A229" s="22"/>
      <c r="B229" s="42" t="s">
        <v>499</v>
      </c>
      <c r="C229" s="42" t="s">
        <v>244</v>
      </c>
      <c r="D229" s="42" t="s">
        <v>584</v>
      </c>
      <c r="E229" s="42" t="s">
        <v>585</v>
      </c>
      <c r="F229" s="42"/>
      <c r="G229" s="42"/>
      <c r="H229" s="42"/>
      <c r="I229" s="42"/>
      <c r="J229" s="42"/>
      <c r="K229" s="44"/>
      <c r="L229" s="42"/>
      <c r="M229" s="42"/>
      <c r="N229" s="42">
        <v>1</v>
      </c>
      <c r="O229" s="42">
        <v>1</v>
      </c>
      <c r="P229" s="42"/>
      <c r="Q229" s="42"/>
      <c r="R229" s="42"/>
      <c r="S229" s="42">
        <v>1</v>
      </c>
      <c r="T229" s="42">
        <v>1</v>
      </c>
      <c r="U229" s="42">
        <v>1</v>
      </c>
      <c r="V229" s="42">
        <v>1</v>
      </c>
      <c r="W229" s="42"/>
      <c r="X229" s="42"/>
      <c r="Y229" s="42">
        <v>1</v>
      </c>
      <c r="Z229" s="42">
        <v>1</v>
      </c>
      <c r="AA229" s="42">
        <v>1</v>
      </c>
      <c r="AB229" s="42">
        <v>1</v>
      </c>
      <c r="AC229" s="42"/>
      <c r="AD229" s="42"/>
      <c r="AE229" s="42"/>
      <c r="AF229" s="42"/>
      <c r="AG229" s="44">
        <v>1</v>
      </c>
      <c r="AH229" s="42">
        <v>1</v>
      </c>
      <c r="AI229" s="42"/>
      <c r="AJ229" s="42"/>
      <c r="AK229" s="42"/>
      <c r="AL229" s="42"/>
      <c r="AM229" s="42"/>
      <c r="AN229" s="42"/>
      <c r="AO229" s="42"/>
      <c r="AP229" s="42"/>
      <c r="AQ229" s="42"/>
      <c r="AR229" s="44"/>
      <c r="AS229" s="44"/>
      <c r="AT229" s="44"/>
      <c r="AU229" s="44"/>
      <c r="AV229" s="44"/>
      <c r="AW229" s="46"/>
      <c r="AX229" s="44"/>
      <c r="AY229" s="44"/>
      <c r="AZ229" s="44"/>
      <c r="BA229" s="34">
        <v>1</v>
      </c>
      <c r="BB229" s="34">
        <v>1</v>
      </c>
      <c r="BC229" s="34">
        <v>1</v>
      </c>
    </row>
    <row r="230" spans="1:55" customFormat="1" ht="21" customHeight="1" x14ac:dyDescent="0.25">
      <c r="A230" s="22"/>
      <c r="B230" s="42" t="s">
        <v>499</v>
      </c>
      <c r="C230" s="42" t="s">
        <v>246</v>
      </c>
      <c r="D230" s="42" t="s">
        <v>586</v>
      </c>
      <c r="E230" s="34" t="s">
        <v>587</v>
      </c>
      <c r="F230" s="42"/>
      <c r="G230" s="42"/>
      <c r="H230" s="42">
        <v>1</v>
      </c>
      <c r="I230" s="42">
        <v>1</v>
      </c>
      <c r="J230" s="42">
        <v>1</v>
      </c>
      <c r="K230" s="44">
        <v>1</v>
      </c>
      <c r="L230" s="42">
        <v>1</v>
      </c>
      <c r="M230" s="42">
        <v>1</v>
      </c>
      <c r="N230" s="42">
        <v>1</v>
      </c>
      <c r="O230" s="42">
        <v>1</v>
      </c>
      <c r="P230" s="42">
        <v>1</v>
      </c>
      <c r="Q230" s="42">
        <v>1</v>
      </c>
      <c r="R230" s="42"/>
      <c r="S230" s="42"/>
      <c r="T230" s="42"/>
      <c r="U230" s="42"/>
      <c r="V230" s="44">
        <v>1</v>
      </c>
      <c r="W230" s="42">
        <v>1</v>
      </c>
      <c r="X230" s="42">
        <v>1</v>
      </c>
      <c r="Y230" s="42">
        <v>1</v>
      </c>
      <c r="Z230" s="42">
        <v>1</v>
      </c>
      <c r="AA230" s="42">
        <v>1</v>
      </c>
      <c r="AB230" s="42">
        <v>1</v>
      </c>
      <c r="AC230" s="42"/>
      <c r="AD230" s="42"/>
      <c r="AE230" s="42">
        <v>1</v>
      </c>
      <c r="AF230" s="42">
        <v>1</v>
      </c>
      <c r="AG230" s="44">
        <v>1</v>
      </c>
      <c r="AH230" s="42">
        <v>1</v>
      </c>
      <c r="AI230" s="42">
        <v>1</v>
      </c>
      <c r="AJ230" s="42"/>
      <c r="AK230" s="42">
        <v>1</v>
      </c>
      <c r="AL230" s="42">
        <v>1</v>
      </c>
      <c r="AM230" s="42">
        <v>1</v>
      </c>
      <c r="AN230" s="42"/>
      <c r="AO230" s="42"/>
      <c r="AP230" s="42">
        <v>1</v>
      </c>
      <c r="AQ230" s="42">
        <v>1</v>
      </c>
      <c r="AR230" s="44">
        <v>1</v>
      </c>
      <c r="AS230" s="44"/>
      <c r="AT230" s="44"/>
      <c r="AU230" s="44"/>
      <c r="AV230" s="44"/>
      <c r="AW230" s="46"/>
      <c r="AX230" s="44"/>
      <c r="AY230" s="44">
        <v>1</v>
      </c>
      <c r="AZ230" s="44">
        <v>1</v>
      </c>
      <c r="BA230" s="34">
        <v>1</v>
      </c>
      <c r="BB230" s="34">
        <v>1</v>
      </c>
      <c r="BC230" s="34">
        <v>1</v>
      </c>
    </row>
    <row r="231" spans="1:55" customFormat="1" ht="21" customHeight="1" x14ac:dyDescent="0.25">
      <c r="A231" s="22"/>
      <c r="B231" s="42" t="s">
        <v>499</v>
      </c>
      <c r="C231" s="42" t="s">
        <v>244</v>
      </c>
      <c r="D231" s="42" t="s">
        <v>588</v>
      </c>
      <c r="E231" s="42" t="s">
        <v>589</v>
      </c>
      <c r="F231" s="42"/>
      <c r="G231" s="42"/>
      <c r="H231" s="42"/>
      <c r="I231" s="42"/>
      <c r="J231" s="42"/>
      <c r="K231" s="44">
        <v>1</v>
      </c>
      <c r="L231" s="42">
        <v>1</v>
      </c>
      <c r="M231" s="42"/>
      <c r="N231" s="42">
        <v>1</v>
      </c>
      <c r="O231" s="42">
        <v>1</v>
      </c>
      <c r="P231" s="42"/>
      <c r="Q231" s="42">
        <v>1</v>
      </c>
      <c r="R231" s="42"/>
      <c r="S231" s="42"/>
      <c r="T231" s="42"/>
      <c r="U231" s="42"/>
      <c r="V231" s="44">
        <v>1</v>
      </c>
      <c r="W231" s="42">
        <v>1</v>
      </c>
      <c r="X231" s="42">
        <v>1</v>
      </c>
      <c r="Y231" s="42"/>
      <c r="Z231" s="42">
        <v>1</v>
      </c>
      <c r="AA231" s="42"/>
      <c r="AB231" s="42">
        <v>1</v>
      </c>
      <c r="AC231" s="42"/>
      <c r="AD231" s="42">
        <v>1</v>
      </c>
      <c r="AE231" s="42">
        <v>1</v>
      </c>
      <c r="AF231" s="42">
        <v>1</v>
      </c>
      <c r="AG231" s="42">
        <v>1</v>
      </c>
      <c r="AH231" s="42">
        <v>1</v>
      </c>
      <c r="AI231" s="42">
        <v>1</v>
      </c>
      <c r="AJ231" s="42">
        <v>1</v>
      </c>
      <c r="AK231" s="42">
        <v>1</v>
      </c>
      <c r="AL231" s="42">
        <v>1</v>
      </c>
      <c r="AM231" s="42">
        <v>1</v>
      </c>
      <c r="AN231" s="42"/>
      <c r="AO231" s="42"/>
      <c r="AP231" s="42"/>
      <c r="AQ231" s="42"/>
      <c r="AR231" s="44"/>
      <c r="AS231" s="44"/>
      <c r="AT231" s="44"/>
      <c r="AU231" s="44"/>
      <c r="AV231" s="44"/>
      <c r="AW231" s="46"/>
      <c r="AX231" s="44"/>
      <c r="AY231" s="44"/>
      <c r="AZ231" s="44"/>
      <c r="BA231" s="34">
        <v>1</v>
      </c>
      <c r="BB231" s="34">
        <v>1</v>
      </c>
      <c r="BC231" s="34"/>
    </row>
    <row r="232" spans="1:55" customFormat="1" ht="21" customHeight="1" x14ac:dyDescent="0.25">
      <c r="A232" s="22"/>
      <c r="B232" s="42" t="s">
        <v>499</v>
      </c>
      <c r="C232" s="42" t="s">
        <v>255</v>
      </c>
      <c r="D232" s="42" t="s">
        <v>590</v>
      </c>
      <c r="E232" s="42" t="s">
        <v>591</v>
      </c>
      <c r="F232" s="42"/>
      <c r="G232" s="42"/>
      <c r="H232" s="42"/>
      <c r="I232" s="42"/>
      <c r="J232" s="42"/>
      <c r="K232" s="44"/>
      <c r="L232" s="42">
        <v>1</v>
      </c>
      <c r="M232" s="42">
        <v>1</v>
      </c>
      <c r="N232" s="42">
        <v>1</v>
      </c>
      <c r="O232" s="42">
        <v>1</v>
      </c>
      <c r="P232" s="42">
        <v>1</v>
      </c>
      <c r="Q232" s="42">
        <v>1</v>
      </c>
      <c r="R232" s="42"/>
      <c r="S232" s="42"/>
      <c r="T232" s="42"/>
      <c r="U232" s="42"/>
      <c r="V232" s="44">
        <v>1</v>
      </c>
      <c r="W232" s="42"/>
      <c r="X232" s="42"/>
      <c r="Y232" s="42"/>
      <c r="Z232" s="42"/>
      <c r="AA232" s="42">
        <v>1</v>
      </c>
      <c r="AB232" s="42">
        <v>1</v>
      </c>
      <c r="AC232" s="42"/>
      <c r="AD232" s="42"/>
      <c r="AE232" s="42">
        <v>1</v>
      </c>
      <c r="AF232" s="42">
        <v>1</v>
      </c>
      <c r="AG232" s="44">
        <v>1</v>
      </c>
      <c r="AH232" s="44">
        <v>1</v>
      </c>
      <c r="AI232" s="42">
        <v>1</v>
      </c>
      <c r="AJ232" s="42">
        <v>1</v>
      </c>
      <c r="AK232" s="42">
        <v>1</v>
      </c>
      <c r="AL232" s="42">
        <v>1</v>
      </c>
      <c r="AM232" s="42">
        <v>1</v>
      </c>
      <c r="AN232" s="42"/>
      <c r="AO232" s="42">
        <v>1</v>
      </c>
      <c r="AP232" s="42">
        <v>1</v>
      </c>
      <c r="AQ232" s="42">
        <v>1</v>
      </c>
      <c r="AR232" s="44">
        <v>1</v>
      </c>
      <c r="AS232" s="44"/>
      <c r="AT232" s="44">
        <v>1</v>
      </c>
      <c r="AU232" s="44">
        <v>1</v>
      </c>
      <c r="AV232" s="44">
        <v>1</v>
      </c>
      <c r="AW232" s="46">
        <v>1</v>
      </c>
      <c r="AX232" s="44">
        <v>1</v>
      </c>
      <c r="AY232" s="44">
        <v>1</v>
      </c>
      <c r="AZ232" s="44">
        <v>1</v>
      </c>
      <c r="BA232" s="34">
        <v>1</v>
      </c>
      <c r="BB232" s="34">
        <v>1</v>
      </c>
      <c r="BC232" s="34"/>
    </row>
    <row r="233" spans="1:55" customFormat="1" ht="21" customHeight="1" x14ac:dyDescent="0.25">
      <c r="A233" s="22"/>
      <c r="B233" s="42" t="s">
        <v>499</v>
      </c>
      <c r="C233" s="42" t="s">
        <v>255</v>
      </c>
      <c r="D233" s="42" t="s">
        <v>592</v>
      </c>
      <c r="E233" s="42" t="s">
        <v>269</v>
      </c>
      <c r="F233" s="42"/>
      <c r="G233" s="42"/>
      <c r="H233" s="42"/>
      <c r="I233" s="42">
        <v>1</v>
      </c>
      <c r="J233" s="42">
        <v>1</v>
      </c>
      <c r="K233" s="44">
        <v>1</v>
      </c>
      <c r="L233" s="42">
        <v>1</v>
      </c>
      <c r="M233" s="42">
        <v>1</v>
      </c>
      <c r="N233" s="42">
        <v>1</v>
      </c>
      <c r="O233" s="42">
        <v>1</v>
      </c>
      <c r="P233" s="42">
        <v>1</v>
      </c>
      <c r="Q233" s="42">
        <v>1</v>
      </c>
      <c r="R233" s="42"/>
      <c r="S233" s="42"/>
      <c r="T233" s="42"/>
      <c r="U233" s="42"/>
      <c r="V233" s="44">
        <v>1</v>
      </c>
      <c r="W233" s="42">
        <v>1</v>
      </c>
      <c r="X233" s="42">
        <v>1</v>
      </c>
      <c r="Y233" s="42"/>
      <c r="Z233" s="42">
        <v>1</v>
      </c>
      <c r="AA233" s="42">
        <v>1</v>
      </c>
      <c r="AB233" s="42">
        <v>1</v>
      </c>
      <c r="AC233" s="42"/>
      <c r="AD233" s="42">
        <v>1</v>
      </c>
      <c r="AE233" s="42">
        <v>1</v>
      </c>
      <c r="AF233" s="42">
        <v>1</v>
      </c>
      <c r="AG233" s="44">
        <v>1</v>
      </c>
      <c r="AH233" s="42">
        <v>1</v>
      </c>
      <c r="AI233" s="42">
        <v>1</v>
      </c>
      <c r="AJ233" s="42">
        <v>1</v>
      </c>
      <c r="AK233" s="42">
        <v>1</v>
      </c>
      <c r="AL233" s="42">
        <v>1</v>
      </c>
      <c r="AM233" s="42">
        <v>1</v>
      </c>
      <c r="AN233" s="42"/>
      <c r="AO233" s="42"/>
      <c r="AP233" s="42">
        <v>1</v>
      </c>
      <c r="AQ233" s="42">
        <v>1</v>
      </c>
      <c r="AR233" s="44">
        <v>1</v>
      </c>
      <c r="AS233" s="44">
        <v>1</v>
      </c>
      <c r="AT233" s="44">
        <v>1</v>
      </c>
      <c r="AU233" s="44">
        <v>1</v>
      </c>
      <c r="AV233" s="44">
        <v>1</v>
      </c>
      <c r="AW233" s="46">
        <v>1</v>
      </c>
      <c r="AX233" s="44">
        <v>1</v>
      </c>
      <c r="AY233" s="44">
        <v>1</v>
      </c>
      <c r="AZ233" s="44">
        <v>1</v>
      </c>
      <c r="BA233" s="34">
        <v>1</v>
      </c>
      <c r="BB233" s="34">
        <v>1</v>
      </c>
      <c r="BC233" s="34">
        <v>1</v>
      </c>
    </row>
    <row r="234" spans="1:55" customFormat="1" ht="21" customHeight="1" x14ac:dyDescent="0.25">
      <c r="A234" s="22"/>
      <c r="B234" s="42" t="s">
        <v>499</v>
      </c>
      <c r="C234" s="42" t="s">
        <v>255</v>
      </c>
      <c r="D234" s="42" t="s">
        <v>593</v>
      </c>
      <c r="E234" s="42" t="s">
        <v>403</v>
      </c>
      <c r="F234" s="42"/>
      <c r="G234" s="42"/>
      <c r="H234" s="42"/>
      <c r="I234" s="42">
        <v>1</v>
      </c>
      <c r="J234" s="42">
        <v>1</v>
      </c>
      <c r="K234" s="44">
        <v>1</v>
      </c>
      <c r="L234" s="42">
        <v>1</v>
      </c>
      <c r="M234" s="42">
        <v>1</v>
      </c>
      <c r="N234" s="42"/>
      <c r="O234" s="42"/>
      <c r="P234" s="42">
        <v>1</v>
      </c>
      <c r="Q234" s="42">
        <v>1</v>
      </c>
      <c r="R234" s="42"/>
      <c r="S234" s="42"/>
      <c r="T234" s="42">
        <v>1</v>
      </c>
      <c r="U234" s="42">
        <v>1</v>
      </c>
      <c r="V234" s="44">
        <v>1</v>
      </c>
      <c r="W234" s="42">
        <v>1</v>
      </c>
      <c r="X234" s="42">
        <v>1</v>
      </c>
      <c r="Y234" s="42"/>
      <c r="Z234" s="42">
        <v>1</v>
      </c>
      <c r="AA234" s="42">
        <v>1</v>
      </c>
      <c r="AB234" s="42">
        <v>1</v>
      </c>
      <c r="AC234" s="42"/>
      <c r="AD234" s="42">
        <v>1</v>
      </c>
      <c r="AE234" s="42">
        <v>1</v>
      </c>
      <c r="AF234" s="42">
        <v>1</v>
      </c>
      <c r="AG234" s="44">
        <v>1</v>
      </c>
      <c r="AH234" s="44">
        <v>1</v>
      </c>
      <c r="AI234" s="42">
        <v>1</v>
      </c>
      <c r="AJ234" s="42"/>
      <c r="AK234" s="42">
        <v>1</v>
      </c>
      <c r="AL234" s="42">
        <v>1</v>
      </c>
      <c r="AM234" s="42">
        <v>1</v>
      </c>
      <c r="AN234" s="42"/>
      <c r="AO234" s="42"/>
      <c r="AP234" s="42">
        <v>1</v>
      </c>
      <c r="AQ234" s="42">
        <v>1</v>
      </c>
      <c r="AR234" s="44">
        <v>1</v>
      </c>
      <c r="AS234" s="44">
        <v>1</v>
      </c>
      <c r="AT234" s="44">
        <v>1</v>
      </c>
      <c r="AU234" s="44">
        <v>1</v>
      </c>
      <c r="AV234" s="44">
        <v>1</v>
      </c>
      <c r="AW234" s="46"/>
      <c r="AX234" s="44"/>
      <c r="AY234" s="44"/>
      <c r="AZ234" s="44"/>
      <c r="BA234" s="34">
        <v>1</v>
      </c>
      <c r="BB234" s="34">
        <v>1</v>
      </c>
      <c r="BC234" s="34"/>
    </row>
    <row r="235" spans="1:55" customFormat="1" ht="21" customHeight="1" x14ac:dyDescent="0.25">
      <c r="A235" s="22"/>
      <c r="B235" s="42" t="s">
        <v>499</v>
      </c>
      <c r="C235" s="42" t="s">
        <v>255</v>
      </c>
      <c r="D235" s="42" t="s">
        <v>594</v>
      </c>
      <c r="E235" s="42" t="s">
        <v>269</v>
      </c>
      <c r="F235" s="42"/>
      <c r="G235" s="42"/>
      <c r="H235" s="42">
        <v>1</v>
      </c>
      <c r="I235" s="42">
        <v>1</v>
      </c>
      <c r="J235" s="42">
        <v>1</v>
      </c>
      <c r="K235" s="44">
        <v>1</v>
      </c>
      <c r="L235" s="42">
        <v>1</v>
      </c>
      <c r="M235" s="42">
        <v>1</v>
      </c>
      <c r="N235" s="42"/>
      <c r="O235" s="42">
        <v>1</v>
      </c>
      <c r="P235" s="42">
        <v>1</v>
      </c>
      <c r="Q235" s="42">
        <v>1</v>
      </c>
      <c r="R235" s="42"/>
      <c r="S235" s="42"/>
      <c r="T235" s="42">
        <v>1</v>
      </c>
      <c r="U235" s="42">
        <v>1</v>
      </c>
      <c r="V235" s="44">
        <v>1</v>
      </c>
      <c r="W235" s="42">
        <v>1</v>
      </c>
      <c r="X235" s="42">
        <v>1</v>
      </c>
      <c r="Y235" s="42"/>
      <c r="Z235" s="42">
        <v>1</v>
      </c>
      <c r="AA235" s="42">
        <v>1</v>
      </c>
      <c r="AB235" s="42">
        <v>1</v>
      </c>
      <c r="AC235" s="42"/>
      <c r="AD235" s="42"/>
      <c r="AE235" s="42">
        <v>1</v>
      </c>
      <c r="AF235" s="42">
        <v>1</v>
      </c>
      <c r="AG235" s="44">
        <v>1</v>
      </c>
      <c r="AH235" s="42">
        <v>1</v>
      </c>
      <c r="AI235" s="42">
        <v>1</v>
      </c>
      <c r="AJ235" s="42"/>
      <c r="AK235" s="42">
        <v>1</v>
      </c>
      <c r="AL235" s="42">
        <v>1</v>
      </c>
      <c r="AM235" s="42">
        <v>1</v>
      </c>
      <c r="AN235" s="42"/>
      <c r="AO235" s="42"/>
      <c r="AP235" s="42">
        <v>1</v>
      </c>
      <c r="AQ235" s="42">
        <v>1</v>
      </c>
      <c r="AR235" s="44">
        <v>1</v>
      </c>
      <c r="AS235" s="44">
        <v>1</v>
      </c>
      <c r="AT235" s="44">
        <v>1</v>
      </c>
      <c r="AU235" s="44">
        <v>1</v>
      </c>
      <c r="AV235" s="44">
        <v>1</v>
      </c>
      <c r="AW235" s="44">
        <v>1</v>
      </c>
      <c r="AX235" s="44">
        <v>1</v>
      </c>
      <c r="AY235" s="44"/>
      <c r="AZ235" s="44">
        <v>1</v>
      </c>
      <c r="BA235" s="34">
        <v>1</v>
      </c>
      <c r="BB235" s="34">
        <v>1</v>
      </c>
      <c r="BC235" s="34">
        <v>1</v>
      </c>
    </row>
    <row r="236" spans="1:55" customFormat="1" ht="21" customHeight="1" x14ac:dyDescent="0.25">
      <c r="A236" s="22"/>
      <c r="B236" s="42" t="s">
        <v>499</v>
      </c>
      <c r="C236" s="42" t="s">
        <v>255</v>
      </c>
      <c r="D236" s="42" t="s">
        <v>595</v>
      </c>
      <c r="E236" s="42" t="s">
        <v>493</v>
      </c>
      <c r="F236" s="42"/>
      <c r="G236" s="42"/>
      <c r="H236" s="42"/>
      <c r="I236" s="42">
        <v>1</v>
      </c>
      <c r="J236" s="42">
        <v>1</v>
      </c>
      <c r="K236" s="44">
        <v>1</v>
      </c>
      <c r="L236" s="42">
        <v>1</v>
      </c>
      <c r="M236" s="42">
        <v>1</v>
      </c>
      <c r="N236" s="42">
        <v>1</v>
      </c>
      <c r="O236" s="42">
        <v>1</v>
      </c>
      <c r="P236" s="42">
        <v>1</v>
      </c>
      <c r="Q236" s="42">
        <v>1</v>
      </c>
      <c r="R236" s="42"/>
      <c r="S236" s="42"/>
      <c r="T236" s="42">
        <v>1</v>
      </c>
      <c r="U236" s="42">
        <v>1</v>
      </c>
      <c r="V236" s="44">
        <v>1</v>
      </c>
      <c r="W236" s="42">
        <v>1</v>
      </c>
      <c r="X236" s="42">
        <v>1</v>
      </c>
      <c r="Y236" s="42"/>
      <c r="Z236" s="42">
        <v>1</v>
      </c>
      <c r="AA236" s="42">
        <v>1</v>
      </c>
      <c r="AB236" s="42">
        <v>1</v>
      </c>
      <c r="AC236" s="42"/>
      <c r="AD236" s="42"/>
      <c r="AE236" s="42">
        <v>1</v>
      </c>
      <c r="AF236" s="42">
        <v>1</v>
      </c>
      <c r="AG236" s="44">
        <v>1</v>
      </c>
      <c r="AH236" s="42">
        <v>1</v>
      </c>
      <c r="AI236" s="42">
        <v>1</v>
      </c>
      <c r="AJ236" s="42">
        <v>1</v>
      </c>
      <c r="AK236" s="42">
        <v>1</v>
      </c>
      <c r="AL236" s="42">
        <v>1</v>
      </c>
      <c r="AM236" s="42">
        <v>1</v>
      </c>
      <c r="AN236" s="42"/>
      <c r="AO236" s="42">
        <v>1</v>
      </c>
      <c r="AP236" s="42">
        <v>1</v>
      </c>
      <c r="AQ236" s="42">
        <v>1</v>
      </c>
      <c r="AR236" s="44">
        <v>1</v>
      </c>
      <c r="AS236" s="44">
        <v>1</v>
      </c>
      <c r="AT236" s="44">
        <v>1</v>
      </c>
      <c r="AU236" s="44">
        <v>1</v>
      </c>
      <c r="AV236" s="44">
        <v>1</v>
      </c>
      <c r="AW236" s="44">
        <v>1</v>
      </c>
      <c r="AX236" s="44">
        <v>1</v>
      </c>
      <c r="AY236" s="44"/>
      <c r="AZ236" s="44"/>
      <c r="BA236" s="34">
        <v>1</v>
      </c>
      <c r="BB236" s="34">
        <v>1</v>
      </c>
      <c r="BC236" s="34"/>
    </row>
    <row r="237" spans="1:55" customFormat="1" ht="21" customHeight="1" x14ac:dyDescent="0.25">
      <c r="A237" s="22"/>
      <c r="B237" s="42" t="s">
        <v>499</v>
      </c>
      <c r="C237" s="42" t="s">
        <v>255</v>
      </c>
      <c r="D237" s="42" t="s">
        <v>596</v>
      </c>
      <c r="E237" s="42" t="s">
        <v>597</v>
      </c>
      <c r="F237" s="42"/>
      <c r="G237" s="42"/>
      <c r="H237" s="42"/>
      <c r="I237" s="42">
        <v>1</v>
      </c>
      <c r="J237" s="42">
        <v>1</v>
      </c>
      <c r="K237" s="44">
        <v>1</v>
      </c>
      <c r="L237" s="42">
        <v>1</v>
      </c>
      <c r="M237" s="42">
        <v>1</v>
      </c>
      <c r="N237" s="42">
        <v>1</v>
      </c>
      <c r="O237" s="42">
        <v>1</v>
      </c>
      <c r="P237" s="42">
        <v>1</v>
      </c>
      <c r="Q237" s="42">
        <v>1</v>
      </c>
      <c r="R237" s="42"/>
      <c r="S237" s="42"/>
      <c r="T237" s="42">
        <v>1</v>
      </c>
      <c r="U237" s="42">
        <v>1</v>
      </c>
      <c r="V237" s="44"/>
      <c r="W237" s="42">
        <v>1</v>
      </c>
      <c r="X237" s="42">
        <v>1</v>
      </c>
      <c r="Y237" s="42">
        <v>1</v>
      </c>
      <c r="Z237" s="42">
        <v>1</v>
      </c>
      <c r="AA237" s="42">
        <v>1</v>
      </c>
      <c r="AB237" s="42">
        <v>1</v>
      </c>
      <c r="AC237" s="42"/>
      <c r="AD237" s="42"/>
      <c r="AE237" s="42">
        <v>1</v>
      </c>
      <c r="AF237" s="42">
        <v>1</v>
      </c>
      <c r="AG237" s="44">
        <v>1</v>
      </c>
      <c r="AH237" s="42">
        <v>1</v>
      </c>
      <c r="AI237" s="42">
        <v>1</v>
      </c>
      <c r="AJ237" s="42">
        <v>1</v>
      </c>
      <c r="AK237" s="42">
        <v>1</v>
      </c>
      <c r="AL237" s="42"/>
      <c r="AM237" s="42">
        <v>1</v>
      </c>
      <c r="AN237" s="42"/>
      <c r="AO237" s="42">
        <v>1</v>
      </c>
      <c r="AP237" s="42">
        <v>1</v>
      </c>
      <c r="AQ237" s="42">
        <v>1</v>
      </c>
      <c r="AR237" s="44">
        <v>1</v>
      </c>
      <c r="AS237" s="44">
        <v>1</v>
      </c>
      <c r="AT237" s="44">
        <v>1</v>
      </c>
      <c r="AU237" s="44">
        <v>1</v>
      </c>
      <c r="AV237" s="44">
        <v>1</v>
      </c>
      <c r="AW237" s="44">
        <v>1</v>
      </c>
      <c r="AX237" s="44">
        <v>1</v>
      </c>
      <c r="AY237" s="44">
        <v>1</v>
      </c>
      <c r="AZ237" s="44">
        <v>1</v>
      </c>
      <c r="BA237" s="46">
        <v>1</v>
      </c>
      <c r="BB237" s="34"/>
      <c r="BC237" s="34"/>
    </row>
    <row r="238" spans="1:55" customFormat="1" ht="21" customHeight="1" x14ac:dyDescent="0.25">
      <c r="A238" s="22"/>
      <c r="B238" s="42" t="s">
        <v>499</v>
      </c>
      <c r="C238" s="42" t="s">
        <v>244</v>
      </c>
      <c r="D238" s="42" t="s">
        <v>598</v>
      </c>
      <c r="E238" s="34" t="s">
        <v>599</v>
      </c>
      <c r="F238" s="42"/>
      <c r="G238" s="42"/>
      <c r="H238" s="42"/>
      <c r="I238" s="42">
        <v>1</v>
      </c>
      <c r="J238" s="42">
        <v>1</v>
      </c>
      <c r="K238" s="44">
        <v>1</v>
      </c>
      <c r="L238" s="42">
        <v>1</v>
      </c>
      <c r="M238" s="42">
        <v>1</v>
      </c>
      <c r="N238" s="42">
        <v>1</v>
      </c>
      <c r="O238" s="42">
        <v>1</v>
      </c>
      <c r="P238" s="42">
        <v>1</v>
      </c>
      <c r="Q238" s="42">
        <v>1</v>
      </c>
      <c r="R238" s="42"/>
      <c r="S238" s="42"/>
      <c r="T238" s="42">
        <v>1</v>
      </c>
      <c r="U238" s="42">
        <v>1</v>
      </c>
      <c r="V238" s="44">
        <v>1</v>
      </c>
      <c r="W238" s="42">
        <v>1</v>
      </c>
      <c r="X238" s="42">
        <v>1</v>
      </c>
      <c r="Y238" s="42">
        <v>1</v>
      </c>
      <c r="Z238" s="42"/>
      <c r="AA238" s="42">
        <v>1</v>
      </c>
      <c r="AB238" s="42">
        <v>1</v>
      </c>
      <c r="AC238" s="42"/>
      <c r="AD238" s="42">
        <v>1</v>
      </c>
      <c r="AE238" s="42">
        <v>1</v>
      </c>
      <c r="AF238" s="42">
        <v>1</v>
      </c>
      <c r="AG238" s="44">
        <v>1</v>
      </c>
      <c r="AH238" s="44">
        <v>1</v>
      </c>
      <c r="AI238" s="42">
        <v>1</v>
      </c>
      <c r="AJ238" s="42">
        <v>1</v>
      </c>
      <c r="AK238" s="42">
        <v>1</v>
      </c>
      <c r="AL238" s="42">
        <v>1</v>
      </c>
      <c r="AM238" s="42">
        <v>1</v>
      </c>
      <c r="AN238" s="42"/>
      <c r="AO238" s="42"/>
      <c r="AP238" s="42">
        <v>1</v>
      </c>
      <c r="AQ238" s="42">
        <v>1</v>
      </c>
      <c r="AR238" s="44">
        <v>1</v>
      </c>
      <c r="AS238" s="44">
        <v>1</v>
      </c>
      <c r="AT238" s="44">
        <v>1</v>
      </c>
      <c r="AU238" s="42">
        <v>1</v>
      </c>
      <c r="AV238" s="42">
        <v>1</v>
      </c>
      <c r="AW238" s="46"/>
      <c r="AX238" s="44"/>
      <c r="AY238" s="44">
        <v>1</v>
      </c>
      <c r="AZ238" s="44"/>
      <c r="BA238" s="34">
        <v>1</v>
      </c>
      <c r="BB238" s="34">
        <v>1</v>
      </c>
      <c r="BC238" s="34">
        <v>1</v>
      </c>
    </row>
    <row r="239" spans="1:55" customFormat="1" ht="21" customHeight="1" x14ac:dyDescent="0.25">
      <c r="A239" s="22"/>
      <c r="B239" s="42" t="s">
        <v>499</v>
      </c>
      <c r="C239" s="42" t="s">
        <v>244</v>
      </c>
      <c r="D239" s="42" t="s">
        <v>600</v>
      </c>
      <c r="E239" s="42" t="s">
        <v>430</v>
      </c>
      <c r="F239" s="42"/>
      <c r="G239" s="42"/>
      <c r="H239" s="42"/>
      <c r="I239" s="42">
        <v>1</v>
      </c>
      <c r="J239" s="42">
        <v>1</v>
      </c>
      <c r="K239" s="44">
        <v>1</v>
      </c>
      <c r="L239" s="42"/>
      <c r="M239" s="42">
        <v>1</v>
      </c>
      <c r="N239" s="42"/>
      <c r="O239" s="42"/>
      <c r="P239" s="42"/>
      <c r="Q239" s="42">
        <v>1</v>
      </c>
      <c r="R239" s="42"/>
      <c r="S239" s="42"/>
      <c r="T239" s="42">
        <v>1</v>
      </c>
      <c r="U239" s="42">
        <v>1</v>
      </c>
      <c r="V239" s="44">
        <v>1</v>
      </c>
      <c r="W239" s="42">
        <v>1</v>
      </c>
      <c r="X239" s="42">
        <v>1</v>
      </c>
      <c r="Y239" s="42"/>
      <c r="Z239" s="42"/>
      <c r="AA239" s="42">
        <v>1</v>
      </c>
      <c r="AB239" s="42">
        <v>1</v>
      </c>
      <c r="AC239" s="42"/>
      <c r="AD239" s="42">
        <v>1</v>
      </c>
      <c r="AE239" s="42">
        <v>1</v>
      </c>
      <c r="AF239" s="42">
        <v>1</v>
      </c>
      <c r="AG239" s="44">
        <v>1</v>
      </c>
      <c r="AH239" s="44">
        <v>1</v>
      </c>
      <c r="AI239" s="42">
        <v>1</v>
      </c>
      <c r="AJ239" s="42"/>
      <c r="AK239" s="42">
        <v>1</v>
      </c>
      <c r="AL239" s="42">
        <v>1</v>
      </c>
      <c r="AM239" s="42">
        <v>1</v>
      </c>
      <c r="AN239" s="42"/>
      <c r="AO239" s="42"/>
      <c r="AP239" s="42"/>
      <c r="AQ239" s="42"/>
      <c r="AR239" s="44"/>
      <c r="AS239" s="44">
        <v>1</v>
      </c>
      <c r="AT239" s="44">
        <v>1</v>
      </c>
      <c r="AU239" s="42">
        <v>1</v>
      </c>
      <c r="AV239" s="42">
        <v>1</v>
      </c>
      <c r="AW239" s="46"/>
      <c r="AX239" s="44"/>
      <c r="AY239" s="44"/>
      <c r="AZ239" s="44"/>
      <c r="BA239" s="46"/>
      <c r="BB239" s="34"/>
      <c r="BC239" s="34"/>
    </row>
    <row r="240" spans="1:55" customFormat="1" ht="21" customHeight="1" x14ac:dyDescent="0.25">
      <c r="A240" s="22"/>
      <c r="B240" s="42" t="s">
        <v>499</v>
      </c>
      <c r="C240" s="42" t="s">
        <v>255</v>
      </c>
      <c r="D240" s="42" t="s">
        <v>601</v>
      </c>
      <c r="E240" s="34" t="s">
        <v>602</v>
      </c>
      <c r="F240" s="42"/>
      <c r="G240" s="42"/>
      <c r="H240" s="42"/>
      <c r="I240" s="42"/>
      <c r="J240" s="42"/>
      <c r="K240" s="44">
        <v>1</v>
      </c>
      <c r="L240" s="42">
        <v>1</v>
      </c>
      <c r="M240" s="42">
        <v>1</v>
      </c>
      <c r="N240" s="42">
        <v>1</v>
      </c>
      <c r="O240" s="42">
        <v>1</v>
      </c>
      <c r="P240" s="42">
        <v>1</v>
      </c>
      <c r="Q240" s="42">
        <v>1</v>
      </c>
      <c r="R240" s="42"/>
      <c r="S240" s="42"/>
      <c r="T240" s="42">
        <v>1</v>
      </c>
      <c r="U240" s="42">
        <v>1</v>
      </c>
      <c r="V240" s="44">
        <v>1</v>
      </c>
      <c r="W240" s="42"/>
      <c r="X240" s="42">
        <v>1</v>
      </c>
      <c r="Y240" s="42"/>
      <c r="Z240" s="42">
        <v>1</v>
      </c>
      <c r="AA240" s="42">
        <v>1</v>
      </c>
      <c r="AB240" s="42"/>
      <c r="AC240" s="42"/>
      <c r="AD240" s="42"/>
      <c r="AE240" s="42"/>
      <c r="AF240" s="42"/>
      <c r="AG240" s="44">
        <v>1</v>
      </c>
      <c r="AH240" s="44">
        <v>1</v>
      </c>
      <c r="AI240" s="42">
        <v>1</v>
      </c>
      <c r="AJ240" s="42">
        <v>1</v>
      </c>
      <c r="AK240" s="42">
        <v>1</v>
      </c>
      <c r="AL240" s="42">
        <v>1</v>
      </c>
      <c r="AM240" s="42">
        <v>1</v>
      </c>
      <c r="AN240" s="42"/>
      <c r="AO240" s="42">
        <v>1</v>
      </c>
      <c r="AP240" s="42">
        <v>1</v>
      </c>
      <c r="AQ240" s="42">
        <v>1</v>
      </c>
      <c r="AR240" s="44"/>
      <c r="AS240" s="44"/>
      <c r="AT240" s="44"/>
      <c r="AU240" s="42"/>
      <c r="AV240" s="42"/>
      <c r="AW240" s="46">
        <v>1</v>
      </c>
      <c r="AX240" s="44">
        <v>1</v>
      </c>
      <c r="AY240" s="44">
        <v>1</v>
      </c>
      <c r="AZ240" s="44">
        <v>1</v>
      </c>
      <c r="BA240" s="46">
        <v>1</v>
      </c>
      <c r="BB240" s="34">
        <v>1</v>
      </c>
      <c r="BC240" s="34"/>
    </row>
    <row r="241" spans="1:55" customFormat="1" ht="21" customHeight="1" x14ac:dyDescent="0.25">
      <c r="A241" s="22"/>
      <c r="B241" s="42" t="s">
        <v>499</v>
      </c>
      <c r="C241" s="42" t="s">
        <v>255</v>
      </c>
      <c r="D241" s="42" t="s">
        <v>603</v>
      </c>
      <c r="E241" s="42" t="s">
        <v>403</v>
      </c>
      <c r="F241" s="42"/>
      <c r="G241" s="42"/>
      <c r="H241" s="42"/>
      <c r="I241" s="42">
        <v>1</v>
      </c>
      <c r="J241" s="42">
        <v>1</v>
      </c>
      <c r="K241" s="44">
        <v>1</v>
      </c>
      <c r="L241" s="42">
        <v>1</v>
      </c>
      <c r="M241" s="42">
        <v>1</v>
      </c>
      <c r="N241" s="42">
        <v>1</v>
      </c>
      <c r="O241" s="42">
        <v>1</v>
      </c>
      <c r="P241" s="42">
        <v>1</v>
      </c>
      <c r="Q241" s="42">
        <v>1</v>
      </c>
      <c r="R241" s="42"/>
      <c r="S241" s="42"/>
      <c r="T241" s="42">
        <v>1</v>
      </c>
      <c r="U241" s="42">
        <v>1</v>
      </c>
      <c r="V241" s="44">
        <v>1</v>
      </c>
      <c r="W241" s="42">
        <v>1</v>
      </c>
      <c r="X241" s="42">
        <v>1</v>
      </c>
      <c r="Y241" s="42"/>
      <c r="Z241" s="42">
        <v>1</v>
      </c>
      <c r="AA241" s="42">
        <v>1</v>
      </c>
      <c r="AB241" s="42">
        <v>1</v>
      </c>
      <c r="AC241" s="42"/>
      <c r="AD241" s="42">
        <v>1</v>
      </c>
      <c r="AE241" s="42">
        <v>1</v>
      </c>
      <c r="AF241" s="42">
        <v>1</v>
      </c>
      <c r="AG241" s="44">
        <v>1</v>
      </c>
      <c r="AH241" s="42">
        <v>1</v>
      </c>
      <c r="AI241" s="42">
        <v>1</v>
      </c>
      <c r="AJ241" s="42">
        <v>1</v>
      </c>
      <c r="AK241" s="42">
        <v>1</v>
      </c>
      <c r="AL241" s="42">
        <v>1</v>
      </c>
      <c r="AM241" s="42">
        <v>1</v>
      </c>
      <c r="AN241" s="42"/>
      <c r="AO241" s="42"/>
      <c r="AP241" s="42">
        <v>1</v>
      </c>
      <c r="AQ241" s="42">
        <v>1</v>
      </c>
      <c r="AR241" s="44"/>
      <c r="AS241" s="44">
        <v>1</v>
      </c>
      <c r="AT241" s="44">
        <v>1</v>
      </c>
      <c r="AU241" s="42">
        <v>1</v>
      </c>
      <c r="AV241" s="42">
        <v>1</v>
      </c>
      <c r="AW241" s="46">
        <v>1</v>
      </c>
      <c r="AX241" s="44">
        <v>1</v>
      </c>
      <c r="AY241" s="44">
        <v>1</v>
      </c>
      <c r="AZ241" s="44">
        <v>1</v>
      </c>
      <c r="BA241" s="46"/>
      <c r="BB241" s="34"/>
      <c r="BC241" s="34">
        <v>1</v>
      </c>
    </row>
    <row r="242" spans="1:55" customFormat="1" ht="21" customHeight="1" x14ac:dyDescent="0.25">
      <c r="A242" s="22"/>
      <c r="B242" s="42" t="s">
        <v>499</v>
      </c>
      <c r="C242" s="42" t="s">
        <v>255</v>
      </c>
      <c r="D242" s="42" t="s">
        <v>604</v>
      </c>
      <c r="E242" s="42" t="s">
        <v>287</v>
      </c>
      <c r="F242" s="42"/>
      <c r="G242" s="42"/>
      <c r="H242" s="42"/>
      <c r="I242" s="42">
        <v>1</v>
      </c>
      <c r="J242" s="42">
        <v>1</v>
      </c>
      <c r="K242" s="44"/>
      <c r="L242" s="42"/>
      <c r="M242" s="42">
        <v>1</v>
      </c>
      <c r="N242" s="42">
        <v>1</v>
      </c>
      <c r="O242" s="42"/>
      <c r="P242" s="42">
        <v>1</v>
      </c>
      <c r="Q242" s="42">
        <v>1</v>
      </c>
      <c r="R242" s="42"/>
      <c r="S242" s="42"/>
      <c r="T242" s="42">
        <v>1</v>
      </c>
      <c r="U242" s="42">
        <v>1</v>
      </c>
      <c r="V242" s="44"/>
      <c r="W242" s="42"/>
      <c r="X242" s="42"/>
      <c r="Y242" s="42"/>
      <c r="Z242" s="42">
        <v>1</v>
      </c>
      <c r="AA242" s="42"/>
      <c r="AB242" s="42">
        <v>1</v>
      </c>
      <c r="AC242" s="42"/>
      <c r="AD242" s="42"/>
      <c r="AE242" s="42">
        <v>1</v>
      </c>
      <c r="AF242" s="42">
        <v>1</v>
      </c>
      <c r="AG242" s="44">
        <v>1</v>
      </c>
      <c r="AH242" s="42">
        <v>1</v>
      </c>
      <c r="AI242" s="42">
        <v>1</v>
      </c>
      <c r="AJ242" s="42">
        <v>1</v>
      </c>
      <c r="AK242" s="42">
        <v>1</v>
      </c>
      <c r="AL242" s="42">
        <v>1</v>
      </c>
      <c r="AM242" s="42">
        <v>1</v>
      </c>
      <c r="AN242" s="42"/>
      <c r="AO242" s="42">
        <v>1</v>
      </c>
      <c r="AP242" s="42">
        <v>1</v>
      </c>
      <c r="AQ242" s="42">
        <v>1</v>
      </c>
      <c r="AR242" s="44"/>
      <c r="AS242" s="44"/>
      <c r="AT242" s="44">
        <v>1</v>
      </c>
      <c r="AU242" s="42">
        <v>1</v>
      </c>
      <c r="AV242" s="42">
        <v>1</v>
      </c>
      <c r="AW242" s="46">
        <v>1</v>
      </c>
      <c r="AX242" s="44">
        <v>1</v>
      </c>
      <c r="AY242" s="44">
        <v>1</v>
      </c>
      <c r="AZ242" s="44">
        <v>1</v>
      </c>
      <c r="BA242" s="46"/>
      <c r="BB242" s="34"/>
      <c r="BC242" s="34"/>
    </row>
    <row r="243" spans="1:55" customFormat="1" ht="21" customHeight="1" x14ac:dyDescent="0.25">
      <c r="A243" s="22"/>
      <c r="B243" s="42" t="s">
        <v>499</v>
      </c>
      <c r="C243" s="42" t="s">
        <v>244</v>
      </c>
      <c r="D243" s="42" t="s">
        <v>605</v>
      </c>
      <c r="E243" s="34" t="s">
        <v>606</v>
      </c>
      <c r="F243" s="42"/>
      <c r="G243" s="42"/>
      <c r="H243" s="42"/>
      <c r="I243" s="42"/>
      <c r="J243" s="42"/>
      <c r="K243" s="44">
        <v>1</v>
      </c>
      <c r="L243" s="42">
        <v>1</v>
      </c>
      <c r="M243" s="42">
        <v>1</v>
      </c>
      <c r="N243" s="42"/>
      <c r="O243" s="42">
        <v>1</v>
      </c>
      <c r="P243" s="42">
        <v>1</v>
      </c>
      <c r="Q243" s="42">
        <v>1</v>
      </c>
      <c r="R243" s="42"/>
      <c r="S243" s="42"/>
      <c r="T243" s="42">
        <v>1</v>
      </c>
      <c r="U243" s="42">
        <v>1</v>
      </c>
      <c r="V243" s="44">
        <v>1</v>
      </c>
      <c r="W243" s="42">
        <v>1</v>
      </c>
      <c r="X243" s="42">
        <v>1</v>
      </c>
      <c r="Y243" s="42"/>
      <c r="Z243" s="42"/>
      <c r="AA243" s="42">
        <v>1</v>
      </c>
      <c r="AB243" s="42">
        <v>1</v>
      </c>
      <c r="AC243" s="42"/>
      <c r="AD243" s="42">
        <v>1</v>
      </c>
      <c r="AE243" s="42">
        <v>1</v>
      </c>
      <c r="AF243" s="42">
        <v>1</v>
      </c>
      <c r="AG243" s="44">
        <v>1</v>
      </c>
      <c r="AH243" s="42"/>
      <c r="AI243" s="42">
        <v>1</v>
      </c>
      <c r="AJ243" s="42"/>
      <c r="AK243" s="42">
        <v>1</v>
      </c>
      <c r="AL243" s="42">
        <v>1</v>
      </c>
      <c r="AM243" s="42">
        <v>1</v>
      </c>
      <c r="AN243" s="42"/>
      <c r="AO243" s="42"/>
      <c r="AP243" s="42">
        <v>1</v>
      </c>
      <c r="AQ243" s="42">
        <v>1</v>
      </c>
      <c r="AR243" s="44">
        <v>1</v>
      </c>
      <c r="AS243" s="44">
        <v>1</v>
      </c>
      <c r="AT243" s="44">
        <v>1</v>
      </c>
      <c r="AU243" s="42">
        <v>1</v>
      </c>
      <c r="AV243" s="42">
        <v>1</v>
      </c>
      <c r="AW243" s="46">
        <v>1</v>
      </c>
      <c r="AX243" s="44">
        <v>1</v>
      </c>
      <c r="AY243" s="44"/>
      <c r="AZ243" s="44"/>
      <c r="BA243" s="34">
        <v>1</v>
      </c>
      <c r="BB243" s="34">
        <v>1</v>
      </c>
      <c r="BC243" s="34"/>
    </row>
    <row r="244" spans="1:55" customFormat="1" ht="21" customHeight="1" x14ac:dyDescent="0.25">
      <c r="A244" s="22"/>
      <c r="B244" s="42" t="s">
        <v>499</v>
      </c>
      <c r="C244" s="42" t="s">
        <v>244</v>
      </c>
      <c r="D244" s="42" t="s">
        <v>607</v>
      </c>
      <c r="E244" s="42" t="s">
        <v>469</v>
      </c>
      <c r="F244" s="42"/>
      <c r="G244" s="42"/>
      <c r="H244" s="42"/>
      <c r="I244" s="42">
        <v>1</v>
      </c>
      <c r="J244" s="42">
        <v>1</v>
      </c>
      <c r="K244" s="44">
        <v>1</v>
      </c>
      <c r="L244" s="42">
        <v>1</v>
      </c>
      <c r="M244" s="42">
        <v>1</v>
      </c>
      <c r="N244" s="42"/>
      <c r="O244" s="42">
        <v>1</v>
      </c>
      <c r="P244" s="42">
        <v>1</v>
      </c>
      <c r="Q244" s="42">
        <v>1</v>
      </c>
      <c r="R244" s="42"/>
      <c r="S244" s="42"/>
      <c r="T244" s="42">
        <v>1</v>
      </c>
      <c r="U244" s="42">
        <v>1</v>
      </c>
      <c r="V244" s="44">
        <v>1</v>
      </c>
      <c r="W244" s="42">
        <v>1</v>
      </c>
      <c r="X244" s="42">
        <v>1</v>
      </c>
      <c r="Y244" s="42">
        <v>1</v>
      </c>
      <c r="Z244" s="42">
        <v>1</v>
      </c>
      <c r="AA244" s="42">
        <v>1</v>
      </c>
      <c r="AB244" s="42">
        <v>1</v>
      </c>
      <c r="AC244" s="42"/>
      <c r="AD244" s="42">
        <v>1</v>
      </c>
      <c r="AE244" s="42">
        <v>1</v>
      </c>
      <c r="AF244" s="42">
        <v>1</v>
      </c>
      <c r="AG244" s="44">
        <v>1</v>
      </c>
      <c r="AH244" s="42">
        <v>1</v>
      </c>
      <c r="AI244" s="42">
        <v>1</v>
      </c>
      <c r="AJ244" s="42"/>
      <c r="AK244" s="42">
        <v>1</v>
      </c>
      <c r="AL244" s="42">
        <v>1</v>
      </c>
      <c r="AM244" s="42">
        <v>1</v>
      </c>
      <c r="AN244" s="42"/>
      <c r="AO244" s="42"/>
      <c r="AP244" s="42">
        <v>1</v>
      </c>
      <c r="AQ244" s="42">
        <v>1</v>
      </c>
      <c r="AR244" s="44">
        <v>1</v>
      </c>
      <c r="AS244" s="44">
        <v>1</v>
      </c>
      <c r="AT244" s="44">
        <v>1</v>
      </c>
      <c r="AU244" s="42">
        <v>1</v>
      </c>
      <c r="AV244" s="42">
        <v>1</v>
      </c>
      <c r="AW244" s="46">
        <v>1</v>
      </c>
      <c r="AX244" s="44">
        <v>1</v>
      </c>
      <c r="AY244" s="44"/>
      <c r="AZ244" s="44"/>
      <c r="BA244" s="34">
        <v>1</v>
      </c>
      <c r="BB244" s="34">
        <v>1</v>
      </c>
      <c r="BC244" s="34">
        <v>1</v>
      </c>
    </row>
    <row r="245" spans="1:55" customFormat="1" ht="21" customHeight="1" x14ac:dyDescent="0.25">
      <c r="A245" s="22"/>
      <c r="B245" s="42" t="s">
        <v>499</v>
      </c>
      <c r="C245" s="42" t="s">
        <v>255</v>
      </c>
      <c r="D245" s="42" t="s">
        <v>608</v>
      </c>
      <c r="E245" s="42" t="s">
        <v>390</v>
      </c>
      <c r="F245" s="42"/>
      <c r="G245" s="42"/>
      <c r="H245" s="42"/>
      <c r="I245" s="42"/>
      <c r="J245" s="42"/>
      <c r="K245" s="44">
        <v>1</v>
      </c>
      <c r="L245" s="42">
        <v>1</v>
      </c>
      <c r="M245" s="42">
        <v>1</v>
      </c>
      <c r="N245" s="42">
        <v>1</v>
      </c>
      <c r="O245" s="42">
        <v>1</v>
      </c>
      <c r="P245" s="42">
        <v>1</v>
      </c>
      <c r="Q245" s="42">
        <v>1</v>
      </c>
      <c r="R245" s="42"/>
      <c r="S245" s="42">
        <v>1</v>
      </c>
      <c r="T245" s="42">
        <v>1</v>
      </c>
      <c r="U245" s="42">
        <v>1</v>
      </c>
      <c r="V245" s="44">
        <v>1</v>
      </c>
      <c r="W245" s="42"/>
      <c r="X245" s="42"/>
      <c r="Y245" s="42">
        <v>1</v>
      </c>
      <c r="Z245" s="42">
        <v>1</v>
      </c>
      <c r="AA245" s="42">
        <v>1</v>
      </c>
      <c r="AB245" s="42">
        <v>1</v>
      </c>
      <c r="AC245" s="42"/>
      <c r="AD245" s="42">
        <v>1</v>
      </c>
      <c r="AE245" s="42">
        <v>1</v>
      </c>
      <c r="AF245" s="42">
        <v>1</v>
      </c>
      <c r="AG245" s="44">
        <v>1</v>
      </c>
      <c r="AH245" s="42">
        <v>1</v>
      </c>
      <c r="AI245" s="42">
        <v>1</v>
      </c>
      <c r="AJ245" s="42">
        <v>1</v>
      </c>
      <c r="AK245" s="42">
        <v>1</v>
      </c>
      <c r="AL245" s="42">
        <v>1</v>
      </c>
      <c r="AM245" s="42">
        <v>1</v>
      </c>
      <c r="AN245" s="42"/>
      <c r="AO245" s="42"/>
      <c r="AP245" s="42"/>
      <c r="AQ245" s="42"/>
      <c r="AR245" s="44">
        <v>1</v>
      </c>
      <c r="AS245" s="44">
        <v>1</v>
      </c>
      <c r="AT245" s="44"/>
      <c r="AU245" s="42"/>
      <c r="AV245" s="42"/>
      <c r="AW245" s="46"/>
      <c r="AX245" s="44"/>
      <c r="AY245" s="44">
        <v>1</v>
      </c>
      <c r="AZ245" s="44"/>
      <c r="BA245" s="34">
        <v>1</v>
      </c>
      <c r="BB245" s="34">
        <v>1</v>
      </c>
      <c r="BC245" s="34">
        <v>1</v>
      </c>
    </row>
    <row r="246" spans="1:55" customFormat="1" ht="21" customHeight="1" x14ac:dyDescent="0.25">
      <c r="A246" s="22"/>
      <c r="B246" s="42" t="s">
        <v>499</v>
      </c>
      <c r="C246" s="42" t="s">
        <v>255</v>
      </c>
      <c r="D246" s="42" t="s">
        <v>609</v>
      </c>
      <c r="E246" s="42" t="s">
        <v>390</v>
      </c>
      <c r="F246" s="42"/>
      <c r="G246" s="42"/>
      <c r="H246" s="42">
        <v>1</v>
      </c>
      <c r="I246" s="42">
        <v>1</v>
      </c>
      <c r="J246" s="42">
        <v>1</v>
      </c>
      <c r="K246" s="44">
        <v>1</v>
      </c>
      <c r="L246" s="42">
        <v>1</v>
      </c>
      <c r="M246" s="42">
        <v>1</v>
      </c>
      <c r="N246" s="42"/>
      <c r="O246" s="42"/>
      <c r="P246" s="42">
        <v>1</v>
      </c>
      <c r="Q246" s="42">
        <v>1</v>
      </c>
      <c r="R246" s="42"/>
      <c r="S246" s="42"/>
      <c r="T246" s="42">
        <v>1</v>
      </c>
      <c r="U246" s="42">
        <v>1</v>
      </c>
      <c r="V246" s="44">
        <v>1</v>
      </c>
      <c r="W246" s="42">
        <v>1</v>
      </c>
      <c r="X246" s="42">
        <v>1</v>
      </c>
      <c r="Y246" s="42">
        <v>1</v>
      </c>
      <c r="Z246" s="42">
        <v>1</v>
      </c>
      <c r="AA246" s="42">
        <v>1</v>
      </c>
      <c r="AB246" s="42"/>
      <c r="AC246" s="42"/>
      <c r="AD246" s="42">
        <v>1</v>
      </c>
      <c r="AE246" s="42">
        <v>1</v>
      </c>
      <c r="AF246" s="42">
        <v>1</v>
      </c>
      <c r="AG246" s="44">
        <v>1</v>
      </c>
      <c r="AH246" s="42">
        <v>1</v>
      </c>
      <c r="AI246" s="42">
        <v>1</v>
      </c>
      <c r="AJ246" s="42">
        <v>1</v>
      </c>
      <c r="AK246" s="42">
        <v>1</v>
      </c>
      <c r="AL246" s="42">
        <v>1</v>
      </c>
      <c r="AM246" s="42">
        <v>1</v>
      </c>
      <c r="AN246" s="42"/>
      <c r="AO246" s="42"/>
      <c r="AP246" s="42"/>
      <c r="AQ246" s="42"/>
      <c r="AR246" s="44">
        <v>1</v>
      </c>
      <c r="AS246" s="44">
        <v>1</v>
      </c>
      <c r="AT246" s="44">
        <v>1</v>
      </c>
      <c r="AU246" s="42"/>
      <c r="AV246" s="42"/>
      <c r="AW246" s="46"/>
      <c r="AX246" s="44"/>
      <c r="AY246" s="44"/>
      <c r="AZ246" s="44"/>
      <c r="BA246" s="34">
        <v>1</v>
      </c>
      <c r="BB246" s="34">
        <v>1</v>
      </c>
      <c r="BC246" s="34"/>
    </row>
    <row r="247" spans="1:55" customFormat="1" ht="21" customHeight="1" x14ac:dyDescent="0.25">
      <c r="A247" s="22"/>
      <c r="B247" s="42" t="s">
        <v>499</v>
      </c>
      <c r="C247" s="42" t="s">
        <v>255</v>
      </c>
      <c r="D247" s="42" t="s">
        <v>610</v>
      </c>
      <c r="E247" s="42" t="s">
        <v>611</v>
      </c>
      <c r="F247" s="42"/>
      <c r="G247" s="42"/>
      <c r="H247" s="42">
        <v>1</v>
      </c>
      <c r="I247" s="42">
        <v>1</v>
      </c>
      <c r="J247" s="42">
        <v>1</v>
      </c>
      <c r="K247" s="44">
        <v>1</v>
      </c>
      <c r="L247" s="42">
        <v>1</v>
      </c>
      <c r="M247" s="42">
        <v>1</v>
      </c>
      <c r="N247" s="42">
        <v>1</v>
      </c>
      <c r="O247" s="42">
        <v>1</v>
      </c>
      <c r="P247" s="42">
        <v>1</v>
      </c>
      <c r="Q247" s="42">
        <v>1</v>
      </c>
      <c r="R247" s="42"/>
      <c r="S247" s="42">
        <v>1</v>
      </c>
      <c r="T247" s="42">
        <v>1</v>
      </c>
      <c r="U247" s="42">
        <v>1</v>
      </c>
      <c r="V247" s="44">
        <v>1</v>
      </c>
      <c r="W247" s="42">
        <v>1</v>
      </c>
      <c r="X247" s="42">
        <v>1</v>
      </c>
      <c r="Y247" s="42">
        <v>1</v>
      </c>
      <c r="Z247" s="42">
        <v>1</v>
      </c>
      <c r="AA247" s="42"/>
      <c r="AB247" s="42"/>
      <c r="AC247" s="42"/>
      <c r="AD247" s="42"/>
      <c r="AE247" s="42">
        <v>1</v>
      </c>
      <c r="AF247" s="42">
        <v>1</v>
      </c>
      <c r="AG247" s="44">
        <v>1</v>
      </c>
      <c r="AH247" s="42">
        <v>1</v>
      </c>
      <c r="AI247" s="42"/>
      <c r="AJ247" s="42">
        <v>1</v>
      </c>
      <c r="AK247" s="42">
        <v>1</v>
      </c>
      <c r="AL247" s="42">
        <v>1</v>
      </c>
      <c r="AM247" s="42">
        <v>1</v>
      </c>
      <c r="AN247" s="42"/>
      <c r="AO247" s="42"/>
      <c r="AP247" s="42"/>
      <c r="AQ247" s="42"/>
      <c r="AR247" s="44"/>
      <c r="AS247" s="44"/>
      <c r="AT247" s="44"/>
      <c r="AU247" s="42"/>
      <c r="AV247" s="42"/>
      <c r="AW247" s="46"/>
      <c r="AX247" s="44"/>
      <c r="AY247" s="44">
        <v>1</v>
      </c>
      <c r="AZ247" s="44"/>
      <c r="BA247" s="34">
        <v>1</v>
      </c>
      <c r="BB247" s="34">
        <v>1</v>
      </c>
      <c r="BC247" s="34"/>
    </row>
    <row r="248" spans="1:55" customFormat="1" ht="21" customHeight="1" x14ac:dyDescent="0.25">
      <c r="A248" s="22"/>
      <c r="B248" s="42" t="s">
        <v>499</v>
      </c>
      <c r="C248" s="42" t="s">
        <v>255</v>
      </c>
      <c r="D248" s="42" t="s">
        <v>612</v>
      </c>
      <c r="E248" s="42" t="s">
        <v>390</v>
      </c>
      <c r="F248" s="42"/>
      <c r="G248" s="42"/>
      <c r="H248" s="42"/>
      <c r="I248" s="42"/>
      <c r="J248" s="42"/>
      <c r="K248" s="44">
        <v>1</v>
      </c>
      <c r="L248" s="42">
        <v>1</v>
      </c>
      <c r="M248" s="42">
        <v>1</v>
      </c>
      <c r="N248" s="42"/>
      <c r="O248" s="42">
        <v>1</v>
      </c>
      <c r="P248" s="42">
        <v>1</v>
      </c>
      <c r="Q248" s="42">
        <v>1</v>
      </c>
      <c r="R248" s="42"/>
      <c r="S248" s="42">
        <v>1</v>
      </c>
      <c r="T248" s="42">
        <v>1</v>
      </c>
      <c r="U248" s="42">
        <v>1</v>
      </c>
      <c r="V248" s="44">
        <v>1</v>
      </c>
      <c r="W248" s="42">
        <v>1</v>
      </c>
      <c r="X248" s="42">
        <v>1</v>
      </c>
      <c r="Y248" s="42">
        <v>1</v>
      </c>
      <c r="Z248" s="42">
        <v>1</v>
      </c>
      <c r="AA248" s="42">
        <v>1</v>
      </c>
      <c r="AB248" s="42">
        <v>1</v>
      </c>
      <c r="AC248" s="42"/>
      <c r="AD248" s="42">
        <v>1</v>
      </c>
      <c r="AE248" s="42">
        <v>1</v>
      </c>
      <c r="AF248" s="42">
        <v>1</v>
      </c>
      <c r="AG248" s="44">
        <v>1</v>
      </c>
      <c r="AH248" s="42">
        <v>1</v>
      </c>
      <c r="AI248" s="42">
        <v>1</v>
      </c>
      <c r="AJ248" s="42">
        <v>1</v>
      </c>
      <c r="AK248" s="42">
        <v>1</v>
      </c>
      <c r="AL248" s="42">
        <v>1</v>
      </c>
      <c r="AM248" s="42">
        <v>1</v>
      </c>
      <c r="AN248" s="42"/>
      <c r="AO248" s="42"/>
      <c r="AP248" s="42"/>
      <c r="AQ248" s="42"/>
      <c r="AR248" s="44"/>
      <c r="AS248" s="44">
        <v>1</v>
      </c>
      <c r="AT248" s="44">
        <v>1</v>
      </c>
      <c r="AU248" s="42"/>
      <c r="AV248" s="42"/>
      <c r="AW248" s="46"/>
      <c r="AX248" s="44"/>
      <c r="AY248" s="44">
        <v>1</v>
      </c>
      <c r="AZ248" s="44"/>
      <c r="BA248" s="34">
        <v>1</v>
      </c>
      <c r="BB248" s="34">
        <v>1</v>
      </c>
      <c r="BC248" s="34">
        <v>1</v>
      </c>
    </row>
    <row r="249" spans="1:55" customFormat="1" ht="21" customHeight="1" x14ac:dyDescent="0.25">
      <c r="A249" s="22"/>
      <c r="B249" s="42" t="s">
        <v>499</v>
      </c>
      <c r="C249" s="42" t="s">
        <v>255</v>
      </c>
      <c r="D249" s="42" t="s">
        <v>613</v>
      </c>
      <c r="E249" s="42" t="s">
        <v>614</v>
      </c>
      <c r="F249" s="42"/>
      <c r="G249" s="42"/>
      <c r="H249" s="42">
        <v>1</v>
      </c>
      <c r="I249" s="42">
        <v>1</v>
      </c>
      <c r="J249" s="42">
        <v>1</v>
      </c>
      <c r="K249" s="44">
        <v>1</v>
      </c>
      <c r="L249" s="42">
        <v>1</v>
      </c>
      <c r="M249" s="42">
        <v>1</v>
      </c>
      <c r="N249" s="42">
        <v>1</v>
      </c>
      <c r="O249" s="42">
        <v>1</v>
      </c>
      <c r="P249" s="42">
        <v>1</v>
      </c>
      <c r="Q249" s="42">
        <v>1</v>
      </c>
      <c r="R249" s="42"/>
      <c r="S249" s="42"/>
      <c r="T249" s="42"/>
      <c r="U249" s="42"/>
      <c r="V249" s="44">
        <v>1</v>
      </c>
      <c r="W249" s="42">
        <v>1</v>
      </c>
      <c r="X249" s="42">
        <v>1</v>
      </c>
      <c r="Y249" s="42">
        <v>1</v>
      </c>
      <c r="Z249" s="42">
        <v>1</v>
      </c>
      <c r="AA249" s="42"/>
      <c r="AB249" s="42">
        <v>1</v>
      </c>
      <c r="AC249" s="42"/>
      <c r="AD249" s="42">
        <v>1</v>
      </c>
      <c r="AE249" s="42">
        <v>1</v>
      </c>
      <c r="AF249" s="42">
        <v>1</v>
      </c>
      <c r="AG249" s="44">
        <v>1</v>
      </c>
      <c r="AH249" s="42">
        <v>1</v>
      </c>
      <c r="AI249" s="42">
        <v>1</v>
      </c>
      <c r="AJ249" s="42"/>
      <c r="AK249" s="42">
        <v>1</v>
      </c>
      <c r="AL249" s="42">
        <v>1</v>
      </c>
      <c r="AM249" s="42">
        <v>1</v>
      </c>
      <c r="AN249" s="42"/>
      <c r="AO249" s="42"/>
      <c r="AP249" s="42"/>
      <c r="AQ249" s="42"/>
      <c r="AR249" s="44">
        <v>1</v>
      </c>
      <c r="AS249" s="44">
        <v>1</v>
      </c>
      <c r="AT249" s="44">
        <v>1</v>
      </c>
      <c r="AU249" s="42"/>
      <c r="AV249" s="42"/>
      <c r="AW249" s="46"/>
      <c r="AX249" s="44"/>
      <c r="AY249" s="44"/>
      <c r="AZ249" s="44"/>
      <c r="BA249" s="34">
        <v>1</v>
      </c>
      <c r="BB249" s="34">
        <v>1</v>
      </c>
      <c r="BC249" s="34">
        <v>1</v>
      </c>
    </row>
    <row r="250" spans="1:55" customFormat="1" ht="21" customHeight="1" x14ac:dyDescent="0.25">
      <c r="A250" s="22"/>
      <c r="B250" s="42" t="s">
        <v>499</v>
      </c>
      <c r="C250" s="42" t="s">
        <v>255</v>
      </c>
      <c r="D250" s="42" t="s">
        <v>615</v>
      </c>
      <c r="E250" s="42" t="s">
        <v>437</v>
      </c>
      <c r="F250" s="42"/>
      <c r="G250" s="42"/>
      <c r="H250" s="42">
        <v>1</v>
      </c>
      <c r="I250" s="42">
        <v>1</v>
      </c>
      <c r="J250" s="42">
        <v>1</v>
      </c>
      <c r="K250" s="44">
        <v>1</v>
      </c>
      <c r="L250" s="42"/>
      <c r="M250" s="42">
        <v>1</v>
      </c>
      <c r="N250" s="42">
        <v>1</v>
      </c>
      <c r="O250" s="42">
        <v>1</v>
      </c>
      <c r="P250" s="42">
        <v>1</v>
      </c>
      <c r="Q250" s="42">
        <v>1</v>
      </c>
      <c r="R250" s="42"/>
      <c r="S250" s="42"/>
      <c r="T250" s="42"/>
      <c r="U250" s="42"/>
      <c r="V250" s="44">
        <v>1</v>
      </c>
      <c r="W250" s="42"/>
      <c r="X250" s="42"/>
      <c r="Y250" s="42"/>
      <c r="Z250" s="42">
        <v>1</v>
      </c>
      <c r="AA250" s="42"/>
      <c r="AB250" s="42">
        <v>1</v>
      </c>
      <c r="AC250" s="42"/>
      <c r="AD250" s="42">
        <v>1</v>
      </c>
      <c r="AE250" s="42">
        <v>1</v>
      </c>
      <c r="AF250" s="42">
        <v>1</v>
      </c>
      <c r="AG250" s="44">
        <v>1</v>
      </c>
      <c r="AH250" s="44">
        <v>1</v>
      </c>
      <c r="AI250" s="42">
        <v>1</v>
      </c>
      <c r="AJ250" s="42"/>
      <c r="AK250" s="42">
        <v>1</v>
      </c>
      <c r="AL250" s="42">
        <v>1</v>
      </c>
      <c r="AM250" s="42">
        <v>1</v>
      </c>
      <c r="AN250" s="42"/>
      <c r="AO250" s="42"/>
      <c r="AP250" s="42"/>
      <c r="AQ250" s="42"/>
      <c r="AR250" s="44">
        <v>1</v>
      </c>
      <c r="AS250" s="44">
        <v>1</v>
      </c>
      <c r="AT250" s="44">
        <v>1</v>
      </c>
      <c r="AU250" s="42"/>
      <c r="AV250" s="42"/>
      <c r="AW250" s="44">
        <v>1</v>
      </c>
      <c r="AX250" s="44">
        <v>1</v>
      </c>
      <c r="AY250" s="44"/>
      <c r="AZ250" s="44">
        <v>1</v>
      </c>
      <c r="BA250" s="34">
        <v>1</v>
      </c>
      <c r="BB250" s="34">
        <v>1</v>
      </c>
      <c r="BC250" s="34">
        <v>1</v>
      </c>
    </row>
    <row r="251" spans="1:55" customFormat="1" ht="21" customHeight="1" x14ac:dyDescent="0.25">
      <c r="A251" s="22"/>
      <c r="B251" s="42" t="s">
        <v>499</v>
      </c>
      <c r="C251" s="42" t="s">
        <v>255</v>
      </c>
      <c r="D251" s="42" t="s">
        <v>616</v>
      </c>
      <c r="E251" s="42" t="s">
        <v>437</v>
      </c>
      <c r="F251" s="42"/>
      <c r="G251" s="42"/>
      <c r="H251" s="42">
        <v>1</v>
      </c>
      <c r="I251" s="42">
        <v>1</v>
      </c>
      <c r="J251" s="42">
        <v>1</v>
      </c>
      <c r="K251" s="44">
        <v>1</v>
      </c>
      <c r="L251" s="42">
        <v>1</v>
      </c>
      <c r="M251" s="42">
        <v>1</v>
      </c>
      <c r="N251" s="42">
        <v>1</v>
      </c>
      <c r="O251" s="42">
        <v>1</v>
      </c>
      <c r="P251" s="42">
        <v>1</v>
      </c>
      <c r="Q251" s="42">
        <v>1</v>
      </c>
      <c r="R251" s="42"/>
      <c r="S251" s="42"/>
      <c r="T251" s="42">
        <v>1</v>
      </c>
      <c r="U251" s="42">
        <v>1</v>
      </c>
      <c r="V251" s="44">
        <v>1</v>
      </c>
      <c r="W251" s="42">
        <v>1</v>
      </c>
      <c r="X251" s="42">
        <v>1</v>
      </c>
      <c r="Y251" s="42">
        <v>1</v>
      </c>
      <c r="Z251" s="42"/>
      <c r="AA251" s="42">
        <v>1</v>
      </c>
      <c r="AB251" s="42">
        <v>1</v>
      </c>
      <c r="AC251" s="42"/>
      <c r="AD251" s="42">
        <v>1</v>
      </c>
      <c r="AE251" s="42">
        <v>1</v>
      </c>
      <c r="AF251" s="42">
        <v>1</v>
      </c>
      <c r="AG251" s="44">
        <v>1</v>
      </c>
      <c r="AH251" s="44">
        <v>1</v>
      </c>
      <c r="AI251" s="42">
        <v>1</v>
      </c>
      <c r="AJ251" s="42">
        <v>1</v>
      </c>
      <c r="AK251" s="42">
        <v>1</v>
      </c>
      <c r="AL251" s="42">
        <v>1</v>
      </c>
      <c r="AM251" s="42">
        <v>1</v>
      </c>
      <c r="AN251" s="42"/>
      <c r="AO251" s="42"/>
      <c r="AP251" s="42"/>
      <c r="AQ251" s="42"/>
      <c r="AR251" s="44"/>
      <c r="AS251" s="44">
        <v>1</v>
      </c>
      <c r="AT251" s="44">
        <v>1</v>
      </c>
      <c r="AU251" s="42"/>
      <c r="AV251" s="42"/>
      <c r="AW251" s="44">
        <v>1</v>
      </c>
      <c r="AX251" s="44">
        <v>1</v>
      </c>
      <c r="AY251" s="44">
        <v>1</v>
      </c>
      <c r="AZ251" s="44">
        <v>1</v>
      </c>
      <c r="BA251" s="34">
        <v>1</v>
      </c>
      <c r="BB251" s="34">
        <v>1</v>
      </c>
      <c r="BC251" s="34">
        <v>1</v>
      </c>
    </row>
    <row r="252" spans="1:55" customFormat="1" ht="21" customHeight="1" x14ac:dyDescent="0.25">
      <c r="A252" s="22"/>
      <c r="B252" s="42" t="s">
        <v>499</v>
      </c>
      <c r="C252" s="42" t="s">
        <v>246</v>
      </c>
      <c r="D252" s="42" t="s">
        <v>617</v>
      </c>
      <c r="E252" s="42" t="s">
        <v>276</v>
      </c>
      <c r="F252" s="42"/>
      <c r="G252" s="42"/>
      <c r="H252" s="42">
        <v>1</v>
      </c>
      <c r="I252" s="42">
        <v>1</v>
      </c>
      <c r="J252" s="42">
        <v>1</v>
      </c>
      <c r="K252" s="44">
        <v>1</v>
      </c>
      <c r="L252" s="42">
        <v>1</v>
      </c>
      <c r="M252" s="42">
        <v>1</v>
      </c>
      <c r="N252" s="42">
        <v>1</v>
      </c>
      <c r="O252" s="42">
        <v>1</v>
      </c>
      <c r="P252" s="42">
        <v>1</v>
      </c>
      <c r="Q252" s="42">
        <v>1</v>
      </c>
      <c r="R252" s="42"/>
      <c r="S252" s="42">
        <v>1</v>
      </c>
      <c r="T252" s="42">
        <v>1</v>
      </c>
      <c r="U252" s="42">
        <v>1</v>
      </c>
      <c r="V252" s="44">
        <v>1</v>
      </c>
      <c r="W252" s="42">
        <v>1</v>
      </c>
      <c r="X252" s="42">
        <v>1</v>
      </c>
      <c r="Y252" s="42">
        <v>1</v>
      </c>
      <c r="Z252" s="42"/>
      <c r="AA252" s="42">
        <v>1</v>
      </c>
      <c r="AB252" s="42">
        <v>1</v>
      </c>
      <c r="AC252" s="42"/>
      <c r="AD252" s="42"/>
      <c r="AE252" s="42">
        <v>1</v>
      </c>
      <c r="AF252" s="42">
        <v>1</v>
      </c>
      <c r="AG252" s="44">
        <v>1</v>
      </c>
      <c r="AH252" s="42">
        <v>1</v>
      </c>
      <c r="AI252" s="42"/>
      <c r="AJ252" s="42">
        <v>1</v>
      </c>
      <c r="AK252" s="42">
        <v>1</v>
      </c>
      <c r="AL252" s="42">
        <v>1</v>
      </c>
      <c r="AM252" s="42">
        <v>1</v>
      </c>
      <c r="AN252" s="42"/>
      <c r="AO252" s="42"/>
      <c r="AP252" s="42">
        <v>1</v>
      </c>
      <c r="AQ252" s="42">
        <v>1</v>
      </c>
      <c r="AR252" s="44">
        <v>1</v>
      </c>
      <c r="AS252" s="44"/>
      <c r="AT252" s="44"/>
      <c r="AU252" s="42"/>
      <c r="AV252" s="42"/>
      <c r="AW252" s="46"/>
      <c r="AX252" s="44"/>
      <c r="AY252" s="44">
        <v>1</v>
      </c>
      <c r="AZ252" s="44"/>
      <c r="BA252" s="34">
        <v>1</v>
      </c>
      <c r="BB252" s="34">
        <v>1</v>
      </c>
      <c r="BC252" s="34">
        <v>1</v>
      </c>
    </row>
    <row r="253" spans="1:55" customFormat="1" ht="21" customHeight="1" x14ac:dyDescent="0.25">
      <c r="A253" s="22"/>
      <c r="B253" s="42" t="s">
        <v>499</v>
      </c>
      <c r="C253" s="42" t="s">
        <v>246</v>
      </c>
      <c r="D253" s="42" t="s">
        <v>618</v>
      </c>
      <c r="E253" s="42" t="s">
        <v>276</v>
      </c>
      <c r="F253" s="42"/>
      <c r="G253" s="42"/>
      <c r="H253" s="42">
        <v>1</v>
      </c>
      <c r="I253" s="42">
        <v>1</v>
      </c>
      <c r="J253" s="42">
        <v>1</v>
      </c>
      <c r="K253" s="44">
        <v>1</v>
      </c>
      <c r="L253" s="42">
        <v>1</v>
      </c>
      <c r="M253" s="42">
        <v>1</v>
      </c>
      <c r="N253" s="42">
        <v>1</v>
      </c>
      <c r="O253" s="42">
        <v>1</v>
      </c>
      <c r="P253" s="42">
        <v>1</v>
      </c>
      <c r="Q253" s="42">
        <v>1</v>
      </c>
      <c r="R253" s="42"/>
      <c r="S253" s="42"/>
      <c r="T253" s="42"/>
      <c r="U253" s="42"/>
      <c r="V253" s="44">
        <v>1</v>
      </c>
      <c r="W253" s="42">
        <v>1</v>
      </c>
      <c r="X253" s="42">
        <v>1</v>
      </c>
      <c r="Y253" s="42">
        <v>1</v>
      </c>
      <c r="Z253" s="42">
        <v>1</v>
      </c>
      <c r="AA253" s="42">
        <v>1</v>
      </c>
      <c r="AB253" s="42">
        <v>1</v>
      </c>
      <c r="AC253" s="42"/>
      <c r="AD253" s="42">
        <v>1</v>
      </c>
      <c r="AE253" s="42">
        <v>1</v>
      </c>
      <c r="AF253" s="42">
        <v>1</v>
      </c>
      <c r="AG253" s="44">
        <v>1</v>
      </c>
      <c r="AH253" s="42">
        <v>1</v>
      </c>
      <c r="AI253" s="42">
        <v>1</v>
      </c>
      <c r="AJ253" s="42"/>
      <c r="AK253" s="42">
        <v>1</v>
      </c>
      <c r="AL253" s="42">
        <v>1</v>
      </c>
      <c r="AM253" s="42">
        <v>1</v>
      </c>
      <c r="AN253" s="42"/>
      <c r="AO253" s="42"/>
      <c r="AP253" s="42">
        <v>1</v>
      </c>
      <c r="AQ253" s="42">
        <v>1</v>
      </c>
      <c r="AR253" s="44">
        <v>1</v>
      </c>
      <c r="AS253" s="44"/>
      <c r="AT253" s="44"/>
      <c r="AU253" s="42"/>
      <c r="AV253" s="42"/>
      <c r="AW253" s="46"/>
      <c r="AX253" s="44"/>
      <c r="AY253" s="44"/>
      <c r="AZ253" s="44">
        <v>1</v>
      </c>
      <c r="BA253" s="34">
        <v>1</v>
      </c>
      <c r="BB253" s="34">
        <v>1</v>
      </c>
      <c r="BC253" s="34">
        <v>1</v>
      </c>
    </row>
    <row r="254" spans="1:55" customFormat="1" ht="21" customHeight="1" x14ac:dyDescent="0.25">
      <c r="A254" s="22"/>
      <c r="B254" s="42" t="s">
        <v>499</v>
      </c>
      <c r="C254" s="42" t="s">
        <v>246</v>
      </c>
      <c r="D254" s="42" t="s">
        <v>619</v>
      </c>
      <c r="E254" s="42" t="s">
        <v>276</v>
      </c>
      <c r="F254" s="42"/>
      <c r="G254" s="42"/>
      <c r="H254" s="42"/>
      <c r="I254" s="42">
        <v>1</v>
      </c>
      <c r="J254" s="42">
        <v>1</v>
      </c>
      <c r="K254" s="44">
        <v>1</v>
      </c>
      <c r="L254" s="42">
        <v>1</v>
      </c>
      <c r="M254" s="42">
        <v>1</v>
      </c>
      <c r="N254" s="42">
        <v>1</v>
      </c>
      <c r="O254" s="42">
        <v>1</v>
      </c>
      <c r="P254" s="42">
        <v>1</v>
      </c>
      <c r="Q254" s="42">
        <v>1</v>
      </c>
      <c r="R254" s="42"/>
      <c r="S254" s="42">
        <v>1</v>
      </c>
      <c r="T254" s="42">
        <v>1</v>
      </c>
      <c r="U254" s="42">
        <v>1</v>
      </c>
      <c r="V254" s="44">
        <v>1</v>
      </c>
      <c r="W254" s="42">
        <v>1</v>
      </c>
      <c r="X254" s="42">
        <v>1</v>
      </c>
      <c r="Y254" s="42"/>
      <c r="Z254" s="42">
        <v>1</v>
      </c>
      <c r="AA254" s="42">
        <v>1</v>
      </c>
      <c r="AB254" s="42">
        <v>1</v>
      </c>
      <c r="AC254" s="42"/>
      <c r="AD254" s="42">
        <v>1</v>
      </c>
      <c r="AE254" s="42">
        <v>1</v>
      </c>
      <c r="AF254" s="42">
        <v>1</v>
      </c>
      <c r="AG254" s="44">
        <v>1</v>
      </c>
      <c r="AH254" s="44">
        <v>1</v>
      </c>
      <c r="AI254" s="42">
        <v>1</v>
      </c>
      <c r="AJ254" s="42">
        <v>1</v>
      </c>
      <c r="AK254" s="42">
        <v>1</v>
      </c>
      <c r="AL254" s="42">
        <v>1</v>
      </c>
      <c r="AM254" s="42">
        <v>1</v>
      </c>
      <c r="AN254" s="42"/>
      <c r="AO254" s="42"/>
      <c r="AP254" s="42">
        <v>1</v>
      </c>
      <c r="AQ254" s="42">
        <v>1</v>
      </c>
      <c r="AR254" s="44">
        <v>1</v>
      </c>
      <c r="AS254" s="44"/>
      <c r="AT254" s="44"/>
      <c r="AU254" s="42"/>
      <c r="AV254" s="42"/>
      <c r="AW254" s="46"/>
      <c r="AX254" s="44"/>
      <c r="AY254" s="44">
        <v>1</v>
      </c>
      <c r="AZ254" s="44">
        <v>1</v>
      </c>
      <c r="BA254" s="34">
        <v>1</v>
      </c>
      <c r="BB254" s="34">
        <v>1</v>
      </c>
      <c r="BC254" s="34"/>
    </row>
    <row r="255" spans="1:55" customFormat="1" ht="21" customHeight="1" x14ac:dyDescent="0.25">
      <c r="A255" s="22"/>
      <c r="B255" s="42" t="s">
        <v>499</v>
      </c>
      <c r="C255" s="42" t="s">
        <v>246</v>
      </c>
      <c r="D255" s="42" t="s">
        <v>620</v>
      </c>
      <c r="E255" s="42" t="s">
        <v>276</v>
      </c>
      <c r="F255" s="42"/>
      <c r="G255" s="42"/>
      <c r="H255" s="42">
        <v>1</v>
      </c>
      <c r="I255" s="42">
        <v>1</v>
      </c>
      <c r="J255" s="42">
        <v>1</v>
      </c>
      <c r="K255" s="44">
        <v>1</v>
      </c>
      <c r="L255" s="42">
        <v>1</v>
      </c>
      <c r="M255" s="42">
        <v>1</v>
      </c>
      <c r="N255" s="42">
        <v>1</v>
      </c>
      <c r="O255" s="42">
        <v>1</v>
      </c>
      <c r="P255" s="42">
        <v>1</v>
      </c>
      <c r="Q255" s="42">
        <v>1</v>
      </c>
      <c r="R255" s="42"/>
      <c r="S255" s="42"/>
      <c r="T255" s="42"/>
      <c r="U255" s="42"/>
      <c r="V255" s="44">
        <v>1</v>
      </c>
      <c r="W255" s="42">
        <v>1</v>
      </c>
      <c r="X255" s="42">
        <v>1</v>
      </c>
      <c r="Y255" s="42"/>
      <c r="Z255" s="42">
        <v>1</v>
      </c>
      <c r="AA255" s="42">
        <v>1</v>
      </c>
      <c r="AB255" s="42">
        <v>1</v>
      </c>
      <c r="AC255" s="42"/>
      <c r="AD255" s="42">
        <v>1</v>
      </c>
      <c r="AE255" s="42">
        <v>1</v>
      </c>
      <c r="AF255" s="42">
        <v>1</v>
      </c>
      <c r="AG255" s="44">
        <v>1</v>
      </c>
      <c r="AH255" s="42">
        <v>1</v>
      </c>
      <c r="AI255" s="42">
        <v>1</v>
      </c>
      <c r="AJ255" s="42">
        <v>1</v>
      </c>
      <c r="AK255" s="42">
        <v>1</v>
      </c>
      <c r="AL255" s="42">
        <v>1</v>
      </c>
      <c r="AM255" s="42">
        <v>1</v>
      </c>
      <c r="AN255" s="42"/>
      <c r="AO255" s="42"/>
      <c r="AP255" s="42">
        <v>1</v>
      </c>
      <c r="AQ255" s="42">
        <v>1</v>
      </c>
      <c r="AR255" s="44">
        <v>1</v>
      </c>
      <c r="AS255" s="44"/>
      <c r="AT255" s="44"/>
      <c r="AU255" s="42"/>
      <c r="AV255" s="42"/>
      <c r="AW255" s="46"/>
      <c r="AX255" s="44"/>
      <c r="AY255" s="44">
        <v>1</v>
      </c>
      <c r="AZ255" s="44">
        <v>1</v>
      </c>
      <c r="BA255" s="34">
        <v>1</v>
      </c>
      <c r="BB255" s="34">
        <v>1</v>
      </c>
      <c r="BC255" s="34">
        <v>1</v>
      </c>
    </row>
    <row r="256" spans="1:55" customFormat="1" ht="21" customHeight="1" x14ac:dyDescent="0.25">
      <c r="A256" s="22"/>
      <c r="B256" s="42" t="s">
        <v>499</v>
      </c>
      <c r="C256" s="42" t="s">
        <v>246</v>
      </c>
      <c r="D256" s="42" t="s">
        <v>621</v>
      </c>
      <c r="E256" s="42" t="s">
        <v>407</v>
      </c>
      <c r="F256" s="42"/>
      <c r="G256" s="42"/>
      <c r="H256" s="42">
        <v>1</v>
      </c>
      <c r="I256" s="42">
        <v>1</v>
      </c>
      <c r="J256" s="42">
        <v>1</v>
      </c>
      <c r="K256" s="44">
        <v>1</v>
      </c>
      <c r="L256" s="42">
        <v>1</v>
      </c>
      <c r="M256" s="42">
        <v>1</v>
      </c>
      <c r="N256" s="42">
        <v>1</v>
      </c>
      <c r="O256" s="42">
        <v>1</v>
      </c>
      <c r="P256" s="42">
        <v>1</v>
      </c>
      <c r="Q256" s="42">
        <v>1</v>
      </c>
      <c r="R256" s="42"/>
      <c r="S256" s="42"/>
      <c r="T256" s="42"/>
      <c r="U256" s="42"/>
      <c r="V256" s="44">
        <v>1</v>
      </c>
      <c r="W256" s="42">
        <v>1</v>
      </c>
      <c r="X256" s="42">
        <v>1</v>
      </c>
      <c r="Y256" s="42">
        <v>1</v>
      </c>
      <c r="Z256" s="42">
        <v>1</v>
      </c>
      <c r="AA256" s="42">
        <v>1</v>
      </c>
      <c r="AB256" s="42">
        <v>1</v>
      </c>
      <c r="AC256" s="42"/>
      <c r="AD256" s="42">
        <v>1</v>
      </c>
      <c r="AE256" s="42">
        <v>1</v>
      </c>
      <c r="AF256" s="42">
        <v>1</v>
      </c>
      <c r="AG256" s="44">
        <v>1</v>
      </c>
      <c r="AH256" s="42">
        <v>1</v>
      </c>
      <c r="AI256" s="42">
        <v>1</v>
      </c>
      <c r="AJ256" s="42">
        <v>1</v>
      </c>
      <c r="AK256" s="42">
        <v>1</v>
      </c>
      <c r="AL256" s="42">
        <v>1</v>
      </c>
      <c r="AM256" s="42">
        <v>1</v>
      </c>
      <c r="AN256" s="42"/>
      <c r="AO256" s="42"/>
      <c r="AP256" s="42">
        <v>1</v>
      </c>
      <c r="AQ256" s="42">
        <v>1</v>
      </c>
      <c r="AR256" s="44">
        <v>1</v>
      </c>
      <c r="AS256" s="44">
        <v>1</v>
      </c>
      <c r="AT256" s="44"/>
      <c r="AU256" s="42"/>
      <c r="AV256" s="42"/>
      <c r="AW256" s="44">
        <v>1</v>
      </c>
      <c r="AX256" s="44">
        <v>1</v>
      </c>
      <c r="AY256" s="44">
        <v>1</v>
      </c>
      <c r="AZ256" s="44">
        <v>1</v>
      </c>
      <c r="BA256" s="34">
        <v>1</v>
      </c>
      <c r="BB256" s="34">
        <v>1</v>
      </c>
      <c r="BC256" s="34"/>
    </row>
    <row r="257" spans="1:55" customFormat="1" ht="21" customHeight="1" x14ac:dyDescent="0.25">
      <c r="A257" s="22"/>
      <c r="B257" s="42" t="s">
        <v>499</v>
      </c>
      <c r="C257" s="42" t="s">
        <v>246</v>
      </c>
      <c r="D257" s="42" t="s">
        <v>622</v>
      </c>
      <c r="E257" s="42" t="s">
        <v>407</v>
      </c>
      <c r="F257" s="42"/>
      <c r="G257" s="42"/>
      <c r="H257" s="42">
        <v>1</v>
      </c>
      <c r="I257" s="42">
        <v>1</v>
      </c>
      <c r="J257" s="42">
        <v>1</v>
      </c>
      <c r="K257" s="44">
        <v>1</v>
      </c>
      <c r="L257" s="42">
        <v>1</v>
      </c>
      <c r="M257" s="42">
        <v>1</v>
      </c>
      <c r="N257" s="42"/>
      <c r="O257" s="42">
        <v>1</v>
      </c>
      <c r="P257" s="42">
        <v>1</v>
      </c>
      <c r="Q257" s="42">
        <v>1</v>
      </c>
      <c r="R257" s="42"/>
      <c r="S257" s="42"/>
      <c r="T257" s="42"/>
      <c r="U257" s="42"/>
      <c r="V257" s="44">
        <v>1</v>
      </c>
      <c r="W257" s="42">
        <v>1</v>
      </c>
      <c r="X257" s="42">
        <v>1</v>
      </c>
      <c r="Y257" s="42"/>
      <c r="Z257" s="42">
        <v>1</v>
      </c>
      <c r="AA257" s="42">
        <v>1</v>
      </c>
      <c r="AB257" s="42">
        <v>1</v>
      </c>
      <c r="AC257" s="42"/>
      <c r="AD257" s="42">
        <v>1</v>
      </c>
      <c r="AE257" s="42">
        <v>1</v>
      </c>
      <c r="AF257" s="42">
        <v>1</v>
      </c>
      <c r="AG257" s="44">
        <v>1</v>
      </c>
      <c r="AH257" s="44">
        <v>1</v>
      </c>
      <c r="AI257" s="42">
        <v>1</v>
      </c>
      <c r="AJ257" s="42"/>
      <c r="AK257" s="42">
        <v>1</v>
      </c>
      <c r="AL257" s="42">
        <v>1</v>
      </c>
      <c r="AM257" s="42">
        <v>1</v>
      </c>
      <c r="AN257" s="42"/>
      <c r="AO257" s="42"/>
      <c r="AP257" s="42"/>
      <c r="AQ257" s="42"/>
      <c r="AR257" s="44"/>
      <c r="AS257" s="44"/>
      <c r="AT257" s="44"/>
      <c r="AU257" s="42"/>
      <c r="AV257" s="42"/>
      <c r="AW257" s="44">
        <v>1</v>
      </c>
      <c r="AX257" s="44">
        <v>1</v>
      </c>
      <c r="AY257" s="44">
        <v>1</v>
      </c>
      <c r="AZ257" s="44">
        <v>1</v>
      </c>
      <c r="BA257" s="34">
        <v>1</v>
      </c>
      <c r="BB257" s="34">
        <v>1</v>
      </c>
      <c r="BC257" s="34"/>
    </row>
    <row r="258" spans="1:55" customFormat="1" ht="21" customHeight="1" x14ac:dyDescent="0.25">
      <c r="A258" s="22"/>
      <c r="B258" s="42" t="s">
        <v>499</v>
      </c>
      <c r="C258" s="42" t="s">
        <v>246</v>
      </c>
      <c r="D258" s="42" t="s">
        <v>623</v>
      </c>
      <c r="E258" s="42" t="s">
        <v>276</v>
      </c>
      <c r="F258" s="42"/>
      <c r="G258" s="42"/>
      <c r="H258" s="42">
        <v>1</v>
      </c>
      <c r="I258" s="42"/>
      <c r="J258" s="42"/>
      <c r="K258" s="44">
        <v>1</v>
      </c>
      <c r="L258" s="42">
        <v>1</v>
      </c>
      <c r="M258" s="42">
        <v>1</v>
      </c>
      <c r="N258" s="42">
        <v>1</v>
      </c>
      <c r="O258" s="42">
        <v>1</v>
      </c>
      <c r="P258" s="42">
        <v>1</v>
      </c>
      <c r="Q258" s="42">
        <v>1</v>
      </c>
      <c r="R258" s="42"/>
      <c r="S258" s="42"/>
      <c r="T258" s="42"/>
      <c r="U258" s="42"/>
      <c r="V258" s="44">
        <v>1</v>
      </c>
      <c r="W258" s="42">
        <v>1</v>
      </c>
      <c r="X258" s="42">
        <v>1</v>
      </c>
      <c r="Y258" s="42"/>
      <c r="Z258" s="42">
        <v>1</v>
      </c>
      <c r="AA258" s="42">
        <v>1</v>
      </c>
      <c r="AB258" s="42">
        <v>1</v>
      </c>
      <c r="AC258" s="42"/>
      <c r="AD258" s="42">
        <v>1</v>
      </c>
      <c r="AE258" s="42">
        <v>1</v>
      </c>
      <c r="AF258" s="42">
        <v>1</v>
      </c>
      <c r="AG258" s="44">
        <v>1</v>
      </c>
      <c r="AH258" s="42">
        <v>1</v>
      </c>
      <c r="AI258" s="42">
        <v>1</v>
      </c>
      <c r="AJ258" s="42"/>
      <c r="AK258" s="42">
        <v>1</v>
      </c>
      <c r="AL258" s="42">
        <v>1</v>
      </c>
      <c r="AM258" s="42">
        <v>1</v>
      </c>
      <c r="AN258" s="42"/>
      <c r="AO258" s="42"/>
      <c r="AP258" s="42"/>
      <c r="AQ258" s="42"/>
      <c r="AR258" s="44"/>
      <c r="AS258" s="44"/>
      <c r="AT258" s="44"/>
      <c r="AU258" s="42"/>
      <c r="AV258" s="42"/>
      <c r="AW258" s="44">
        <v>1</v>
      </c>
      <c r="AX258" s="44">
        <v>1</v>
      </c>
      <c r="AY258" s="44">
        <v>1</v>
      </c>
      <c r="AZ258" s="44">
        <v>1</v>
      </c>
      <c r="BA258" s="34">
        <v>1</v>
      </c>
      <c r="BB258" s="34">
        <v>1</v>
      </c>
      <c r="BC258" s="34"/>
    </row>
    <row r="259" spans="1:55" customFormat="1" ht="21" customHeight="1" x14ac:dyDescent="0.25">
      <c r="A259" s="22"/>
      <c r="B259" s="42" t="s">
        <v>499</v>
      </c>
      <c r="C259" s="42" t="s">
        <v>246</v>
      </c>
      <c r="D259" s="42" t="s">
        <v>624</v>
      </c>
      <c r="E259" s="42" t="s">
        <v>625</v>
      </c>
      <c r="F259" s="42"/>
      <c r="G259" s="42"/>
      <c r="H259" s="42">
        <v>1</v>
      </c>
      <c r="I259" s="42">
        <v>1</v>
      </c>
      <c r="J259" s="42">
        <v>1</v>
      </c>
      <c r="K259" s="44">
        <v>1</v>
      </c>
      <c r="L259" s="42">
        <v>1</v>
      </c>
      <c r="M259" s="42">
        <v>1</v>
      </c>
      <c r="N259" s="42">
        <v>1</v>
      </c>
      <c r="O259" s="42">
        <v>1</v>
      </c>
      <c r="P259" s="42">
        <v>1</v>
      </c>
      <c r="Q259" s="42">
        <v>1</v>
      </c>
      <c r="R259" s="42"/>
      <c r="S259" s="42"/>
      <c r="T259" s="42"/>
      <c r="U259" s="42"/>
      <c r="V259" s="44"/>
      <c r="W259" s="42"/>
      <c r="X259" s="42"/>
      <c r="Y259" s="42">
        <v>1</v>
      </c>
      <c r="Z259" s="42">
        <v>1</v>
      </c>
      <c r="AA259" s="42">
        <v>1</v>
      </c>
      <c r="AB259" s="42">
        <v>1</v>
      </c>
      <c r="AC259" s="42"/>
      <c r="AD259" s="42">
        <v>1</v>
      </c>
      <c r="AE259" s="42">
        <v>1</v>
      </c>
      <c r="AF259" s="42">
        <v>1</v>
      </c>
      <c r="AG259" s="44">
        <v>1</v>
      </c>
      <c r="AH259" s="42">
        <v>1</v>
      </c>
      <c r="AI259" s="42">
        <v>1</v>
      </c>
      <c r="AJ259" s="42">
        <v>1</v>
      </c>
      <c r="AK259" s="42">
        <v>1</v>
      </c>
      <c r="AL259" s="42">
        <v>1</v>
      </c>
      <c r="AM259" s="42">
        <v>1</v>
      </c>
      <c r="AN259" s="42"/>
      <c r="AO259" s="42"/>
      <c r="AP259" s="42"/>
      <c r="AQ259" s="42"/>
      <c r="AR259" s="44"/>
      <c r="AS259" s="44"/>
      <c r="AT259" s="44"/>
      <c r="AU259" s="42">
        <v>1</v>
      </c>
      <c r="AV259" s="42">
        <v>1</v>
      </c>
      <c r="AW259" s="46"/>
      <c r="AX259" s="44"/>
      <c r="AY259" s="44"/>
      <c r="AZ259" s="44"/>
      <c r="BA259" s="34">
        <v>1</v>
      </c>
      <c r="BB259" s="34">
        <v>1</v>
      </c>
      <c r="BC259" s="34">
        <v>1</v>
      </c>
    </row>
    <row r="260" spans="1:55" customFormat="1" ht="21" customHeight="1" x14ac:dyDescent="0.25">
      <c r="A260" s="22"/>
      <c r="B260" s="42" t="s">
        <v>499</v>
      </c>
      <c r="C260" s="42" t="s">
        <v>246</v>
      </c>
      <c r="D260" s="42" t="s">
        <v>626</v>
      </c>
      <c r="E260" s="42" t="s">
        <v>627</v>
      </c>
      <c r="F260" s="42"/>
      <c r="G260" s="42"/>
      <c r="H260" s="42"/>
      <c r="I260" s="42">
        <v>1</v>
      </c>
      <c r="J260" s="42">
        <v>1</v>
      </c>
      <c r="K260" s="44">
        <v>1</v>
      </c>
      <c r="L260" s="42">
        <v>1</v>
      </c>
      <c r="M260" s="42">
        <v>1</v>
      </c>
      <c r="N260" s="42"/>
      <c r="O260" s="42">
        <v>1</v>
      </c>
      <c r="P260" s="42">
        <v>1</v>
      </c>
      <c r="Q260" s="42">
        <v>1</v>
      </c>
      <c r="R260" s="42"/>
      <c r="S260" s="42"/>
      <c r="T260" s="42"/>
      <c r="U260" s="42"/>
      <c r="V260" s="44">
        <v>1</v>
      </c>
      <c r="W260" s="42">
        <v>1</v>
      </c>
      <c r="X260" s="42">
        <v>1</v>
      </c>
      <c r="Y260" s="42">
        <v>1</v>
      </c>
      <c r="Z260" s="42">
        <v>1</v>
      </c>
      <c r="AA260" s="42">
        <v>1</v>
      </c>
      <c r="AB260" s="42">
        <v>1</v>
      </c>
      <c r="AC260" s="42"/>
      <c r="AD260" s="42">
        <v>1</v>
      </c>
      <c r="AE260" s="42">
        <v>1</v>
      </c>
      <c r="AF260" s="42">
        <v>1</v>
      </c>
      <c r="AG260" s="44">
        <v>1</v>
      </c>
      <c r="AH260" s="42">
        <v>1</v>
      </c>
      <c r="AI260" s="42">
        <v>1</v>
      </c>
      <c r="AJ260" s="42"/>
      <c r="AK260" s="42">
        <v>1</v>
      </c>
      <c r="AL260" s="42">
        <v>1</v>
      </c>
      <c r="AM260" s="42">
        <v>1</v>
      </c>
      <c r="AN260" s="42"/>
      <c r="AO260" s="42">
        <v>1</v>
      </c>
      <c r="AP260" s="42">
        <v>1</v>
      </c>
      <c r="AQ260" s="42">
        <v>1</v>
      </c>
      <c r="AR260" s="44"/>
      <c r="AS260" s="44"/>
      <c r="AT260" s="44"/>
      <c r="AU260" s="42"/>
      <c r="AV260" s="42"/>
      <c r="AW260" s="46"/>
      <c r="AX260" s="44"/>
      <c r="AY260" s="44">
        <v>1</v>
      </c>
      <c r="AZ260" s="44">
        <v>1</v>
      </c>
      <c r="BA260" s="34">
        <v>1</v>
      </c>
      <c r="BB260" s="34">
        <v>1</v>
      </c>
      <c r="BC260" s="34">
        <v>1</v>
      </c>
    </row>
    <row r="261" spans="1:55" customFormat="1" ht="21" customHeight="1" x14ac:dyDescent="0.25">
      <c r="A261" s="22"/>
      <c r="B261" s="42" t="s">
        <v>499</v>
      </c>
      <c r="C261" s="42" t="s">
        <v>246</v>
      </c>
      <c r="D261" s="42" t="s">
        <v>628</v>
      </c>
      <c r="E261" s="42" t="s">
        <v>625</v>
      </c>
      <c r="F261" s="42"/>
      <c r="G261" s="42"/>
      <c r="H261" s="42">
        <v>1</v>
      </c>
      <c r="I261" s="42">
        <v>1</v>
      </c>
      <c r="J261" s="42">
        <v>1</v>
      </c>
      <c r="K261" s="44">
        <v>1</v>
      </c>
      <c r="L261" s="42">
        <v>1</v>
      </c>
      <c r="M261" s="42">
        <v>1</v>
      </c>
      <c r="N261" s="42">
        <v>1</v>
      </c>
      <c r="O261" s="42">
        <v>1</v>
      </c>
      <c r="P261" s="42">
        <v>1</v>
      </c>
      <c r="Q261" s="42">
        <v>1</v>
      </c>
      <c r="R261" s="42"/>
      <c r="S261" s="42"/>
      <c r="T261" s="42"/>
      <c r="U261" s="42"/>
      <c r="V261" s="44">
        <v>1</v>
      </c>
      <c r="W261" s="42">
        <v>1</v>
      </c>
      <c r="X261" s="42">
        <v>1</v>
      </c>
      <c r="Y261" s="42"/>
      <c r="Z261" s="42">
        <v>1</v>
      </c>
      <c r="AA261" s="42">
        <v>1</v>
      </c>
      <c r="AB261" s="42">
        <v>1</v>
      </c>
      <c r="AC261" s="42"/>
      <c r="AD261" s="42">
        <v>1</v>
      </c>
      <c r="AE261" s="42">
        <v>1</v>
      </c>
      <c r="AF261" s="42">
        <v>1</v>
      </c>
      <c r="AG261" s="44">
        <v>1</v>
      </c>
      <c r="AH261" s="44">
        <v>1</v>
      </c>
      <c r="AI261" s="42">
        <v>1</v>
      </c>
      <c r="AJ261" s="42">
        <v>1</v>
      </c>
      <c r="AK261" s="42">
        <v>1</v>
      </c>
      <c r="AL261" s="42">
        <v>1</v>
      </c>
      <c r="AM261" s="42">
        <v>1</v>
      </c>
      <c r="AN261" s="42"/>
      <c r="AO261" s="42"/>
      <c r="AP261" s="42">
        <v>1</v>
      </c>
      <c r="AQ261" s="42">
        <v>1</v>
      </c>
      <c r="AR261" s="44">
        <v>1</v>
      </c>
      <c r="AS261" s="44"/>
      <c r="AT261" s="44">
        <v>1</v>
      </c>
      <c r="AU261" s="42"/>
      <c r="AV261" s="42"/>
      <c r="AW261" s="46"/>
      <c r="AX261" s="44"/>
      <c r="AY261" s="44">
        <v>1</v>
      </c>
      <c r="AZ261" s="44">
        <v>1</v>
      </c>
      <c r="BA261" s="34">
        <v>1</v>
      </c>
      <c r="BB261" s="34">
        <v>1</v>
      </c>
      <c r="BC261" s="34">
        <v>1</v>
      </c>
    </row>
    <row r="262" spans="1:55" customFormat="1" ht="21" customHeight="1" x14ac:dyDescent="0.25">
      <c r="A262" s="22"/>
      <c r="B262" s="42" t="s">
        <v>499</v>
      </c>
      <c r="C262" s="42" t="s">
        <v>246</v>
      </c>
      <c r="D262" s="42" t="s">
        <v>629</v>
      </c>
      <c r="E262" s="42" t="s">
        <v>449</v>
      </c>
      <c r="F262" s="42"/>
      <c r="G262" s="42"/>
      <c r="H262" s="42">
        <v>1</v>
      </c>
      <c r="I262" s="42">
        <v>1</v>
      </c>
      <c r="J262" s="42">
        <v>1</v>
      </c>
      <c r="K262" s="44">
        <v>1</v>
      </c>
      <c r="L262" s="42">
        <v>1</v>
      </c>
      <c r="M262" s="42">
        <v>1</v>
      </c>
      <c r="N262" s="42">
        <v>1</v>
      </c>
      <c r="O262" s="42">
        <v>1</v>
      </c>
      <c r="P262" s="42">
        <v>1</v>
      </c>
      <c r="Q262" s="42">
        <v>1</v>
      </c>
      <c r="R262" s="42"/>
      <c r="S262" s="42"/>
      <c r="T262" s="42"/>
      <c r="U262" s="42"/>
      <c r="V262" s="44">
        <v>1</v>
      </c>
      <c r="W262" s="42">
        <v>1</v>
      </c>
      <c r="X262" s="42">
        <v>1</v>
      </c>
      <c r="Y262" s="42"/>
      <c r="Z262" s="42">
        <v>1</v>
      </c>
      <c r="AA262" s="42"/>
      <c r="AB262" s="42">
        <v>1</v>
      </c>
      <c r="AC262" s="42"/>
      <c r="AD262" s="42">
        <v>1</v>
      </c>
      <c r="AE262" s="42">
        <v>1</v>
      </c>
      <c r="AF262" s="42">
        <v>1</v>
      </c>
      <c r="AG262" s="44">
        <v>1</v>
      </c>
      <c r="AH262" s="42">
        <v>1</v>
      </c>
      <c r="AI262" s="42">
        <v>1</v>
      </c>
      <c r="AJ262" s="42">
        <v>1</v>
      </c>
      <c r="AK262" s="42">
        <v>1</v>
      </c>
      <c r="AL262" s="42">
        <v>1</v>
      </c>
      <c r="AM262" s="42">
        <v>1</v>
      </c>
      <c r="AN262" s="42"/>
      <c r="AO262" s="42"/>
      <c r="AP262" s="42">
        <v>1</v>
      </c>
      <c r="AQ262" s="42">
        <v>1</v>
      </c>
      <c r="AR262" s="42">
        <v>1</v>
      </c>
      <c r="AS262" s="44"/>
      <c r="AT262" s="42">
        <v>1</v>
      </c>
      <c r="AU262" s="42">
        <v>1</v>
      </c>
      <c r="AV262" s="42">
        <v>1</v>
      </c>
      <c r="AW262" s="46"/>
      <c r="AX262" s="44"/>
      <c r="AY262" s="44">
        <v>1</v>
      </c>
      <c r="AZ262" s="44">
        <v>1</v>
      </c>
      <c r="BA262" s="46"/>
      <c r="BB262" s="34">
        <v>1</v>
      </c>
      <c r="BC262" s="34">
        <v>1</v>
      </c>
    </row>
    <row r="263" spans="1:55" customFormat="1" ht="21" customHeight="1" x14ac:dyDescent="0.25">
      <c r="A263" s="22"/>
      <c r="B263" s="42" t="s">
        <v>499</v>
      </c>
      <c r="C263" s="42" t="s">
        <v>246</v>
      </c>
      <c r="D263" s="42" t="s">
        <v>630</v>
      </c>
      <c r="E263" s="42" t="s">
        <v>449</v>
      </c>
      <c r="F263" s="42"/>
      <c r="G263" s="42"/>
      <c r="H263" s="42">
        <v>1</v>
      </c>
      <c r="I263" s="42"/>
      <c r="J263" s="42"/>
      <c r="K263" s="44">
        <v>1</v>
      </c>
      <c r="L263" s="42"/>
      <c r="M263" s="42">
        <v>1</v>
      </c>
      <c r="N263" s="42">
        <v>1</v>
      </c>
      <c r="O263" s="42">
        <v>1</v>
      </c>
      <c r="P263" s="42">
        <v>1</v>
      </c>
      <c r="Q263" s="42">
        <v>1</v>
      </c>
      <c r="R263" s="42"/>
      <c r="S263" s="42">
        <v>1</v>
      </c>
      <c r="T263" s="42"/>
      <c r="U263" s="42">
        <v>1</v>
      </c>
      <c r="V263" s="44"/>
      <c r="W263" s="42"/>
      <c r="X263" s="42"/>
      <c r="Y263" s="42"/>
      <c r="Z263" s="42"/>
      <c r="AA263" s="42">
        <v>1</v>
      </c>
      <c r="AB263" s="42">
        <v>1</v>
      </c>
      <c r="AC263" s="42"/>
      <c r="AD263" s="42"/>
      <c r="AE263" s="42"/>
      <c r="AF263" s="42"/>
      <c r="AG263" s="44">
        <v>1</v>
      </c>
      <c r="AH263" s="44">
        <v>1</v>
      </c>
      <c r="AI263" s="42">
        <v>1</v>
      </c>
      <c r="AJ263" s="42">
        <v>1</v>
      </c>
      <c r="AK263" s="42"/>
      <c r="AL263" s="42">
        <v>1</v>
      </c>
      <c r="AM263" s="42">
        <v>1</v>
      </c>
      <c r="AN263" s="42"/>
      <c r="AO263" s="42"/>
      <c r="AP263" s="42"/>
      <c r="AQ263" s="42"/>
      <c r="AR263" s="42"/>
      <c r="AS263" s="44"/>
      <c r="AT263" s="42"/>
      <c r="AU263" s="42"/>
      <c r="AV263" s="42"/>
      <c r="AW263" s="46"/>
      <c r="AX263" s="44"/>
      <c r="AY263" s="44"/>
      <c r="AZ263" s="44"/>
      <c r="BA263" s="34">
        <v>1</v>
      </c>
      <c r="BB263" s="34">
        <v>1</v>
      </c>
      <c r="BC263" s="34"/>
    </row>
    <row r="264" spans="1:55" customFormat="1" ht="21" customHeight="1" x14ac:dyDescent="0.25">
      <c r="A264" s="22"/>
      <c r="B264" s="42" t="s">
        <v>499</v>
      </c>
      <c r="C264" s="42" t="s">
        <v>246</v>
      </c>
      <c r="D264" s="42" t="s">
        <v>631</v>
      </c>
      <c r="E264" s="42" t="s">
        <v>276</v>
      </c>
      <c r="F264" s="42"/>
      <c r="G264" s="42"/>
      <c r="H264" s="42">
        <v>1</v>
      </c>
      <c r="I264" s="42">
        <v>1</v>
      </c>
      <c r="J264" s="42">
        <v>1</v>
      </c>
      <c r="K264" s="44">
        <v>1</v>
      </c>
      <c r="L264" s="42">
        <v>1</v>
      </c>
      <c r="M264" s="42">
        <v>1</v>
      </c>
      <c r="N264" s="42"/>
      <c r="O264" s="42">
        <v>1</v>
      </c>
      <c r="P264" s="42">
        <v>1</v>
      </c>
      <c r="Q264" s="42">
        <v>1</v>
      </c>
      <c r="R264" s="42"/>
      <c r="S264" s="42"/>
      <c r="T264" s="42">
        <v>1</v>
      </c>
      <c r="U264" s="42">
        <v>1</v>
      </c>
      <c r="V264" s="44">
        <v>1</v>
      </c>
      <c r="W264" s="42">
        <v>1</v>
      </c>
      <c r="X264" s="42">
        <v>1</v>
      </c>
      <c r="Y264" s="42"/>
      <c r="Z264" s="42">
        <v>1</v>
      </c>
      <c r="AA264" s="42">
        <v>1</v>
      </c>
      <c r="AB264" s="42">
        <v>1</v>
      </c>
      <c r="AC264" s="42"/>
      <c r="AD264" s="42"/>
      <c r="AE264" s="42">
        <v>1</v>
      </c>
      <c r="AF264" s="42">
        <v>1</v>
      </c>
      <c r="AG264" s="44">
        <v>1</v>
      </c>
      <c r="AH264" s="42">
        <v>1</v>
      </c>
      <c r="AI264" s="42">
        <v>1</v>
      </c>
      <c r="AJ264" s="42"/>
      <c r="AK264" s="42">
        <v>1</v>
      </c>
      <c r="AL264" s="42">
        <v>1</v>
      </c>
      <c r="AM264" s="42">
        <v>1</v>
      </c>
      <c r="AN264" s="42"/>
      <c r="AO264" s="42">
        <v>1</v>
      </c>
      <c r="AP264" s="42"/>
      <c r="AQ264" s="42"/>
      <c r="AR264" s="42"/>
      <c r="AS264" s="44"/>
      <c r="AT264" s="42"/>
      <c r="AU264" s="42"/>
      <c r="AV264" s="42"/>
      <c r="AW264" s="46"/>
      <c r="AX264" s="44"/>
      <c r="AY264" s="44">
        <v>1</v>
      </c>
      <c r="AZ264" s="44">
        <v>1</v>
      </c>
      <c r="BA264" s="34">
        <v>1</v>
      </c>
      <c r="BB264" s="34">
        <v>1</v>
      </c>
      <c r="BC264" s="34">
        <v>1</v>
      </c>
    </row>
    <row r="265" spans="1:55" customFormat="1" ht="21" customHeight="1" x14ac:dyDescent="0.25">
      <c r="A265" s="22"/>
      <c r="B265" s="42" t="s">
        <v>499</v>
      </c>
      <c r="C265" s="42" t="s">
        <v>244</v>
      </c>
      <c r="D265" s="42" t="s">
        <v>632</v>
      </c>
      <c r="E265" s="42" t="s">
        <v>427</v>
      </c>
      <c r="F265" s="42"/>
      <c r="G265" s="42"/>
      <c r="H265" s="42">
        <v>1</v>
      </c>
      <c r="I265" s="42"/>
      <c r="J265" s="42"/>
      <c r="K265" s="44"/>
      <c r="L265" s="42"/>
      <c r="M265" s="42">
        <v>1</v>
      </c>
      <c r="N265" s="42"/>
      <c r="O265" s="42"/>
      <c r="P265" s="42">
        <v>1</v>
      </c>
      <c r="Q265" s="42">
        <v>1</v>
      </c>
      <c r="R265" s="42"/>
      <c r="S265" s="42">
        <v>1</v>
      </c>
      <c r="T265" s="42">
        <v>1</v>
      </c>
      <c r="U265" s="42">
        <v>1</v>
      </c>
      <c r="V265" s="44"/>
      <c r="W265" s="42">
        <v>1</v>
      </c>
      <c r="X265" s="42">
        <v>1</v>
      </c>
      <c r="Y265" s="42">
        <v>1</v>
      </c>
      <c r="Z265" s="42"/>
      <c r="AA265" s="42">
        <v>1</v>
      </c>
      <c r="AB265" s="42"/>
      <c r="AC265" s="42"/>
      <c r="AD265" s="42"/>
      <c r="AE265" s="42"/>
      <c r="AF265" s="42"/>
      <c r="AG265" s="44">
        <v>1</v>
      </c>
      <c r="AH265" s="44">
        <v>1</v>
      </c>
      <c r="AI265" s="42">
        <v>1</v>
      </c>
      <c r="AJ265" s="42"/>
      <c r="AK265" s="42">
        <v>1</v>
      </c>
      <c r="AL265" s="42">
        <v>1</v>
      </c>
      <c r="AM265" s="42">
        <v>1</v>
      </c>
      <c r="AN265" s="42"/>
      <c r="AO265" s="42"/>
      <c r="AP265" s="42"/>
      <c r="AQ265" s="42"/>
      <c r="AR265" s="44"/>
      <c r="AS265" s="44">
        <v>1</v>
      </c>
      <c r="AT265" s="44">
        <v>1</v>
      </c>
      <c r="AU265" s="42"/>
      <c r="AV265" s="42"/>
      <c r="AW265" s="46"/>
      <c r="AX265" s="44"/>
      <c r="AY265" s="44"/>
      <c r="AZ265" s="44"/>
      <c r="BA265" s="34">
        <v>1</v>
      </c>
      <c r="BB265" s="34"/>
      <c r="BC265" s="34">
        <v>1</v>
      </c>
    </row>
    <row r="266" spans="1:55" customFormat="1" ht="21" customHeight="1" x14ac:dyDescent="0.25">
      <c r="A266" s="22"/>
      <c r="B266" s="42" t="s">
        <v>499</v>
      </c>
      <c r="C266" s="42" t="s">
        <v>246</v>
      </c>
      <c r="D266" s="42" t="s">
        <v>633</v>
      </c>
      <c r="E266" s="42" t="s">
        <v>276</v>
      </c>
      <c r="F266" s="42"/>
      <c r="G266" s="42"/>
      <c r="H266" s="42"/>
      <c r="I266" s="42">
        <v>1</v>
      </c>
      <c r="J266" s="42">
        <v>1</v>
      </c>
      <c r="K266" s="44">
        <v>1</v>
      </c>
      <c r="L266" s="42">
        <v>1</v>
      </c>
      <c r="M266" s="42">
        <v>1</v>
      </c>
      <c r="N266" s="42"/>
      <c r="O266" s="42">
        <v>1</v>
      </c>
      <c r="P266" s="42"/>
      <c r="Q266" s="42">
        <v>1</v>
      </c>
      <c r="R266" s="42"/>
      <c r="S266" s="42">
        <v>1</v>
      </c>
      <c r="T266" s="42">
        <v>1</v>
      </c>
      <c r="U266" s="42">
        <v>1</v>
      </c>
      <c r="V266" s="44">
        <v>1</v>
      </c>
      <c r="W266" s="42">
        <v>1</v>
      </c>
      <c r="X266" s="42">
        <v>1</v>
      </c>
      <c r="Y266" s="42">
        <v>1</v>
      </c>
      <c r="Z266" s="42">
        <v>1</v>
      </c>
      <c r="AA266" s="42">
        <v>1</v>
      </c>
      <c r="AB266" s="42">
        <v>1</v>
      </c>
      <c r="AC266" s="42"/>
      <c r="AD266" s="42">
        <v>1</v>
      </c>
      <c r="AE266" s="42">
        <v>1</v>
      </c>
      <c r="AF266" s="42">
        <v>1</v>
      </c>
      <c r="AG266" s="44">
        <v>1</v>
      </c>
      <c r="AH266" s="42">
        <v>1</v>
      </c>
      <c r="AI266" s="42">
        <v>1</v>
      </c>
      <c r="AJ266" s="42"/>
      <c r="AK266" s="42">
        <v>1</v>
      </c>
      <c r="AL266" s="42">
        <v>1</v>
      </c>
      <c r="AM266" s="42">
        <v>1</v>
      </c>
      <c r="AN266" s="42"/>
      <c r="AO266" s="42"/>
      <c r="AP266" s="42">
        <v>1</v>
      </c>
      <c r="AQ266" s="42">
        <v>1</v>
      </c>
      <c r="AR266" s="42">
        <v>1</v>
      </c>
      <c r="AS266" s="44"/>
      <c r="AT266" s="42">
        <v>1</v>
      </c>
      <c r="AU266" s="42">
        <v>1</v>
      </c>
      <c r="AV266" s="42">
        <v>1</v>
      </c>
      <c r="AW266" s="46"/>
      <c r="AX266" s="44"/>
      <c r="AY266" s="44">
        <v>1</v>
      </c>
      <c r="AZ266" s="44"/>
      <c r="BA266" s="34">
        <v>1</v>
      </c>
      <c r="BB266" s="34">
        <v>1</v>
      </c>
      <c r="BC266" s="34"/>
    </row>
    <row r="267" spans="1:55" customFormat="1" ht="21" customHeight="1" x14ac:dyDescent="0.25">
      <c r="A267" s="22"/>
      <c r="B267" s="42" t="s">
        <v>499</v>
      </c>
      <c r="C267" s="42" t="s">
        <v>244</v>
      </c>
      <c r="D267" s="42" t="s">
        <v>634</v>
      </c>
      <c r="E267" s="42" t="s">
        <v>437</v>
      </c>
      <c r="F267" s="42"/>
      <c r="G267" s="42"/>
      <c r="H267" s="42"/>
      <c r="I267" s="42">
        <v>1</v>
      </c>
      <c r="J267" s="42">
        <v>1</v>
      </c>
      <c r="K267" s="44">
        <v>1</v>
      </c>
      <c r="L267" s="42">
        <v>1</v>
      </c>
      <c r="M267" s="42">
        <v>1</v>
      </c>
      <c r="N267" s="42"/>
      <c r="O267" s="42">
        <v>1</v>
      </c>
      <c r="P267" s="42">
        <v>1</v>
      </c>
      <c r="Q267" s="42">
        <v>1</v>
      </c>
      <c r="R267" s="42"/>
      <c r="S267" s="42">
        <v>1</v>
      </c>
      <c r="T267" s="42">
        <v>1</v>
      </c>
      <c r="U267" s="42">
        <v>1</v>
      </c>
      <c r="V267" s="44">
        <v>1</v>
      </c>
      <c r="W267" s="42">
        <v>1</v>
      </c>
      <c r="X267" s="42">
        <v>1</v>
      </c>
      <c r="Y267" s="42">
        <v>1</v>
      </c>
      <c r="Z267" s="42">
        <v>1</v>
      </c>
      <c r="AA267" s="42">
        <v>1</v>
      </c>
      <c r="AB267" s="42">
        <v>1</v>
      </c>
      <c r="AC267" s="42"/>
      <c r="AD267" s="42">
        <v>1</v>
      </c>
      <c r="AE267" s="42">
        <v>1</v>
      </c>
      <c r="AF267" s="42">
        <v>1</v>
      </c>
      <c r="AG267" s="44">
        <v>1</v>
      </c>
      <c r="AH267" s="42">
        <v>1</v>
      </c>
      <c r="AI267" s="42">
        <v>1</v>
      </c>
      <c r="AJ267" s="42"/>
      <c r="AK267" s="42">
        <v>1</v>
      </c>
      <c r="AL267" s="42">
        <v>1</v>
      </c>
      <c r="AM267" s="42">
        <v>1</v>
      </c>
      <c r="AN267" s="42"/>
      <c r="AO267" s="42"/>
      <c r="AP267" s="42"/>
      <c r="AQ267" s="42"/>
      <c r="AR267" s="44"/>
      <c r="AS267" s="44">
        <v>1</v>
      </c>
      <c r="AT267" s="44"/>
      <c r="AU267" s="44"/>
      <c r="AV267" s="44"/>
      <c r="AW267" s="46"/>
      <c r="AX267" s="44"/>
      <c r="AY267" s="44"/>
      <c r="AZ267" s="44"/>
      <c r="BA267" s="34">
        <v>1</v>
      </c>
      <c r="BB267" s="34">
        <v>1</v>
      </c>
      <c r="BC267" s="34"/>
    </row>
    <row r="268" spans="1:55" customFormat="1" ht="21" customHeight="1" x14ac:dyDescent="0.25">
      <c r="A268" s="22"/>
      <c r="B268" s="42" t="s">
        <v>499</v>
      </c>
      <c r="C268" s="42" t="s">
        <v>244</v>
      </c>
      <c r="D268" s="42" t="s">
        <v>635</v>
      </c>
      <c r="E268" s="42" t="s">
        <v>437</v>
      </c>
      <c r="F268" s="42"/>
      <c r="G268" s="42"/>
      <c r="H268" s="42"/>
      <c r="I268" s="42"/>
      <c r="J268" s="42"/>
      <c r="K268" s="44">
        <v>1</v>
      </c>
      <c r="L268" s="42">
        <v>1</v>
      </c>
      <c r="M268" s="42">
        <v>1</v>
      </c>
      <c r="N268" s="42">
        <v>1</v>
      </c>
      <c r="O268" s="42">
        <v>1</v>
      </c>
      <c r="P268" s="42">
        <v>1</v>
      </c>
      <c r="Q268" s="42">
        <v>1</v>
      </c>
      <c r="R268" s="42"/>
      <c r="S268" s="42">
        <v>1</v>
      </c>
      <c r="T268" s="42"/>
      <c r="U268" s="42"/>
      <c r="V268" s="44"/>
      <c r="W268" s="42">
        <v>1</v>
      </c>
      <c r="X268" s="42">
        <v>1</v>
      </c>
      <c r="Y268" s="42"/>
      <c r="Z268" s="42">
        <v>1</v>
      </c>
      <c r="AA268" s="42"/>
      <c r="AB268" s="42">
        <v>1</v>
      </c>
      <c r="AC268" s="42"/>
      <c r="AD268" s="42">
        <v>1</v>
      </c>
      <c r="AE268" s="42">
        <v>1</v>
      </c>
      <c r="AF268" s="42">
        <v>1</v>
      </c>
      <c r="AG268" s="44">
        <v>1</v>
      </c>
      <c r="AH268" s="44">
        <v>1</v>
      </c>
      <c r="AI268" s="42">
        <v>1</v>
      </c>
      <c r="AJ268" s="42">
        <v>1</v>
      </c>
      <c r="AK268" s="42">
        <v>1</v>
      </c>
      <c r="AL268" s="42">
        <v>1</v>
      </c>
      <c r="AM268" s="42">
        <v>1</v>
      </c>
      <c r="AN268" s="42"/>
      <c r="AO268" s="42"/>
      <c r="AP268" s="42">
        <v>1</v>
      </c>
      <c r="AQ268" s="42">
        <v>1</v>
      </c>
      <c r="AR268" s="42">
        <v>1</v>
      </c>
      <c r="AS268" s="44"/>
      <c r="AT268" s="42">
        <v>1</v>
      </c>
      <c r="AU268" s="42">
        <v>1</v>
      </c>
      <c r="AV268" s="42">
        <v>1</v>
      </c>
      <c r="AW268" s="44">
        <v>1</v>
      </c>
      <c r="AX268" s="44">
        <v>1</v>
      </c>
      <c r="AY268" s="44">
        <v>1</v>
      </c>
      <c r="AZ268" s="44"/>
      <c r="BA268" s="46"/>
      <c r="BB268" s="34">
        <v>1</v>
      </c>
      <c r="BC268" s="34">
        <v>1</v>
      </c>
    </row>
    <row r="269" spans="1:55" customFormat="1" ht="21" customHeight="1" x14ac:dyDescent="0.25">
      <c r="A269" s="22"/>
      <c r="B269" s="42" t="s">
        <v>499</v>
      </c>
      <c r="C269" s="42" t="s">
        <v>246</v>
      </c>
      <c r="D269" s="42" t="s">
        <v>636</v>
      </c>
      <c r="E269" s="42" t="s">
        <v>637</v>
      </c>
      <c r="F269" s="42"/>
      <c r="G269" s="42"/>
      <c r="H269" s="42">
        <v>1</v>
      </c>
      <c r="I269" s="42"/>
      <c r="J269" s="42">
        <v>1</v>
      </c>
      <c r="K269" s="44">
        <v>1</v>
      </c>
      <c r="L269" s="42">
        <v>1</v>
      </c>
      <c r="M269" s="42">
        <v>1</v>
      </c>
      <c r="N269" s="42">
        <v>1</v>
      </c>
      <c r="O269" s="42">
        <v>1</v>
      </c>
      <c r="P269" s="42">
        <v>1</v>
      </c>
      <c r="Q269" s="42">
        <v>1</v>
      </c>
      <c r="R269" s="42"/>
      <c r="S269" s="42"/>
      <c r="T269" s="42">
        <v>1</v>
      </c>
      <c r="U269" s="42">
        <v>1</v>
      </c>
      <c r="V269" s="44">
        <v>1</v>
      </c>
      <c r="W269" s="42">
        <v>1</v>
      </c>
      <c r="X269" s="42">
        <v>1</v>
      </c>
      <c r="Y269" s="42">
        <v>1</v>
      </c>
      <c r="Z269" s="42">
        <v>1</v>
      </c>
      <c r="AA269" s="42">
        <v>1</v>
      </c>
      <c r="AB269" s="42">
        <v>1</v>
      </c>
      <c r="AC269" s="42"/>
      <c r="AD269" s="42">
        <v>1</v>
      </c>
      <c r="AE269" s="42">
        <v>1</v>
      </c>
      <c r="AF269" s="42">
        <v>1</v>
      </c>
      <c r="AG269" s="44">
        <v>1</v>
      </c>
      <c r="AH269" s="44">
        <v>1</v>
      </c>
      <c r="AI269" s="42">
        <v>1</v>
      </c>
      <c r="AJ269" s="42">
        <v>1</v>
      </c>
      <c r="AK269" s="42">
        <v>1</v>
      </c>
      <c r="AL269" s="42">
        <v>1</v>
      </c>
      <c r="AM269" s="42">
        <v>1</v>
      </c>
      <c r="AN269" s="42"/>
      <c r="AO269" s="42"/>
      <c r="AP269" s="42">
        <v>1</v>
      </c>
      <c r="AQ269" s="42">
        <v>1</v>
      </c>
      <c r="AR269" s="42">
        <v>1</v>
      </c>
      <c r="AS269" s="44"/>
      <c r="AT269" s="42">
        <v>1</v>
      </c>
      <c r="AU269" s="42">
        <v>1</v>
      </c>
      <c r="AV269" s="42">
        <v>1</v>
      </c>
      <c r="AW269" s="46"/>
      <c r="AX269" s="44"/>
      <c r="AY269" s="44">
        <v>1</v>
      </c>
      <c r="AZ269" s="44">
        <v>1</v>
      </c>
      <c r="BA269" s="34">
        <v>1</v>
      </c>
      <c r="BB269" s="34">
        <v>1</v>
      </c>
      <c r="BC269" s="34">
        <v>1</v>
      </c>
    </row>
    <row r="270" spans="1:55" customFormat="1" ht="21" customHeight="1" x14ac:dyDescent="0.25">
      <c r="A270" s="22"/>
      <c r="B270" s="42" t="s">
        <v>499</v>
      </c>
      <c r="C270" s="42" t="s">
        <v>255</v>
      </c>
      <c r="D270" s="42" t="s">
        <v>638</v>
      </c>
      <c r="E270" s="42" t="s">
        <v>276</v>
      </c>
      <c r="F270" s="42"/>
      <c r="G270" s="42"/>
      <c r="H270" s="42">
        <v>1</v>
      </c>
      <c r="I270" s="42"/>
      <c r="J270" s="42">
        <v>1</v>
      </c>
      <c r="K270" s="44">
        <v>1</v>
      </c>
      <c r="L270" s="42">
        <v>1</v>
      </c>
      <c r="M270" s="42">
        <v>1</v>
      </c>
      <c r="N270" s="42">
        <v>1</v>
      </c>
      <c r="O270" s="42">
        <v>1</v>
      </c>
      <c r="P270" s="42">
        <v>1</v>
      </c>
      <c r="Q270" s="42">
        <v>1</v>
      </c>
      <c r="R270" s="42"/>
      <c r="S270" s="42"/>
      <c r="T270" s="42"/>
      <c r="U270" s="42"/>
      <c r="V270" s="44">
        <v>1</v>
      </c>
      <c r="W270" s="42">
        <v>1</v>
      </c>
      <c r="X270" s="42">
        <v>1</v>
      </c>
      <c r="Y270" s="42">
        <v>1</v>
      </c>
      <c r="Z270" s="42">
        <v>1</v>
      </c>
      <c r="AA270" s="42">
        <v>1</v>
      </c>
      <c r="AB270" s="42">
        <v>1</v>
      </c>
      <c r="AC270" s="42"/>
      <c r="AD270" s="42">
        <v>1</v>
      </c>
      <c r="AE270" s="42">
        <v>1</v>
      </c>
      <c r="AF270" s="42">
        <v>1</v>
      </c>
      <c r="AG270" s="44">
        <v>1</v>
      </c>
      <c r="AH270" s="42">
        <v>1</v>
      </c>
      <c r="AI270" s="42">
        <v>1</v>
      </c>
      <c r="AJ270" s="42">
        <v>1</v>
      </c>
      <c r="AK270" s="42">
        <v>1</v>
      </c>
      <c r="AL270" s="42">
        <v>1</v>
      </c>
      <c r="AM270" s="42">
        <v>1</v>
      </c>
      <c r="AN270" s="42"/>
      <c r="AO270" s="42"/>
      <c r="AP270" s="42">
        <v>1</v>
      </c>
      <c r="AQ270" s="42">
        <v>1</v>
      </c>
      <c r="AR270" s="42">
        <v>1</v>
      </c>
      <c r="AS270" s="44"/>
      <c r="AT270" s="42">
        <v>1</v>
      </c>
      <c r="AU270" s="42">
        <v>1</v>
      </c>
      <c r="AV270" s="42">
        <v>1</v>
      </c>
      <c r="AW270" s="46">
        <v>1</v>
      </c>
      <c r="AX270" s="44">
        <v>1</v>
      </c>
      <c r="AY270" s="44">
        <v>1</v>
      </c>
      <c r="AZ270" s="44">
        <v>1</v>
      </c>
      <c r="BA270" s="34">
        <v>1</v>
      </c>
      <c r="BB270" s="34">
        <v>1</v>
      </c>
      <c r="BC270" s="34">
        <v>1</v>
      </c>
    </row>
    <row r="271" spans="1:55" customFormat="1" ht="21" customHeight="1" x14ac:dyDescent="0.25">
      <c r="A271" s="22"/>
      <c r="B271" s="42" t="s">
        <v>499</v>
      </c>
      <c r="C271" s="42" t="s">
        <v>255</v>
      </c>
      <c r="D271" s="42" t="s">
        <v>639</v>
      </c>
      <c r="E271" s="42" t="s">
        <v>640</v>
      </c>
      <c r="F271" s="42"/>
      <c r="G271" s="42"/>
      <c r="H271" s="42"/>
      <c r="I271" s="42">
        <v>1</v>
      </c>
      <c r="J271" s="42">
        <v>1</v>
      </c>
      <c r="K271" s="44"/>
      <c r="L271" s="42">
        <v>1</v>
      </c>
      <c r="M271" s="42">
        <v>1</v>
      </c>
      <c r="N271" s="42">
        <v>1</v>
      </c>
      <c r="O271" s="42"/>
      <c r="P271" s="42">
        <v>1</v>
      </c>
      <c r="Q271" s="42">
        <v>1</v>
      </c>
      <c r="R271" s="42"/>
      <c r="S271" s="42">
        <v>1</v>
      </c>
      <c r="T271" s="42">
        <v>1</v>
      </c>
      <c r="U271" s="42">
        <v>1</v>
      </c>
      <c r="V271" s="44"/>
      <c r="W271" s="42">
        <v>1</v>
      </c>
      <c r="X271" s="42">
        <v>1</v>
      </c>
      <c r="Y271" s="42"/>
      <c r="Z271" s="42">
        <v>1</v>
      </c>
      <c r="AA271" s="42"/>
      <c r="AB271" s="42"/>
      <c r="AC271" s="42"/>
      <c r="AD271" s="42">
        <v>1</v>
      </c>
      <c r="AE271" s="42">
        <v>1</v>
      </c>
      <c r="AF271" s="42">
        <v>1</v>
      </c>
      <c r="AG271" s="44">
        <v>1</v>
      </c>
      <c r="AH271" s="44">
        <v>1</v>
      </c>
      <c r="AI271" s="42">
        <v>1</v>
      </c>
      <c r="AJ271" s="42">
        <v>1</v>
      </c>
      <c r="AK271" s="42">
        <v>1</v>
      </c>
      <c r="AL271" s="42">
        <v>1</v>
      </c>
      <c r="AM271" s="42">
        <v>1</v>
      </c>
      <c r="AN271" s="42"/>
      <c r="AO271" s="42"/>
      <c r="AP271" s="42"/>
      <c r="AQ271" s="42"/>
      <c r="AR271" s="44"/>
      <c r="AS271" s="44">
        <v>1</v>
      </c>
      <c r="AT271" s="44"/>
      <c r="AU271" s="44"/>
      <c r="AV271" s="44"/>
      <c r="AW271" s="46"/>
      <c r="AX271" s="44"/>
      <c r="AY271" s="44"/>
      <c r="AZ271" s="44"/>
      <c r="BA271" s="34">
        <v>1</v>
      </c>
      <c r="BB271" s="34">
        <v>1</v>
      </c>
      <c r="BC271" s="34"/>
    </row>
    <row r="272" spans="1:55" customFormat="1" ht="21" customHeight="1" x14ac:dyDescent="0.25">
      <c r="A272" s="22"/>
      <c r="B272" s="42" t="s">
        <v>499</v>
      </c>
      <c r="C272" s="42" t="s">
        <v>255</v>
      </c>
      <c r="D272" s="42" t="s">
        <v>641</v>
      </c>
      <c r="E272" s="42" t="s">
        <v>642</v>
      </c>
      <c r="F272" s="42"/>
      <c r="G272" s="42"/>
      <c r="H272" s="42"/>
      <c r="I272" s="42"/>
      <c r="J272" s="42"/>
      <c r="K272" s="44">
        <v>1</v>
      </c>
      <c r="L272" s="42">
        <v>1</v>
      </c>
      <c r="M272" s="42">
        <v>1</v>
      </c>
      <c r="N272" s="42">
        <v>1</v>
      </c>
      <c r="O272" s="42">
        <v>1</v>
      </c>
      <c r="P272" s="42">
        <v>1</v>
      </c>
      <c r="Q272" s="42">
        <v>1</v>
      </c>
      <c r="R272" s="42"/>
      <c r="S272" s="42">
        <v>1</v>
      </c>
      <c r="T272" s="42">
        <v>1</v>
      </c>
      <c r="U272" s="42">
        <v>1</v>
      </c>
      <c r="V272" s="44">
        <v>1</v>
      </c>
      <c r="W272" s="42"/>
      <c r="X272" s="42"/>
      <c r="Y272" s="42"/>
      <c r="Z272" s="42"/>
      <c r="AA272" s="42">
        <v>1</v>
      </c>
      <c r="AB272" s="42">
        <v>1</v>
      </c>
      <c r="AC272" s="42"/>
      <c r="AD272" s="42">
        <v>1</v>
      </c>
      <c r="AE272" s="42">
        <v>1</v>
      </c>
      <c r="AF272" s="42">
        <v>1</v>
      </c>
      <c r="AG272" s="44">
        <v>1</v>
      </c>
      <c r="AH272" s="44">
        <v>1</v>
      </c>
      <c r="AI272" s="42"/>
      <c r="AJ272" s="42">
        <v>1</v>
      </c>
      <c r="AK272" s="42">
        <v>1</v>
      </c>
      <c r="AL272" s="42">
        <v>1</v>
      </c>
      <c r="AM272" s="42">
        <v>1</v>
      </c>
      <c r="AN272" s="42"/>
      <c r="AO272" s="42"/>
      <c r="AP272" s="42"/>
      <c r="AQ272" s="42"/>
      <c r="AR272" s="44">
        <v>1</v>
      </c>
      <c r="AS272" s="44">
        <v>1</v>
      </c>
      <c r="AT272" s="44">
        <v>1</v>
      </c>
      <c r="AU272" s="44">
        <v>1</v>
      </c>
      <c r="AV272" s="44">
        <v>1</v>
      </c>
      <c r="AW272" s="46"/>
      <c r="AX272" s="44"/>
      <c r="AY272" s="44">
        <v>1</v>
      </c>
      <c r="AZ272" s="44"/>
      <c r="BA272" s="46"/>
      <c r="BB272" s="34">
        <v>1</v>
      </c>
      <c r="BC272" s="34"/>
    </row>
    <row r="273" spans="1:55" customFormat="1" ht="21" customHeight="1" x14ac:dyDescent="0.25">
      <c r="A273" s="22"/>
      <c r="B273" s="42" t="s">
        <v>499</v>
      </c>
      <c r="C273" s="42" t="s">
        <v>255</v>
      </c>
      <c r="D273" s="42" t="s">
        <v>643</v>
      </c>
      <c r="E273" s="42" t="s">
        <v>437</v>
      </c>
      <c r="F273" s="42"/>
      <c r="G273" s="42"/>
      <c r="H273" s="42">
        <v>1</v>
      </c>
      <c r="I273" s="42">
        <v>1</v>
      </c>
      <c r="J273" s="42">
        <v>1</v>
      </c>
      <c r="K273" s="44">
        <v>1</v>
      </c>
      <c r="L273" s="42">
        <v>1</v>
      </c>
      <c r="M273" s="42">
        <v>1</v>
      </c>
      <c r="N273" s="42">
        <v>1</v>
      </c>
      <c r="O273" s="42">
        <v>1</v>
      </c>
      <c r="P273" s="42">
        <v>1</v>
      </c>
      <c r="Q273" s="42">
        <v>1</v>
      </c>
      <c r="R273" s="42"/>
      <c r="S273" s="42">
        <v>1</v>
      </c>
      <c r="T273" s="42">
        <v>1</v>
      </c>
      <c r="U273" s="42">
        <v>1</v>
      </c>
      <c r="V273" s="44">
        <v>1</v>
      </c>
      <c r="W273" s="42">
        <v>1</v>
      </c>
      <c r="X273" s="42">
        <v>1</v>
      </c>
      <c r="Y273" s="42"/>
      <c r="Z273" s="42">
        <v>1</v>
      </c>
      <c r="AA273" s="42">
        <v>1</v>
      </c>
      <c r="AB273" s="42">
        <v>1</v>
      </c>
      <c r="AC273" s="42"/>
      <c r="AD273" s="42"/>
      <c r="AE273" s="42">
        <v>1</v>
      </c>
      <c r="AF273" s="42">
        <v>1</v>
      </c>
      <c r="AG273" s="44">
        <v>1</v>
      </c>
      <c r="AH273" s="42">
        <v>1</v>
      </c>
      <c r="AI273" s="42">
        <v>1</v>
      </c>
      <c r="AJ273" s="42">
        <v>1</v>
      </c>
      <c r="AK273" s="42">
        <v>1</v>
      </c>
      <c r="AL273" s="42">
        <v>1</v>
      </c>
      <c r="AM273" s="42">
        <v>1</v>
      </c>
      <c r="AN273" s="42"/>
      <c r="AO273" s="42"/>
      <c r="AP273" s="42"/>
      <c r="AQ273" s="42"/>
      <c r="AR273" s="44">
        <v>1</v>
      </c>
      <c r="AS273" s="44">
        <v>1</v>
      </c>
      <c r="AT273" s="44">
        <v>1</v>
      </c>
      <c r="AU273" s="44">
        <v>1</v>
      </c>
      <c r="AV273" s="44">
        <v>1</v>
      </c>
      <c r="AW273" s="44">
        <v>1</v>
      </c>
      <c r="AX273" s="44">
        <v>1</v>
      </c>
      <c r="AY273" s="44"/>
      <c r="AZ273" s="44"/>
      <c r="BA273" s="34">
        <v>1</v>
      </c>
      <c r="BB273" s="34">
        <v>1</v>
      </c>
      <c r="BC273" s="34">
        <v>1</v>
      </c>
    </row>
    <row r="274" spans="1:55" customFormat="1" ht="21" customHeight="1" x14ac:dyDescent="0.25">
      <c r="A274" s="22"/>
      <c r="B274" s="42" t="s">
        <v>499</v>
      </c>
      <c r="C274" s="42" t="s">
        <v>255</v>
      </c>
      <c r="D274" s="42" t="s">
        <v>644</v>
      </c>
      <c r="E274" s="42" t="s">
        <v>269</v>
      </c>
      <c r="F274" s="42"/>
      <c r="G274" s="42"/>
      <c r="H274" s="42">
        <v>1</v>
      </c>
      <c r="I274" s="42">
        <v>1</v>
      </c>
      <c r="J274" s="42">
        <v>1</v>
      </c>
      <c r="K274" s="44">
        <v>1</v>
      </c>
      <c r="L274" s="42">
        <v>1</v>
      </c>
      <c r="M274" s="42"/>
      <c r="N274" s="42"/>
      <c r="O274" s="42">
        <v>1</v>
      </c>
      <c r="P274" s="42"/>
      <c r="Q274" s="42">
        <v>1</v>
      </c>
      <c r="R274" s="42"/>
      <c r="S274" s="42"/>
      <c r="T274" s="42">
        <v>1</v>
      </c>
      <c r="U274" s="42">
        <v>1</v>
      </c>
      <c r="V274" s="44">
        <v>1</v>
      </c>
      <c r="W274" s="42"/>
      <c r="X274" s="42"/>
      <c r="Y274" s="42">
        <v>1</v>
      </c>
      <c r="Z274" s="42">
        <v>1</v>
      </c>
      <c r="AA274" s="42">
        <v>1</v>
      </c>
      <c r="AB274" s="42">
        <v>1</v>
      </c>
      <c r="AC274" s="42"/>
      <c r="AD274" s="42">
        <v>1</v>
      </c>
      <c r="AE274" s="42">
        <v>1</v>
      </c>
      <c r="AF274" s="42">
        <v>1</v>
      </c>
      <c r="AG274" s="44">
        <v>1</v>
      </c>
      <c r="AH274" s="42">
        <v>1</v>
      </c>
      <c r="AI274" s="42">
        <v>1</v>
      </c>
      <c r="AJ274" s="42">
        <v>1</v>
      </c>
      <c r="AK274" s="42">
        <v>1</v>
      </c>
      <c r="AL274" s="42">
        <v>1</v>
      </c>
      <c r="AM274" s="42">
        <v>1</v>
      </c>
      <c r="AN274" s="42"/>
      <c r="AO274" s="42"/>
      <c r="AP274" s="42">
        <v>1</v>
      </c>
      <c r="AQ274" s="42">
        <v>1</v>
      </c>
      <c r="AR274" s="44">
        <v>1</v>
      </c>
      <c r="AS274" s="44"/>
      <c r="AT274" s="44"/>
      <c r="AU274" s="44"/>
      <c r="AV274" s="44"/>
      <c r="AW274" s="44">
        <v>1</v>
      </c>
      <c r="AX274" s="44">
        <v>1</v>
      </c>
      <c r="AY274" s="44">
        <v>1</v>
      </c>
      <c r="AZ274" s="44">
        <v>1</v>
      </c>
      <c r="BA274" s="34">
        <v>1</v>
      </c>
      <c r="BB274" s="34">
        <v>1</v>
      </c>
      <c r="BC274" s="34">
        <v>1</v>
      </c>
    </row>
    <row r="275" spans="1:55" customFormat="1" ht="21" customHeight="1" x14ac:dyDescent="0.25">
      <c r="A275" s="22"/>
      <c r="B275" s="42" t="s">
        <v>499</v>
      </c>
      <c r="C275" s="42" t="s">
        <v>255</v>
      </c>
      <c r="D275" s="42" t="s">
        <v>645</v>
      </c>
      <c r="E275" s="42" t="s">
        <v>430</v>
      </c>
      <c r="F275" s="42"/>
      <c r="G275" s="42"/>
      <c r="H275" s="42"/>
      <c r="I275" s="42"/>
      <c r="J275" s="42"/>
      <c r="K275" s="44">
        <v>1</v>
      </c>
      <c r="L275" s="42">
        <v>1</v>
      </c>
      <c r="M275" s="42">
        <v>1</v>
      </c>
      <c r="N275" s="42">
        <v>1</v>
      </c>
      <c r="O275" s="42">
        <v>1</v>
      </c>
      <c r="P275" s="42">
        <v>1</v>
      </c>
      <c r="Q275" s="42">
        <v>1</v>
      </c>
      <c r="R275" s="42"/>
      <c r="S275" s="42">
        <v>1</v>
      </c>
      <c r="T275" s="42">
        <v>1</v>
      </c>
      <c r="U275" s="42">
        <v>1</v>
      </c>
      <c r="V275" s="44">
        <v>1</v>
      </c>
      <c r="W275" s="42"/>
      <c r="X275" s="42"/>
      <c r="Y275" s="42">
        <v>1</v>
      </c>
      <c r="Z275" s="42">
        <v>1</v>
      </c>
      <c r="AA275" s="42">
        <v>1</v>
      </c>
      <c r="AB275" s="42">
        <v>1</v>
      </c>
      <c r="AC275" s="42"/>
      <c r="AD275" s="42">
        <v>1</v>
      </c>
      <c r="AE275" s="42">
        <v>1</v>
      </c>
      <c r="AF275" s="42">
        <v>1</v>
      </c>
      <c r="AG275" s="44">
        <v>1</v>
      </c>
      <c r="AH275" s="42">
        <v>1</v>
      </c>
      <c r="AI275" s="42"/>
      <c r="AJ275" s="42">
        <v>1</v>
      </c>
      <c r="AK275" s="42">
        <v>1</v>
      </c>
      <c r="AL275" s="42">
        <v>1</v>
      </c>
      <c r="AM275" s="42">
        <v>1</v>
      </c>
      <c r="AN275" s="42"/>
      <c r="AO275" s="42"/>
      <c r="AP275" s="42"/>
      <c r="AQ275" s="42"/>
      <c r="AR275" s="44">
        <v>1</v>
      </c>
      <c r="AS275" s="44">
        <v>1</v>
      </c>
      <c r="AT275" s="44"/>
      <c r="AU275" s="44"/>
      <c r="AV275" s="44"/>
      <c r="AW275" s="44">
        <v>1</v>
      </c>
      <c r="AX275" s="44">
        <v>1</v>
      </c>
      <c r="AY275" s="44">
        <v>1</v>
      </c>
      <c r="AZ275" s="44"/>
      <c r="BA275" s="34">
        <v>1</v>
      </c>
      <c r="BB275" s="34">
        <v>1</v>
      </c>
      <c r="BC275" s="34">
        <v>1</v>
      </c>
    </row>
    <row r="276" spans="1:55" customFormat="1" ht="21" customHeight="1" x14ac:dyDescent="0.25">
      <c r="A276" s="22"/>
      <c r="B276" s="42" t="s">
        <v>499</v>
      </c>
      <c r="C276" s="42" t="s">
        <v>255</v>
      </c>
      <c r="D276" s="42" t="s">
        <v>646</v>
      </c>
      <c r="E276" s="42" t="s">
        <v>647</v>
      </c>
      <c r="F276" s="42"/>
      <c r="G276" s="42"/>
      <c r="H276" s="42"/>
      <c r="I276" s="42">
        <v>1</v>
      </c>
      <c r="J276" s="42">
        <v>1</v>
      </c>
      <c r="K276" s="44">
        <v>1</v>
      </c>
      <c r="L276" s="42">
        <v>1</v>
      </c>
      <c r="M276" s="42">
        <v>1</v>
      </c>
      <c r="N276" s="42"/>
      <c r="O276" s="42">
        <v>1</v>
      </c>
      <c r="P276" s="42">
        <v>1</v>
      </c>
      <c r="Q276" s="42">
        <v>1</v>
      </c>
      <c r="R276" s="42"/>
      <c r="S276" s="42">
        <v>1</v>
      </c>
      <c r="T276" s="42">
        <v>1</v>
      </c>
      <c r="U276" s="42">
        <v>1</v>
      </c>
      <c r="V276" s="44">
        <v>1</v>
      </c>
      <c r="W276" s="42">
        <v>1</v>
      </c>
      <c r="X276" s="42">
        <v>1</v>
      </c>
      <c r="Y276" s="42"/>
      <c r="Z276" s="42">
        <v>1</v>
      </c>
      <c r="AA276" s="42">
        <v>1</v>
      </c>
      <c r="AB276" s="42">
        <v>1</v>
      </c>
      <c r="AC276" s="42"/>
      <c r="AD276" s="42"/>
      <c r="AE276" s="42">
        <v>1</v>
      </c>
      <c r="AF276" s="42">
        <v>1</v>
      </c>
      <c r="AG276" s="44">
        <v>1</v>
      </c>
      <c r="AH276" s="44">
        <v>1</v>
      </c>
      <c r="AI276" s="42">
        <v>1</v>
      </c>
      <c r="AJ276" s="42">
        <v>1</v>
      </c>
      <c r="AK276" s="42">
        <v>1</v>
      </c>
      <c r="AL276" s="42"/>
      <c r="AM276" s="42"/>
      <c r="AN276" s="42"/>
      <c r="AO276" s="42">
        <v>1</v>
      </c>
      <c r="AP276" s="42">
        <v>1</v>
      </c>
      <c r="AQ276" s="42">
        <v>1</v>
      </c>
      <c r="AR276" s="44">
        <v>1</v>
      </c>
      <c r="AS276" s="44">
        <v>1</v>
      </c>
      <c r="AT276" s="44">
        <v>1</v>
      </c>
      <c r="AU276" s="44">
        <v>1</v>
      </c>
      <c r="AV276" s="44">
        <v>1</v>
      </c>
      <c r="AW276" s="44">
        <v>1</v>
      </c>
      <c r="AX276" s="44">
        <v>1</v>
      </c>
      <c r="AY276" s="44">
        <v>1</v>
      </c>
      <c r="AZ276" s="44">
        <v>1</v>
      </c>
      <c r="BA276" s="34">
        <v>1</v>
      </c>
      <c r="BB276" s="34">
        <v>1</v>
      </c>
      <c r="BC276" s="34">
        <v>1</v>
      </c>
    </row>
    <row r="277" spans="1:55" customFormat="1" ht="21" customHeight="1" x14ac:dyDescent="0.25">
      <c r="A277" s="22"/>
      <c r="B277" s="42" t="s">
        <v>499</v>
      </c>
      <c r="C277" s="42" t="s">
        <v>255</v>
      </c>
      <c r="D277" s="42" t="s">
        <v>648</v>
      </c>
      <c r="E277" s="42" t="s">
        <v>649</v>
      </c>
      <c r="F277" s="42"/>
      <c r="G277" s="42"/>
      <c r="H277" s="42">
        <v>1</v>
      </c>
      <c r="I277" s="42">
        <v>1</v>
      </c>
      <c r="J277" s="42">
        <v>1</v>
      </c>
      <c r="K277" s="44">
        <v>1</v>
      </c>
      <c r="L277" s="42">
        <v>1</v>
      </c>
      <c r="M277" s="42">
        <v>1</v>
      </c>
      <c r="N277" s="42">
        <v>1</v>
      </c>
      <c r="O277" s="42">
        <v>1</v>
      </c>
      <c r="P277" s="42">
        <v>1</v>
      </c>
      <c r="Q277" s="42">
        <v>1</v>
      </c>
      <c r="R277" s="42"/>
      <c r="S277" s="42"/>
      <c r="T277" s="42"/>
      <c r="U277" s="42"/>
      <c r="V277" s="44">
        <v>1</v>
      </c>
      <c r="W277" s="42">
        <v>1</v>
      </c>
      <c r="X277" s="42">
        <v>1</v>
      </c>
      <c r="Y277" s="42">
        <v>1</v>
      </c>
      <c r="Z277" s="42">
        <v>1</v>
      </c>
      <c r="AA277" s="42"/>
      <c r="AB277" s="42">
        <v>1</v>
      </c>
      <c r="AC277" s="42"/>
      <c r="AD277" s="42">
        <v>1</v>
      </c>
      <c r="AE277" s="42">
        <v>1</v>
      </c>
      <c r="AF277" s="42">
        <v>1</v>
      </c>
      <c r="AG277" s="44">
        <v>1</v>
      </c>
      <c r="AH277" s="44">
        <v>1</v>
      </c>
      <c r="AI277" s="42">
        <v>1</v>
      </c>
      <c r="AJ277" s="42">
        <v>1</v>
      </c>
      <c r="AK277" s="42">
        <v>1</v>
      </c>
      <c r="AL277" s="42">
        <v>1</v>
      </c>
      <c r="AM277" s="42">
        <v>1</v>
      </c>
      <c r="AN277" s="42"/>
      <c r="AO277" s="42"/>
      <c r="AP277" s="42">
        <v>1</v>
      </c>
      <c r="AQ277" s="42">
        <v>1</v>
      </c>
      <c r="AR277" s="44"/>
      <c r="AS277" s="44">
        <v>1</v>
      </c>
      <c r="AT277" s="44">
        <v>1</v>
      </c>
      <c r="AU277" s="44">
        <v>1</v>
      </c>
      <c r="AV277" s="44">
        <v>1</v>
      </c>
      <c r="AW277" s="46">
        <v>1</v>
      </c>
      <c r="AX277" s="44">
        <v>1</v>
      </c>
      <c r="AY277" s="44"/>
      <c r="AZ277" s="44">
        <v>1</v>
      </c>
      <c r="BA277" s="34">
        <v>1</v>
      </c>
      <c r="BB277" s="34">
        <v>1</v>
      </c>
      <c r="BC277" s="34"/>
    </row>
    <row r="278" spans="1:55" customFormat="1" ht="21" customHeight="1" x14ac:dyDescent="0.25">
      <c r="A278" s="22"/>
      <c r="B278" s="42" t="s">
        <v>499</v>
      </c>
      <c r="C278" s="42" t="s">
        <v>255</v>
      </c>
      <c r="D278" s="42" t="s">
        <v>650</v>
      </c>
      <c r="E278" s="42" t="s">
        <v>427</v>
      </c>
      <c r="F278" s="42"/>
      <c r="G278" s="42"/>
      <c r="H278" s="42"/>
      <c r="I278" s="42">
        <v>1</v>
      </c>
      <c r="J278" s="42">
        <v>1</v>
      </c>
      <c r="K278" s="44">
        <v>1</v>
      </c>
      <c r="L278" s="42">
        <v>1</v>
      </c>
      <c r="M278" s="42">
        <v>1</v>
      </c>
      <c r="N278" s="42">
        <v>1</v>
      </c>
      <c r="O278" s="42">
        <v>1</v>
      </c>
      <c r="P278" s="42">
        <v>1</v>
      </c>
      <c r="Q278" s="42">
        <v>1</v>
      </c>
      <c r="R278" s="42"/>
      <c r="S278" s="42">
        <v>1</v>
      </c>
      <c r="T278" s="42">
        <v>1</v>
      </c>
      <c r="U278" s="42">
        <v>1</v>
      </c>
      <c r="V278" s="44">
        <v>1</v>
      </c>
      <c r="W278" s="42">
        <v>1</v>
      </c>
      <c r="X278" s="42">
        <v>1</v>
      </c>
      <c r="Y278" s="42">
        <v>1</v>
      </c>
      <c r="Z278" s="42">
        <v>1</v>
      </c>
      <c r="AA278" s="42">
        <v>1</v>
      </c>
      <c r="AB278" s="42">
        <v>1</v>
      </c>
      <c r="AC278" s="42"/>
      <c r="AD278" s="42">
        <v>1</v>
      </c>
      <c r="AE278" s="42">
        <v>1</v>
      </c>
      <c r="AF278" s="42">
        <v>1</v>
      </c>
      <c r="AG278" s="44">
        <v>1</v>
      </c>
      <c r="AH278" s="44">
        <v>1</v>
      </c>
      <c r="AI278" s="42"/>
      <c r="AJ278" s="42">
        <v>1</v>
      </c>
      <c r="AK278" s="42">
        <v>1</v>
      </c>
      <c r="AL278" s="42">
        <v>1</v>
      </c>
      <c r="AM278" s="42">
        <v>1</v>
      </c>
      <c r="AN278" s="42"/>
      <c r="AO278" s="42"/>
      <c r="AP278" s="42">
        <v>1</v>
      </c>
      <c r="AQ278" s="42">
        <v>1</v>
      </c>
      <c r="AR278" s="44">
        <v>1</v>
      </c>
      <c r="AS278" s="44"/>
      <c r="AT278" s="44"/>
      <c r="AU278" s="44"/>
      <c r="AV278" s="44"/>
      <c r="AW278" s="44">
        <v>1</v>
      </c>
      <c r="AX278" s="44">
        <v>1</v>
      </c>
      <c r="AY278" s="44">
        <v>1</v>
      </c>
      <c r="AZ278" s="44">
        <v>1</v>
      </c>
      <c r="BA278" s="34">
        <v>1</v>
      </c>
      <c r="BB278" s="34">
        <v>1</v>
      </c>
      <c r="BC278" s="34">
        <v>1</v>
      </c>
    </row>
    <row r="279" spans="1:55" customFormat="1" ht="21" customHeight="1" x14ac:dyDescent="0.25">
      <c r="A279" s="22"/>
      <c r="B279" s="42" t="s">
        <v>499</v>
      </c>
      <c r="C279" s="42" t="s">
        <v>255</v>
      </c>
      <c r="D279" s="42" t="s">
        <v>651</v>
      </c>
      <c r="E279" s="42" t="s">
        <v>437</v>
      </c>
      <c r="F279" s="42"/>
      <c r="G279" s="42"/>
      <c r="H279" s="42">
        <v>1</v>
      </c>
      <c r="I279" s="42"/>
      <c r="J279" s="42">
        <v>1</v>
      </c>
      <c r="K279" s="44">
        <v>1</v>
      </c>
      <c r="L279" s="42">
        <v>1</v>
      </c>
      <c r="M279" s="42">
        <v>1</v>
      </c>
      <c r="N279" s="42"/>
      <c r="O279" s="42">
        <v>1</v>
      </c>
      <c r="P279" s="42">
        <v>1</v>
      </c>
      <c r="Q279" s="42">
        <v>1</v>
      </c>
      <c r="R279" s="42"/>
      <c r="S279" s="42"/>
      <c r="T279" s="42"/>
      <c r="U279" s="42"/>
      <c r="V279" s="44">
        <v>1</v>
      </c>
      <c r="W279" s="42">
        <v>1</v>
      </c>
      <c r="X279" s="42">
        <v>1</v>
      </c>
      <c r="Y279" s="42">
        <v>1</v>
      </c>
      <c r="Z279" s="42"/>
      <c r="AA279" s="42">
        <v>1</v>
      </c>
      <c r="AB279" s="42">
        <v>1</v>
      </c>
      <c r="AC279" s="42"/>
      <c r="AD279" s="42">
        <v>1</v>
      </c>
      <c r="AE279" s="42">
        <v>1</v>
      </c>
      <c r="AF279" s="42">
        <v>1</v>
      </c>
      <c r="AG279" s="44">
        <v>1</v>
      </c>
      <c r="AH279" s="42">
        <v>1</v>
      </c>
      <c r="AI279" s="42">
        <v>1</v>
      </c>
      <c r="AJ279" s="42"/>
      <c r="AK279" s="42">
        <v>1</v>
      </c>
      <c r="AL279" s="42">
        <v>1</v>
      </c>
      <c r="AM279" s="42">
        <v>1</v>
      </c>
      <c r="AN279" s="42"/>
      <c r="AO279" s="42"/>
      <c r="AP279" s="42">
        <v>1</v>
      </c>
      <c r="AQ279" s="42">
        <v>1</v>
      </c>
      <c r="AR279" s="44"/>
      <c r="AS279" s="44">
        <v>1</v>
      </c>
      <c r="AT279" s="44">
        <v>1</v>
      </c>
      <c r="AU279" s="44">
        <v>1</v>
      </c>
      <c r="AV279" s="44">
        <v>1</v>
      </c>
      <c r="AW279" s="44">
        <v>1</v>
      </c>
      <c r="AX279" s="44">
        <v>1</v>
      </c>
      <c r="AY279" s="44">
        <v>1</v>
      </c>
      <c r="AZ279" s="44">
        <v>1</v>
      </c>
      <c r="BA279" s="34">
        <v>1</v>
      </c>
      <c r="BB279" s="34">
        <v>1</v>
      </c>
      <c r="BC279" s="34">
        <v>1</v>
      </c>
    </row>
    <row r="280" spans="1:55" customFormat="1" ht="21" customHeight="1" x14ac:dyDescent="0.25">
      <c r="A280" s="22"/>
      <c r="B280" s="42" t="s">
        <v>499</v>
      </c>
      <c r="C280" s="42" t="s">
        <v>246</v>
      </c>
      <c r="D280" s="42" t="s">
        <v>652</v>
      </c>
      <c r="E280" s="42" t="s">
        <v>390</v>
      </c>
      <c r="F280" s="42"/>
      <c r="G280" s="42"/>
      <c r="H280" s="42">
        <v>1</v>
      </c>
      <c r="I280" s="42"/>
      <c r="J280" s="42">
        <v>1</v>
      </c>
      <c r="K280" s="44">
        <v>1</v>
      </c>
      <c r="L280" s="42">
        <v>1</v>
      </c>
      <c r="M280" s="42">
        <v>1</v>
      </c>
      <c r="N280" s="42">
        <v>1</v>
      </c>
      <c r="O280" s="42">
        <v>1</v>
      </c>
      <c r="P280" s="42"/>
      <c r="Q280" s="42">
        <v>1</v>
      </c>
      <c r="R280" s="42"/>
      <c r="S280" s="42">
        <v>1</v>
      </c>
      <c r="T280" s="42">
        <v>1</v>
      </c>
      <c r="U280" s="42">
        <v>1</v>
      </c>
      <c r="V280" s="44">
        <v>1</v>
      </c>
      <c r="W280" s="42">
        <v>1</v>
      </c>
      <c r="X280" s="42">
        <v>1</v>
      </c>
      <c r="Y280" s="42">
        <v>1</v>
      </c>
      <c r="Z280" s="42">
        <v>1</v>
      </c>
      <c r="AA280" s="42">
        <v>1</v>
      </c>
      <c r="AB280" s="42">
        <v>1</v>
      </c>
      <c r="AC280" s="42"/>
      <c r="AD280" s="42"/>
      <c r="AE280" s="42">
        <v>1</v>
      </c>
      <c r="AF280" s="42">
        <v>1</v>
      </c>
      <c r="AG280" s="44">
        <v>1</v>
      </c>
      <c r="AH280" s="44">
        <v>1</v>
      </c>
      <c r="AI280" s="42">
        <v>1</v>
      </c>
      <c r="AJ280" s="42">
        <v>1</v>
      </c>
      <c r="AK280" s="42">
        <v>1</v>
      </c>
      <c r="AL280" s="42">
        <v>1</v>
      </c>
      <c r="AM280" s="42">
        <v>1</v>
      </c>
      <c r="AN280" s="42"/>
      <c r="AO280" s="42"/>
      <c r="AP280" s="42"/>
      <c r="AQ280" s="42"/>
      <c r="AR280" s="44"/>
      <c r="AS280" s="44"/>
      <c r="AT280" s="44"/>
      <c r="AU280" s="42"/>
      <c r="AV280" s="42"/>
      <c r="AW280" s="46"/>
      <c r="AX280" s="44"/>
      <c r="AY280" s="44"/>
      <c r="AZ280" s="44"/>
      <c r="BA280" s="34">
        <v>1</v>
      </c>
      <c r="BB280" s="34">
        <v>1</v>
      </c>
      <c r="BC280" s="34"/>
    </row>
    <row r="281" spans="1:55" customFormat="1" ht="21" customHeight="1" x14ac:dyDescent="0.25">
      <c r="A281" s="22"/>
      <c r="B281" s="42" t="s">
        <v>499</v>
      </c>
      <c r="C281" s="42" t="s">
        <v>246</v>
      </c>
      <c r="D281" s="42" t="s">
        <v>653</v>
      </c>
      <c r="E281" s="42" t="s">
        <v>433</v>
      </c>
      <c r="F281" s="42"/>
      <c r="G281" s="42"/>
      <c r="H281" s="42"/>
      <c r="I281" s="42">
        <v>1</v>
      </c>
      <c r="J281" s="42">
        <v>1</v>
      </c>
      <c r="K281" s="44">
        <v>1</v>
      </c>
      <c r="L281" s="42">
        <v>1</v>
      </c>
      <c r="M281" s="42">
        <v>1</v>
      </c>
      <c r="N281" s="42">
        <v>1</v>
      </c>
      <c r="O281" s="42">
        <v>1</v>
      </c>
      <c r="P281" s="42">
        <v>1</v>
      </c>
      <c r="Q281" s="42">
        <v>1</v>
      </c>
      <c r="R281" s="42"/>
      <c r="S281" s="42">
        <v>1</v>
      </c>
      <c r="T281" s="42">
        <v>1</v>
      </c>
      <c r="U281" s="42">
        <v>1</v>
      </c>
      <c r="V281" s="44">
        <v>1</v>
      </c>
      <c r="W281" s="42">
        <v>1</v>
      </c>
      <c r="X281" s="42">
        <v>1</v>
      </c>
      <c r="Y281" s="42"/>
      <c r="Z281" s="42">
        <v>1</v>
      </c>
      <c r="AA281" s="42">
        <v>1</v>
      </c>
      <c r="AB281" s="42">
        <v>1</v>
      </c>
      <c r="AC281" s="42"/>
      <c r="AD281" s="42">
        <v>1</v>
      </c>
      <c r="AE281" s="42">
        <v>1</v>
      </c>
      <c r="AF281" s="42">
        <v>1</v>
      </c>
      <c r="AG281" s="44">
        <v>1</v>
      </c>
      <c r="AH281" s="42">
        <v>1</v>
      </c>
      <c r="AI281" s="42">
        <v>1</v>
      </c>
      <c r="AJ281" s="42">
        <v>1</v>
      </c>
      <c r="AK281" s="42">
        <v>1</v>
      </c>
      <c r="AL281" s="42">
        <v>1</v>
      </c>
      <c r="AM281" s="42">
        <v>1</v>
      </c>
      <c r="AN281" s="42"/>
      <c r="AO281" s="42"/>
      <c r="AP281" s="42"/>
      <c r="AQ281" s="42"/>
      <c r="AR281" s="44"/>
      <c r="AS281" s="44">
        <v>1</v>
      </c>
      <c r="AT281" s="44"/>
      <c r="AU281" s="42"/>
      <c r="AV281" s="42"/>
      <c r="AW281" s="46"/>
      <c r="AX281" s="44"/>
      <c r="AY281" s="44">
        <v>1</v>
      </c>
      <c r="AZ281" s="44"/>
      <c r="BA281" s="34">
        <v>1</v>
      </c>
      <c r="BB281" s="34">
        <v>1</v>
      </c>
      <c r="BC281" s="34"/>
    </row>
    <row r="282" spans="1:55" customFormat="1" ht="21" customHeight="1" x14ac:dyDescent="0.25">
      <c r="A282" s="22"/>
      <c r="B282" s="42" t="s">
        <v>499</v>
      </c>
      <c r="C282" s="42" t="s">
        <v>246</v>
      </c>
      <c r="D282" s="42" t="s">
        <v>654</v>
      </c>
      <c r="E282" s="42" t="s">
        <v>437</v>
      </c>
      <c r="F282" s="42"/>
      <c r="G282" s="42"/>
      <c r="H282" s="42"/>
      <c r="I282" s="42">
        <v>1</v>
      </c>
      <c r="J282" s="42">
        <v>1</v>
      </c>
      <c r="K282" s="44">
        <v>1</v>
      </c>
      <c r="L282" s="42">
        <v>1</v>
      </c>
      <c r="M282" s="42">
        <v>1</v>
      </c>
      <c r="N282" s="42">
        <v>1</v>
      </c>
      <c r="O282" s="42">
        <v>1</v>
      </c>
      <c r="P282" s="42">
        <v>1</v>
      </c>
      <c r="Q282" s="42">
        <v>1</v>
      </c>
      <c r="R282" s="42"/>
      <c r="S282" s="42">
        <v>1</v>
      </c>
      <c r="T282" s="42">
        <v>1</v>
      </c>
      <c r="U282" s="42">
        <v>1</v>
      </c>
      <c r="V282" s="44">
        <v>1</v>
      </c>
      <c r="W282" s="42">
        <v>1</v>
      </c>
      <c r="X282" s="42">
        <v>1</v>
      </c>
      <c r="Y282" s="42"/>
      <c r="Z282" s="42">
        <v>1</v>
      </c>
      <c r="AA282" s="42">
        <v>1</v>
      </c>
      <c r="AB282" s="42">
        <v>1</v>
      </c>
      <c r="AC282" s="42"/>
      <c r="AD282" s="42">
        <v>1</v>
      </c>
      <c r="AE282" s="42">
        <v>1</v>
      </c>
      <c r="AF282" s="42">
        <v>1</v>
      </c>
      <c r="AG282" s="44">
        <v>1</v>
      </c>
      <c r="AH282" s="42">
        <v>1</v>
      </c>
      <c r="AI282" s="42">
        <v>1</v>
      </c>
      <c r="AJ282" s="42">
        <v>1</v>
      </c>
      <c r="AK282" s="42">
        <v>1</v>
      </c>
      <c r="AL282" s="42">
        <v>1</v>
      </c>
      <c r="AM282" s="42">
        <v>1</v>
      </c>
      <c r="AN282" s="42"/>
      <c r="AO282" s="42"/>
      <c r="AP282" s="42"/>
      <c r="AQ282" s="42"/>
      <c r="AR282" s="44"/>
      <c r="AS282" s="44">
        <v>1</v>
      </c>
      <c r="AT282" s="44">
        <v>1</v>
      </c>
      <c r="AU282" s="42">
        <v>1</v>
      </c>
      <c r="AV282" s="42">
        <v>1</v>
      </c>
      <c r="AW282" s="46">
        <v>1</v>
      </c>
      <c r="AX282" s="44">
        <v>1</v>
      </c>
      <c r="AY282" s="44">
        <v>1</v>
      </c>
      <c r="AZ282" s="44"/>
      <c r="BA282" s="34">
        <v>1</v>
      </c>
      <c r="BB282" s="34">
        <v>1</v>
      </c>
      <c r="BC282" s="34"/>
    </row>
    <row r="283" spans="1:55" customFormat="1" ht="21" customHeight="1" x14ac:dyDescent="0.25">
      <c r="A283" s="22"/>
      <c r="B283" s="42" t="s">
        <v>499</v>
      </c>
      <c r="C283" s="42" t="s">
        <v>246</v>
      </c>
      <c r="D283" s="42" t="s">
        <v>655</v>
      </c>
      <c r="E283" s="42" t="s">
        <v>427</v>
      </c>
      <c r="F283" s="42"/>
      <c r="G283" s="42"/>
      <c r="H283" s="42"/>
      <c r="I283" s="42"/>
      <c r="J283" s="42"/>
      <c r="K283" s="44"/>
      <c r="L283" s="42">
        <v>1</v>
      </c>
      <c r="M283" s="42">
        <v>1</v>
      </c>
      <c r="N283" s="42">
        <v>1</v>
      </c>
      <c r="O283" s="42">
        <v>1</v>
      </c>
      <c r="P283" s="42"/>
      <c r="Q283" s="42">
        <v>1</v>
      </c>
      <c r="R283" s="42"/>
      <c r="S283" s="42">
        <v>1</v>
      </c>
      <c r="T283" s="42">
        <v>1</v>
      </c>
      <c r="U283" s="42">
        <v>1</v>
      </c>
      <c r="V283" s="44">
        <v>1</v>
      </c>
      <c r="W283" s="42">
        <v>1</v>
      </c>
      <c r="X283" s="42">
        <v>1</v>
      </c>
      <c r="Y283" s="42"/>
      <c r="Z283" s="42"/>
      <c r="AA283" s="42">
        <v>1</v>
      </c>
      <c r="AB283" s="42">
        <v>1</v>
      </c>
      <c r="AC283" s="42"/>
      <c r="AD283" s="42">
        <v>1</v>
      </c>
      <c r="AE283" s="42"/>
      <c r="AF283" s="42"/>
      <c r="AG283" s="44">
        <v>1</v>
      </c>
      <c r="AH283" s="44">
        <v>1</v>
      </c>
      <c r="AI283" s="42">
        <v>1</v>
      </c>
      <c r="AJ283" s="42">
        <v>1</v>
      </c>
      <c r="AK283" s="42">
        <v>1</v>
      </c>
      <c r="AL283" s="42">
        <v>1</v>
      </c>
      <c r="AM283" s="42">
        <v>1</v>
      </c>
      <c r="AN283" s="42"/>
      <c r="AO283" s="42"/>
      <c r="AP283" s="42">
        <v>1</v>
      </c>
      <c r="AQ283" s="42">
        <v>1</v>
      </c>
      <c r="AR283" s="42">
        <v>1</v>
      </c>
      <c r="AS283" s="44"/>
      <c r="AT283" s="44"/>
      <c r="AU283" s="42">
        <v>1</v>
      </c>
      <c r="AV283" s="42">
        <v>1</v>
      </c>
      <c r="AW283" s="46"/>
      <c r="AX283" s="44"/>
      <c r="AY283" s="44">
        <v>1</v>
      </c>
      <c r="AZ283" s="44"/>
      <c r="BA283" s="34">
        <v>1</v>
      </c>
      <c r="BB283" s="34">
        <v>1</v>
      </c>
      <c r="BC283" s="34"/>
    </row>
    <row r="284" spans="1:55" customFormat="1" ht="21" customHeight="1" x14ac:dyDescent="0.25">
      <c r="A284" s="22"/>
      <c r="B284" s="42" t="s">
        <v>499</v>
      </c>
      <c r="C284" s="42" t="s">
        <v>246</v>
      </c>
      <c r="D284" s="42" t="s">
        <v>656</v>
      </c>
      <c r="E284" s="42" t="s">
        <v>437</v>
      </c>
      <c r="F284" s="42"/>
      <c r="G284" s="42"/>
      <c r="H284" s="42"/>
      <c r="I284" s="42">
        <v>1</v>
      </c>
      <c r="J284" s="42">
        <v>1</v>
      </c>
      <c r="K284" s="44">
        <v>1</v>
      </c>
      <c r="L284" s="42">
        <v>1</v>
      </c>
      <c r="M284" s="42">
        <v>1</v>
      </c>
      <c r="N284" s="42"/>
      <c r="O284" s="42"/>
      <c r="P284" s="42">
        <v>1</v>
      </c>
      <c r="Q284" s="42">
        <v>1</v>
      </c>
      <c r="R284" s="42"/>
      <c r="S284" s="42">
        <v>1</v>
      </c>
      <c r="T284" s="42">
        <v>1</v>
      </c>
      <c r="U284" s="42">
        <v>1</v>
      </c>
      <c r="V284" s="44">
        <v>1</v>
      </c>
      <c r="W284" s="42">
        <v>1</v>
      </c>
      <c r="X284" s="42">
        <v>1</v>
      </c>
      <c r="Y284" s="42"/>
      <c r="Z284" s="42">
        <v>1</v>
      </c>
      <c r="AA284" s="42">
        <v>1</v>
      </c>
      <c r="AB284" s="42">
        <v>1</v>
      </c>
      <c r="AC284" s="42"/>
      <c r="AD284" s="42">
        <v>1</v>
      </c>
      <c r="AE284" s="42">
        <v>1</v>
      </c>
      <c r="AF284" s="42">
        <v>1</v>
      </c>
      <c r="AG284" s="42">
        <v>1</v>
      </c>
      <c r="AH284" s="42">
        <v>1</v>
      </c>
      <c r="AI284" s="42">
        <v>1</v>
      </c>
      <c r="AJ284" s="42"/>
      <c r="AK284" s="42">
        <v>1</v>
      </c>
      <c r="AL284" s="42"/>
      <c r="AM284" s="42"/>
      <c r="AN284" s="42"/>
      <c r="AO284" s="42"/>
      <c r="AP284" s="42"/>
      <c r="AQ284" s="42"/>
      <c r="AR284" s="44"/>
      <c r="AS284" s="44">
        <v>1</v>
      </c>
      <c r="AT284" s="44">
        <v>1</v>
      </c>
      <c r="AU284" s="42"/>
      <c r="AV284" s="42"/>
      <c r="AW284" s="46"/>
      <c r="AX284" s="44"/>
      <c r="AY284" s="44"/>
      <c r="AZ284" s="44"/>
      <c r="BA284" s="46"/>
      <c r="BB284" s="34">
        <v>1</v>
      </c>
      <c r="BC284" s="34"/>
    </row>
    <row r="285" spans="1:55" customFormat="1" ht="21" customHeight="1" x14ac:dyDescent="0.25">
      <c r="A285" s="22"/>
      <c r="B285" s="42" t="s">
        <v>499</v>
      </c>
      <c r="C285" s="42" t="s">
        <v>246</v>
      </c>
      <c r="D285" s="42" t="s">
        <v>657</v>
      </c>
      <c r="E285" s="42" t="s">
        <v>433</v>
      </c>
      <c r="F285" s="42"/>
      <c r="G285" s="42"/>
      <c r="H285" s="42">
        <v>1</v>
      </c>
      <c r="I285" s="42">
        <v>1</v>
      </c>
      <c r="J285" s="42">
        <v>1</v>
      </c>
      <c r="K285" s="44">
        <v>1</v>
      </c>
      <c r="L285" s="42">
        <v>1</v>
      </c>
      <c r="M285" s="42">
        <v>1</v>
      </c>
      <c r="N285" s="42">
        <v>1</v>
      </c>
      <c r="O285" s="42">
        <v>1</v>
      </c>
      <c r="P285" s="42">
        <v>1</v>
      </c>
      <c r="Q285" s="42">
        <v>1</v>
      </c>
      <c r="R285" s="42"/>
      <c r="S285" s="42">
        <v>1</v>
      </c>
      <c r="T285" s="42">
        <v>1</v>
      </c>
      <c r="U285" s="42">
        <v>1</v>
      </c>
      <c r="V285" s="44">
        <v>1</v>
      </c>
      <c r="W285" s="42">
        <v>1</v>
      </c>
      <c r="X285" s="42">
        <v>1</v>
      </c>
      <c r="Y285" s="42"/>
      <c r="Z285" s="42"/>
      <c r="AA285" s="42">
        <v>1</v>
      </c>
      <c r="AB285" s="42">
        <v>1</v>
      </c>
      <c r="AC285" s="42"/>
      <c r="AD285" s="42"/>
      <c r="AE285" s="42">
        <v>1</v>
      </c>
      <c r="AF285" s="42">
        <v>1</v>
      </c>
      <c r="AG285" s="44">
        <v>1</v>
      </c>
      <c r="AH285" s="44">
        <v>1</v>
      </c>
      <c r="AI285" s="42">
        <v>1</v>
      </c>
      <c r="AJ285" s="42"/>
      <c r="AK285" s="42">
        <v>1</v>
      </c>
      <c r="AL285" s="42">
        <v>1</v>
      </c>
      <c r="AM285" s="42">
        <v>1</v>
      </c>
      <c r="AN285" s="42"/>
      <c r="AO285" s="42"/>
      <c r="AP285" s="42">
        <v>1</v>
      </c>
      <c r="AQ285" s="42">
        <v>1</v>
      </c>
      <c r="AR285" s="44">
        <v>1</v>
      </c>
      <c r="AS285" s="44">
        <v>1</v>
      </c>
      <c r="AT285" s="44"/>
      <c r="AU285" s="42"/>
      <c r="AV285" s="42"/>
      <c r="AW285" s="46"/>
      <c r="AX285" s="44"/>
      <c r="AY285" s="44"/>
      <c r="AZ285" s="44"/>
      <c r="BA285" s="34">
        <v>1</v>
      </c>
      <c r="BB285" s="34">
        <v>1</v>
      </c>
      <c r="BC285" s="34"/>
    </row>
    <row r="286" spans="1:55" customFormat="1" ht="21" customHeight="1" x14ac:dyDescent="0.25">
      <c r="A286" s="22"/>
      <c r="B286" s="42" t="s">
        <v>499</v>
      </c>
      <c r="C286" s="42" t="s">
        <v>255</v>
      </c>
      <c r="D286" s="42" t="s">
        <v>658</v>
      </c>
      <c r="E286" s="42" t="s">
        <v>269</v>
      </c>
      <c r="F286" s="42"/>
      <c r="G286" s="42"/>
      <c r="H286" s="42"/>
      <c r="I286" s="42">
        <v>1</v>
      </c>
      <c r="J286" s="42">
        <v>1</v>
      </c>
      <c r="K286" s="44">
        <v>1</v>
      </c>
      <c r="L286" s="42">
        <v>1</v>
      </c>
      <c r="M286" s="42">
        <v>1</v>
      </c>
      <c r="N286" s="42"/>
      <c r="O286" s="42">
        <v>1</v>
      </c>
      <c r="P286" s="42">
        <v>1</v>
      </c>
      <c r="Q286" s="42">
        <v>1</v>
      </c>
      <c r="R286" s="42"/>
      <c r="S286" s="42"/>
      <c r="T286" s="42">
        <v>1</v>
      </c>
      <c r="U286" s="42">
        <v>1</v>
      </c>
      <c r="V286" s="44">
        <v>1</v>
      </c>
      <c r="W286" s="42">
        <v>1</v>
      </c>
      <c r="X286" s="42">
        <v>1</v>
      </c>
      <c r="Y286" s="42"/>
      <c r="Z286" s="42"/>
      <c r="AA286" s="42"/>
      <c r="AB286" s="42">
        <v>1</v>
      </c>
      <c r="AC286" s="42"/>
      <c r="AD286" s="42">
        <v>1</v>
      </c>
      <c r="AE286" s="42">
        <v>1</v>
      </c>
      <c r="AF286" s="42">
        <v>1</v>
      </c>
      <c r="AG286" s="44">
        <v>1</v>
      </c>
      <c r="AH286" s="42">
        <v>1</v>
      </c>
      <c r="AI286" s="42">
        <v>1</v>
      </c>
      <c r="AJ286" s="42"/>
      <c r="AK286" s="42">
        <v>1</v>
      </c>
      <c r="AL286" s="42">
        <v>1</v>
      </c>
      <c r="AM286" s="42">
        <v>1</v>
      </c>
      <c r="AN286" s="42"/>
      <c r="AO286" s="42">
        <v>1</v>
      </c>
      <c r="AP286" s="42">
        <v>1</v>
      </c>
      <c r="AQ286" s="42">
        <v>1</v>
      </c>
      <c r="AR286" s="44">
        <v>1</v>
      </c>
      <c r="AS286" s="44">
        <v>1</v>
      </c>
      <c r="AT286" s="44"/>
      <c r="AU286" s="42"/>
      <c r="AV286" s="42"/>
      <c r="AW286" s="46"/>
      <c r="AX286" s="44"/>
      <c r="AY286" s="44">
        <v>1</v>
      </c>
      <c r="AZ286" s="44"/>
      <c r="BA286" s="34">
        <v>1</v>
      </c>
      <c r="BB286" s="34">
        <v>1</v>
      </c>
      <c r="BC286" s="34">
        <v>1</v>
      </c>
    </row>
    <row r="287" spans="1:55" customFormat="1" ht="21" customHeight="1" x14ac:dyDescent="0.25">
      <c r="A287" s="22"/>
      <c r="B287" s="42" t="s">
        <v>499</v>
      </c>
      <c r="C287" s="42" t="s">
        <v>255</v>
      </c>
      <c r="D287" s="42" t="s">
        <v>659</v>
      </c>
      <c r="E287" s="42" t="s">
        <v>269</v>
      </c>
      <c r="F287" s="42"/>
      <c r="G287" s="42"/>
      <c r="H287" s="42">
        <v>1</v>
      </c>
      <c r="I287" s="42">
        <v>1</v>
      </c>
      <c r="J287" s="42">
        <v>1</v>
      </c>
      <c r="K287" s="44">
        <v>1</v>
      </c>
      <c r="L287" s="42">
        <v>1</v>
      </c>
      <c r="M287" s="42">
        <v>1</v>
      </c>
      <c r="N287" s="42"/>
      <c r="O287" s="42">
        <v>1</v>
      </c>
      <c r="P287" s="42">
        <v>1</v>
      </c>
      <c r="Q287" s="42">
        <v>1</v>
      </c>
      <c r="R287" s="42"/>
      <c r="S287" s="42"/>
      <c r="T287" s="42">
        <v>1</v>
      </c>
      <c r="U287" s="42">
        <v>1</v>
      </c>
      <c r="V287" s="44">
        <v>1</v>
      </c>
      <c r="W287" s="42">
        <v>1</v>
      </c>
      <c r="X287" s="42">
        <v>1</v>
      </c>
      <c r="Y287" s="42">
        <v>1</v>
      </c>
      <c r="Z287" s="42"/>
      <c r="AA287" s="42">
        <v>1</v>
      </c>
      <c r="AB287" s="42">
        <v>1</v>
      </c>
      <c r="AC287" s="42"/>
      <c r="AD287" s="42">
        <v>1</v>
      </c>
      <c r="AE287" s="42">
        <v>1</v>
      </c>
      <c r="AF287" s="42">
        <v>1</v>
      </c>
      <c r="AG287" s="44">
        <v>1</v>
      </c>
      <c r="AH287" s="42">
        <v>1</v>
      </c>
      <c r="AI287" s="42">
        <v>1</v>
      </c>
      <c r="AJ287" s="42"/>
      <c r="AK287" s="42">
        <v>1</v>
      </c>
      <c r="AL287" s="42">
        <v>1</v>
      </c>
      <c r="AM287" s="42">
        <v>1</v>
      </c>
      <c r="AN287" s="42"/>
      <c r="AO287" s="42"/>
      <c r="AP287" s="42">
        <v>1</v>
      </c>
      <c r="AQ287" s="42">
        <v>1</v>
      </c>
      <c r="AR287" s="44">
        <v>1</v>
      </c>
      <c r="AS287" s="44">
        <v>1</v>
      </c>
      <c r="AT287" s="44">
        <v>1</v>
      </c>
      <c r="AU287" s="42">
        <v>1</v>
      </c>
      <c r="AV287" s="42">
        <v>1</v>
      </c>
      <c r="AW287" s="46">
        <v>1</v>
      </c>
      <c r="AX287" s="44">
        <v>1</v>
      </c>
      <c r="AY287" s="44">
        <v>1</v>
      </c>
      <c r="AZ287" s="44"/>
      <c r="BA287" s="34">
        <v>1</v>
      </c>
      <c r="BB287" s="34">
        <v>1</v>
      </c>
      <c r="BC287" s="34">
        <v>1</v>
      </c>
    </row>
    <row r="288" spans="1:55" customFormat="1" ht="21" customHeight="1" x14ac:dyDescent="0.25">
      <c r="A288" s="22"/>
      <c r="B288" s="42" t="s">
        <v>499</v>
      </c>
      <c r="C288" s="42" t="s">
        <v>255</v>
      </c>
      <c r="D288" s="42" t="s">
        <v>660</v>
      </c>
      <c r="E288" s="42" t="s">
        <v>269</v>
      </c>
      <c r="F288" s="42"/>
      <c r="G288" s="42"/>
      <c r="H288" s="42"/>
      <c r="I288" s="42">
        <v>1</v>
      </c>
      <c r="J288" s="42">
        <v>1</v>
      </c>
      <c r="K288" s="44">
        <v>1</v>
      </c>
      <c r="L288" s="42">
        <v>1</v>
      </c>
      <c r="M288" s="42">
        <v>1</v>
      </c>
      <c r="N288" s="42"/>
      <c r="O288" s="42">
        <v>1</v>
      </c>
      <c r="P288" s="42">
        <v>1</v>
      </c>
      <c r="Q288" s="42">
        <v>1</v>
      </c>
      <c r="R288" s="42"/>
      <c r="S288" s="42">
        <v>1</v>
      </c>
      <c r="T288" s="42">
        <v>1</v>
      </c>
      <c r="U288" s="42">
        <v>1</v>
      </c>
      <c r="V288" s="44"/>
      <c r="W288" s="42">
        <v>1</v>
      </c>
      <c r="X288" s="42">
        <v>1</v>
      </c>
      <c r="Y288" s="42">
        <v>1</v>
      </c>
      <c r="Z288" s="42">
        <v>1</v>
      </c>
      <c r="AA288" s="42">
        <v>1</v>
      </c>
      <c r="AB288" s="42">
        <v>1</v>
      </c>
      <c r="AC288" s="42"/>
      <c r="AD288" s="42">
        <v>1</v>
      </c>
      <c r="AE288" s="42">
        <v>1</v>
      </c>
      <c r="AF288" s="42">
        <v>1</v>
      </c>
      <c r="AG288" s="44">
        <v>1</v>
      </c>
      <c r="AH288" s="42">
        <v>1</v>
      </c>
      <c r="AI288" s="42">
        <v>1</v>
      </c>
      <c r="AJ288" s="42"/>
      <c r="AK288" s="42">
        <v>1</v>
      </c>
      <c r="AL288" s="42">
        <v>1</v>
      </c>
      <c r="AM288" s="42">
        <v>1</v>
      </c>
      <c r="AN288" s="42"/>
      <c r="AO288" s="42"/>
      <c r="AP288" s="42"/>
      <c r="AQ288" s="42"/>
      <c r="AR288" s="44">
        <v>1</v>
      </c>
      <c r="AS288" s="44">
        <v>1</v>
      </c>
      <c r="AT288" s="44">
        <v>1</v>
      </c>
      <c r="AU288" s="42">
        <v>1</v>
      </c>
      <c r="AV288" s="42">
        <v>1</v>
      </c>
      <c r="AW288" s="44">
        <v>1</v>
      </c>
      <c r="AX288" s="44">
        <v>1</v>
      </c>
      <c r="AY288" s="44">
        <v>1</v>
      </c>
      <c r="AZ288" s="44">
        <v>1</v>
      </c>
      <c r="BA288" s="34">
        <v>1</v>
      </c>
      <c r="BB288" s="34">
        <v>1</v>
      </c>
      <c r="BC288" s="34">
        <v>1</v>
      </c>
    </row>
    <row r="289" spans="1:55" customFormat="1" ht="21" customHeight="1" x14ac:dyDescent="0.25">
      <c r="A289" s="22"/>
      <c r="B289" s="42" t="s">
        <v>499</v>
      </c>
      <c r="C289" s="42" t="s">
        <v>255</v>
      </c>
      <c r="D289" s="42" t="s">
        <v>661</v>
      </c>
      <c r="E289" s="42" t="s">
        <v>427</v>
      </c>
      <c r="F289" s="42"/>
      <c r="G289" s="42"/>
      <c r="H289" s="42">
        <v>1</v>
      </c>
      <c r="I289" s="42">
        <v>1</v>
      </c>
      <c r="J289" s="42">
        <v>1</v>
      </c>
      <c r="K289" s="44">
        <v>1</v>
      </c>
      <c r="L289" s="42">
        <v>1</v>
      </c>
      <c r="M289" s="42">
        <v>1</v>
      </c>
      <c r="N289" s="42">
        <v>1</v>
      </c>
      <c r="O289" s="42">
        <v>1</v>
      </c>
      <c r="P289" s="42">
        <v>1</v>
      </c>
      <c r="Q289" s="42">
        <v>1</v>
      </c>
      <c r="R289" s="42"/>
      <c r="S289" s="42"/>
      <c r="T289" s="42">
        <v>1</v>
      </c>
      <c r="U289" s="42">
        <v>1</v>
      </c>
      <c r="V289" s="44">
        <v>1</v>
      </c>
      <c r="W289" s="42">
        <v>1</v>
      </c>
      <c r="X289" s="42">
        <v>1</v>
      </c>
      <c r="Y289" s="42"/>
      <c r="Z289" s="42">
        <v>1</v>
      </c>
      <c r="AA289" s="42"/>
      <c r="AB289" s="42">
        <v>1</v>
      </c>
      <c r="AC289" s="42"/>
      <c r="AD289" s="42"/>
      <c r="AE289" s="42">
        <v>1</v>
      </c>
      <c r="AF289" s="42">
        <v>1</v>
      </c>
      <c r="AG289" s="44">
        <v>1</v>
      </c>
      <c r="AH289" s="44">
        <v>1</v>
      </c>
      <c r="AI289" s="42"/>
      <c r="AJ289" s="42">
        <v>1</v>
      </c>
      <c r="AK289" s="42">
        <v>1</v>
      </c>
      <c r="AL289" s="42">
        <v>1</v>
      </c>
      <c r="AM289" s="42">
        <v>1</v>
      </c>
      <c r="AN289" s="42"/>
      <c r="AO289" s="42">
        <v>1</v>
      </c>
      <c r="AP289" s="42">
        <v>1</v>
      </c>
      <c r="AQ289" s="42">
        <v>1</v>
      </c>
      <c r="AR289" s="44">
        <v>1</v>
      </c>
      <c r="AS289" s="44">
        <v>1</v>
      </c>
      <c r="AT289" s="44">
        <v>1</v>
      </c>
      <c r="AU289" s="42">
        <v>1</v>
      </c>
      <c r="AV289" s="42">
        <v>1</v>
      </c>
      <c r="AW289" s="46"/>
      <c r="AX289" s="44"/>
      <c r="AY289" s="44">
        <v>1</v>
      </c>
      <c r="AZ289" s="44"/>
      <c r="BA289" s="34">
        <v>1</v>
      </c>
      <c r="BB289" s="34">
        <v>1</v>
      </c>
      <c r="BC289" s="34">
        <v>1</v>
      </c>
    </row>
    <row r="290" spans="1:55" customFormat="1" ht="21" customHeight="1" x14ac:dyDescent="0.25">
      <c r="A290" s="22"/>
      <c r="B290" s="42" t="s">
        <v>499</v>
      </c>
      <c r="C290" s="42" t="s">
        <v>255</v>
      </c>
      <c r="D290" s="42" t="s">
        <v>662</v>
      </c>
      <c r="E290" s="42" t="s">
        <v>493</v>
      </c>
      <c r="F290" s="42"/>
      <c r="G290" s="42"/>
      <c r="H290" s="42"/>
      <c r="I290" s="42">
        <v>1</v>
      </c>
      <c r="J290" s="42">
        <v>1</v>
      </c>
      <c r="K290" s="44">
        <v>1</v>
      </c>
      <c r="L290" s="42">
        <v>1</v>
      </c>
      <c r="M290" s="42">
        <v>1</v>
      </c>
      <c r="N290" s="42">
        <v>1</v>
      </c>
      <c r="O290" s="42">
        <v>1</v>
      </c>
      <c r="P290" s="42">
        <v>1</v>
      </c>
      <c r="Q290" s="42">
        <v>1</v>
      </c>
      <c r="R290" s="42"/>
      <c r="S290" s="42">
        <v>1</v>
      </c>
      <c r="T290" s="42">
        <v>1</v>
      </c>
      <c r="U290" s="42">
        <v>1</v>
      </c>
      <c r="V290" s="44">
        <v>1</v>
      </c>
      <c r="W290" s="42">
        <v>1</v>
      </c>
      <c r="X290" s="42">
        <v>1</v>
      </c>
      <c r="Y290" s="42"/>
      <c r="Z290" s="42">
        <v>1</v>
      </c>
      <c r="AA290" s="42">
        <v>1</v>
      </c>
      <c r="AB290" s="42">
        <v>1</v>
      </c>
      <c r="AC290" s="42"/>
      <c r="AD290" s="42"/>
      <c r="AE290" s="42">
        <v>1</v>
      </c>
      <c r="AF290" s="42">
        <v>1</v>
      </c>
      <c r="AG290" s="44">
        <v>1</v>
      </c>
      <c r="AH290" s="42">
        <v>1</v>
      </c>
      <c r="AI290" s="42">
        <v>1</v>
      </c>
      <c r="AJ290" s="42">
        <v>1</v>
      </c>
      <c r="AK290" s="42">
        <v>1</v>
      </c>
      <c r="AL290" s="42">
        <v>1</v>
      </c>
      <c r="AM290" s="42">
        <v>1</v>
      </c>
      <c r="AN290" s="42"/>
      <c r="AO290" s="42">
        <v>1</v>
      </c>
      <c r="AP290" s="42">
        <v>1</v>
      </c>
      <c r="AQ290" s="42">
        <v>1</v>
      </c>
      <c r="AR290" s="44">
        <v>1</v>
      </c>
      <c r="AS290" s="44">
        <v>1</v>
      </c>
      <c r="AT290" s="44"/>
      <c r="AU290" s="42"/>
      <c r="AV290" s="42"/>
      <c r="AW290" s="46">
        <v>1</v>
      </c>
      <c r="AX290" s="44">
        <v>1</v>
      </c>
      <c r="AY290" s="44">
        <v>1</v>
      </c>
      <c r="AZ290" s="44">
        <v>1</v>
      </c>
      <c r="BA290" s="34">
        <v>1</v>
      </c>
      <c r="BB290" s="34">
        <v>1</v>
      </c>
      <c r="BC290" s="34"/>
    </row>
    <row r="291" spans="1:55" customFormat="1" ht="21" customHeight="1" x14ac:dyDescent="0.25">
      <c r="A291" s="22"/>
      <c r="B291" s="42" t="s">
        <v>499</v>
      </c>
      <c r="C291" s="42" t="s">
        <v>246</v>
      </c>
      <c r="D291" s="42" t="s">
        <v>663</v>
      </c>
      <c r="E291" s="42" t="s">
        <v>433</v>
      </c>
      <c r="F291" s="42"/>
      <c r="G291" s="42"/>
      <c r="H291" s="42">
        <v>1</v>
      </c>
      <c r="I291" s="42">
        <v>1</v>
      </c>
      <c r="J291" s="42">
        <v>1</v>
      </c>
      <c r="K291" s="44">
        <v>1</v>
      </c>
      <c r="L291" s="42">
        <v>1</v>
      </c>
      <c r="M291" s="42">
        <v>1</v>
      </c>
      <c r="N291" s="42">
        <v>1</v>
      </c>
      <c r="O291" s="42">
        <v>1</v>
      </c>
      <c r="P291" s="42"/>
      <c r="Q291" s="42">
        <v>1</v>
      </c>
      <c r="R291" s="42"/>
      <c r="S291" s="42">
        <v>1</v>
      </c>
      <c r="T291" s="42">
        <v>1</v>
      </c>
      <c r="U291" s="42">
        <v>1</v>
      </c>
      <c r="V291" s="44">
        <v>1</v>
      </c>
      <c r="W291" s="42">
        <v>1</v>
      </c>
      <c r="X291" s="42">
        <v>1</v>
      </c>
      <c r="Y291" s="42">
        <v>1</v>
      </c>
      <c r="Z291" s="42">
        <v>1</v>
      </c>
      <c r="AA291" s="42">
        <v>1</v>
      </c>
      <c r="AB291" s="42">
        <v>1</v>
      </c>
      <c r="AC291" s="42"/>
      <c r="AD291" s="42"/>
      <c r="AE291" s="42">
        <v>1</v>
      </c>
      <c r="AF291" s="42">
        <v>1</v>
      </c>
      <c r="AG291" s="44">
        <v>1</v>
      </c>
      <c r="AH291" s="42">
        <v>1</v>
      </c>
      <c r="AI291" s="42">
        <v>1</v>
      </c>
      <c r="AJ291" s="42">
        <v>1</v>
      </c>
      <c r="AK291" s="42"/>
      <c r="AL291" s="42">
        <v>1</v>
      </c>
      <c r="AM291" s="42">
        <v>1</v>
      </c>
      <c r="AN291" s="42"/>
      <c r="AO291" s="42"/>
      <c r="AP291" s="42"/>
      <c r="AQ291" s="42"/>
      <c r="AR291" s="44"/>
      <c r="AS291" s="44"/>
      <c r="AT291" s="44">
        <v>1</v>
      </c>
      <c r="AU291" s="42">
        <v>1</v>
      </c>
      <c r="AV291" s="42">
        <v>1</v>
      </c>
      <c r="AW291" s="46"/>
      <c r="AX291" s="44"/>
      <c r="AY291" s="44"/>
      <c r="AZ291" s="44"/>
      <c r="BA291" s="34">
        <v>1</v>
      </c>
      <c r="BB291" s="34">
        <v>1</v>
      </c>
      <c r="BC291" s="34"/>
    </row>
    <row r="292" spans="1:55" customFormat="1" ht="21" customHeight="1" x14ac:dyDescent="0.25">
      <c r="A292" s="22"/>
      <c r="B292" s="42" t="s">
        <v>499</v>
      </c>
      <c r="C292" s="42" t="s">
        <v>246</v>
      </c>
      <c r="D292" s="42" t="s">
        <v>664</v>
      </c>
      <c r="E292" s="42" t="s">
        <v>403</v>
      </c>
      <c r="F292" s="42"/>
      <c r="G292" s="42"/>
      <c r="H292" s="42"/>
      <c r="I292" s="42">
        <v>1</v>
      </c>
      <c r="J292" s="42">
        <v>1</v>
      </c>
      <c r="K292" s="44">
        <v>1</v>
      </c>
      <c r="L292" s="42">
        <v>1</v>
      </c>
      <c r="M292" s="42">
        <v>1</v>
      </c>
      <c r="N292" s="42"/>
      <c r="O292" s="42">
        <v>1</v>
      </c>
      <c r="P292" s="42">
        <v>1</v>
      </c>
      <c r="Q292" s="42">
        <v>1</v>
      </c>
      <c r="R292" s="42"/>
      <c r="S292" s="42">
        <v>1</v>
      </c>
      <c r="T292" s="42">
        <v>1</v>
      </c>
      <c r="U292" s="42">
        <v>1</v>
      </c>
      <c r="V292" s="44">
        <v>1</v>
      </c>
      <c r="W292" s="42">
        <v>1</v>
      </c>
      <c r="X292" s="42">
        <v>1</v>
      </c>
      <c r="Y292" s="42">
        <v>1</v>
      </c>
      <c r="Z292" s="42"/>
      <c r="AA292" s="42">
        <v>1</v>
      </c>
      <c r="AB292" s="42">
        <v>1</v>
      </c>
      <c r="AC292" s="42"/>
      <c r="AD292" s="42">
        <v>1</v>
      </c>
      <c r="AE292" s="42">
        <v>1</v>
      </c>
      <c r="AF292" s="42">
        <v>1</v>
      </c>
      <c r="AG292" s="44">
        <v>1</v>
      </c>
      <c r="AH292" s="42">
        <v>1</v>
      </c>
      <c r="AI292" s="42">
        <v>1</v>
      </c>
      <c r="AJ292" s="42">
        <v>1</v>
      </c>
      <c r="AK292" s="42">
        <v>1</v>
      </c>
      <c r="AL292" s="42">
        <v>1</v>
      </c>
      <c r="AM292" s="42">
        <v>1</v>
      </c>
      <c r="AN292" s="42"/>
      <c r="AO292" s="42"/>
      <c r="AP292" s="42"/>
      <c r="AQ292" s="42"/>
      <c r="AR292" s="44"/>
      <c r="AS292" s="44">
        <v>1</v>
      </c>
      <c r="AT292" s="44"/>
      <c r="AU292" s="42"/>
      <c r="AV292" s="42"/>
      <c r="AW292" s="46"/>
      <c r="AX292" s="44"/>
      <c r="AY292" s="44"/>
      <c r="AZ292" s="44"/>
      <c r="BA292" s="34">
        <v>1</v>
      </c>
      <c r="BB292" s="34">
        <v>1</v>
      </c>
      <c r="BC292" s="34"/>
    </row>
    <row r="293" spans="1:55" customFormat="1" ht="21" customHeight="1" x14ac:dyDescent="0.25">
      <c r="A293" s="22"/>
      <c r="B293" s="42" t="s">
        <v>499</v>
      </c>
      <c r="C293" s="42" t="s">
        <v>246</v>
      </c>
      <c r="D293" s="42" t="s">
        <v>665</v>
      </c>
      <c r="E293" s="42" t="s">
        <v>269</v>
      </c>
      <c r="F293" s="42"/>
      <c r="G293" s="42"/>
      <c r="H293" s="42"/>
      <c r="I293" s="42"/>
      <c r="J293" s="42"/>
      <c r="K293" s="44">
        <v>1</v>
      </c>
      <c r="L293" s="42">
        <v>1</v>
      </c>
      <c r="M293" s="42">
        <v>1</v>
      </c>
      <c r="N293" s="42">
        <v>1</v>
      </c>
      <c r="O293" s="42">
        <v>1</v>
      </c>
      <c r="P293" s="42">
        <v>1</v>
      </c>
      <c r="Q293" s="42">
        <v>1</v>
      </c>
      <c r="R293" s="42"/>
      <c r="S293" s="42">
        <v>1</v>
      </c>
      <c r="T293" s="42">
        <v>1</v>
      </c>
      <c r="U293" s="42">
        <v>1</v>
      </c>
      <c r="V293" s="44">
        <v>1</v>
      </c>
      <c r="W293" s="42">
        <v>1</v>
      </c>
      <c r="X293" s="42">
        <v>1</v>
      </c>
      <c r="Y293" s="42">
        <v>1</v>
      </c>
      <c r="Z293" s="42"/>
      <c r="AA293" s="42">
        <v>1</v>
      </c>
      <c r="AB293" s="42">
        <v>1</v>
      </c>
      <c r="AC293" s="42"/>
      <c r="AD293" s="42">
        <v>1</v>
      </c>
      <c r="AE293" s="42">
        <v>1</v>
      </c>
      <c r="AF293" s="42">
        <v>1</v>
      </c>
      <c r="AG293" s="42">
        <v>1</v>
      </c>
      <c r="AH293" s="42">
        <v>1</v>
      </c>
      <c r="AI293" s="42">
        <v>1</v>
      </c>
      <c r="AJ293" s="42">
        <v>1</v>
      </c>
      <c r="AK293" s="42">
        <v>1</v>
      </c>
      <c r="AL293" s="42">
        <v>1</v>
      </c>
      <c r="AM293" s="42">
        <v>1</v>
      </c>
      <c r="AN293" s="42"/>
      <c r="AO293" s="42"/>
      <c r="AP293" s="42">
        <v>1</v>
      </c>
      <c r="AQ293" s="42">
        <v>1</v>
      </c>
      <c r="AR293" s="44">
        <v>1</v>
      </c>
      <c r="AS293" s="44">
        <v>1</v>
      </c>
      <c r="AT293" s="44"/>
      <c r="AU293" s="42"/>
      <c r="AV293" s="42"/>
      <c r="AW293" s="46"/>
      <c r="AX293" s="44"/>
      <c r="AY293" s="44">
        <v>1</v>
      </c>
      <c r="AZ293" s="44"/>
      <c r="BA293" s="34">
        <v>1</v>
      </c>
      <c r="BB293" s="34">
        <v>1</v>
      </c>
      <c r="BC293" s="34"/>
    </row>
    <row r="294" spans="1:55" customFormat="1" ht="21" customHeight="1" x14ac:dyDescent="0.25">
      <c r="A294" s="22"/>
      <c r="B294" s="42" t="s">
        <v>499</v>
      </c>
      <c r="C294" s="42" t="s">
        <v>246</v>
      </c>
      <c r="D294" s="42" t="s">
        <v>666</v>
      </c>
      <c r="E294" s="42" t="s">
        <v>403</v>
      </c>
      <c r="F294" s="42"/>
      <c r="G294" s="42"/>
      <c r="H294" s="42"/>
      <c r="I294" s="42"/>
      <c r="J294" s="42"/>
      <c r="K294" s="44">
        <v>1</v>
      </c>
      <c r="L294" s="42">
        <v>1</v>
      </c>
      <c r="M294" s="42">
        <v>1</v>
      </c>
      <c r="N294" s="42">
        <v>1</v>
      </c>
      <c r="O294" s="42">
        <v>1</v>
      </c>
      <c r="P294" s="42"/>
      <c r="Q294" s="42">
        <v>1</v>
      </c>
      <c r="R294" s="42"/>
      <c r="S294" s="42">
        <v>1</v>
      </c>
      <c r="T294" s="42">
        <v>1</v>
      </c>
      <c r="U294" s="42">
        <v>1</v>
      </c>
      <c r="V294" s="44">
        <v>1</v>
      </c>
      <c r="W294" s="42">
        <v>1</v>
      </c>
      <c r="X294" s="42">
        <v>1</v>
      </c>
      <c r="Y294" s="42">
        <v>1</v>
      </c>
      <c r="Z294" s="42">
        <v>1</v>
      </c>
      <c r="AA294" s="42">
        <v>1</v>
      </c>
      <c r="AB294" s="42">
        <v>1</v>
      </c>
      <c r="AC294" s="42"/>
      <c r="AD294" s="42">
        <v>1</v>
      </c>
      <c r="AE294" s="42">
        <v>1</v>
      </c>
      <c r="AF294" s="42">
        <v>1</v>
      </c>
      <c r="AG294" s="44">
        <v>1</v>
      </c>
      <c r="AH294" s="44">
        <v>1</v>
      </c>
      <c r="AI294" s="42">
        <v>1</v>
      </c>
      <c r="AJ294" s="42">
        <v>1</v>
      </c>
      <c r="AK294" s="42">
        <v>1</v>
      </c>
      <c r="AL294" s="42">
        <v>1</v>
      </c>
      <c r="AM294" s="42">
        <v>1</v>
      </c>
      <c r="AN294" s="42"/>
      <c r="AO294" s="42"/>
      <c r="AP294" s="42"/>
      <c r="AQ294" s="42"/>
      <c r="AR294" s="44"/>
      <c r="AS294" s="44">
        <v>1</v>
      </c>
      <c r="AT294" s="44"/>
      <c r="AU294" s="42"/>
      <c r="AV294" s="42"/>
      <c r="AW294" s="46"/>
      <c r="AX294" s="44"/>
      <c r="AY294" s="44">
        <v>1</v>
      </c>
      <c r="AZ294" s="44"/>
      <c r="BA294" s="34">
        <v>1</v>
      </c>
      <c r="BB294" s="34">
        <v>1</v>
      </c>
      <c r="BC294" s="34"/>
    </row>
    <row r="295" spans="1:55" customFormat="1" ht="21" customHeight="1" x14ac:dyDescent="0.25">
      <c r="A295" s="22"/>
      <c r="B295" s="42" t="s">
        <v>499</v>
      </c>
      <c r="C295" s="42" t="s">
        <v>255</v>
      </c>
      <c r="D295" s="42" t="s">
        <v>667</v>
      </c>
      <c r="E295" s="42" t="s">
        <v>433</v>
      </c>
      <c r="F295" s="42"/>
      <c r="G295" s="42"/>
      <c r="H295" s="42"/>
      <c r="I295" s="42">
        <v>1</v>
      </c>
      <c r="J295" s="42">
        <v>1</v>
      </c>
      <c r="K295" s="44">
        <v>1</v>
      </c>
      <c r="L295" s="42">
        <v>1</v>
      </c>
      <c r="M295" s="42">
        <v>1</v>
      </c>
      <c r="N295" s="42">
        <v>1</v>
      </c>
      <c r="O295" s="42">
        <v>1</v>
      </c>
      <c r="P295" s="42">
        <v>1</v>
      </c>
      <c r="Q295" s="42">
        <v>1</v>
      </c>
      <c r="R295" s="42"/>
      <c r="S295" s="42">
        <v>1</v>
      </c>
      <c r="T295" s="42"/>
      <c r="U295" s="42">
        <v>1</v>
      </c>
      <c r="V295" s="44">
        <v>1</v>
      </c>
      <c r="W295" s="42">
        <v>1</v>
      </c>
      <c r="X295" s="42">
        <v>1</v>
      </c>
      <c r="Y295" s="42">
        <v>1</v>
      </c>
      <c r="Z295" s="42">
        <v>1</v>
      </c>
      <c r="AA295" s="42">
        <v>1</v>
      </c>
      <c r="AB295" s="42"/>
      <c r="AC295" s="42"/>
      <c r="AD295" s="42">
        <v>1</v>
      </c>
      <c r="AE295" s="42">
        <v>1</v>
      </c>
      <c r="AF295" s="42">
        <v>1</v>
      </c>
      <c r="AG295" s="44">
        <v>1</v>
      </c>
      <c r="AH295" s="42">
        <v>1</v>
      </c>
      <c r="AI295" s="42">
        <v>1</v>
      </c>
      <c r="AJ295" s="42">
        <v>1</v>
      </c>
      <c r="AK295" s="42">
        <v>1</v>
      </c>
      <c r="AL295" s="42">
        <v>1</v>
      </c>
      <c r="AM295" s="42">
        <v>1</v>
      </c>
      <c r="AN295" s="42"/>
      <c r="AO295" s="42">
        <v>1</v>
      </c>
      <c r="AP295" s="42">
        <v>1</v>
      </c>
      <c r="AQ295" s="42">
        <v>1</v>
      </c>
      <c r="AR295" s="44">
        <v>1</v>
      </c>
      <c r="AS295" s="44">
        <v>1</v>
      </c>
      <c r="AT295" s="44">
        <v>1</v>
      </c>
      <c r="AU295" s="42">
        <v>1</v>
      </c>
      <c r="AV295" s="42">
        <v>1</v>
      </c>
      <c r="AW295" s="44">
        <v>1</v>
      </c>
      <c r="AX295" s="44">
        <v>1</v>
      </c>
      <c r="AY295" s="44"/>
      <c r="AZ295" s="44"/>
      <c r="BA295" s="34">
        <v>1</v>
      </c>
      <c r="BB295" s="34">
        <v>1</v>
      </c>
      <c r="BC295" s="34">
        <v>1</v>
      </c>
    </row>
    <row r="296" spans="1:55" customFormat="1" ht="21" customHeight="1" x14ac:dyDescent="0.25">
      <c r="A296" s="22"/>
      <c r="B296" s="42" t="s">
        <v>499</v>
      </c>
      <c r="C296" s="42" t="s">
        <v>255</v>
      </c>
      <c r="D296" s="42" t="s">
        <v>668</v>
      </c>
      <c r="E296" s="42" t="s">
        <v>427</v>
      </c>
      <c r="F296" s="42"/>
      <c r="G296" s="42"/>
      <c r="H296" s="42">
        <v>1</v>
      </c>
      <c r="I296" s="42">
        <v>1</v>
      </c>
      <c r="J296" s="42">
        <v>1</v>
      </c>
      <c r="K296" s="44">
        <v>1</v>
      </c>
      <c r="L296" s="42">
        <v>1</v>
      </c>
      <c r="M296" s="42">
        <v>1</v>
      </c>
      <c r="N296" s="42">
        <v>1</v>
      </c>
      <c r="O296" s="42">
        <v>1</v>
      </c>
      <c r="P296" s="42">
        <v>1</v>
      </c>
      <c r="Q296" s="42">
        <v>1</v>
      </c>
      <c r="R296" s="42"/>
      <c r="S296" s="42">
        <v>1</v>
      </c>
      <c r="T296" s="42">
        <v>1</v>
      </c>
      <c r="U296" s="42">
        <v>1</v>
      </c>
      <c r="V296" s="44">
        <v>1</v>
      </c>
      <c r="W296" s="42">
        <v>1</v>
      </c>
      <c r="X296" s="42">
        <v>1</v>
      </c>
      <c r="Y296" s="42"/>
      <c r="Z296" s="42">
        <v>1</v>
      </c>
      <c r="AA296" s="42">
        <v>1</v>
      </c>
      <c r="AB296" s="42">
        <v>1</v>
      </c>
      <c r="AC296" s="42"/>
      <c r="AD296" s="42">
        <v>1</v>
      </c>
      <c r="AE296" s="42">
        <v>1</v>
      </c>
      <c r="AF296" s="42">
        <v>1</v>
      </c>
      <c r="AG296" s="44">
        <v>1</v>
      </c>
      <c r="AH296" s="42">
        <v>1</v>
      </c>
      <c r="AI296" s="42">
        <v>1</v>
      </c>
      <c r="AJ296" s="42">
        <v>1</v>
      </c>
      <c r="AK296" s="42">
        <v>1</v>
      </c>
      <c r="AL296" s="42">
        <v>1</v>
      </c>
      <c r="AM296" s="42">
        <v>1</v>
      </c>
      <c r="AN296" s="42"/>
      <c r="AO296" s="42"/>
      <c r="AP296" s="42"/>
      <c r="AQ296" s="42"/>
      <c r="AR296" s="44"/>
      <c r="AS296" s="44">
        <v>1</v>
      </c>
      <c r="AT296" s="44"/>
      <c r="AU296" s="42"/>
      <c r="AV296" s="42"/>
      <c r="AW296" s="44">
        <v>1</v>
      </c>
      <c r="AX296" s="44">
        <v>1</v>
      </c>
      <c r="AY296" s="44">
        <v>1</v>
      </c>
      <c r="AZ296" s="44">
        <v>1</v>
      </c>
      <c r="BA296" s="34">
        <v>1</v>
      </c>
      <c r="BB296" s="34">
        <v>1</v>
      </c>
      <c r="BC296" s="34">
        <v>1</v>
      </c>
    </row>
    <row r="297" spans="1:55" customFormat="1" ht="21" customHeight="1" x14ac:dyDescent="0.25">
      <c r="A297" s="22"/>
      <c r="B297" s="42" t="s">
        <v>499</v>
      </c>
      <c r="C297" s="42" t="s">
        <v>255</v>
      </c>
      <c r="D297" s="42" t="s">
        <v>669</v>
      </c>
      <c r="E297" s="42" t="s">
        <v>627</v>
      </c>
      <c r="F297" s="42"/>
      <c r="G297" s="42"/>
      <c r="H297" s="42">
        <v>1</v>
      </c>
      <c r="I297" s="42">
        <v>1</v>
      </c>
      <c r="J297" s="42">
        <v>1</v>
      </c>
      <c r="K297" s="44">
        <v>1</v>
      </c>
      <c r="L297" s="42">
        <v>1</v>
      </c>
      <c r="M297" s="42">
        <v>1</v>
      </c>
      <c r="N297" s="42">
        <v>1</v>
      </c>
      <c r="O297" s="42">
        <v>1</v>
      </c>
      <c r="P297" s="42">
        <v>1</v>
      </c>
      <c r="Q297" s="42">
        <v>1</v>
      </c>
      <c r="R297" s="42"/>
      <c r="S297" s="42">
        <v>1</v>
      </c>
      <c r="T297" s="42">
        <v>1</v>
      </c>
      <c r="U297" s="42">
        <v>1</v>
      </c>
      <c r="V297" s="44">
        <v>1</v>
      </c>
      <c r="W297" s="42">
        <v>1</v>
      </c>
      <c r="X297" s="42">
        <v>1</v>
      </c>
      <c r="Y297" s="42"/>
      <c r="Z297" s="42">
        <v>1</v>
      </c>
      <c r="AA297" s="42">
        <v>1</v>
      </c>
      <c r="AB297" s="42">
        <v>1</v>
      </c>
      <c r="AC297" s="42"/>
      <c r="AD297" s="42">
        <v>1</v>
      </c>
      <c r="AE297" s="42">
        <v>1</v>
      </c>
      <c r="AF297" s="42">
        <v>1</v>
      </c>
      <c r="AG297" s="44">
        <v>1</v>
      </c>
      <c r="AH297" s="42">
        <v>1</v>
      </c>
      <c r="AI297" s="42">
        <v>1</v>
      </c>
      <c r="AJ297" s="42">
        <v>1</v>
      </c>
      <c r="AK297" s="42">
        <v>1</v>
      </c>
      <c r="AL297" s="42">
        <v>1</v>
      </c>
      <c r="AM297" s="42">
        <v>1</v>
      </c>
      <c r="AN297" s="42"/>
      <c r="AO297" s="42"/>
      <c r="AP297" s="42"/>
      <c r="AQ297" s="42"/>
      <c r="AR297" s="44">
        <v>1</v>
      </c>
      <c r="AS297" s="44">
        <v>1</v>
      </c>
      <c r="AT297" s="44"/>
      <c r="AU297" s="42">
        <v>1</v>
      </c>
      <c r="AV297" s="42">
        <v>1</v>
      </c>
      <c r="AW297" s="44">
        <v>1</v>
      </c>
      <c r="AX297" s="44">
        <v>1</v>
      </c>
      <c r="AY297" s="44">
        <v>1</v>
      </c>
      <c r="AZ297" s="44">
        <v>1</v>
      </c>
      <c r="BA297" s="34">
        <v>1</v>
      </c>
      <c r="BB297" s="34">
        <v>1</v>
      </c>
      <c r="BC297" s="34">
        <v>1</v>
      </c>
    </row>
    <row r="298" spans="1:55" customFormat="1" ht="21" customHeight="1" x14ac:dyDescent="0.25">
      <c r="A298" s="22"/>
      <c r="B298" s="42" t="s">
        <v>499</v>
      </c>
      <c r="C298" s="42" t="s">
        <v>255</v>
      </c>
      <c r="D298" s="42" t="s">
        <v>670</v>
      </c>
      <c r="E298" s="42" t="s">
        <v>407</v>
      </c>
      <c r="F298" s="42"/>
      <c r="G298" s="42"/>
      <c r="H298" s="42">
        <v>1</v>
      </c>
      <c r="I298" s="42">
        <v>1</v>
      </c>
      <c r="J298" s="42">
        <v>1</v>
      </c>
      <c r="K298" s="44">
        <v>1</v>
      </c>
      <c r="L298" s="42">
        <v>1</v>
      </c>
      <c r="M298" s="42">
        <v>1</v>
      </c>
      <c r="N298" s="42">
        <v>1</v>
      </c>
      <c r="O298" s="42">
        <v>1</v>
      </c>
      <c r="P298" s="42">
        <v>1</v>
      </c>
      <c r="Q298" s="42">
        <v>1</v>
      </c>
      <c r="R298" s="42"/>
      <c r="S298" s="42">
        <v>1</v>
      </c>
      <c r="T298" s="42">
        <v>1</v>
      </c>
      <c r="U298" s="42">
        <v>1</v>
      </c>
      <c r="V298" s="44">
        <v>1</v>
      </c>
      <c r="W298" s="42">
        <v>1</v>
      </c>
      <c r="X298" s="42">
        <v>1</v>
      </c>
      <c r="Y298" s="42">
        <v>1</v>
      </c>
      <c r="Z298" s="42">
        <v>1</v>
      </c>
      <c r="AA298" s="42">
        <v>1</v>
      </c>
      <c r="AB298" s="42">
        <v>1</v>
      </c>
      <c r="AC298" s="42"/>
      <c r="AD298" s="42">
        <v>1</v>
      </c>
      <c r="AE298" s="42">
        <v>1</v>
      </c>
      <c r="AF298" s="42">
        <v>1</v>
      </c>
      <c r="AG298" s="44">
        <v>1</v>
      </c>
      <c r="AH298" s="44">
        <v>1</v>
      </c>
      <c r="AI298" s="42">
        <v>1</v>
      </c>
      <c r="AJ298" s="42">
        <v>1</v>
      </c>
      <c r="AK298" s="42">
        <v>1</v>
      </c>
      <c r="AL298" s="42">
        <v>1</v>
      </c>
      <c r="AM298" s="42">
        <v>1</v>
      </c>
      <c r="AN298" s="42"/>
      <c r="AO298" s="42"/>
      <c r="AP298" s="42">
        <v>1</v>
      </c>
      <c r="AQ298" s="42">
        <v>1</v>
      </c>
      <c r="AR298" s="44"/>
      <c r="AS298" s="44">
        <v>1</v>
      </c>
      <c r="AT298" s="44">
        <v>1</v>
      </c>
      <c r="AU298" s="44">
        <v>1</v>
      </c>
      <c r="AV298" s="44">
        <v>1</v>
      </c>
      <c r="AW298" s="44">
        <v>1</v>
      </c>
      <c r="AX298" s="44">
        <v>1</v>
      </c>
      <c r="AY298" s="44">
        <v>1</v>
      </c>
      <c r="AZ298" s="44">
        <v>1</v>
      </c>
      <c r="BA298" s="34">
        <v>1</v>
      </c>
      <c r="BB298" s="34">
        <v>1</v>
      </c>
      <c r="BC298" s="34">
        <v>1</v>
      </c>
    </row>
    <row r="299" spans="1:55" customFormat="1" ht="21" customHeight="1" x14ac:dyDescent="0.25">
      <c r="A299" s="22"/>
      <c r="B299" s="42" t="s">
        <v>499</v>
      </c>
      <c r="C299" s="42" t="s">
        <v>255</v>
      </c>
      <c r="D299" s="42" t="s">
        <v>671</v>
      </c>
      <c r="E299" s="42" t="s">
        <v>407</v>
      </c>
      <c r="F299" s="42"/>
      <c r="G299" s="42"/>
      <c r="H299" s="42">
        <v>1</v>
      </c>
      <c r="I299" s="42">
        <v>1</v>
      </c>
      <c r="J299" s="42">
        <v>1</v>
      </c>
      <c r="K299" s="44">
        <v>1</v>
      </c>
      <c r="L299" s="42">
        <v>1</v>
      </c>
      <c r="M299" s="42">
        <v>1</v>
      </c>
      <c r="N299" s="42">
        <v>1</v>
      </c>
      <c r="O299" s="42">
        <v>1</v>
      </c>
      <c r="P299" s="42">
        <v>1</v>
      </c>
      <c r="Q299" s="42">
        <v>1</v>
      </c>
      <c r="R299" s="42"/>
      <c r="S299" s="42">
        <v>1</v>
      </c>
      <c r="T299" s="42">
        <v>1</v>
      </c>
      <c r="U299" s="42">
        <v>1</v>
      </c>
      <c r="V299" s="44">
        <v>1</v>
      </c>
      <c r="W299" s="42">
        <v>1</v>
      </c>
      <c r="X299" s="42">
        <v>1</v>
      </c>
      <c r="Y299" s="42">
        <v>1</v>
      </c>
      <c r="Z299" s="42">
        <v>1</v>
      </c>
      <c r="AA299" s="42">
        <v>1</v>
      </c>
      <c r="AB299" s="42">
        <v>1</v>
      </c>
      <c r="AC299" s="42"/>
      <c r="AD299" s="42">
        <v>1</v>
      </c>
      <c r="AE299" s="42">
        <v>1</v>
      </c>
      <c r="AF299" s="42">
        <v>1</v>
      </c>
      <c r="AG299" s="44">
        <v>1</v>
      </c>
      <c r="AH299" s="42">
        <v>1</v>
      </c>
      <c r="AI299" s="42">
        <v>1</v>
      </c>
      <c r="AJ299" s="42"/>
      <c r="AK299" s="42">
        <v>1</v>
      </c>
      <c r="AL299" s="42">
        <v>1</v>
      </c>
      <c r="AM299" s="42">
        <v>1</v>
      </c>
      <c r="AN299" s="42"/>
      <c r="AO299" s="42"/>
      <c r="AP299" s="42"/>
      <c r="AQ299" s="42"/>
      <c r="AR299" s="44">
        <v>1</v>
      </c>
      <c r="AS299" s="44">
        <v>1</v>
      </c>
      <c r="AT299" s="44">
        <v>1</v>
      </c>
      <c r="AU299" s="44">
        <v>1</v>
      </c>
      <c r="AV299" s="44">
        <v>1</v>
      </c>
      <c r="AW299" s="44">
        <v>1</v>
      </c>
      <c r="AX299" s="44">
        <v>1</v>
      </c>
      <c r="AY299" s="44">
        <v>1</v>
      </c>
      <c r="AZ299" s="44"/>
      <c r="BA299" s="34">
        <v>1</v>
      </c>
      <c r="BB299" s="34">
        <v>1</v>
      </c>
      <c r="BC299" s="34">
        <v>1</v>
      </c>
    </row>
    <row r="300" spans="1:55" customFormat="1" ht="21" customHeight="1" x14ac:dyDescent="0.25">
      <c r="A300" s="22"/>
      <c r="B300" s="42" t="s">
        <v>499</v>
      </c>
      <c r="C300" s="42" t="s">
        <v>246</v>
      </c>
      <c r="D300" s="42" t="s">
        <v>672</v>
      </c>
      <c r="E300" s="42" t="s">
        <v>482</v>
      </c>
      <c r="F300" s="42"/>
      <c r="G300" s="42"/>
      <c r="H300" s="42">
        <v>1</v>
      </c>
      <c r="I300" s="42"/>
      <c r="J300" s="42">
        <v>1</v>
      </c>
      <c r="K300" s="44">
        <v>1</v>
      </c>
      <c r="L300" s="42">
        <v>1</v>
      </c>
      <c r="M300" s="42">
        <v>1</v>
      </c>
      <c r="N300" s="42"/>
      <c r="O300" s="42">
        <v>1</v>
      </c>
      <c r="P300" s="42">
        <v>1</v>
      </c>
      <c r="Q300" s="42">
        <v>1</v>
      </c>
      <c r="R300" s="42"/>
      <c r="S300" s="42">
        <v>1</v>
      </c>
      <c r="T300" s="42"/>
      <c r="U300" s="42"/>
      <c r="V300" s="44">
        <v>1</v>
      </c>
      <c r="W300" s="42">
        <v>1</v>
      </c>
      <c r="X300" s="42">
        <v>1</v>
      </c>
      <c r="Y300" s="42">
        <v>1</v>
      </c>
      <c r="Z300" s="42">
        <v>1</v>
      </c>
      <c r="AA300" s="42">
        <v>1</v>
      </c>
      <c r="AB300" s="42">
        <v>1</v>
      </c>
      <c r="AC300" s="42"/>
      <c r="AD300" s="42">
        <v>1</v>
      </c>
      <c r="AE300" s="42">
        <v>1</v>
      </c>
      <c r="AF300" s="42">
        <v>1</v>
      </c>
      <c r="AG300" s="44">
        <v>1</v>
      </c>
      <c r="AH300" s="42">
        <v>1</v>
      </c>
      <c r="AI300" s="42">
        <v>1</v>
      </c>
      <c r="AJ300" s="42"/>
      <c r="AK300" s="42">
        <v>1</v>
      </c>
      <c r="AL300" s="42">
        <v>1</v>
      </c>
      <c r="AM300" s="42">
        <v>1</v>
      </c>
      <c r="AN300" s="42"/>
      <c r="AO300" s="42"/>
      <c r="AP300" s="42"/>
      <c r="AQ300" s="42"/>
      <c r="AR300" s="44"/>
      <c r="AS300" s="44"/>
      <c r="AT300" s="44"/>
      <c r="AU300" s="44"/>
      <c r="AV300" s="44"/>
      <c r="AW300" s="46"/>
      <c r="AX300" s="44"/>
      <c r="AY300" s="44">
        <v>1</v>
      </c>
      <c r="AZ300" s="44">
        <v>1</v>
      </c>
      <c r="BA300" s="34">
        <v>1</v>
      </c>
      <c r="BB300" s="34">
        <v>1</v>
      </c>
      <c r="BC300" s="34">
        <v>1</v>
      </c>
    </row>
    <row r="301" spans="1:55" customFormat="1" ht="21" customHeight="1" x14ac:dyDescent="0.25">
      <c r="A301" s="22"/>
      <c r="B301" s="42" t="s">
        <v>499</v>
      </c>
      <c r="C301" s="42" t="s">
        <v>246</v>
      </c>
      <c r="D301" s="42" t="s">
        <v>673</v>
      </c>
      <c r="E301" s="42" t="s">
        <v>276</v>
      </c>
      <c r="F301" s="42"/>
      <c r="G301" s="42"/>
      <c r="H301" s="42">
        <v>1</v>
      </c>
      <c r="I301" s="42">
        <v>1</v>
      </c>
      <c r="J301" s="42">
        <v>1</v>
      </c>
      <c r="K301" s="44">
        <v>1</v>
      </c>
      <c r="L301" s="42">
        <v>1</v>
      </c>
      <c r="M301" s="42">
        <v>1</v>
      </c>
      <c r="N301" s="42">
        <v>1</v>
      </c>
      <c r="O301" s="42">
        <v>1</v>
      </c>
      <c r="P301" s="42">
        <v>1</v>
      </c>
      <c r="Q301" s="42">
        <v>1</v>
      </c>
      <c r="R301" s="42"/>
      <c r="S301" s="42"/>
      <c r="T301" s="42">
        <v>1</v>
      </c>
      <c r="U301" s="42">
        <v>1</v>
      </c>
      <c r="V301" s="44">
        <v>1</v>
      </c>
      <c r="W301" s="42">
        <v>1</v>
      </c>
      <c r="X301" s="42">
        <v>1</v>
      </c>
      <c r="Y301" s="42">
        <v>1</v>
      </c>
      <c r="Z301" s="42"/>
      <c r="AA301" s="42">
        <v>1</v>
      </c>
      <c r="AB301" s="42">
        <v>1</v>
      </c>
      <c r="AC301" s="42"/>
      <c r="AD301" s="42">
        <v>1</v>
      </c>
      <c r="AE301" s="42">
        <v>1</v>
      </c>
      <c r="AF301" s="42">
        <v>1</v>
      </c>
      <c r="AG301" s="44">
        <v>1</v>
      </c>
      <c r="AH301" s="42">
        <v>1</v>
      </c>
      <c r="AI301" s="42">
        <v>1</v>
      </c>
      <c r="AJ301" s="42">
        <v>1</v>
      </c>
      <c r="AK301" s="42">
        <v>1</v>
      </c>
      <c r="AL301" s="42">
        <v>1</v>
      </c>
      <c r="AM301" s="42">
        <v>1</v>
      </c>
      <c r="AN301" s="42"/>
      <c r="AO301" s="42">
        <v>1</v>
      </c>
      <c r="AP301" s="42">
        <v>1</v>
      </c>
      <c r="AQ301" s="42">
        <v>1</v>
      </c>
      <c r="AR301" s="44">
        <v>1</v>
      </c>
      <c r="AS301" s="44"/>
      <c r="AT301" s="44">
        <v>1</v>
      </c>
      <c r="AU301" s="44"/>
      <c r="AV301" s="44"/>
      <c r="AW301" s="46"/>
      <c r="AX301" s="44"/>
      <c r="AY301" s="44">
        <v>1</v>
      </c>
      <c r="AZ301" s="44">
        <v>1</v>
      </c>
      <c r="BA301" s="34">
        <v>1</v>
      </c>
      <c r="BB301" s="34">
        <v>1</v>
      </c>
      <c r="BC301" s="34">
        <v>1</v>
      </c>
    </row>
    <row r="302" spans="1:55" customFormat="1" ht="21" customHeight="1" x14ac:dyDescent="0.25">
      <c r="A302" s="22"/>
      <c r="B302" s="42" t="s">
        <v>499</v>
      </c>
      <c r="C302" s="42" t="s">
        <v>246</v>
      </c>
      <c r="D302" s="42" t="s">
        <v>674</v>
      </c>
      <c r="E302" s="42" t="s">
        <v>276</v>
      </c>
      <c r="F302" s="42"/>
      <c r="G302" s="42"/>
      <c r="H302" s="42">
        <v>1</v>
      </c>
      <c r="I302" s="42"/>
      <c r="J302" s="42">
        <v>1</v>
      </c>
      <c r="K302" s="44">
        <v>1</v>
      </c>
      <c r="L302" s="42">
        <v>1</v>
      </c>
      <c r="M302" s="42">
        <v>1</v>
      </c>
      <c r="N302" s="42">
        <v>1</v>
      </c>
      <c r="O302" s="42">
        <v>1</v>
      </c>
      <c r="P302" s="42">
        <v>1</v>
      </c>
      <c r="Q302" s="42">
        <v>1</v>
      </c>
      <c r="R302" s="42"/>
      <c r="S302" s="42"/>
      <c r="T302" s="42"/>
      <c r="U302" s="42"/>
      <c r="V302" s="44">
        <v>1</v>
      </c>
      <c r="W302" s="42">
        <v>1</v>
      </c>
      <c r="X302" s="42">
        <v>1</v>
      </c>
      <c r="Y302" s="42">
        <v>1</v>
      </c>
      <c r="Z302" s="42">
        <v>1</v>
      </c>
      <c r="AA302" s="42">
        <v>1</v>
      </c>
      <c r="AB302" s="42">
        <v>1</v>
      </c>
      <c r="AC302" s="42"/>
      <c r="AD302" s="42">
        <v>1</v>
      </c>
      <c r="AE302" s="42">
        <v>1</v>
      </c>
      <c r="AF302" s="42">
        <v>1</v>
      </c>
      <c r="AG302" s="44">
        <v>1</v>
      </c>
      <c r="AH302" s="42">
        <v>1</v>
      </c>
      <c r="AI302" s="42">
        <v>1</v>
      </c>
      <c r="AJ302" s="42">
        <v>1</v>
      </c>
      <c r="AK302" s="42">
        <v>1</v>
      </c>
      <c r="AL302" s="42">
        <v>1</v>
      </c>
      <c r="AM302" s="42">
        <v>1</v>
      </c>
      <c r="AN302" s="42"/>
      <c r="AO302" s="42">
        <v>1</v>
      </c>
      <c r="AP302" s="42">
        <v>1</v>
      </c>
      <c r="AQ302" s="42">
        <v>1</v>
      </c>
      <c r="AR302" s="44"/>
      <c r="AS302" s="44"/>
      <c r="AT302" s="44"/>
      <c r="AU302" s="44"/>
      <c r="AV302" s="44"/>
      <c r="AW302" s="46"/>
      <c r="AX302" s="44"/>
      <c r="AY302" s="44">
        <v>1</v>
      </c>
      <c r="AZ302" s="44">
        <v>1</v>
      </c>
      <c r="BA302" s="34">
        <v>1</v>
      </c>
      <c r="BB302" s="34">
        <v>1</v>
      </c>
      <c r="BC302" s="34">
        <v>1</v>
      </c>
    </row>
    <row r="303" spans="1:55" customFormat="1" ht="21" customHeight="1" x14ac:dyDescent="0.25">
      <c r="A303" s="22"/>
      <c r="B303" s="42" t="s">
        <v>499</v>
      </c>
      <c r="C303" s="42" t="s">
        <v>246</v>
      </c>
      <c r="D303" s="42" t="s">
        <v>675</v>
      </c>
      <c r="E303" s="42" t="s">
        <v>642</v>
      </c>
      <c r="F303" s="42"/>
      <c r="G303" s="42"/>
      <c r="H303" s="42">
        <v>1</v>
      </c>
      <c r="I303" s="42">
        <v>1</v>
      </c>
      <c r="J303" s="42">
        <v>1</v>
      </c>
      <c r="K303" s="44"/>
      <c r="L303" s="42">
        <v>1</v>
      </c>
      <c r="M303" s="42">
        <v>1</v>
      </c>
      <c r="N303" s="42">
        <v>1</v>
      </c>
      <c r="O303" s="42">
        <v>1</v>
      </c>
      <c r="P303" s="42"/>
      <c r="Q303" s="42">
        <v>1</v>
      </c>
      <c r="R303" s="42"/>
      <c r="S303" s="42">
        <v>1</v>
      </c>
      <c r="T303" s="42">
        <v>1</v>
      </c>
      <c r="U303" s="42">
        <v>1</v>
      </c>
      <c r="V303" s="44"/>
      <c r="W303" s="42">
        <v>1</v>
      </c>
      <c r="X303" s="42">
        <v>1</v>
      </c>
      <c r="Y303" s="42">
        <v>1</v>
      </c>
      <c r="Z303" s="42"/>
      <c r="AA303" s="42"/>
      <c r="AB303" s="42">
        <v>1</v>
      </c>
      <c r="AC303" s="42"/>
      <c r="AD303" s="42">
        <v>1</v>
      </c>
      <c r="AE303" s="42">
        <v>1</v>
      </c>
      <c r="AF303" s="42">
        <v>1</v>
      </c>
      <c r="AG303" s="42">
        <v>1</v>
      </c>
      <c r="AH303" s="44">
        <v>1</v>
      </c>
      <c r="AI303" s="42">
        <v>1</v>
      </c>
      <c r="AJ303" s="42">
        <v>1</v>
      </c>
      <c r="AK303" s="42"/>
      <c r="AL303" s="42">
        <v>1</v>
      </c>
      <c r="AM303" s="42">
        <v>1</v>
      </c>
      <c r="AN303" s="42"/>
      <c r="AO303" s="42"/>
      <c r="AP303" s="42">
        <v>1</v>
      </c>
      <c r="AQ303" s="42">
        <v>1</v>
      </c>
      <c r="AR303" s="44">
        <v>1</v>
      </c>
      <c r="AS303" s="44"/>
      <c r="AT303" s="44">
        <v>1</v>
      </c>
      <c r="AU303" s="44">
        <v>1</v>
      </c>
      <c r="AV303" s="44">
        <v>1</v>
      </c>
      <c r="AW303" s="46"/>
      <c r="AX303" s="44"/>
      <c r="AY303" s="44">
        <v>1</v>
      </c>
      <c r="AZ303" s="44"/>
      <c r="BA303" s="34">
        <v>1</v>
      </c>
      <c r="BB303" s="34"/>
      <c r="BC303" s="34"/>
    </row>
    <row r="304" spans="1:55" customFormat="1" ht="21" customHeight="1" x14ac:dyDescent="0.25">
      <c r="A304" s="22"/>
      <c r="B304" s="42" t="s">
        <v>499</v>
      </c>
      <c r="C304" s="42" t="s">
        <v>246</v>
      </c>
      <c r="D304" s="42" t="s">
        <v>676</v>
      </c>
      <c r="E304" s="42" t="s">
        <v>437</v>
      </c>
      <c r="F304" s="42"/>
      <c r="G304" s="42"/>
      <c r="H304" s="42">
        <v>1</v>
      </c>
      <c r="I304" s="42">
        <v>1</v>
      </c>
      <c r="J304" s="42">
        <v>1</v>
      </c>
      <c r="K304" s="44">
        <v>1</v>
      </c>
      <c r="L304" s="42">
        <v>1</v>
      </c>
      <c r="M304" s="42">
        <v>1</v>
      </c>
      <c r="N304" s="42"/>
      <c r="O304" s="42">
        <v>1</v>
      </c>
      <c r="P304" s="42">
        <v>1</v>
      </c>
      <c r="Q304" s="42">
        <v>1</v>
      </c>
      <c r="R304" s="42"/>
      <c r="S304" s="42">
        <v>1</v>
      </c>
      <c r="T304" s="42">
        <v>1</v>
      </c>
      <c r="U304" s="42">
        <v>1</v>
      </c>
      <c r="V304" s="44">
        <v>1</v>
      </c>
      <c r="W304" s="42">
        <v>1</v>
      </c>
      <c r="X304" s="42">
        <v>1</v>
      </c>
      <c r="Y304" s="42">
        <v>1</v>
      </c>
      <c r="Z304" s="42">
        <v>1</v>
      </c>
      <c r="AA304" s="42">
        <v>1</v>
      </c>
      <c r="AB304" s="42">
        <v>1</v>
      </c>
      <c r="AC304" s="42"/>
      <c r="AD304" s="42">
        <v>1</v>
      </c>
      <c r="AE304" s="42">
        <v>1</v>
      </c>
      <c r="AF304" s="42">
        <v>1</v>
      </c>
      <c r="AG304" s="44">
        <v>1</v>
      </c>
      <c r="AH304" s="42">
        <v>1</v>
      </c>
      <c r="AI304" s="42">
        <v>1</v>
      </c>
      <c r="AJ304" s="42"/>
      <c r="AK304" s="42">
        <v>1</v>
      </c>
      <c r="AL304" s="42">
        <v>1</v>
      </c>
      <c r="AM304" s="42">
        <v>1</v>
      </c>
      <c r="AN304" s="42"/>
      <c r="AO304" s="42"/>
      <c r="AP304" s="42"/>
      <c r="AQ304" s="42"/>
      <c r="AR304" s="44">
        <v>1</v>
      </c>
      <c r="AS304" s="44">
        <v>1</v>
      </c>
      <c r="AT304" s="44">
        <v>1</v>
      </c>
      <c r="AU304" s="44">
        <v>1</v>
      </c>
      <c r="AV304" s="44">
        <v>1</v>
      </c>
      <c r="AW304" s="44">
        <v>1</v>
      </c>
      <c r="AX304" s="44">
        <v>1</v>
      </c>
      <c r="AY304" s="44">
        <v>1</v>
      </c>
      <c r="AZ304" s="44">
        <v>1</v>
      </c>
      <c r="BA304" s="34">
        <v>1</v>
      </c>
      <c r="BB304" s="34">
        <v>1</v>
      </c>
      <c r="BC304" s="34">
        <v>1</v>
      </c>
    </row>
    <row r="305" spans="1:55" customFormat="1" ht="21" customHeight="1" x14ac:dyDescent="0.25">
      <c r="A305" s="22"/>
      <c r="B305" s="42" t="s">
        <v>499</v>
      </c>
      <c r="C305" s="42" t="s">
        <v>246</v>
      </c>
      <c r="D305" s="42" t="s">
        <v>677</v>
      </c>
      <c r="E305" s="42" t="s">
        <v>678</v>
      </c>
      <c r="F305" s="42"/>
      <c r="G305" s="42"/>
      <c r="H305" s="42">
        <v>1</v>
      </c>
      <c r="I305" s="42">
        <v>1</v>
      </c>
      <c r="J305" s="42">
        <v>1</v>
      </c>
      <c r="K305" s="44">
        <v>1</v>
      </c>
      <c r="L305" s="42">
        <v>1</v>
      </c>
      <c r="M305" s="42">
        <v>1</v>
      </c>
      <c r="N305" s="42">
        <v>1</v>
      </c>
      <c r="O305" s="42">
        <v>1</v>
      </c>
      <c r="P305" s="42">
        <v>1</v>
      </c>
      <c r="Q305" s="42">
        <v>1</v>
      </c>
      <c r="R305" s="42"/>
      <c r="S305" s="42"/>
      <c r="T305" s="42"/>
      <c r="U305" s="42"/>
      <c r="V305" s="44">
        <v>1</v>
      </c>
      <c r="W305" s="42">
        <v>1</v>
      </c>
      <c r="X305" s="42">
        <v>1</v>
      </c>
      <c r="Y305" s="42">
        <v>1</v>
      </c>
      <c r="Z305" s="42"/>
      <c r="AA305" s="42">
        <v>1</v>
      </c>
      <c r="AB305" s="42">
        <v>1</v>
      </c>
      <c r="AC305" s="42"/>
      <c r="AD305" s="42">
        <v>1</v>
      </c>
      <c r="AE305" s="42">
        <v>1</v>
      </c>
      <c r="AF305" s="42">
        <v>1</v>
      </c>
      <c r="AG305" s="44">
        <v>1</v>
      </c>
      <c r="AH305" s="42">
        <v>1</v>
      </c>
      <c r="AI305" s="42">
        <v>1</v>
      </c>
      <c r="AJ305" s="42">
        <v>1</v>
      </c>
      <c r="AK305" s="42">
        <v>1</v>
      </c>
      <c r="AL305" s="42">
        <v>1</v>
      </c>
      <c r="AM305" s="42">
        <v>1</v>
      </c>
      <c r="AN305" s="42"/>
      <c r="AO305" s="42">
        <v>1</v>
      </c>
      <c r="AP305" s="42">
        <v>1</v>
      </c>
      <c r="AQ305" s="42">
        <v>1</v>
      </c>
      <c r="AR305" s="44"/>
      <c r="AS305" s="44"/>
      <c r="AT305" s="44">
        <v>1</v>
      </c>
      <c r="AU305" s="44">
        <v>1</v>
      </c>
      <c r="AV305" s="44">
        <v>1</v>
      </c>
      <c r="AW305" s="44">
        <v>1</v>
      </c>
      <c r="AX305" s="44">
        <v>1</v>
      </c>
      <c r="AY305" s="44">
        <v>1</v>
      </c>
      <c r="AZ305" s="44">
        <v>1</v>
      </c>
      <c r="BA305" s="34">
        <v>1</v>
      </c>
      <c r="BB305" s="34">
        <v>1</v>
      </c>
      <c r="BC305" s="34">
        <v>1</v>
      </c>
    </row>
    <row r="306" spans="1:55" customFormat="1" ht="21" customHeight="1" x14ac:dyDescent="0.25">
      <c r="A306" s="22"/>
      <c r="B306" s="42" t="s">
        <v>499</v>
      </c>
      <c r="C306" s="42" t="s">
        <v>255</v>
      </c>
      <c r="D306" s="42" t="s">
        <v>679</v>
      </c>
      <c r="E306" s="42" t="s">
        <v>493</v>
      </c>
      <c r="F306" s="42"/>
      <c r="G306" s="42"/>
      <c r="H306" s="42">
        <v>1</v>
      </c>
      <c r="I306" s="42">
        <v>1</v>
      </c>
      <c r="J306" s="42">
        <v>1</v>
      </c>
      <c r="K306" s="44">
        <v>1</v>
      </c>
      <c r="L306" s="42">
        <v>1</v>
      </c>
      <c r="M306" s="42">
        <v>1</v>
      </c>
      <c r="N306" s="42"/>
      <c r="O306" s="42">
        <v>1</v>
      </c>
      <c r="P306" s="42">
        <v>1</v>
      </c>
      <c r="Q306" s="42">
        <v>1</v>
      </c>
      <c r="R306" s="42"/>
      <c r="S306" s="42"/>
      <c r="T306" s="42">
        <v>1</v>
      </c>
      <c r="U306" s="42">
        <v>1</v>
      </c>
      <c r="V306" s="44">
        <v>1</v>
      </c>
      <c r="W306" s="42">
        <v>1</v>
      </c>
      <c r="X306" s="42">
        <v>1</v>
      </c>
      <c r="Y306" s="42">
        <v>1</v>
      </c>
      <c r="Z306" s="42">
        <v>1</v>
      </c>
      <c r="AA306" s="42">
        <v>1</v>
      </c>
      <c r="AB306" s="42">
        <v>1</v>
      </c>
      <c r="AC306" s="42"/>
      <c r="AD306" s="42">
        <v>1</v>
      </c>
      <c r="AE306" s="42">
        <v>1</v>
      </c>
      <c r="AF306" s="42">
        <v>1</v>
      </c>
      <c r="AG306" s="44">
        <v>1</v>
      </c>
      <c r="AH306" s="44">
        <v>1</v>
      </c>
      <c r="AI306" s="42">
        <v>1</v>
      </c>
      <c r="AJ306" s="42"/>
      <c r="AK306" s="42">
        <v>1</v>
      </c>
      <c r="AL306" s="42">
        <v>1</v>
      </c>
      <c r="AM306" s="42">
        <v>1</v>
      </c>
      <c r="AN306" s="42"/>
      <c r="AO306" s="42">
        <v>1</v>
      </c>
      <c r="AP306" s="42">
        <v>1</v>
      </c>
      <c r="AQ306" s="42">
        <v>1</v>
      </c>
      <c r="AR306" s="44">
        <v>1</v>
      </c>
      <c r="AS306" s="44">
        <v>1</v>
      </c>
      <c r="AT306" s="44">
        <v>1</v>
      </c>
      <c r="AU306" s="44"/>
      <c r="AV306" s="44"/>
      <c r="AW306" s="46">
        <v>1</v>
      </c>
      <c r="AX306" s="44">
        <v>1</v>
      </c>
      <c r="AY306" s="44">
        <v>1</v>
      </c>
      <c r="AZ306" s="44">
        <v>1</v>
      </c>
      <c r="BA306" s="34">
        <v>1</v>
      </c>
      <c r="BB306" s="34">
        <v>1</v>
      </c>
      <c r="BC306" s="34">
        <v>1</v>
      </c>
    </row>
    <row r="307" spans="1:55" customFormat="1" ht="21" customHeight="1" x14ac:dyDescent="0.25">
      <c r="A307" s="22"/>
      <c r="B307" s="42" t="s">
        <v>499</v>
      </c>
      <c r="C307" s="42" t="s">
        <v>246</v>
      </c>
      <c r="D307" s="42" t="s">
        <v>680</v>
      </c>
      <c r="E307" s="42" t="s">
        <v>427</v>
      </c>
      <c r="F307" s="42"/>
      <c r="G307" s="42"/>
      <c r="H307" s="42">
        <v>1</v>
      </c>
      <c r="I307" s="42">
        <v>1</v>
      </c>
      <c r="J307" s="42">
        <v>1</v>
      </c>
      <c r="K307" s="44">
        <v>1</v>
      </c>
      <c r="L307" s="42">
        <v>1</v>
      </c>
      <c r="M307" s="42">
        <v>1</v>
      </c>
      <c r="N307" s="42">
        <v>1</v>
      </c>
      <c r="O307" s="42">
        <v>1</v>
      </c>
      <c r="P307" s="42">
        <v>1</v>
      </c>
      <c r="Q307" s="42">
        <v>1</v>
      </c>
      <c r="R307" s="42"/>
      <c r="S307" s="42">
        <v>1</v>
      </c>
      <c r="T307" s="42">
        <v>1</v>
      </c>
      <c r="U307" s="42">
        <v>1</v>
      </c>
      <c r="V307" s="44">
        <v>1</v>
      </c>
      <c r="W307" s="42">
        <v>1</v>
      </c>
      <c r="X307" s="42">
        <v>1</v>
      </c>
      <c r="Y307" s="42"/>
      <c r="Z307" s="42">
        <v>1</v>
      </c>
      <c r="AA307" s="42">
        <v>1</v>
      </c>
      <c r="AB307" s="42">
        <v>1</v>
      </c>
      <c r="AC307" s="42"/>
      <c r="AD307" s="42">
        <v>1</v>
      </c>
      <c r="AE307" s="42">
        <v>1</v>
      </c>
      <c r="AF307" s="42">
        <v>1</v>
      </c>
      <c r="AG307" s="44">
        <v>1</v>
      </c>
      <c r="AH307" s="42">
        <v>1</v>
      </c>
      <c r="AI307" s="42">
        <v>1</v>
      </c>
      <c r="AJ307" s="42">
        <v>1</v>
      </c>
      <c r="AK307" s="42">
        <v>1</v>
      </c>
      <c r="AL307" s="42">
        <v>1</v>
      </c>
      <c r="AM307" s="42">
        <v>1</v>
      </c>
      <c r="AN307" s="42"/>
      <c r="AO307" s="42"/>
      <c r="AP307" s="42"/>
      <c r="AQ307" s="42"/>
      <c r="AR307" s="44">
        <v>1</v>
      </c>
      <c r="AS307" s="44">
        <v>1</v>
      </c>
      <c r="AT307" s="44">
        <v>1</v>
      </c>
      <c r="AU307" s="44">
        <v>1</v>
      </c>
      <c r="AV307" s="44">
        <v>1</v>
      </c>
      <c r="AW307" s="44">
        <v>1</v>
      </c>
      <c r="AX307" s="44">
        <v>1</v>
      </c>
      <c r="AY307" s="44">
        <v>1</v>
      </c>
      <c r="AZ307" s="44">
        <v>1</v>
      </c>
      <c r="BA307" s="34">
        <v>1</v>
      </c>
      <c r="BB307" s="34">
        <v>1</v>
      </c>
      <c r="BC307" s="34">
        <v>1</v>
      </c>
    </row>
    <row r="308" spans="1:55" customFormat="1" ht="21" customHeight="1" x14ac:dyDescent="0.25">
      <c r="A308" s="22"/>
      <c r="B308" s="42" t="s">
        <v>499</v>
      </c>
      <c r="C308" s="42" t="s">
        <v>255</v>
      </c>
      <c r="D308" s="42" t="s">
        <v>681</v>
      </c>
      <c r="E308" s="42" t="s">
        <v>682</v>
      </c>
      <c r="F308" s="42"/>
      <c r="G308" s="42"/>
      <c r="H308" s="42">
        <v>1</v>
      </c>
      <c r="I308" s="42">
        <v>1</v>
      </c>
      <c r="J308" s="42">
        <v>1</v>
      </c>
      <c r="K308" s="44">
        <v>1</v>
      </c>
      <c r="L308" s="42">
        <v>1</v>
      </c>
      <c r="M308" s="42">
        <v>1</v>
      </c>
      <c r="N308" s="42">
        <v>1</v>
      </c>
      <c r="O308" s="42">
        <v>1</v>
      </c>
      <c r="P308" s="42">
        <v>1</v>
      </c>
      <c r="Q308" s="42">
        <v>1</v>
      </c>
      <c r="R308" s="42"/>
      <c r="S308" s="42"/>
      <c r="T308" s="42">
        <v>1</v>
      </c>
      <c r="U308" s="42">
        <v>1</v>
      </c>
      <c r="V308" s="44">
        <v>1</v>
      </c>
      <c r="W308" s="42">
        <v>1</v>
      </c>
      <c r="X308" s="42">
        <v>1</v>
      </c>
      <c r="Y308" s="42"/>
      <c r="Z308" s="42">
        <v>1</v>
      </c>
      <c r="AA308" s="42">
        <v>1</v>
      </c>
      <c r="AB308" s="42">
        <v>1</v>
      </c>
      <c r="AC308" s="42"/>
      <c r="AD308" s="42">
        <v>1</v>
      </c>
      <c r="AE308" s="42">
        <v>1</v>
      </c>
      <c r="AF308" s="42">
        <v>1</v>
      </c>
      <c r="AG308" s="44">
        <v>1</v>
      </c>
      <c r="AH308" s="42">
        <v>1</v>
      </c>
      <c r="AI308" s="42">
        <v>1</v>
      </c>
      <c r="AJ308" s="42">
        <v>1</v>
      </c>
      <c r="AK308" s="42">
        <v>1</v>
      </c>
      <c r="AL308" s="42">
        <v>1</v>
      </c>
      <c r="AM308" s="42">
        <v>1</v>
      </c>
      <c r="AN308" s="42"/>
      <c r="AO308" s="42">
        <v>1</v>
      </c>
      <c r="AP308" s="42">
        <v>1</v>
      </c>
      <c r="AQ308" s="42">
        <v>1</v>
      </c>
      <c r="AR308" s="44"/>
      <c r="AS308" s="44">
        <v>1</v>
      </c>
      <c r="AT308" s="44">
        <v>1</v>
      </c>
      <c r="AU308" s="44">
        <v>1</v>
      </c>
      <c r="AV308" s="44">
        <v>1</v>
      </c>
      <c r="AW308" s="44">
        <v>1</v>
      </c>
      <c r="AX308" s="44">
        <v>1</v>
      </c>
      <c r="AY308" s="44">
        <v>1</v>
      </c>
      <c r="AZ308" s="44">
        <v>1</v>
      </c>
      <c r="BA308" s="34">
        <v>1</v>
      </c>
      <c r="BB308" s="34">
        <v>1</v>
      </c>
      <c r="BC308" s="34">
        <v>1</v>
      </c>
    </row>
    <row r="309" spans="1:55" customFormat="1" ht="21" customHeight="1" x14ac:dyDescent="0.25">
      <c r="A309" s="22"/>
      <c r="B309" s="42" t="s">
        <v>499</v>
      </c>
      <c r="C309" s="42" t="s">
        <v>255</v>
      </c>
      <c r="D309" s="42" t="s">
        <v>683</v>
      </c>
      <c r="E309" s="42" t="s">
        <v>265</v>
      </c>
      <c r="F309" s="42"/>
      <c r="G309" s="42"/>
      <c r="H309" s="42">
        <v>1</v>
      </c>
      <c r="I309" s="42">
        <v>1</v>
      </c>
      <c r="J309" s="42">
        <v>1</v>
      </c>
      <c r="K309" s="44">
        <v>1</v>
      </c>
      <c r="L309" s="42"/>
      <c r="M309" s="42">
        <v>1</v>
      </c>
      <c r="N309" s="42">
        <v>1</v>
      </c>
      <c r="O309" s="42">
        <v>1</v>
      </c>
      <c r="P309" s="42">
        <v>1</v>
      </c>
      <c r="Q309" s="42">
        <v>1</v>
      </c>
      <c r="R309" s="42"/>
      <c r="S309" s="42">
        <v>1</v>
      </c>
      <c r="T309" s="42">
        <v>1</v>
      </c>
      <c r="U309" s="42">
        <v>1</v>
      </c>
      <c r="V309" s="44">
        <v>1</v>
      </c>
      <c r="W309" s="42">
        <v>1</v>
      </c>
      <c r="X309" s="42">
        <v>1</v>
      </c>
      <c r="Y309" s="42">
        <v>1</v>
      </c>
      <c r="Z309" s="42"/>
      <c r="AA309" s="42"/>
      <c r="AB309" s="42">
        <v>1</v>
      </c>
      <c r="AC309" s="42"/>
      <c r="AD309" s="42"/>
      <c r="AE309" s="42">
        <v>1</v>
      </c>
      <c r="AF309" s="42">
        <v>1</v>
      </c>
      <c r="AG309" s="44">
        <v>1</v>
      </c>
      <c r="AH309" s="42">
        <v>1</v>
      </c>
      <c r="AI309" s="42">
        <v>1</v>
      </c>
      <c r="AJ309" s="42">
        <v>1</v>
      </c>
      <c r="AK309" s="42">
        <v>1</v>
      </c>
      <c r="AL309" s="42">
        <v>1</v>
      </c>
      <c r="AM309" s="42">
        <v>1</v>
      </c>
      <c r="AN309" s="42"/>
      <c r="AO309" s="42">
        <v>1</v>
      </c>
      <c r="AP309" s="42">
        <v>1</v>
      </c>
      <c r="AQ309" s="42">
        <v>1</v>
      </c>
      <c r="AR309" s="44">
        <v>1</v>
      </c>
      <c r="AS309" s="44">
        <v>1</v>
      </c>
      <c r="AT309" s="44">
        <v>1</v>
      </c>
      <c r="AU309" s="44"/>
      <c r="AV309" s="44"/>
      <c r="AW309" s="44">
        <v>1</v>
      </c>
      <c r="AX309" s="44">
        <v>1</v>
      </c>
      <c r="AY309" s="44">
        <v>1</v>
      </c>
      <c r="AZ309" s="44">
        <v>1</v>
      </c>
      <c r="BA309" s="46"/>
      <c r="BB309" s="34">
        <v>1</v>
      </c>
      <c r="BC309" s="34">
        <v>1</v>
      </c>
    </row>
    <row r="310" spans="1:55" customFormat="1" ht="21" customHeight="1" x14ac:dyDescent="0.25">
      <c r="A310" s="22"/>
      <c r="B310" s="42" t="s">
        <v>499</v>
      </c>
      <c r="C310" s="42" t="s">
        <v>246</v>
      </c>
      <c r="D310" s="42" t="s">
        <v>684</v>
      </c>
      <c r="E310" s="42" t="s">
        <v>427</v>
      </c>
      <c r="F310" s="42"/>
      <c r="G310" s="42"/>
      <c r="H310" s="42">
        <v>1</v>
      </c>
      <c r="I310" s="42">
        <v>1</v>
      </c>
      <c r="J310" s="42">
        <v>1</v>
      </c>
      <c r="K310" s="44">
        <v>1</v>
      </c>
      <c r="L310" s="42">
        <v>1</v>
      </c>
      <c r="M310" s="42">
        <v>1</v>
      </c>
      <c r="N310" s="42"/>
      <c r="O310" s="42">
        <v>1</v>
      </c>
      <c r="P310" s="42">
        <v>1</v>
      </c>
      <c r="Q310" s="42">
        <v>1</v>
      </c>
      <c r="R310" s="42"/>
      <c r="S310" s="42">
        <v>1</v>
      </c>
      <c r="T310" s="42">
        <v>1</v>
      </c>
      <c r="U310" s="42">
        <v>1</v>
      </c>
      <c r="V310" s="44">
        <v>1</v>
      </c>
      <c r="W310" s="42">
        <v>1</v>
      </c>
      <c r="X310" s="42">
        <v>1</v>
      </c>
      <c r="Y310" s="42"/>
      <c r="Z310" s="42">
        <v>1</v>
      </c>
      <c r="AA310" s="42">
        <v>1</v>
      </c>
      <c r="AB310" s="42">
        <v>1</v>
      </c>
      <c r="AC310" s="42"/>
      <c r="AD310" s="42">
        <v>1</v>
      </c>
      <c r="AE310" s="42">
        <v>1</v>
      </c>
      <c r="AF310" s="42">
        <v>1</v>
      </c>
      <c r="AG310" s="44">
        <v>1</v>
      </c>
      <c r="AH310" s="42">
        <v>1</v>
      </c>
      <c r="AI310" s="42">
        <v>1</v>
      </c>
      <c r="AJ310" s="42"/>
      <c r="AK310" s="42">
        <v>1</v>
      </c>
      <c r="AL310" s="42">
        <v>1</v>
      </c>
      <c r="AM310" s="42">
        <v>1</v>
      </c>
      <c r="AN310" s="42"/>
      <c r="AO310" s="42"/>
      <c r="AP310" s="42">
        <v>1</v>
      </c>
      <c r="AQ310" s="42">
        <v>1</v>
      </c>
      <c r="AR310" s="44">
        <v>1</v>
      </c>
      <c r="AS310" s="44">
        <v>1</v>
      </c>
      <c r="AT310" s="44">
        <v>1</v>
      </c>
      <c r="AU310" s="44"/>
      <c r="AV310" s="44"/>
      <c r="AW310" s="46"/>
      <c r="AX310" s="44"/>
      <c r="AY310" s="44"/>
      <c r="AZ310" s="44"/>
      <c r="BA310" s="34">
        <v>1</v>
      </c>
      <c r="BB310" s="34">
        <v>1</v>
      </c>
      <c r="BC310" s="34">
        <v>1</v>
      </c>
    </row>
    <row r="311" spans="1:55" customFormat="1" ht="21" customHeight="1" x14ac:dyDescent="0.25">
      <c r="A311" s="22"/>
      <c r="B311" s="42" t="s">
        <v>499</v>
      </c>
      <c r="C311" s="42" t="s">
        <v>246</v>
      </c>
      <c r="D311" s="42" t="s">
        <v>685</v>
      </c>
      <c r="E311" s="42" t="s">
        <v>682</v>
      </c>
      <c r="F311" s="42"/>
      <c r="G311" s="42"/>
      <c r="H311" s="42"/>
      <c r="I311" s="42">
        <v>1</v>
      </c>
      <c r="J311" s="42">
        <v>1</v>
      </c>
      <c r="K311" s="44">
        <v>1</v>
      </c>
      <c r="L311" s="42">
        <v>1</v>
      </c>
      <c r="M311" s="42">
        <v>1</v>
      </c>
      <c r="N311" s="42"/>
      <c r="O311" s="42">
        <v>1</v>
      </c>
      <c r="P311" s="42">
        <v>1</v>
      </c>
      <c r="Q311" s="42">
        <v>1</v>
      </c>
      <c r="R311" s="42"/>
      <c r="S311" s="42">
        <v>1</v>
      </c>
      <c r="T311" s="42">
        <v>1</v>
      </c>
      <c r="U311" s="42">
        <v>1</v>
      </c>
      <c r="V311" s="44">
        <v>1</v>
      </c>
      <c r="W311" s="42">
        <v>1</v>
      </c>
      <c r="X311" s="42">
        <v>1</v>
      </c>
      <c r="Y311" s="42"/>
      <c r="Z311" s="42"/>
      <c r="AA311" s="42">
        <v>1</v>
      </c>
      <c r="AB311" s="42">
        <v>1</v>
      </c>
      <c r="AC311" s="42"/>
      <c r="AD311" s="42">
        <v>1</v>
      </c>
      <c r="AE311" s="42">
        <v>1</v>
      </c>
      <c r="AF311" s="42">
        <v>1</v>
      </c>
      <c r="AG311" s="44">
        <v>1</v>
      </c>
      <c r="AH311" s="44">
        <v>1</v>
      </c>
      <c r="AI311" s="42">
        <v>1</v>
      </c>
      <c r="AJ311" s="42"/>
      <c r="AK311" s="42">
        <v>1</v>
      </c>
      <c r="AL311" s="42">
        <v>1</v>
      </c>
      <c r="AM311" s="42">
        <v>1</v>
      </c>
      <c r="AN311" s="42"/>
      <c r="AO311" s="42">
        <v>1</v>
      </c>
      <c r="AP311" s="42">
        <v>1</v>
      </c>
      <c r="AQ311" s="42">
        <v>1</v>
      </c>
      <c r="AR311" s="44">
        <v>1</v>
      </c>
      <c r="AS311" s="44">
        <v>1</v>
      </c>
      <c r="AT311" s="44">
        <v>1</v>
      </c>
      <c r="AU311" s="44"/>
      <c r="AV311" s="44"/>
      <c r="AW311" s="46">
        <v>1</v>
      </c>
      <c r="AX311" s="44">
        <v>1</v>
      </c>
      <c r="AY311" s="44">
        <v>1</v>
      </c>
      <c r="AZ311" s="44">
        <v>1</v>
      </c>
      <c r="BA311" s="34">
        <v>1</v>
      </c>
      <c r="BB311" s="34">
        <v>1</v>
      </c>
      <c r="BC311" s="34">
        <v>1</v>
      </c>
    </row>
    <row r="312" spans="1:55" customFormat="1" ht="21" customHeight="1" x14ac:dyDescent="0.25">
      <c r="A312" s="22"/>
      <c r="B312" s="42" t="s">
        <v>499</v>
      </c>
      <c r="C312" s="42" t="s">
        <v>246</v>
      </c>
      <c r="D312" s="42" t="s">
        <v>686</v>
      </c>
      <c r="E312" s="42" t="s">
        <v>427</v>
      </c>
      <c r="F312" s="42"/>
      <c r="G312" s="42"/>
      <c r="H312" s="42">
        <v>1</v>
      </c>
      <c r="I312" s="42">
        <v>1</v>
      </c>
      <c r="J312" s="42">
        <v>1</v>
      </c>
      <c r="K312" s="44">
        <v>1</v>
      </c>
      <c r="L312" s="42">
        <v>1</v>
      </c>
      <c r="M312" s="42">
        <v>1</v>
      </c>
      <c r="N312" s="42">
        <v>1</v>
      </c>
      <c r="O312" s="42">
        <v>1</v>
      </c>
      <c r="P312" s="42">
        <v>1</v>
      </c>
      <c r="Q312" s="42">
        <v>1</v>
      </c>
      <c r="R312" s="42"/>
      <c r="S312" s="42">
        <v>1</v>
      </c>
      <c r="T312" s="42">
        <v>1</v>
      </c>
      <c r="U312" s="42">
        <v>1</v>
      </c>
      <c r="V312" s="44">
        <v>1</v>
      </c>
      <c r="W312" s="42">
        <v>1</v>
      </c>
      <c r="X312" s="42">
        <v>1</v>
      </c>
      <c r="Y312" s="42">
        <v>1</v>
      </c>
      <c r="Z312" s="42">
        <v>1</v>
      </c>
      <c r="AA312" s="42">
        <v>1</v>
      </c>
      <c r="AB312" s="42">
        <v>1</v>
      </c>
      <c r="AC312" s="42"/>
      <c r="AD312" s="42">
        <v>1</v>
      </c>
      <c r="AE312" s="42">
        <v>1</v>
      </c>
      <c r="AF312" s="42">
        <v>1</v>
      </c>
      <c r="AG312" s="44">
        <v>1</v>
      </c>
      <c r="AH312" s="42">
        <v>1</v>
      </c>
      <c r="AI312" s="42">
        <v>1</v>
      </c>
      <c r="AJ312" s="42">
        <v>1</v>
      </c>
      <c r="AK312" s="42">
        <v>1</v>
      </c>
      <c r="AL312" s="42">
        <v>1</v>
      </c>
      <c r="AM312" s="42">
        <v>1</v>
      </c>
      <c r="AN312" s="42"/>
      <c r="AO312" s="42"/>
      <c r="AP312" s="42"/>
      <c r="AQ312" s="42"/>
      <c r="AR312" s="44">
        <v>1</v>
      </c>
      <c r="AS312" s="44">
        <v>1</v>
      </c>
      <c r="AT312" s="44"/>
      <c r="AU312" s="44">
        <v>1</v>
      </c>
      <c r="AV312" s="44">
        <v>1</v>
      </c>
      <c r="AW312" s="46"/>
      <c r="AX312" s="44"/>
      <c r="AY312" s="44">
        <v>1</v>
      </c>
      <c r="AZ312" s="44"/>
      <c r="BA312" s="34">
        <v>1</v>
      </c>
      <c r="BB312" s="34">
        <v>1</v>
      </c>
      <c r="BC312" s="34">
        <v>1</v>
      </c>
    </row>
    <row r="313" spans="1:55" customFormat="1" ht="21" customHeight="1" x14ac:dyDescent="0.25">
      <c r="A313" s="22"/>
      <c r="B313" s="42" t="s">
        <v>499</v>
      </c>
      <c r="C313" s="42" t="s">
        <v>246</v>
      </c>
      <c r="D313" s="42" t="s">
        <v>687</v>
      </c>
      <c r="E313" s="42" t="s">
        <v>437</v>
      </c>
      <c r="F313" s="42"/>
      <c r="G313" s="42"/>
      <c r="H313" s="42">
        <v>1</v>
      </c>
      <c r="I313" s="42">
        <v>1</v>
      </c>
      <c r="J313" s="42">
        <v>1</v>
      </c>
      <c r="K313" s="44">
        <v>1</v>
      </c>
      <c r="L313" s="42">
        <v>1</v>
      </c>
      <c r="M313" s="42">
        <v>1</v>
      </c>
      <c r="N313" s="42"/>
      <c r="O313" s="42">
        <v>1</v>
      </c>
      <c r="P313" s="42">
        <v>1</v>
      </c>
      <c r="Q313" s="42">
        <v>1</v>
      </c>
      <c r="R313" s="42"/>
      <c r="S313" s="42">
        <v>1</v>
      </c>
      <c r="T313" s="42">
        <v>1</v>
      </c>
      <c r="U313" s="42">
        <v>1</v>
      </c>
      <c r="V313" s="44">
        <v>1</v>
      </c>
      <c r="W313" s="42">
        <v>1</v>
      </c>
      <c r="X313" s="42">
        <v>1</v>
      </c>
      <c r="Y313" s="42">
        <v>1</v>
      </c>
      <c r="Z313" s="42"/>
      <c r="AA313" s="42">
        <v>1</v>
      </c>
      <c r="AB313" s="42">
        <v>1</v>
      </c>
      <c r="AC313" s="42"/>
      <c r="AD313" s="42">
        <v>1</v>
      </c>
      <c r="AE313" s="42">
        <v>1</v>
      </c>
      <c r="AF313" s="42">
        <v>1</v>
      </c>
      <c r="AG313" s="44">
        <v>1</v>
      </c>
      <c r="AH313" s="42">
        <v>1</v>
      </c>
      <c r="AI313" s="42">
        <v>1</v>
      </c>
      <c r="AJ313" s="42"/>
      <c r="AK313" s="42">
        <v>1</v>
      </c>
      <c r="AL313" s="42">
        <v>1</v>
      </c>
      <c r="AM313" s="42">
        <v>1</v>
      </c>
      <c r="AN313" s="42"/>
      <c r="AO313" s="42">
        <v>1</v>
      </c>
      <c r="AP313" s="42">
        <v>1</v>
      </c>
      <c r="AQ313" s="42">
        <v>1</v>
      </c>
      <c r="AR313" s="44">
        <v>1</v>
      </c>
      <c r="AS313" s="44">
        <v>1</v>
      </c>
      <c r="AT313" s="44">
        <v>1</v>
      </c>
      <c r="AU313" s="44">
        <v>1</v>
      </c>
      <c r="AV313" s="44">
        <v>1</v>
      </c>
      <c r="AW313" s="44">
        <v>1</v>
      </c>
      <c r="AX313" s="44">
        <v>1</v>
      </c>
      <c r="AY313" s="44">
        <v>1</v>
      </c>
      <c r="AZ313" s="44">
        <v>1</v>
      </c>
      <c r="BA313" s="34">
        <v>1</v>
      </c>
      <c r="BB313" s="34">
        <v>1</v>
      </c>
      <c r="BC313" s="34">
        <v>1</v>
      </c>
    </row>
    <row r="314" spans="1:55" customFormat="1" ht="21" customHeight="1" x14ac:dyDescent="0.25">
      <c r="A314" s="22"/>
      <c r="B314" s="42" t="s">
        <v>499</v>
      </c>
      <c r="C314" s="42" t="s">
        <v>246</v>
      </c>
      <c r="D314" s="42" t="s">
        <v>688</v>
      </c>
      <c r="E314" s="42" t="s">
        <v>627</v>
      </c>
      <c r="F314" s="42"/>
      <c r="G314" s="42"/>
      <c r="H314" s="42">
        <v>1</v>
      </c>
      <c r="I314" s="42">
        <v>1</v>
      </c>
      <c r="J314" s="42">
        <v>1</v>
      </c>
      <c r="K314" s="44">
        <v>1</v>
      </c>
      <c r="L314" s="42">
        <v>1</v>
      </c>
      <c r="M314" s="42">
        <v>1</v>
      </c>
      <c r="N314" s="42"/>
      <c r="O314" s="42">
        <v>1</v>
      </c>
      <c r="P314" s="42">
        <v>1</v>
      </c>
      <c r="Q314" s="42">
        <v>1</v>
      </c>
      <c r="R314" s="42"/>
      <c r="S314" s="42">
        <v>1</v>
      </c>
      <c r="T314" s="42">
        <v>1</v>
      </c>
      <c r="U314" s="42">
        <v>1</v>
      </c>
      <c r="V314" s="44">
        <v>1</v>
      </c>
      <c r="W314" s="42">
        <v>1</v>
      </c>
      <c r="X314" s="42">
        <v>1</v>
      </c>
      <c r="Y314" s="42">
        <v>1</v>
      </c>
      <c r="Z314" s="42">
        <v>1</v>
      </c>
      <c r="AA314" s="42">
        <v>1</v>
      </c>
      <c r="AB314" s="42">
        <v>1</v>
      </c>
      <c r="AC314" s="42"/>
      <c r="AD314" s="42">
        <v>1</v>
      </c>
      <c r="AE314" s="42">
        <v>1</v>
      </c>
      <c r="AF314" s="42">
        <v>1</v>
      </c>
      <c r="AG314" s="44">
        <v>1</v>
      </c>
      <c r="AH314" s="42">
        <v>1</v>
      </c>
      <c r="AI314" s="42">
        <v>1</v>
      </c>
      <c r="AJ314" s="42"/>
      <c r="AK314" s="42">
        <v>1</v>
      </c>
      <c r="AL314" s="42">
        <v>1</v>
      </c>
      <c r="AM314" s="42">
        <v>1</v>
      </c>
      <c r="AN314" s="42"/>
      <c r="AO314" s="42">
        <v>1</v>
      </c>
      <c r="AP314" s="42">
        <v>1</v>
      </c>
      <c r="AQ314" s="42">
        <v>1</v>
      </c>
      <c r="AR314" s="44"/>
      <c r="AS314" s="44">
        <v>1</v>
      </c>
      <c r="AT314" s="44">
        <v>1</v>
      </c>
      <c r="AU314" s="44">
        <v>1</v>
      </c>
      <c r="AV314" s="44">
        <v>1</v>
      </c>
      <c r="AW314" s="44">
        <v>1</v>
      </c>
      <c r="AX314" s="44">
        <v>1</v>
      </c>
      <c r="AY314" s="44">
        <v>1</v>
      </c>
      <c r="AZ314" s="44">
        <v>1</v>
      </c>
      <c r="BA314" s="34">
        <v>1</v>
      </c>
      <c r="BB314" s="34">
        <v>1</v>
      </c>
      <c r="BC314" s="34">
        <v>1</v>
      </c>
    </row>
    <row r="315" spans="1:55" customFormat="1" ht="21" customHeight="1" x14ac:dyDescent="0.25">
      <c r="A315" s="22"/>
      <c r="B315" s="42" t="s">
        <v>499</v>
      </c>
      <c r="C315" s="42" t="s">
        <v>246</v>
      </c>
      <c r="D315" s="42" t="s">
        <v>689</v>
      </c>
      <c r="E315" s="42" t="s">
        <v>557</v>
      </c>
      <c r="F315" s="42"/>
      <c r="G315" s="42"/>
      <c r="H315" s="42">
        <v>1</v>
      </c>
      <c r="I315" s="42">
        <v>1</v>
      </c>
      <c r="J315" s="42">
        <v>1</v>
      </c>
      <c r="K315" s="44">
        <v>1</v>
      </c>
      <c r="L315" s="42">
        <v>1</v>
      </c>
      <c r="M315" s="42">
        <v>1</v>
      </c>
      <c r="N315" s="42">
        <v>1</v>
      </c>
      <c r="O315" s="42">
        <v>1</v>
      </c>
      <c r="P315" s="42">
        <v>1</v>
      </c>
      <c r="Q315" s="42">
        <v>1</v>
      </c>
      <c r="R315" s="42"/>
      <c r="S315" s="42">
        <v>1</v>
      </c>
      <c r="T315" s="42">
        <v>1</v>
      </c>
      <c r="U315" s="42">
        <v>1</v>
      </c>
      <c r="V315" s="44"/>
      <c r="W315" s="42">
        <v>1</v>
      </c>
      <c r="X315" s="42">
        <v>1</v>
      </c>
      <c r="Y315" s="42">
        <v>1</v>
      </c>
      <c r="Z315" s="42"/>
      <c r="AA315" s="42"/>
      <c r="AB315" s="42">
        <v>1</v>
      </c>
      <c r="AC315" s="42"/>
      <c r="AD315" s="42">
        <v>1</v>
      </c>
      <c r="AE315" s="42">
        <v>1</v>
      </c>
      <c r="AF315" s="42">
        <v>1</v>
      </c>
      <c r="AG315" s="44">
        <v>1</v>
      </c>
      <c r="AH315" s="44">
        <v>1</v>
      </c>
      <c r="AI315" s="42">
        <v>1</v>
      </c>
      <c r="AJ315" s="42">
        <v>1</v>
      </c>
      <c r="AK315" s="42">
        <v>1</v>
      </c>
      <c r="AL315" s="42">
        <v>1</v>
      </c>
      <c r="AM315" s="42">
        <v>1</v>
      </c>
      <c r="AN315" s="42"/>
      <c r="AO315" s="42">
        <v>1</v>
      </c>
      <c r="AP315" s="42">
        <v>1</v>
      </c>
      <c r="AQ315" s="42">
        <v>1</v>
      </c>
      <c r="AR315" s="44"/>
      <c r="AS315" s="44"/>
      <c r="AT315" s="44"/>
      <c r="AU315" s="44">
        <v>1</v>
      </c>
      <c r="AV315" s="44">
        <v>1</v>
      </c>
      <c r="AW315" s="46"/>
      <c r="AX315" s="44"/>
      <c r="AY315" s="44"/>
      <c r="AZ315" s="44"/>
      <c r="BA315" s="46"/>
      <c r="BB315" s="34">
        <v>1</v>
      </c>
      <c r="BC315" s="34"/>
    </row>
    <row r="316" spans="1:55" customFormat="1" ht="21" customHeight="1" x14ac:dyDescent="0.25">
      <c r="A316" s="22"/>
      <c r="B316" s="42" t="s">
        <v>499</v>
      </c>
      <c r="C316" s="42" t="s">
        <v>246</v>
      </c>
      <c r="D316" s="42" t="s">
        <v>690</v>
      </c>
      <c r="E316" s="42" t="s">
        <v>437</v>
      </c>
      <c r="F316" s="42"/>
      <c r="G316" s="42"/>
      <c r="H316" s="42">
        <v>1</v>
      </c>
      <c r="I316" s="42">
        <v>1</v>
      </c>
      <c r="J316" s="42">
        <v>1</v>
      </c>
      <c r="K316" s="44">
        <v>1</v>
      </c>
      <c r="L316" s="42">
        <v>1</v>
      </c>
      <c r="M316" s="42">
        <v>1</v>
      </c>
      <c r="N316" s="42">
        <v>1</v>
      </c>
      <c r="O316" s="42">
        <v>1</v>
      </c>
      <c r="P316" s="42">
        <v>1</v>
      </c>
      <c r="Q316" s="42">
        <v>1</v>
      </c>
      <c r="R316" s="42"/>
      <c r="S316" s="42">
        <v>1</v>
      </c>
      <c r="T316" s="42">
        <v>1</v>
      </c>
      <c r="U316" s="42">
        <v>1</v>
      </c>
      <c r="V316" s="44">
        <v>1</v>
      </c>
      <c r="W316" s="42">
        <v>1</v>
      </c>
      <c r="X316" s="42">
        <v>1</v>
      </c>
      <c r="Y316" s="42">
        <v>1</v>
      </c>
      <c r="Z316" s="42"/>
      <c r="AA316" s="42">
        <v>1</v>
      </c>
      <c r="AB316" s="42">
        <v>1</v>
      </c>
      <c r="AC316" s="42"/>
      <c r="AD316" s="42">
        <v>1</v>
      </c>
      <c r="AE316" s="42">
        <v>1</v>
      </c>
      <c r="AF316" s="42">
        <v>1</v>
      </c>
      <c r="AG316" s="44">
        <v>1</v>
      </c>
      <c r="AH316" s="42">
        <v>1</v>
      </c>
      <c r="AI316" s="42">
        <v>1</v>
      </c>
      <c r="AJ316" s="42">
        <v>1</v>
      </c>
      <c r="AK316" s="42">
        <v>1</v>
      </c>
      <c r="AL316" s="42"/>
      <c r="AM316" s="42">
        <v>1</v>
      </c>
      <c r="AN316" s="42"/>
      <c r="AO316" s="42">
        <v>1</v>
      </c>
      <c r="AP316" s="42"/>
      <c r="AQ316" s="42">
        <v>1</v>
      </c>
      <c r="AR316" s="44">
        <v>1</v>
      </c>
      <c r="AS316" s="44"/>
      <c r="AT316" s="44">
        <v>1</v>
      </c>
      <c r="AU316" s="44"/>
      <c r="AV316" s="44"/>
      <c r="AW316" s="46">
        <v>1</v>
      </c>
      <c r="AX316" s="44">
        <v>1</v>
      </c>
      <c r="AY316" s="44">
        <v>1</v>
      </c>
      <c r="AZ316" s="44">
        <v>1</v>
      </c>
      <c r="BA316" s="34">
        <v>1</v>
      </c>
      <c r="BB316" s="34">
        <v>1</v>
      </c>
      <c r="BC316" s="34">
        <v>1</v>
      </c>
    </row>
    <row r="317" spans="1:55" customFormat="1" ht="21" customHeight="1" x14ac:dyDescent="0.25">
      <c r="A317" s="22"/>
      <c r="B317" s="42" t="s">
        <v>499</v>
      </c>
      <c r="C317" s="42" t="s">
        <v>246</v>
      </c>
      <c r="D317" s="42" t="s">
        <v>691</v>
      </c>
      <c r="E317" s="42" t="s">
        <v>269</v>
      </c>
      <c r="F317" s="42"/>
      <c r="G317" s="42"/>
      <c r="H317" s="42">
        <v>1</v>
      </c>
      <c r="I317" s="42">
        <v>1</v>
      </c>
      <c r="J317" s="42">
        <v>1</v>
      </c>
      <c r="K317" s="44">
        <v>1</v>
      </c>
      <c r="L317" s="42"/>
      <c r="M317" s="42">
        <v>1</v>
      </c>
      <c r="N317" s="42">
        <v>1</v>
      </c>
      <c r="O317" s="42">
        <v>1</v>
      </c>
      <c r="P317" s="42">
        <v>1</v>
      </c>
      <c r="Q317" s="42">
        <v>1</v>
      </c>
      <c r="R317" s="42"/>
      <c r="S317" s="42">
        <v>1</v>
      </c>
      <c r="T317" s="42">
        <v>1</v>
      </c>
      <c r="U317" s="42">
        <v>1</v>
      </c>
      <c r="V317" s="44">
        <v>1</v>
      </c>
      <c r="W317" s="42">
        <v>1</v>
      </c>
      <c r="X317" s="42">
        <v>1</v>
      </c>
      <c r="Y317" s="42"/>
      <c r="Z317" s="42">
        <v>1</v>
      </c>
      <c r="AA317" s="42"/>
      <c r="AB317" s="42">
        <v>1</v>
      </c>
      <c r="AC317" s="42"/>
      <c r="AD317" s="42">
        <v>1</v>
      </c>
      <c r="AE317" s="42">
        <v>1</v>
      </c>
      <c r="AF317" s="42">
        <v>1</v>
      </c>
      <c r="AG317" s="44">
        <v>1</v>
      </c>
      <c r="AH317" s="42">
        <v>1</v>
      </c>
      <c r="AI317" s="42">
        <v>1</v>
      </c>
      <c r="AJ317" s="42">
        <v>1</v>
      </c>
      <c r="AK317" s="42">
        <v>1</v>
      </c>
      <c r="AL317" s="42"/>
      <c r="AM317" s="42"/>
      <c r="AN317" s="42"/>
      <c r="AO317" s="42">
        <v>1</v>
      </c>
      <c r="AP317" s="42">
        <v>1</v>
      </c>
      <c r="AQ317" s="42">
        <v>1</v>
      </c>
      <c r="AR317" s="44">
        <v>1</v>
      </c>
      <c r="AS317" s="44">
        <v>1</v>
      </c>
      <c r="AT317" s="44">
        <v>1</v>
      </c>
      <c r="AU317" s="44">
        <v>1</v>
      </c>
      <c r="AV317" s="44">
        <v>1</v>
      </c>
      <c r="AW317" s="46">
        <v>1</v>
      </c>
      <c r="AX317" s="44">
        <v>1</v>
      </c>
      <c r="AY317" s="44">
        <v>1</v>
      </c>
      <c r="AZ317" s="44"/>
      <c r="BA317" s="34">
        <v>1</v>
      </c>
      <c r="BB317" s="34">
        <v>1</v>
      </c>
      <c r="BC317" s="34"/>
    </row>
    <row r="318" spans="1:55" customFormat="1" ht="21" customHeight="1" x14ac:dyDescent="0.4">
      <c r="A318" s="22"/>
      <c r="B318" s="42" t="s">
        <v>499</v>
      </c>
      <c r="C318" s="42" t="s">
        <v>244</v>
      </c>
      <c r="D318" s="42" t="s">
        <v>692</v>
      </c>
      <c r="E318" s="42" t="s">
        <v>437</v>
      </c>
      <c r="F318" s="42"/>
      <c r="G318" s="42"/>
      <c r="H318" s="42">
        <v>1</v>
      </c>
      <c r="I318" s="43">
        <v>1</v>
      </c>
      <c r="J318" s="43">
        <v>1</v>
      </c>
      <c r="K318" s="44">
        <v>1</v>
      </c>
      <c r="L318" s="42">
        <v>1</v>
      </c>
      <c r="M318" s="42">
        <v>1</v>
      </c>
      <c r="N318" s="42">
        <v>1</v>
      </c>
      <c r="O318" s="42">
        <v>1</v>
      </c>
      <c r="P318" s="42">
        <v>1</v>
      </c>
      <c r="Q318" s="42">
        <v>1</v>
      </c>
      <c r="R318" s="42"/>
      <c r="S318" s="42">
        <v>1</v>
      </c>
      <c r="T318" s="43">
        <v>1</v>
      </c>
      <c r="U318" s="43">
        <v>1</v>
      </c>
      <c r="V318" s="44">
        <v>1</v>
      </c>
      <c r="W318" s="42">
        <v>1</v>
      </c>
      <c r="X318" s="42">
        <v>1</v>
      </c>
      <c r="Y318" s="42"/>
      <c r="Z318" s="42">
        <v>1</v>
      </c>
      <c r="AA318" s="42">
        <v>1</v>
      </c>
      <c r="AB318" s="42">
        <v>1</v>
      </c>
      <c r="AC318" s="42"/>
      <c r="AD318" s="42">
        <v>1</v>
      </c>
      <c r="AE318" s="43">
        <v>1</v>
      </c>
      <c r="AF318" s="43">
        <v>1</v>
      </c>
      <c r="AG318" s="44">
        <v>1</v>
      </c>
      <c r="AH318" s="42">
        <v>1</v>
      </c>
      <c r="AI318" s="42">
        <v>1</v>
      </c>
      <c r="AJ318" s="42">
        <v>1</v>
      </c>
      <c r="AK318" s="42">
        <v>1</v>
      </c>
      <c r="AL318" s="42"/>
      <c r="AM318" s="42"/>
      <c r="AN318" s="42"/>
      <c r="AO318" s="42">
        <v>1</v>
      </c>
      <c r="AP318" s="43">
        <v>1</v>
      </c>
      <c r="AQ318" s="43">
        <v>1</v>
      </c>
      <c r="AR318" s="44">
        <v>1</v>
      </c>
      <c r="AS318" s="44">
        <v>1</v>
      </c>
      <c r="AT318" s="44">
        <v>1</v>
      </c>
      <c r="AU318" s="44">
        <v>1</v>
      </c>
      <c r="AV318" s="44">
        <v>1</v>
      </c>
      <c r="AW318" s="44">
        <v>1</v>
      </c>
      <c r="AX318" s="44">
        <v>1</v>
      </c>
      <c r="AY318" s="44">
        <v>1</v>
      </c>
      <c r="AZ318" s="44">
        <v>1</v>
      </c>
      <c r="BA318" s="34">
        <v>1</v>
      </c>
      <c r="BB318" s="34">
        <v>1</v>
      </c>
      <c r="BC318" s="34">
        <v>1</v>
      </c>
    </row>
    <row r="319" spans="1:55" customFormat="1" ht="21" customHeight="1" x14ac:dyDescent="0.4">
      <c r="A319" s="22"/>
      <c r="B319" s="42" t="s">
        <v>499</v>
      </c>
      <c r="C319" s="42" t="s">
        <v>244</v>
      </c>
      <c r="D319" s="42" t="s">
        <v>693</v>
      </c>
      <c r="E319" s="42" t="s">
        <v>427</v>
      </c>
      <c r="F319" s="42"/>
      <c r="G319" s="42"/>
      <c r="H319" s="42">
        <v>1</v>
      </c>
      <c r="I319" s="43">
        <v>1</v>
      </c>
      <c r="J319" s="43">
        <v>1</v>
      </c>
      <c r="K319" s="44">
        <v>1</v>
      </c>
      <c r="L319" s="42">
        <v>1</v>
      </c>
      <c r="M319" s="42">
        <v>1</v>
      </c>
      <c r="N319" s="42">
        <v>1</v>
      </c>
      <c r="O319" s="42">
        <v>1</v>
      </c>
      <c r="P319" s="42">
        <v>1</v>
      </c>
      <c r="Q319" s="42">
        <v>1</v>
      </c>
      <c r="R319" s="42"/>
      <c r="S319" s="42">
        <v>1</v>
      </c>
      <c r="T319" s="43">
        <v>1</v>
      </c>
      <c r="U319" s="43">
        <v>1</v>
      </c>
      <c r="V319" s="44">
        <v>1</v>
      </c>
      <c r="W319" s="42">
        <v>1</v>
      </c>
      <c r="X319" s="42">
        <v>1</v>
      </c>
      <c r="Y319" s="42"/>
      <c r="Z319" s="42"/>
      <c r="AA319" s="42">
        <v>1</v>
      </c>
      <c r="AB319" s="42">
        <v>1</v>
      </c>
      <c r="AC319" s="42"/>
      <c r="AD319" s="42">
        <v>1</v>
      </c>
      <c r="AE319" s="43">
        <v>1</v>
      </c>
      <c r="AF319" s="43">
        <v>1</v>
      </c>
      <c r="AG319" s="44">
        <v>1</v>
      </c>
      <c r="AH319" s="42">
        <v>1</v>
      </c>
      <c r="AI319" s="42">
        <v>1</v>
      </c>
      <c r="AJ319" s="42">
        <v>1</v>
      </c>
      <c r="AK319" s="42">
        <v>1</v>
      </c>
      <c r="AL319" s="42"/>
      <c r="AM319" s="42"/>
      <c r="AN319" s="42"/>
      <c r="AO319" s="42">
        <v>1</v>
      </c>
      <c r="AP319" s="43">
        <v>1</v>
      </c>
      <c r="AQ319" s="43">
        <v>1</v>
      </c>
      <c r="AR319" s="44">
        <v>1</v>
      </c>
      <c r="AS319" s="44">
        <v>1</v>
      </c>
      <c r="AT319" s="44">
        <v>1</v>
      </c>
      <c r="AU319" s="44">
        <v>1</v>
      </c>
      <c r="AV319" s="44">
        <v>1</v>
      </c>
      <c r="AW319" s="44">
        <v>1</v>
      </c>
      <c r="AX319" s="44">
        <v>1</v>
      </c>
      <c r="AY319" s="44">
        <v>1</v>
      </c>
      <c r="AZ319" s="44">
        <v>1</v>
      </c>
      <c r="BA319" s="34">
        <v>1</v>
      </c>
      <c r="BB319" s="34">
        <v>1</v>
      </c>
      <c r="BC319" s="34">
        <v>1</v>
      </c>
    </row>
    <row r="320" spans="1:55" customFormat="1" ht="21" customHeight="1" x14ac:dyDescent="0.25">
      <c r="A320" s="22"/>
      <c r="B320" s="42" t="s">
        <v>499</v>
      </c>
      <c r="C320" s="42" t="s">
        <v>253</v>
      </c>
      <c r="D320" s="42" t="s">
        <v>694</v>
      </c>
      <c r="E320" s="34" t="s">
        <v>695</v>
      </c>
      <c r="F320" s="46"/>
      <c r="G320" s="46"/>
      <c r="H320" s="34"/>
      <c r="I320" s="46"/>
      <c r="J320" s="46"/>
      <c r="K320" s="46"/>
      <c r="L320" s="46"/>
      <c r="M320" s="46"/>
      <c r="N320" s="42"/>
      <c r="O320" s="42"/>
      <c r="P320" s="46"/>
      <c r="Q320" s="46"/>
      <c r="R320" s="46"/>
      <c r="S320" s="46"/>
      <c r="T320" s="46"/>
      <c r="U320" s="46"/>
      <c r="V320" s="46"/>
      <c r="W320" s="46"/>
      <c r="X320" s="46"/>
      <c r="Y320" s="42"/>
      <c r="Z320" s="42">
        <v>1</v>
      </c>
      <c r="AA320" s="34"/>
      <c r="AB320" s="34"/>
      <c r="AC320" s="46"/>
      <c r="AD320" s="46"/>
      <c r="AE320" s="46"/>
      <c r="AF320" s="46"/>
      <c r="AG320" s="46"/>
      <c r="AH320" s="46"/>
      <c r="AI320" s="46"/>
      <c r="AJ320" s="42"/>
      <c r="AK320" s="42"/>
      <c r="AL320" s="46"/>
      <c r="AM320" s="46"/>
      <c r="AN320" s="46"/>
      <c r="AO320" s="46"/>
      <c r="AP320" s="46"/>
      <c r="AQ320" s="46"/>
      <c r="AR320" s="46"/>
      <c r="AS320" s="46"/>
      <c r="AT320" s="46"/>
      <c r="AU320" s="42"/>
      <c r="AV320" s="42"/>
      <c r="AW320" s="46">
        <v>1</v>
      </c>
      <c r="AX320" s="44">
        <v>1</v>
      </c>
      <c r="AY320" s="44"/>
      <c r="AZ320" s="44">
        <v>1</v>
      </c>
      <c r="BA320" s="46"/>
      <c r="BB320" s="34"/>
      <c r="BC320" s="34"/>
    </row>
    <row r="321" spans="1:55" customFormat="1" ht="21" customHeight="1" x14ac:dyDescent="0.25">
      <c r="A321" s="22"/>
      <c r="B321" s="42" t="s">
        <v>499</v>
      </c>
      <c r="C321" s="42" t="s">
        <v>253</v>
      </c>
      <c r="D321" s="42" t="s">
        <v>696</v>
      </c>
      <c r="E321" s="34" t="s">
        <v>697</v>
      </c>
      <c r="F321" s="46"/>
      <c r="G321" s="46"/>
      <c r="H321" s="34"/>
      <c r="I321" s="46"/>
      <c r="J321" s="46"/>
      <c r="K321" s="46"/>
      <c r="L321" s="46"/>
      <c r="M321" s="46"/>
      <c r="N321" s="42"/>
      <c r="O321" s="42"/>
      <c r="P321" s="46"/>
      <c r="Q321" s="46"/>
      <c r="R321" s="46"/>
      <c r="S321" s="46"/>
      <c r="T321" s="46"/>
      <c r="U321" s="46"/>
      <c r="V321" s="46"/>
      <c r="W321" s="46"/>
      <c r="X321" s="46"/>
      <c r="Y321" s="42"/>
      <c r="Z321" s="42"/>
      <c r="AA321" s="34"/>
      <c r="AB321" s="34"/>
      <c r="AC321" s="46"/>
      <c r="AD321" s="46"/>
      <c r="AE321" s="46"/>
      <c r="AF321" s="46"/>
      <c r="AG321" s="46"/>
      <c r="AH321" s="46"/>
      <c r="AI321" s="46"/>
      <c r="AJ321" s="42"/>
      <c r="AK321" s="42"/>
      <c r="AL321" s="46"/>
      <c r="AM321" s="46"/>
      <c r="AN321" s="46"/>
      <c r="AO321" s="46"/>
      <c r="AP321" s="46"/>
      <c r="AQ321" s="46"/>
      <c r="AR321" s="46"/>
      <c r="AS321" s="46"/>
      <c r="AT321" s="46"/>
      <c r="AU321" s="42"/>
      <c r="AV321" s="42"/>
      <c r="AW321" s="46"/>
      <c r="AX321" s="44"/>
      <c r="AY321" s="44"/>
      <c r="AZ321" s="44"/>
      <c r="BA321" s="46"/>
      <c r="BB321" s="34"/>
      <c r="BC321" s="34"/>
    </row>
    <row r="322" spans="1:55" customFormat="1" ht="21" customHeight="1" x14ac:dyDescent="0.25">
      <c r="A322" s="22"/>
      <c r="B322" s="42" t="s">
        <v>499</v>
      </c>
      <c r="C322" s="42" t="s">
        <v>255</v>
      </c>
      <c r="D322" s="42" t="s">
        <v>698</v>
      </c>
      <c r="E322" s="34" t="s">
        <v>699</v>
      </c>
      <c r="F322" s="46"/>
      <c r="G322" s="46"/>
      <c r="H322" s="34"/>
      <c r="I322" s="46"/>
      <c r="J322" s="46"/>
      <c r="K322" s="46"/>
      <c r="L322" s="46"/>
      <c r="M322" s="46"/>
      <c r="N322" s="42"/>
      <c r="O322" s="42"/>
      <c r="P322" s="46"/>
      <c r="Q322" s="46"/>
      <c r="R322" s="46"/>
      <c r="S322" s="46"/>
      <c r="T322" s="46"/>
      <c r="U322" s="46"/>
      <c r="V322" s="46"/>
      <c r="W322" s="46"/>
      <c r="X322" s="46"/>
      <c r="Y322" s="42"/>
      <c r="Z322" s="42"/>
      <c r="AA322" s="34"/>
      <c r="AB322" s="34"/>
      <c r="AC322" s="46"/>
      <c r="AD322" s="46"/>
      <c r="AE322" s="46"/>
      <c r="AF322" s="46"/>
      <c r="AG322" s="46"/>
      <c r="AH322" s="46"/>
      <c r="AI322" s="46"/>
      <c r="AJ322" s="42"/>
      <c r="AK322" s="42"/>
      <c r="AL322" s="46"/>
      <c r="AM322" s="46"/>
      <c r="AN322" s="46"/>
      <c r="AO322" s="46"/>
      <c r="AP322" s="46"/>
      <c r="AQ322" s="46"/>
      <c r="AR322" s="46"/>
      <c r="AS322" s="46"/>
      <c r="AT322" s="46"/>
      <c r="AU322" s="42"/>
      <c r="AV322" s="42"/>
      <c r="AW322" s="46"/>
      <c r="AX322" s="44"/>
      <c r="AY322" s="44"/>
      <c r="AZ322" s="44"/>
      <c r="BA322" s="46"/>
      <c r="BB322" s="34"/>
      <c r="BC322" s="34"/>
    </row>
    <row r="323" spans="1:55" customFormat="1" ht="21" customHeight="1" x14ac:dyDescent="0.25">
      <c r="A323" s="22"/>
      <c r="B323" s="42" t="s">
        <v>499</v>
      </c>
      <c r="C323" s="42" t="s">
        <v>255</v>
      </c>
      <c r="D323" s="42" t="s">
        <v>700</v>
      </c>
      <c r="E323" s="34" t="s">
        <v>701</v>
      </c>
      <c r="F323" s="46"/>
      <c r="G323" s="46"/>
      <c r="H323" s="34"/>
      <c r="I323" s="46"/>
      <c r="J323" s="46"/>
      <c r="K323" s="46"/>
      <c r="L323" s="46"/>
      <c r="M323" s="46"/>
      <c r="N323" s="42">
        <v>1</v>
      </c>
      <c r="O323" s="42">
        <v>1</v>
      </c>
      <c r="P323" s="42">
        <v>1</v>
      </c>
      <c r="Q323" s="42">
        <v>1</v>
      </c>
      <c r="R323" s="46"/>
      <c r="S323" s="46"/>
      <c r="T323" s="46"/>
      <c r="U323" s="46"/>
      <c r="V323" s="46"/>
      <c r="W323" s="46"/>
      <c r="X323" s="46"/>
      <c r="Y323" s="42">
        <v>1</v>
      </c>
      <c r="Z323" s="42"/>
      <c r="AA323" s="42">
        <v>1</v>
      </c>
      <c r="AB323" s="42">
        <v>1</v>
      </c>
      <c r="AC323" s="46"/>
      <c r="AD323" s="46"/>
      <c r="AE323" s="46"/>
      <c r="AF323" s="46"/>
      <c r="AG323" s="46"/>
      <c r="AH323" s="46"/>
      <c r="AI323" s="46"/>
      <c r="AJ323" s="42"/>
      <c r="AK323" s="42">
        <v>1</v>
      </c>
      <c r="AL323" s="42"/>
      <c r="AM323" s="46"/>
      <c r="AN323" s="46"/>
      <c r="AO323" s="46"/>
      <c r="AP323" s="46"/>
      <c r="AQ323" s="46"/>
      <c r="AR323" s="46"/>
      <c r="AS323" s="46"/>
      <c r="AT323" s="46"/>
      <c r="AU323" s="42"/>
      <c r="AV323" s="42"/>
      <c r="AW323" s="46"/>
      <c r="AX323" s="44"/>
      <c r="AY323" s="44">
        <v>1</v>
      </c>
      <c r="AZ323" s="44">
        <v>1</v>
      </c>
      <c r="BA323" s="34">
        <v>1</v>
      </c>
      <c r="BB323" s="34">
        <v>1</v>
      </c>
      <c r="BC323" s="34">
        <v>1</v>
      </c>
    </row>
    <row r="324" spans="1:55" customFormat="1" ht="21" customHeight="1" x14ac:dyDescent="0.25">
      <c r="A324" s="22"/>
      <c r="B324" s="42" t="s">
        <v>499</v>
      </c>
      <c r="C324" s="42" t="s">
        <v>246</v>
      </c>
      <c r="D324" s="42" t="s">
        <v>702</v>
      </c>
      <c r="E324" s="34" t="s">
        <v>703</v>
      </c>
      <c r="F324" s="46"/>
      <c r="G324" s="46"/>
      <c r="H324" s="34"/>
      <c r="I324" s="46"/>
      <c r="J324" s="46"/>
      <c r="K324" s="46"/>
      <c r="L324" s="46"/>
      <c r="M324" s="46"/>
      <c r="N324" s="42"/>
      <c r="O324" s="42"/>
      <c r="P324" s="46"/>
      <c r="Q324" s="46"/>
      <c r="R324" s="46"/>
      <c r="S324" s="46"/>
      <c r="T324" s="46"/>
      <c r="U324" s="46"/>
      <c r="V324" s="46"/>
      <c r="W324" s="46"/>
      <c r="X324" s="46"/>
      <c r="Y324" s="42"/>
      <c r="Z324" s="42"/>
      <c r="AA324" s="34"/>
      <c r="AB324" s="34"/>
      <c r="AC324" s="46"/>
      <c r="AD324" s="46"/>
      <c r="AE324" s="46"/>
      <c r="AF324" s="46"/>
      <c r="AG324" s="46"/>
      <c r="AH324" s="46"/>
      <c r="AI324" s="46"/>
      <c r="AJ324" s="42"/>
      <c r="AK324" s="42"/>
      <c r="AL324" s="46"/>
      <c r="AM324" s="46"/>
      <c r="AN324" s="46"/>
      <c r="AO324" s="46"/>
      <c r="AP324" s="46"/>
      <c r="AQ324" s="46"/>
      <c r="AR324" s="46"/>
      <c r="AS324" s="46"/>
      <c r="AT324" s="46"/>
      <c r="AU324" s="42"/>
      <c r="AV324" s="42"/>
      <c r="AW324" s="44">
        <v>1</v>
      </c>
      <c r="AX324" s="44">
        <v>1</v>
      </c>
      <c r="AY324" s="44"/>
      <c r="AZ324" s="44">
        <v>1</v>
      </c>
      <c r="BA324" s="34">
        <v>1</v>
      </c>
      <c r="BB324" s="34">
        <v>1</v>
      </c>
      <c r="BC324" s="34"/>
    </row>
    <row r="325" spans="1:55" customFormat="1" ht="21" customHeight="1" x14ac:dyDescent="0.25">
      <c r="A325" s="22"/>
      <c r="B325" s="42" t="s">
        <v>499</v>
      </c>
      <c r="C325" s="42" t="s">
        <v>255</v>
      </c>
      <c r="D325" s="42" t="s">
        <v>704</v>
      </c>
      <c r="E325" s="34" t="s">
        <v>705</v>
      </c>
      <c r="F325" s="46"/>
      <c r="G325" s="46"/>
      <c r="H325" s="34"/>
      <c r="I325" s="46"/>
      <c r="J325" s="46"/>
      <c r="K325" s="46"/>
      <c r="L325" s="46"/>
      <c r="M325" s="46"/>
      <c r="N325" s="42"/>
      <c r="O325" s="42">
        <v>1</v>
      </c>
      <c r="P325" s="46">
        <v>1</v>
      </c>
      <c r="Q325" s="46"/>
      <c r="R325" s="46"/>
      <c r="S325" s="46"/>
      <c r="T325" s="46"/>
      <c r="U325" s="46"/>
      <c r="V325" s="46"/>
      <c r="W325" s="46"/>
      <c r="X325" s="46"/>
      <c r="Y325" s="42">
        <v>1</v>
      </c>
      <c r="Z325" s="42"/>
      <c r="AA325" s="34"/>
      <c r="AB325" s="34"/>
      <c r="AC325" s="46"/>
      <c r="AD325" s="46"/>
      <c r="AE325" s="46"/>
      <c r="AF325" s="46"/>
      <c r="AG325" s="46"/>
      <c r="AH325" s="46"/>
      <c r="AI325" s="46"/>
      <c r="AJ325" s="42">
        <v>1</v>
      </c>
      <c r="AK325" s="42">
        <v>1</v>
      </c>
      <c r="AL325" s="46"/>
      <c r="AM325" s="46"/>
      <c r="AN325" s="46"/>
      <c r="AO325" s="46"/>
      <c r="AP325" s="46"/>
      <c r="AQ325" s="46"/>
      <c r="AR325" s="46"/>
      <c r="AS325" s="46"/>
      <c r="AT325" s="46"/>
      <c r="AU325" s="42"/>
      <c r="AV325" s="42"/>
      <c r="AW325" s="46"/>
      <c r="AX325" s="44"/>
      <c r="AY325" s="44"/>
      <c r="AZ325" s="44"/>
      <c r="BA325" s="46"/>
      <c r="BB325" s="34"/>
      <c r="BC325" s="34"/>
    </row>
    <row r="326" spans="1:55" customFormat="1" ht="21" customHeight="1" x14ac:dyDescent="0.25">
      <c r="A326" s="22"/>
      <c r="B326" s="42" t="s">
        <v>499</v>
      </c>
      <c r="C326" s="42" t="s">
        <v>246</v>
      </c>
      <c r="D326" s="42" t="s">
        <v>706</v>
      </c>
      <c r="E326" s="34" t="s">
        <v>707</v>
      </c>
      <c r="F326" s="46"/>
      <c r="G326" s="46"/>
      <c r="H326" s="34"/>
      <c r="I326" s="46"/>
      <c r="J326" s="46"/>
      <c r="K326" s="46"/>
      <c r="L326" s="46"/>
      <c r="M326" s="46"/>
      <c r="N326" s="42">
        <v>1</v>
      </c>
      <c r="O326" s="42">
        <v>1</v>
      </c>
      <c r="P326" s="42">
        <v>1</v>
      </c>
      <c r="Q326" s="42">
        <v>1</v>
      </c>
      <c r="R326" s="46"/>
      <c r="S326" s="46"/>
      <c r="T326" s="46"/>
      <c r="U326" s="46"/>
      <c r="V326" s="46"/>
      <c r="W326" s="46"/>
      <c r="X326" s="46"/>
      <c r="Y326" s="42">
        <v>1</v>
      </c>
      <c r="Z326" s="42"/>
      <c r="AA326" s="42">
        <v>1</v>
      </c>
      <c r="AB326" s="42">
        <v>1</v>
      </c>
      <c r="AC326" s="46"/>
      <c r="AD326" s="46"/>
      <c r="AE326" s="46"/>
      <c r="AF326" s="46"/>
      <c r="AG326" s="46"/>
      <c r="AH326" s="46"/>
      <c r="AI326" s="46"/>
      <c r="AJ326" s="42">
        <v>1</v>
      </c>
      <c r="AK326" s="42">
        <v>1</v>
      </c>
      <c r="AL326" s="42"/>
      <c r="AM326" s="46"/>
      <c r="AN326" s="46"/>
      <c r="AO326" s="46"/>
      <c r="AP326" s="46"/>
      <c r="AQ326" s="46"/>
      <c r="AR326" s="46"/>
      <c r="AS326" s="46"/>
      <c r="AT326" s="46"/>
      <c r="AU326" s="42"/>
      <c r="AV326" s="42"/>
      <c r="AW326" s="46"/>
      <c r="AX326" s="44"/>
      <c r="AY326" s="44">
        <v>1</v>
      </c>
      <c r="AZ326" s="44">
        <v>1</v>
      </c>
      <c r="BA326" s="34">
        <v>1</v>
      </c>
      <c r="BB326" s="34"/>
      <c r="BC326" s="34"/>
    </row>
    <row r="327" spans="1:55" customFormat="1" ht="21" customHeight="1" x14ac:dyDescent="0.25">
      <c r="A327" s="22"/>
      <c r="B327" s="42" t="s">
        <v>499</v>
      </c>
      <c r="C327" s="42" t="s">
        <v>244</v>
      </c>
      <c r="D327" s="42" t="s">
        <v>708</v>
      </c>
      <c r="E327" s="34" t="s">
        <v>709</v>
      </c>
      <c r="F327" s="46"/>
      <c r="G327" s="46"/>
      <c r="H327" s="34"/>
      <c r="I327" s="46"/>
      <c r="J327" s="46"/>
      <c r="K327" s="46"/>
      <c r="L327" s="46"/>
      <c r="M327" s="46"/>
      <c r="N327" s="42"/>
      <c r="O327" s="42">
        <v>1</v>
      </c>
      <c r="P327" s="42">
        <v>1</v>
      </c>
      <c r="Q327" s="42">
        <v>1</v>
      </c>
      <c r="R327" s="46"/>
      <c r="S327" s="46"/>
      <c r="T327" s="46"/>
      <c r="U327" s="46"/>
      <c r="V327" s="46"/>
      <c r="W327" s="46"/>
      <c r="X327" s="46"/>
      <c r="Y327" s="42"/>
      <c r="Z327" s="42"/>
      <c r="AA327" s="42">
        <v>1</v>
      </c>
      <c r="AB327" s="42">
        <v>1</v>
      </c>
      <c r="AC327" s="46"/>
      <c r="AD327" s="46"/>
      <c r="AE327" s="46"/>
      <c r="AF327" s="46"/>
      <c r="AG327" s="46"/>
      <c r="AH327" s="46"/>
      <c r="AI327" s="46"/>
      <c r="AJ327" s="42"/>
      <c r="AK327" s="42">
        <v>1</v>
      </c>
      <c r="AL327" s="42"/>
      <c r="AM327" s="46"/>
      <c r="AN327" s="46"/>
      <c r="AO327" s="46"/>
      <c r="AP327" s="46"/>
      <c r="AQ327" s="46"/>
      <c r="AR327" s="46"/>
      <c r="AS327" s="46"/>
      <c r="AT327" s="46"/>
      <c r="AU327" s="42"/>
      <c r="AV327" s="42"/>
      <c r="AW327" s="46">
        <v>1</v>
      </c>
      <c r="AX327" s="44">
        <v>1</v>
      </c>
      <c r="AY327" s="44">
        <v>1</v>
      </c>
      <c r="AZ327" s="44">
        <v>1</v>
      </c>
      <c r="BA327" s="34">
        <v>1</v>
      </c>
      <c r="BB327" s="34">
        <v>1</v>
      </c>
      <c r="BC327" s="34">
        <v>1</v>
      </c>
    </row>
    <row r="328" spans="1:55" customFormat="1" ht="21" customHeight="1" x14ac:dyDescent="0.25">
      <c r="A328" s="22"/>
      <c r="B328" s="42" t="s">
        <v>499</v>
      </c>
      <c r="C328" s="42" t="s">
        <v>246</v>
      </c>
      <c r="D328" s="42" t="s">
        <v>710</v>
      </c>
      <c r="E328" s="34" t="s">
        <v>711</v>
      </c>
      <c r="F328" s="46"/>
      <c r="G328" s="46"/>
      <c r="H328" s="34"/>
      <c r="I328" s="46"/>
      <c r="J328" s="46"/>
      <c r="K328" s="46"/>
      <c r="L328" s="46"/>
      <c r="M328" s="46"/>
      <c r="N328" s="42">
        <v>1</v>
      </c>
      <c r="O328" s="42">
        <v>1</v>
      </c>
      <c r="P328" s="42">
        <v>1</v>
      </c>
      <c r="Q328" s="46"/>
      <c r="R328" s="46"/>
      <c r="S328" s="46"/>
      <c r="T328" s="46"/>
      <c r="U328" s="46"/>
      <c r="V328" s="46"/>
      <c r="W328" s="46"/>
      <c r="X328" s="46"/>
      <c r="Y328" s="42">
        <v>1</v>
      </c>
      <c r="Z328" s="42"/>
      <c r="AA328" s="42">
        <v>1</v>
      </c>
      <c r="AB328" s="34"/>
      <c r="AC328" s="46"/>
      <c r="AD328" s="46"/>
      <c r="AE328" s="46"/>
      <c r="AF328" s="46"/>
      <c r="AG328" s="46"/>
      <c r="AH328" s="46"/>
      <c r="AI328" s="46"/>
      <c r="AJ328" s="42">
        <v>1</v>
      </c>
      <c r="AK328" s="42">
        <v>1</v>
      </c>
      <c r="AL328" s="42"/>
      <c r="AM328" s="46"/>
      <c r="AN328" s="46"/>
      <c r="AO328" s="46"/>
      <c r="AP328" s="46"/>
      <c r="AQ328" s="46"/>
      <c r="AR328" s="46"/>
      <c r="AS328" s="46"/>
      <c r="AT328" s="46"/>
      <c r="AU328" s="42">
        <v>1</v>
      </c>
      <c r="AV328" s="42">
        <v>1</v>
      </c>
      <c r="AW328" s="46"/>
      <c r="AX328" s="44"/>
      <c r="AY328" s="44"/>
      <c r="AZ328" s="44"/>
      <c r="BA328" s="46"/>
      <c r="BB328" s="34"/>
      <c r="BC328" s="34"/>
    </row>
    <row r="329" spans="1:55" customFormat="1" ht="21" customHeight="1" x14ac:dyDescent="0.25">
      <c r="A329" s="22"/>
      <c r="B329" s="42" t="s">
        <v>499</v>
      </c>
      <c r="C329" s="42" t="s">
        <v>246</v>
      </c>
      <c r="D329" s="42" t="s">
        <v>712</v>
      </c>
      <c r="E329" s="34" t="s">
        <v>713</v>
      </c>
      <c r="F329" s="46"/>
      <c r="G329" s="46"/>
      <c r="H329" s="34"/>
      <c r="I329" s="46"/>
      <c r="J329" s="46"/>
      <c r="K329" s="46"/>
      <c r="L329" s="46"/>
      <c r="M329" s="46"/>
      <c r="N329" s="42">
        <v>1</v>
      </c>
      <c r="O329" s="42">
        <v>1</v>
      </c>
      <c r="P329" s="42">
        <v>1</v>
      </c>
      <c r="Q329" s="42">
        <v>1</v>
      </c>
      <c r="R329" s="46"/>
      <c r="S329" s="46"/>
      <c r="T329" s="46"/>
      <c r="U329" s="46"/>
      <c r="V329" s="46"/>
      <c r="W329" s="46"/>
      <c r="X329" s="46"/>
      <c r="Y329" s="42">
        <v>1</v>
      </c>
      <c r="Z329" s="42">
        <v>1</v>
      </c>
      <c r="AA329" s="42">
        <v>1</v>
      </c>
      <c r="AB329" s="42">
        <v>1</v>
      </c>
      <c r="AC329" s="46"/>
      <c r="AD329" s="46"/>
      <c r="AE329" s="46"/>
      <c r="AF329" s="46"/>
      <c r="AG329" s="46"/>
      <c r="AH329" s="46"/>
      <c r="AI329" s="46"/>
      <c r="AJ329" s="42">
        <v>1</v>
      </c>
      <c r="AK329" s="42">
        <v>1</v>
      </c>
      <c r="AL329" s="42"/>
      <c r="AM329" s="42">
        <v>1</v>
      </c>
      <c r="AN329" s="46"/>
      <c r="AO329" s="46"/>
      <c r="AP329" s="46"/>
      <c r="AQ329" s="46"/>
      <c r="AR329" s="46"/>
      <c r="AS329" s="46"/>
      <c r="AT329" s="46"/>
      <c r="AU329" s="42"/>
      <c r="AV329" s="42"/>
      <c r="AW329" s="46"/>
      <c r="AX329" s="44"/>
      <c r="AY329" s="44">
        <v>1</v>
      </c>
      <c r="AZ329" s="44">
        <v>1</v>
      </c>
      <c r="BA329" s="34">
        <v>1</v>
      </c>
      <c r="BB329" s="34">
        <v>1</v>
      </c>
      <c r="BC329" s="34">
        <v>1</v>
      </c>
    </row>
    <row r="330" spans="1:55" customFormat="1" ht="21" customHeight="1" x14ac:dyDescent="0.25">
      <c r="A330" s="22"/>
      <c r="B330" s="42" t="s">
        <v>499</v>
      </c>
      <c r="C330" s="42" t="s">
        <v>246</v>
      </c>
      <c r="D330" s="42" t="s">
        <v>714</v>
      </c>
      <c r="E330" s="34" t="s">
        <v>715</v>
      </c>
      <c r="F330" s="46"/>
      <c r="G330" s="46"/>
      <c r="H330" s="34"/>
      <c r="I330" s="46"/>
      <c r="J330" s="46"/>
      <c r="K330" s="46"/>
      <c r="L330" s="46"/>
      <c r="M330" s="46"/>
      <c r="N330" s="42"/>
      <c r="O330" s="42">
        <v>1</v>
      </c>
      <c r="P330" s="42">
        <v>1</v>
      </c>
      <c r="Q330" s="42">
        <v>1</v>
      </c>
      <c r="R330" s="46"/>
      <c r="S330" s="46"/>
      <c r="T330" s="46"/>
      <c r="U330" s="46"/>
      <c r="V330" s="46"/>
      <c r="W330" s="46"/>
      <c r="X330" s="46"/>
      <c r="Y330" s="42">
        <v>1</v>
      </c>
      <c r="Z330" s="42">
        <v>1</v>
      </c>
      <c r="AA330" s="42">
        <v>1</v>
      </c>
      <c r="AB330" s="42">
        <v>1</v>
      </c>
      <c r="AC330" s="46"/>
      <c r="AD330" s="46"/>
      <c r="AE330" s="46"/>
      <c r="AF330" s="46"/>
      <c r="AG330" s="46"/>
      <c r="AH330" s="46"/>
      <c r="AI330" s="46"/>
      <c r="AJ330" s="42"/>
      <c r="AK330" s="42">
        <v>1</v>
      </c>
      <c r="AL330" s="42"/>
      <c r="AM330" s="46"/>
      <c r="AN330" s="46"/>
      <c r="AO330" s="46"/>
      <c r="AP330" s="46"/>
      <c r="AQ330" s="46"/>
      <c r="AR330" s="46"/>
      <c r="AS330" s="46"/>
      <c r="AT330" s="46"/>
      <c r="AU330" s="42"/>
      <c r="AV330" s="42"/>
      <c r="AW330" s="46"/>
      <c r="AX330" s="44"/>
      <c r="AY330" s="44">
        <v>1</v>
      </c>
      <c r="AZ330" s="44">
        <v>1</v>
      </c>
      <c r="BA330" s="34">
        <v>1</v>
      </c>
      <c r="BB330" s="34">
        <v>1</v>
      </c>
      <c r="BC330" s="34">
        <v>1</v>
      </c>
    </row>
    <row r="331" spans="1:55" customFormat="1" ht="21" customHeight="1" x14ac:dyDescent="0.25">
      <c r="A331" s="22"/>
      <c r="B331" s="42" t="s">
        <v>499</v>
      </c>
      <c r="C331" s="42" t="s">
        <v>248</v>
      </c>
      <c r="D331" s="42" t="s">
        <v>716</v>
      </c>
      <c r="E331" s="34" t="s">
        <v>717</v>
      </c>
      <c r="F331" s="46"/>
      <c r="G331" s="46"/>
      <c r="H331" s="34"/>
      <c r="I331" s="46"/>
      <c r="J331" s="46"/>
      <c r="K331" s="46"/>
      <c r="L331" s="46"/>
      <c r="M331" s="46"/>
      <c r="N331" s="42">
        <v>1</v>
      </c>
      <c r="O331" s="42"/>
      <c r="P331" s="46"/>
      <c r="Q331" s="46"/>
      <c r="R331" s="46"/>
      <c r="S331" s="46"/>
      <c r="T331" s="46"/>
      <c r="U331" s="46"/>
      <c r="V331" s="46"/>
      <c r="W331" s="46"/>
      <c r="X331" s="46"/>
      <c r="Y331" s="42"/>
      <c r="Z331" s="42">
        <v>1</v>
      </c>
      <c r="AA331" s="34"/>
      <c r="AB331" s="34"/>
      <c r="AC331" s="46"/>
      <c r="AD331" s="46"/>
      <c r="AE331" s="46"/>
      <c r="AF331" s="46"/>
      <c r="AG331" s="46"/>
      <c r="AH331" s="46"/>
      <c r="AI331" s="46"/>
      <c r="AJ331" s="42">
        <v>1</v>
      </c>
      <c r="AK331" s="42"/>
      <c r="AL331" s="46"/>
      <c r="AM331" s="46"/>
      <c r="AN331" s="46"/>
      <c r="AO331" s="46"/>
      <c r="AP331" s="46"/>
      <c r="AQ331" s="46"/>
      <c r="AR331" s="46"/>
      <c r="AS331" s="46"/>
      <c r="AT331" s="46"/>
      <c r="AU331" s="42"/>
      <c r="AV331" s="42"/>
      <c r="AW331" s="46"/>
      <c r="AX331" s="44"/>
      <c r="AY331" s="44"/>
      <c r="AZ331" s="44"/>
      <c r="BA331" s="46"/>
      <c r="BB331" s="34"/>
      <c r="BC331" s="34"/>
    </row>
    <row r="332" spans="1:55" customFormat="1" ht="21" customHeight="1" x14ac:dyDescent="0.25">
      <c r="A332" s="22"/>
      <c r="B332" s="42" t="s">
        <v>499</v>
      </c>
      <c r="C332" s="42" t="s">
        <v>246</v>
      </c>
      <c r="D332" s="42" t="s">
        <v>718</v>
      </c>
      <c r="E332" s="34" t="s">
        <v>719</v>
      </c>
      <c r="F332" s="46"/>
      <c r="G332" s="46"/>
      <c r="H332" s="34"/>
      <c r="I332" s="46"/>
      <c r="J332" s="46"/>
      <c r="K332" s="46"/>
      <c r="L332" s="46"/>
      <c r="M332" s="46"/>
      <c r="N332" s="42">
        <v>1</v>
      </c>
      <c r="O332" s="42"/>
      <c r="P332" s="46"/>
      <c r="Q332" s="46"/>
      <c r="R332" s="46"/>
      <c r="S332" s="46"/>
      <c r="T332" s="46"/>
      <c r="U332" s="46"/>
      <c r="V332" s="46"/>
      <c r="W332" s="46"/>
      <c r="X332" s="46"/>
      <c r="Y332" s="42"/>
      <c r="Z332" s="42">
        <v>1</v>
      </c>
      <c r="AA332" s="34"/>
      <c r="AB332" s="34"/>
      <c r="AC332" s="46"/>
      <c r="AD332" s="46"/>
      <c r="AE332" s="46"/>
      <c r="AF332" s="46"/>
      <c r="AG332" s="46"/>
      <c r="AH332" s="46"/>
      <c r="AI332" s="46"/>
      <c r="AJ332" s="42">
        <v>1</v>
      </c>
      <c r="AK332" s="42"/>
      <c r="AL332" s="46"/>
      <c r="AM332" s="46"/>
      <c r="AN332" s="46"/>
      <c r="AO332" s="46"/>
      <c r="AP332" s="46"/>
      <c r="AQ332" s="46"/>
      <c r="AR332" s="46"/>
      <c r="AS332" s="46"/>
      <c r="AT332" s="46"/>
      <c r="AU332" s="42"/>
      <c r="AV332" s="42"/>
      <c r="AW332" s="46"/>
      <c r="AX332" s="44"/>
      <c r="AY332" s="44"/>
      <c r="AZ332" s="44"/>
      <c r="BA332" s="46"/>
      <c r="BB332" s="34"/>
      <c r="BC332" s="34"/>
    </row>
    <row r="333" spans="1:55" customFormat="1" ht="21" customHeight="1" x14ac:dyDescent="0.25">
      <c r="A333" s="22"/>
      <c r="B333" s="42" t="s">
        <v>499</v>
      </c>
      <c r="C333" s="42" t="s">
        <v>246</v>
      </c>
      <c r="D333" s="42" t="s">
        <v>720</v>
      </c>
      <c r="E333" s="34" t="s">
        <v>721</v>
      </c>
      <c r="F333" s="46"/>
      <c r="G333" s="46"/>
      <c r="H333" s="34"/>
      <c r="I333" s="46"/>
      <c r="J333" s="46"/>
      <c r="K333" s="46"/>
      <c r="L333" s="46"/>
      <c r="M333" s="46"/>
      <c r="N333" s="42">
        <v>1</v>
      </c>
      <c r="O333" s="42"/>
      <c r="P333" s="42">
        <v>1</v>
      </c>
      <c r="Q333" s="46"/>
      <c r="R333" s="46"/>
      <c r="S333" s="46"/>
      <c r="T333" s="46"/>
      <c r="U333" s="46"/>
      <c r="V333" s="46"/>
      <c r="W333" s="46"/>
      <c r="X333" s="46"/>
      <c r="Y333" s="42">
        <v>1</v>
      </c>
      <c r="Z333" s="42">
        <v>1</v>
      </c>
      <c r="AA333" s="34"/>
      <c r="AB333" s="34"/>
      <c r="AC333" s="46"/>
      <c r="AD333" s="46"/>
      <c r="AE333" s="46"/>
      <c r="AF333" s="46"/>
      <c r="AG333" s="46"/>
      <c r="AH333" s="46"/>
      <c r="AI333" s="46"/>
      <c r="AJ333" s="42">
        <v>1</v>
      </c>
      <c r="AK333" s="42">
        <v>1</v>
      </c>
      <c r="AL333" s="46"/>
      <c r="AM333" s="46"/>
      <c r="AN333" s="46"/>
      <c r="AO333" s="46"/>
      <c r="AP333" s="46"/>
      <c r="AQ333" s="46"/>
      <c r="AR333" s="46"/>
      <c r="AS333" s="46"/>
      <c r="AT333" s="46"/>
      <c r="AU333" s="42"/>
      <c r="AV333" s="42"/>
      <c r="AW333" s="46"/>
      <c r="AX333" s="44"/>
      <c r="AY333" s="44"/>
      <c r="AZ333" s="44"/>
      <c r="BA333" s="46"/>
      <c r="BB333" s="34"/>
      <c r="BC333" s="34"/>
    </row>
    <row r="334" spans="1:55" customFormat="1" ht="21" customHeight="1" x14ac:dyDescent="0.25">
      <c r="A334" s="22"/>
      <c r="B334" s="42" t="s">
        <v>499</v>
      </c>
      <c r="C334" s="42" t="s">
        <v>246</v>
      </c>
      <c r="D334" s="42" t="s">
        <v>722</v>
      </c>
      <c r="E334" s="34" t="s">
        <v>723</v>
      </c>
      <c r="F334" s="46"/>
      <c r="G334" s="46"/>
      <c r="H334" s="34"/>
      <c r="I334" s="46"/>
      <c r="J334" s="46"/>
      <c r="K334" s="46"/>
      <c r="L334" s="46"/>
      <c r="M334" s="46"/>
      <c r="N334" s="42"/>
      <c r="O334" s="42"/>
      <c r="P334" s="46"/>
      <c r="Q334" s="46"/>
      <c r="R334" s="46"/>
      <c r="S334" s="46"/>
      <c r="T334" s="46"/>
      <c r="U334" s="46"/>
      <c r="V334" s="46"/>
      <c r="W334" s="46"/>
      <c r="X334" s="46"/>
      <c r="Y334" s="42"/>
      <c r="Z334" s="42">
        <v>1</v>
      </c>
      <c r="AA334" s="34"/>
      <c r="AB334" s="34"/>
      <c r="AC334" s="46"/>
      <c r="AD334" s="46"/>
      <c r="AE334" s="46"/>
      <c r="AF334" s="46"/>
      <c r="AG334" s="46"/>
      <c r="AH334" s="46"/>
      <c r="AI334" s="46"/>
      <c r="AJ334" s="42"/>
      <c r="AK334" s="42"/>
      <c r="AL334" s="46"/>
      <c r="AM334" s="46"/>
      <c r="AN334" s="46"/>
      <c r="AO334" s="46"/>
      <c r="AP334" s="46"/>
      <c r="AQ334" s="46"/>
      <c r="AR334" s="46"/>
      <c r="AS334" s="46"/>
      <c r="AT334" s="46"/>
      <c r="AU334" s="42"/>
      <c r="AV334" s="42"/>
      <c r="AW334" s="46"/>
      <c r="AX334" s="44"/>
      <c r="AY334" s="44"/>
      <c r="AZ334" s="44"/>
      <c r="BA334" s="46"/>
      <c r="BB334" s="34"/>
      <c r="BC334" s="34"/>
    </row>
    <row r="335" spans="1:55" customFormat="1" ht="21" customHeight="1" x14ac:dyDescent="0.25">
      <c r="A335" s="22"/>
      <c r="B335" s="42" t="s">
        <v>499</v>
      </c>
      <c r="C335" s="42" t="s">
        <v>255</v>
      </c>
      <c r="D335" s="42" t="s">
        <v>724</v>
      </c>
      <c r="E335" s="34" t="s">
        <v>725</v>
      </c>
      <c r="F335" s="46"/>
      <c r="G335" s="46"/>
      <c r="H335" s="34"/>
      <c r="I335" s="46"/>
      <c r="J335" s="46"/>
      <c r="K335" s="46"/>
      <c r="L335" s="46"/>
      <c r="M335" s="46"/>
      <c r="N335" s="42"/>
      <c r="O335" s="42"/>
      <c r="P335" s="46"/>
      <c r="Q335" s="46"/>
      <c r="R335" s="46"/>
      <c r="S335" s="46"/>
      <c r="T335" s="46"/>
      <c r="U335" s="46"/>
      <c r="V335" s="46"/>
      <c r="W335" s="46"/>
      <c r="X335" s="46"/>
      <c r="Y335" s="42"/>
      <c r="Z335" s="42"/>
      <c r="AA335" s="34"/>
      <c r="AB335" s="34"/>
      <c r="AC335" s="46"/>
      <c r="AD335" s="46"/>
      <c r="AE335" s="46"/>
      <c r="AF335" s="46"/>
      <c r="AG335" s="46"/>
      <c r="AH335" s="46"/>
      <c r="AI335" s="46"/>
      <c r="AJ335" s="42"/>
      <c r="AK335" s="42"/>
      <c r="AL335" s="46"/>
      <c r="AM335" s="46"/>
      <c r="AN335" s="46"/>
      <c r="AO335" s="46"/>
      <c r="AP335" s="46"/>
      <c r="AQ335" s="46"/>
      <c r="AR335" s="46"/>
      <c r="AS335" s="46"/>
      <c r="AT335" s="46"/>
      <c r="AU335" s="42"/>
      <c r="AV335" s="42"/>
      <c r="AW335" s="46"/>
      <c r="AX335" s="44"/>
      <c r="AY335" s="44"/>
      <c r="AZ335" s="44"/>
      <c r="BA335" s="46"/>
      <c r="BB335" s="34"/>
      <c r="BC335" s="34"/>
    </row>
    <row r="336" spans="1:55" customFormat="1" ht="21" customHeight="1" x14ac:dyDescent="0.25">
      <c r="A336" s="22"/>
      <c r="B336" s="42" t="s">
        <v>499</v>
      </c>
      <c r="C336" s="42" t="s">
        <v>255</v>
      </c>
      <c r="D336" s="42" t="s">
        <v>726</v>
      </c>
      <c r="E336" s="34" t="s">
        <v>727</v>
      </c>
      <c r="F336" s="46"/>
      <c r="G336" s="46"/>
      <c r="H336" s="34"/>
      <c r="I336" s="46"/>
      <c r="J336" s="46"/>
      <c r="K336" s="46"/>
      <c r="L336" s="46"/>
      <c r="M336" s="46"/>
      <c r="N336" s="42">
        <v>1</v>
      </c>
      <c r="O336" s="42"/>
      <c r="P336" s="46"/>
      <c r="Q336" s="46"/>
      <c r="R336" s="46"/>
      <c r="S336" s="46"/>
      <c r="T336" s="46"/>
      <c r="U336" s="46"/>
      <c r="V336" s="46"/>
      <c r="W336" s="46"/>
      <c r="X336" s="46"/>
      <c r="Y336" s="42"/>
      <c r="Z336" s="42"/>
      <c r="AA336" s="34"/>
      <c r="AB336" s="34"/>
      <c r="AC336" s="46"/>
      <c r="AD336" s="46"/>
      <c r="AE336" s="46"/>
      <c r="AF336" s="46"/>
      <c r="AG336" s="46"/>
      <c r="AH336" s="46"/>
      <c r="AI336" s="46"/>
      <c r="AJ336" s="42">
        <v>1</v>
      </c>
      <c r="AK336" s="42"/>
      <c r="AL336" s="46"/>
      <c r="AM336" s="46"/>
      <c r="AN336" s="46"/>
      <c r="AO336" s="46"/>
      <c r="AP336" s="46"/>
      <c r="AQ336" s="46"/>
      <c r="AR336" s="46"/>
      <c r="AS336" s="46"/>
      <c r="AT336" s="46"/>
      <c r="AU336" s="42"/>
      <c r="AV336" s="42"/>
      <c r="AW336" s="46"/>
      <c r="AX336" s="44"/>
      <c r="AY336" s="44"/>
      <c r="AZ336" s="44"/>
      <c r="BA336" s="46"/>
      <c r="BB336" s="34"/>
      <c r="BC336" s="34"/>
    </row>
    <row r="337" spans="1:55" customFormat="1" ht="21" customHeight="1" x14ac:dyDescent="0.25">
      <c r="A337" s="22"/>
      <c r="B337" s="42" t="s">
        <v>499</v>
      </c>
      <c r="C337" s="42" t="s">
        <v>255</v>
      </c>
      <c r="D337" s="42" t="s">
        <v>728</v>
      </c>
      <c r="E337" s="34" t="s">
        <v>729</v>
      </c>
      <c r="F337" s="46"/>
      <c r="G337" s="46"/>
      <c r="H337" s="34"/>
      <c r="I337" s="46"/>
      <c r="J337" s="46"/>
      <c r="K337" s="46"/>
      <c r="L337" s="46"/>
      <c r="M337" s="46"/>
      <c r="N337" s="42">
        <v>1</v>
      </c>
      <c r="O337" s="42"/>
      <c r="P337" s="46"/>
      <c r="Q337" s="46"/>
      <c r="R337" s="46"/>
      <c r="S337" s="46"/>
      <c r="T337" s="46"/>
      <c r="U337" s="46"/>
      <c r="V337" s="46"/>
      <c r="W337" s="46"/>
      <c r="X337" s="46"/>
      <c r="Y337" s="42"/>
      <c r="Z337" s="42"/>
      <c r="AA337" s="34"/>
      <c r="AB337" s="34"/>
      <c r="AC337" s="46"/>
      <c r="AD337" s="46"/>
      <c r="AE337" s="46"/>
      <c r="AF337" s="46"/>
      <c r="AG337" s="46"/>
      <c r="AH337" s="46"/>
      <c r="AI337" s="46"/>
      <c r="AJ337" s="42">
        <v>1</v>
      </c>
      <c r="AK337" s="42"/>
      <c r="AL337" s="46"/>
      <c r="AM337" s="46"/>
      <c r="AN337" s="46"/>
      <c r="AO337" s="46"/>
      <c r="AP337" s="46"/>
      <c r="AQ337" s="46"/>
      <c r="AR337" s="46"/>
      <c r="AS337" s="46"/>
      <c r="AT337" s="46"/>
      <c r="AU337" s="42"/>
      <c r="AV337" s="42"/>
      <c r="AW337" s="46"/>
      <c r="AX337" s="44"/>
      <c r="AY337" s="44"/>
      <c r="AZ337" s="44"/>
      <c r="BA337" s="46"/>
      <c r="BB337" s="34"/>
      <c r="BC337" s="34"/>
    </row>
    <row r="338" spans="1:55" customFormat="1" ht="21" customHeight="1" x14ac:dyDescent="0.25">
      <c r="A338" s="22"/>
      <c r="B338" s="42" t="s">
        <v>499</v>
      </c>
      <c r="C338" s="42" t="s">
        <v>246</v>
      </c>
      <c r="D338" s="42" t="s">
        <v>730</v>
      </c>
      <c r="E338" s="34" t="s">
        <v>731</v>
      </c>
      <c r="F338" s="46"/>
      <c r="G338" s="46"/>
      <c r="H338" s="34"/>
      <c r="I338" s="46"/>
      <c r="J338" s="46"/>
      <c r="K338" s="46"/>
      <c r="L338" s="46"/>
      <c r="M338" s="46"/>
      <c r="N338" s="42"/>
      <c r="O338" s="42"/>
      <c r="P338" s="46"/>
      <c r="Q338" s="46"/>
      <c r="R338" s="46"/>
      <c r="S338" s="46"/>
      <c r="T338" s="46"/>
      <c r="U338" s="46"/>
      <c r="V338" s="46"/>
      <c r="W338" s="46"/>
      <c r="X338" s="46"/>
      <c r="Y338" s="42"/>
      <c r="Z338" s="42"/>
      <c r="AA338" s="34"/>
      <c r="AB338" s="34"/>
      <c r="AC338" s="46"/>
      <c r="AD338" s="46"/>
      <c r="AE338" s="46"/>
      <c r="AF338" s="46"/>
      <c r="AG338" s="46"/>
      <c r="AH338" s="46"/>
      <c r="AI338" s="46"/>
      <c r="AJ338" s="42"/>
      <c r="AK338" s="42"/>
      <c r="AL338" s="46"/>
      <c r="AM338" s="46"/>
      <c r="AN338" s="46"/>
      <c r="AO338" s="46"/>
      <c r="AP338" s="46"/>
      <c r="AQ338" s="46"/>
      <c r="AR338" s="46"/>
      <c r="AS338" s="46"/>
      <c r="AT338" s="46"/>
      <c r="AU338" s="42"/>
      <c r="AV338" s="42"/>
      <c r="AW338" s="46"/>
      <c r="AX338" s="44"/>
      <c r="AY338" s="44"/>
      <c r="AZ338" s="44"/>
      <c r="BA338" s="46"/>
      <c r="BB338" s="34"/>
      <c r="BC338" s="34"/>
    </row>
    <row r="339" spans="1:55" customFormat="1" ht="21" customHeight="1" x14ac:dyDescent="0.25">
      <c r="A339" s="22"/>
      <c r="B339" s="42" t="s">
        <v>499</v>
      </c>
      <c r="C339" s="42" t="s">
        <v>246</v>
      </c>
      <c r="D339" s="42" t="s">
        <v>732</v>
      </c>
      <c r="E339" s="34" t="s">
        <v>733</v>
      </c>
      <c r="F339" s="46"/>
      <c r="G339" s="46"/>
      <c r="H339" s="34"/>
      <c r="I339" s="46"/>
      <c r="J339" s="46"/>
      <c r="K339" s="46"/>
      <c r="L339" s="46"/>
      <c r="M339" s="46"/>
      <c r="N339" s="42"/>
      <c r="O339" s="42"/>
      <c r="P339" s="46"/>
      <c r="Q339" s="46"/>
      <c r="R339" s="46"/>
      <c r="S339" s="46"/>
      <c r="T339" s="46"/>
      <c r="U339" s="46"/>
      <c r="V339" s="46"/>
      <c r="W339" s="46"/>
      <c r="X339" s="46"/>
      <c r="Y339" s="42">
        <v>1</v>
      </c>
      <c r="Z339" s="42"/>
      <c r="AA339" s="34"/>
      <c r="AB339" s="34"/>
      <c r="AC339" s="46"/>
      <c r="AD339" s="46"/>
      <c r="AE339" s="46"/>
      <c r="AF339" s="46"/>
      <c r="AG339" s="46"/>
      <c r="AH339" s="46"/>
      <c r="AI339" s="46"/>
      <c r="AJ339" s="42"/>
      <c r="AK339" s="42">
        <v>1</v>
      </c>
      <c r="AL339" s="46"/>
      <c r="AM339" s="46"/>
      <c r="AN339" s="46"/>
      <c r="AO339" s="46"/>
      <c r="AP339" s="46"/>
      <c r="AQ339" s="46"/>
      <c r="AR339" s="46"/>
      <c r="AS339" s="46"/>
      <c r="AT339" s="46"/>
      <c r="AU339" s="42"/>
      <c r="AV339" s="42"/>
      <c r="AW339" s="46"/>
      <c r="AX339" s="44"/>
      <c r="AY339" s="44"/>
      <c r="AZ339" s="44"/>
      <c r="BA339" s="46"/>
      <c r="BB339" s="34"/>
      <c r="BC339" s="34"/>
    </row>
    <row r="340" spans="1:55" customFormat="1" ht="21" customHeight="1" x14ac:dyDescent="0.25">
      <c r="A340" s="22"/>
      <c r="B340" s="42" t="s">
        <v>499</v>
      </c>
      <c r="C340" s="42" t="s">
        <v>248</v>
      </c>
      <c r="D340" s="42" t="s">
        <v>734</v>
      </c>
      <c r="E340" s="34" t="s">
        <v>735</v>
      </c>
      <c r="F340" s="46"/>
      <c r="G340" s="46"/>
      <c r="H340" s="34"/>
      <c r="I340" s="46"/>
      <c r="J340" s="46"/>
      <c r="K340" s="46"/>
      <c r="L340" s="46"/>
      <c r="M340" s="46"/>
      <c r="N340" s="42"/>
      <c r="O340" s="42"/>
      <c r="P340" s="46"/>
      <c r="Q340" s="46"/>
      <c r="R340" s="46"/>
      <c r="S340" s="46"/>
      <c r="T340" s="46"/>
      <c r="U340" s="46"/>
      <c r="V340" s="46"/>
      <c r="W340" s="46"/>
      <c r="X340" s="46"/>
      <c r="Y340" s="42">
        <v>1</v>
      </c>
      <c r="Z340" s="42"/>
      <c r="AA340" s="34"/>
      <c r="AB340" s="34"/>
      <c r="AC340" s="46"/>
      <c r="AD340" s="46"/>
      <c r="AE340" s="46"/>
      <c r="AF340" s="46"/>
      <c r="AG340" s="46"/>
      <c r="AH340" s="46"/>
      <c r="AI340" s="46"/>
      <c r="AJ340" s="42"/>
      <c r="AK340" s="42">
        <v>1</v>
      </c>
      <c r="AL340" s="46"/>
      <c r="AM340" s="46"/>
      <c r="AN340" s="46"/>
      <c r="AO340" s="46"/>
      <c r="AP340" s="46"/>
      <c r="AQ340" s="46"/>
      <c r="AR340" s="46"/>
      <c r="AS340" s="46"/>
      <c r="AT340" s="46"/>
      <c r="AU340" s="42"/>
      <c r="AV340" s="42"/>
      <c r="AW340" s="46"/>
      <c r="AX340" s="44"/>
      <c r="AY340" s="44"/>
      <c r="AZ340" s="44"/>
      <c r="BA340" s="46"/>
      <c r="BB340" s="34"/>
      <c r="BC340" s="34"/>
    </row>
    <row r="341" spans="1:55" customFormat="1" ht="21" customHeight="1" x14ac:dyDescent="0.25">
      <c r="A341" s="22"/>
      <c r="B341" s="42" t="s">
        <v>499</v>
      </c>
      <c r="C341" s="42" t="s">
        <v>248</v>
      </c>
      <c r="D341" s="42" t="s">
        <v>736</v>
      </c>
      <c r="E341" s="34" t="s">
        <v>737</v>
      </c>
      <c r="F341" s="46"/>
      <c r="G341" s="46"/>
      <c r="H341" s="34"/>
      <c r="I341" s="46"/>
      <c r="J341" s="46"/>
      <c r="K341" s="46"/>
      <c r="L341" s="46"/>
      <c r="M341" s="46"/>
      <c r="N341" s="42"/>
      <c r="O341" s="42">
        <v>1</v>
      </c>
      <c r="P341" s="42">
        <v>1</v>
      </c>
      <c r="Q341" s="42">
        <v>1</v>
      </c>
      <c r="R341" s="46"/>
      <c r="S341" s="46"/>
      <c r="T341" s="46"/>
      <c r="U341" s="46"/>
      <c r="V341" s="46"/>
      <c r="W341" s="46"/>
      <c r="X341" s="46"/>
      <c r="Y341" s="42">
        <v>1</v>
      </c>
      <c r="Z341" s="42"/>
      <c r="AA341" s="34">
        <v>1</v>
      </c>
      <c r="AB341" s="34"/>
      <c r="AC341" s="46"/>
      <c r="AD341" s="46"/>
      <c r="AE341" s="46"/>
      <c r="AF341" s="46"/>
      <c r="AG341" s="46"/>
      <c r="AH341" s="46"/>
      <c r="AI341" s="46"/>
      <c r="AJ341" s="42"/>
      <c r="AK341" s="42"/>
      <c r="AL341" s="46"/>
      <c r="AM341" s="46"/>
      <c r="AN341" s="46"/>
      <c r="AO341" s="46"/>
      <c r="AP341" s="46"/>
      <c r="AQ341" s="46"/>
      <c r="AR341" s="46"/>
      <c r="AS341" s="46"/>
      <c r="AT341" s="46"/>
      <c r="AU341" s="42"/>
      <c r="AV341" s="42"/>
      <c r="AW341" s="46"/>
      <c r="AX341" s="44"/>
      <c r="AY341" s="44"/>
      <c r="AZ341" s="44">
        <v>1</v>
      </c>
      <c r="BA341" s="46"/>
      <c r="BB341" s="34"/>
      <c r="BC341" s="34"/>
    </row>
    <row r="342" spans="1:55" customFormat="1" ht="21" customHeight="1" x14ac:dyDescent="0.25">
      <c r="A342" s="22"/>
      <c r="B342" s="42" t="s">
        <v>499</v>
      </c>
      <c r="C342" s="42" t="s">
        <v>246</v>
      </c>
      <c r="D342" s="42" t="s">
        <v>738</v>
      </c>
      <c r="E342" s="34" t="s">
        <v>739</v>
      </c>
      <c r="F342" s="46"/>
      <c r="G342" s="46"/>
      <c r="H342" s="34"/>
      <c r="I342" s="46"/>
      <c r="J342" s="46"/>
      <c r="K342" s="46"/>
      <c r="L342" s="46"/>
      <c r="M342" s="46"/>
      <c r="N342" s="42"/>
      <c r="O342" s="42"/>
      <c r="P342" s="46"/>
      <c r="Q342" s="46"/>
      <c r="R342" s="46"/>
      <c r="S342" s="46"/>
      <c r="T342" s="46"/>
      <c r="U342" s="46"/>
      <c r="V342" s="46"/>
      <c r="W342" s="46"/>
      <c r="X342" s="46"/>
      <c r="Y342" s="42">
        <v>1</v>
      </c>
      <c r="Z342" s="42"/>
      <c r="AA342" s="34"/>
      <c r="AB342" s="34"/>
      <c r="AC342" s="46"/>
      <c r="AD342" s="46"/>
      <c r="AE342" s="46"/>
      <c r="AF342" s="46"/>
      <c r="AG342" s="46"/>
      <c r="AH342" s="46"/>
      <c r="AI342" s="46"/>
      <c r="AJ342" s="42"/>
      <c r="AK342" s="42"/>
      <c r="AL342" s="46"/>
      <c r="AM342" s="46"/>
      <c r="AN342" s="46"/>
      <c r="AO342" s="46"/>
      <c r="AP342" s="46"/>
      <c r="AQ342" s="46"/>
      <c r="AR342" s="46"/>
      <c r="AS342" s="46"/>
      <c r="AT342" s="46"/>
      <c r="AU342" s="42"/>
      <c r="AV342" s="42"/>
      <c r="AW342" s="46"/>
      <c r="AX342" s="44"/>
      <c r="AY342" s="44"/>
      <c r="AZ342" s="44"/>
      <c r="BA342" s="46"/>
      <c r="BB342" s="34"/>
      <c r="BC342" s="34"/>
    </row>
    <row r="343" spans="1:55" customFormat="1" ht="21" customHeight="1" x14ac:dyDescent="0.25">
      <c r="A343" s="22"/>
      <c r="B343" s="42" t="s">
        <v>499</v>
      </c>
      <c r="C343" s="42" t="s">
        <v>246</v>
      </c>
      <c r="D343" s="42" t="s">
        <v>740</v>
      </c>
      <c r="E343" s="34" t="s">
        <v>741</v>
      </c>
      <c r="F343" s="46"/>
      <c r="G343" s="46"/>
      <c r="H343" s="34"/>
      <c r="I343" s="46"/>
      <c r="J343" s="46"/>
      <c r="K343" s="46"/>
      <c r="L343" s="46"/>
      <c r="M343" s="46"/>
      <c r="N343" s="42"/>
      <c r="O343" s="42"/>
      <c r="P343" s="46"/>
      <c r="Q343" s="46"/>
      <c r="R343" s="46"/>
      <c r="S343" s="46"/>
      <c r="T343" s="46"/>
      <c r="U343" s="46"/>
      <c r="V343" s="46"/>
      <c r="W343" s="46"/>
      <c r="X343" s="46"/>
      <c r="Y343" s="42"/>
      <c r="Z343" s="42"/>
      <c r="AA343" s="34"/>
      <c r="AB343" s="34"/>
      <c r="AC343" s="46"/>
      <c r="AD343" s="46"/>
      <c r="AE343" s="46"/>
      <c r="AF343" s="46"/>
      <c r="AG343" s="46"/>
      <c r="AH343" s="46"/>
      <c r="AI343" s="46"/>
      <c r="AJ343" s="42"/>
      <c r="AK343" s="42">
        <v>1</v>
      </c>
      <c r="AL343" s="46"/>
      <c r="AM343" s="46"/>
      <c r="AN343" s="46"/>
      <c r="AO343" s="46"/>
      <c r="AP343" s="46"/>
      <c r="AQ343" s="46"/>
      <c r="AR343" s="46"/>
      <c r="AS343" s="46"/>
      <c r="AT343" s="46"/>
      <c r="AU343" s="42"/>
      <c r="AV343" s="42"/>
      <c r="AW343" s="46"/>
      <c r="AX343" s="44"/>
      <c r="AY343" s="44">
        <v>1</v>
      </c>
      <c r="AZ343" s="44"/>
      <c r="BA343" s="46"/>
      <c r="BB343" s="34"/>
      <c r="BC343" s="34"/>
    </row>
    <row r="344" spans="1:55" customFormat="1" ht="21" customHeight="1" x14ac:dyDescent="0.25">
      <c r="A344" s="22"/>
      <c r="B344" s="42" t="s">
        <v>499</v>
      </c>
      <c r="C344" s="42" t="s">
        <v>253</v>
      </c>
      <c r="D344" s="42" t="s">
        <v>742</v>
      </c>
      <c r="E344" s="34" t="s">
        <v>743</v>
      </c>
      <c r="F344" s="46"/>
      <c r="G344" s="46"/>
      <c r="H344" s="34"/>
      <c r="I344" s="46"/>
      <c r="J344" s="46"/>
      <c r="K344" s="46"/>
      <c r="L344" s="46"/>
      <c r="M344" s="46"/>
      <c r="N344" s="42"/>
      <c r="O344" s="42"/>
      <c r="P344" s="46"/>
      <c r="Q344" s="46"/>
      <c r="R344" s="46"/>
      <c r="S344" s="46"/>
      <c r="T344" s="46"/>
      <c r="U344" s="46"/>
      <c r="V344" s="46"/>
      <c r="W344" s="46"/>
      <c r="X344" s="46"/>
      <c r="Y344" s="42">
        <v>1</v>
      </c>
      <c r="Z344" s="42"/>
      <c r="AA344" s="34"/>
      <c r="AB344" s="34"/>
      <c r="AC344" s="46"/>
      <c r="AD344" s="46"/>
      <c r="AE344" s="46"/>
      <c r="AF344" s="46"/>
      <c r="AG344" s="46"/>
      <c r="AH344" s="46"/>
      <c r="AI344" s="46"/>
      <c r="AJ344" s="42"/>
      <c r="AK344" s="42"/>
      <c r="AL344" s="46"/>
      <c r="AM344" s="46"/>
      <c r="AN344" s="46"/>
      <c r="AO344" s="46"/>
      <c r="AP344" s="46"/>
      <c r="AQ344" s="46"/>
      <c r="AR344" s="46"/>
      <c r="AS344" s="46"/>
      <c r="AT344" s="46"/>
      <c r="AU344" s="42"/>
      <c r="AV344" s="42"/>
      <c r="AW344" s="44">
        <v>1</v>
      </c>
      <c r="AX344" s="44">
        <v>1</v>
      </c>
      <c r="AY344" s="44"/>
      <c r="AZ344" s="44"/>
      <c r="BA344" s="46"/>
      <c r="BB344" s="34"/>
      <c r="BC344" s="34"/>
    </row>
    <row r="345" spans="1:55" customFormat="1" ht="21" customHeight="1" x14ac:dyDescent="0.25">
      <c r="A345" s="22"/>
      <c r="B345" s="42" t="s">
        <v>499</v>
      </c>
      <c r="C345" s="42" t="s">
        <v>253</v>
      </c>
      <c r="D345" s="42" t="s">
        <v>744</v>
      </c>
      <c r="E345" s="34" t="s">
        <v>745</v>
      </c>
      <c r="F345" s="46"/>
      <c r="G345" s="46"/>
      <c r="H345" s="34"/>
      <c r="I345" s="46"/>
      <c r="J345" s="46"/>
      <c r="K345" s="46"/>
      <c r="L345" s="46"/>
      <c r="M345" s="46"/>
      <c r="N345" s="42">
        <v>1</v>
      </c>
      <c r="O345" s="42"/>
      <c r="P345" s="46"/>
      <c r="Q345" s="46"/>
      <c r="R345" s="46"/>
      <c r="S345" s="46"/>
      <c r="T345" s="46"/>
      <c r="U345" s="46"/>
      <c r="V345" s="46"/>
      <c r="W345" s="46"/>
      <c r="X345" s="46"/>
      <c r="Y345" s="42"/>
      <c r="Z345" s="42"/>
      <c r="AA345" s="34"/>
      <c r="AB345" s="34"/>
      <c r="AC345" s="46"/>
      <c r="AD345" s="46"/>
      <c r="AE345" s="46"/>
      <c r="AF345" s="46"/>
      <c r="AG345" s="46"/>
      <c r="AH345" s="46"/>
      <c r="AI345" s="46"/>
      <c r="AJ345" s="42">
        <v>1</v>
      </c>
      <c r="AK345" s="42"/>
      <c r="AL345" s="46"/>
      <c r="AM345" s="46"/>
      <c r="AN345" s="46"/>
      <c r="AO345" s="46"/>
      <c r="AP345" s="46"/>
      <c r="AQ345" s="46"/>
      <c r="AR345" s="46"/>
      <c r="AS345" s="46"/>
      <c r="AT345" s="46"/>
      <c r="AU345" s="42"/>
      <c r="AV345" s="42"/>
      <c r="AW345" s="46"/>
      <c r="AX345" s="44"/>
      <c r="AY345" s="44"/>
      <c r="AZ345" s="44"/>
      <c r="BA345" s="46"/>
      <c r="BB345" s="34"/>
      <c r="BC345" s="34"/>
    </row>
    <row r="346" spans="1:55" customFormat="1" ht="21" customHeight="1" x14ac:dyDescent="0.25">
      <c r="A346" s="22"/>
      <c r="B346" s="42" t="s">
        <v>499</v>
      </c>
      <c r="C346" s="42" t="s">
        <v>255</v>
      </c>
      <c r="D346" s="42" t="s">
        <v>746</v>
      </c>
      <c r="E346" s="34" t="s">
        <v>747</v>
      </c>
      <c r="F346" s="46"/>
      <c r="G346" s="46"/>
      <c r="H346" s="34"/>
      <c r="I346" s="46"/>
      <c r="J346" s="46"/>
      <c r="K346" s="46"/>
      <c r="L346" s="46"/>
      <c r="M346" s="46"/>
      <c r="N346" s="42">
        <v>1</v>
      </c>
      <c r="O346" s="42"/>
      <c r="P346" s="46"/>
      <c r="Q346" s="46"/>
      <c r="R346" s="46"/>
      <c r="S346" s="46"/>
      <c r="T346" s="46"/>
      <c r="U346" s="46"/>
      <c r="V346" s="46"/>
      <c r="W346" s="46"/>
      <c r="X346" s="46"/>
      <c r="Y346" s="42">
        <v>1</v>
      </c>
      <c r="Z346" s="42"/>
      <c r="AA346" s="34"/>
      <c r="AB346" s="34"/>
      <c r="AC346" s="46"/>
      <c r="AD346" s="46"/>
      <c r="AE346" s="46"/>
      <c r="AF346" s="46"/>
      <c r="AG346" s="46"/>
      <c r="AH346" s="46"/>
      <c r="AI346" s="46"/>
      <c r="AJ346" s="42">
        <v>1</v>
      </c>
      <c r="AK346" s="42"/>
      <c r="AL346" s="46"/>
      <c r="AM346" s="46"/>
      <c r="AN346" s="46"/>
      <c r="AO346" s="46"/>
      <c r="AP346" s="46"/>
      <c r="AQ346" s="46"/>
      <c r="AR346" s="46"/>
      <c r="AS346" s="46"/>
      <c r="AT346" s="46"/>
      <c r="AU346" s="42"/>
      <c r="AV346" s="42"/>
      <c r="AW346" s="44">
        <v>1</v>
      </c>
      <c r="AX346" s="44">
        <v>1</v>
      </c>
      <c r="AY346" s="44"/>
      <c r="AZ346" s="44"/>
      <c r="BA346" s="46"/>
      <c r="BB346" s="34"/>
      <c r="BC346" s="34"/>
    </row>
    <row r="347" spans="1:55" customFormat="1" ht="21" customHeight="1" x14ac:dyDescent="0.25">
      <c r="A347" s="22"/>
      <c r="B347" s="42" t="s">
        <v>499</v>
      </c>
      <c r="C347" s="42" t="s">
        <v>246</v>
      </c>
      <c r="D347" s="42" t="s">
        <v>748</v>
      </c>
      <c r="E347" s="34" t="s">
        <v>749</v>
      </c>
      <c r="F347" s="46"/>
      <c r="G347" s="46"/>
      <c r="H347" s="34"/>
      <c r="I347" s="46"/>
      <c r="J347" s="46"/>
      <c r="K347" s="46"/>
      <c r="L347" s="46"/>
      <c r="M347" s="46"/>
      <c r="N347" s="42">
        <v>1</v>
      </c>
      <c r="O347" s="42"/>
      <c r="P347" s="46"/>
      <c r="Q347" s="46"/>
      <c r="R347" s="46"/>
      <c r="S347" s="46"/>
      <c r="T347" s="46"/>
      <c r="U347" s="46"/>
      <c r="V347" s="46"/>
      <c r="W347" s="46"/>
      <c r="X347" s="46"/>
      <c r="Y347" s="42"/>
      <c r="Z347" s="42"/>
      <c r="AA347" s="34"/>
      <c r="AB347" s="34"/>
      <c r="AC347" s="46"/>
      <c r="AD347" s="46"/>
      <c r="AE347" s="46"/>
      <c r="AF347" s="46"/>
      <c r="AG347" s="46"/>
      <c r="AH347" s="46"/>
      <c r="AI347" s="46"/>
      <c r="AJ347" s="42">
        <v>1</v>
      </c>
      <c r="AK347" s="42"/>
      <c r="AL347" s="46"/>
      <c r="AM347" s="46"/>
      <c r="AN347" s="46"/>
      <c r="AO347" s="46"/>
      <c r="AP347" s="46"/>
      <c r="AQ347" s="46"/>
      <c r="AR347" s="46"/>
      <c r="AS347" s="46"/>
      <c r="AT347" s="46"/>
      <c r="AU347" s="42"/>
      <c r="AV347" s="42"/>
      <c r="AW347" s="44">
        <v>1</v>
      </c>
      <c r="AX347" s="44">
        <v>1</v>
      </c>
      <c r="AY347" s="44"/>
      <c r="AZ347" s="44">
        <v>1</v>
      </c>
      <c r="BA347" s="46"/>
      <c r="BB347" s="34"/>
      <c r="BC347" s="34"/>
    </row>
    <row r="348" spans="1:55" customFormat="1" ht="21" customHeight="1" x14ac:dyDescent="0.25">
      <c r="A348" s="22"/>
      <c r="B348" s="42" t="s">
        <v>499</v>
      </c>
      <c r="C348" s="42" t="s">
        <v>246</v>
      </c>
      <c r="D348" s="42" t="s">
        <v>750</v>
      </c>
      <c r="E348" s="34" t="s">
        <v>751</v>
      </c>
      <c r="F348" s="46"/>
      <c r="G348" s="46"/>
      <c r="H348" s="34"/>
      <c r="I348" s="46"/>
      <c r="J348" s="46"/>
      <c r="K348" s="46"/>
      <c r="L348" s="46"/>
      <c r="M348" s="46"/>
      <c r="N348" s="42">
        <v>1</v>
      </c>
      <c r="O348" s="42">
        <v>1</v>
      </c>
      <c r="P348" s="42">
        <v>1</v>
      </c>
      <c r="Q348" s="42">
        <v>1</v>
      </c>
      <c r="R348" s="46"/>
      <c r="S348" s="46"/>
      <c r="T348" s="46"/>
      <c r="U348" s="46"/>
      <c r="V348" s="46"/>
      <c r="W348" s="46"/>
      <c r="X348" s="46"/>
      <c r="Y348" s="42">
        <v>1</v>
      </c>
      <c r="Z348" s="42"/>
      <c r="AA348" s="42">
        <v>1</v>
      </c>
      <c r="AB348" s="42">
        <v>1</v>
      </c>
      <c r="AC348" s="46"/>
      <c r="AD348" s="46"/>
      <c r="AE348" s="46"/>
      <c r="AF348" s="46"/>
      <c r="AG348" s="46"/>
      <c r="AH348" s="46"/>
      <c r="AI348" s="46"/>
      <c r="AJ348" s="42"/>
      <c r="AK348" s="42">
        <v>1</v>
      </c>
      <c r="AL348" s="42"/>
      <c r="AM348" s="46"/>
      <c r="AN348" s="46"/>
      <c r="AO348" s="46"/>
      <c r="AP348" s="46"/>
      <c r="AQ348" s="46"/>
      <c r="AR348" s="46"/>
      <c r="AS348" s="46"/>
      <c r="AT348" s="46"/>
      <c r="AU348" s="42"/>
      <c r="AV348" s="42"/>
      <c r="AW348" s="46"/>
      <c r="AX348" s="44"/>
      <c r="AY348" s="44">
        <v>1</v>
      </c>
      <c r="AZ348" s="44">
        <v>1</v>
      </c>
      <c r="BA348" s="34">
        <v>1</v>
      </c>
      <c r="BB348" s="34">
        <v>1</v>
      </c>
      <c r="BC348" s="34"/>
    </row>
    <row r="349" spans="1:55" customFormat="1" ht="21" customHeight="1" x14ac:dyDescent="0.25">
      <c r="A349" s="22"/>
      <c r="B349" s="42" t="s">
        <v>499</v>
      </c>
      <c r="C349" s="42" t="s">
        <v>246</v>
      </c>
      <c r="D349" s="42" t="s">
        <v>752</v>
      </c>
      <c r="E349" s="34" t="s">
        <v>753</v>
      </c>
      <c r="F349" s="46"/>
      <c r="G349" s="46"/>
      <c r="H349" s="34"/>
      <c r="I349" s="46"/>
      <c r="J349" s="46"/>
      <c r="K349" s="46"/>
      <c r="L349" s="46"/>
      <c r="M349" s="46"/>
      <c r="N349" s="42">
        <v>1</v>
      </c>
      <c r="O349" s="42">
        <v>1</v>
      </c>
      <c r="P349" s="42">
        <v>1</v>
      </c>
      <c r="Q349" s="46"/>
      <c r="R349" s="46"/>
      <c r="S349" s="46"/>
      <c r="T349" s="46"/>
      <c r="U349" s="46"/>
      <c r="V349" s="46"/>
      <c r="W349" s="46"/>
      <c r="X349" s="46"/>
      <c r="Y349" s="42"/>
      <c r="Z349" s="42">
        <v>1</v>
      </c>
      <c r="AA349" s="42">
        <v>1</v>
      </c>
      <c r="AB349" s="34"/>
      <c r="AC349" s="46"/>
      <c r="AD349" s="46"/>
      <c r="AE349" s="46"/>
      <c r="AF349" s="46"/>
      <c r="AG349" s="46"/>
      <c r="AH349" s="46"/>
      <c r="AI349" s="46"/>
      <c r="AJ349" s="42">
        <v>1</v>
      </c>
      <c r="AK349" s="42">
        <v>1</v>
      </c>
      <c r="AL349" s="42"/>
      <c r="AM349" s="46"/>
      <c r="AN349" s="46"/>
      <c r="AO349" s="46"/>
      <c r="AP349" s="46"/>
      <c r="AQ349" s="46"/>
      <c r="AR349" s="46"/>
      <c r="AS349" s="46"/>
      <c r="AT349" s="46"/>
      <c r="AU349" s="42"/>
      <c r="AV349" s="42"/>
      <c r="AW349" s="46"/>
      <c r="AX349" s="44"/>
      <c r="AY349" s="44"/>
      <c r="AZ349" s="44"/>
      <c r="BA349" s="46"/>
      <c r="BB349" s="34"/>
      <c r="BC349" s="34"/>
    </row>
    <row r="350" spans="1:55" customFormat="1" ht="21" customHeight="1" x14ac:dyDescent="0.25">
      <c r="A350" s="22"/>
      <c r="B350" s="42" t="s">
        <v>499</v>
      </c>
      <c r="C350" s="42" t="s">
        <v>246</v>
      </c>
      <c r="D350" s="42" t="s">
        <v>754</v>
      </c>
      <c r="E350" s="34" t="s">
        <v>755</v>
      </c>
      <c r="F350" s="46"/>
      <c r="G350" s="46"/>
      <c r="H350" s="34"/>
      <c r="I350" s="46"/>
      <c r="J350" s="46"/>
      <c r="K350" s="46"/>
      <c r="L350" s="46"/>
      <c r="M350" s="46"/>
      <c r="N350" s="42">
        <v>1</v>
      </c>
      <c r="O350" s="42">
        <v>1</v>
      </c>
      <c r="P350" s="42">
        <v>1</v>
      </c>
      <c r="Q350" s="46"/>
      <c r="R350" s="46"/>
      <c r="S350" s="46"/>
      <c r="T350" s="46"/>
      <c r="U350" s="46"/>
      <c r="V350" s="46"/>
      <c r="W350" s="46"/>
      <c r="X350" s="46"/>
      <c r="Y350" s="42"/>
      <c r="Z350" s="42">
        <v>1</v>
      </c>
      <c r="AA350" s="42">
        <v>1</v>
      </c>
      <c r="AB350" s="34"/>
      <c r="AC350" s="46"/>
      <c r="AD350" s="46"/>
      <c r="AE350" s="46"/>
      <c r="AF350" s="46"/>
      <c r="AG350" s="46"/>
      <c r="AH350" s="46"/>
      <c r="AI350" s="46"/>
      <c r="AJ350" s="42">
        <v>1</v>
      </c>
      <c r="AK350" s="42">
        <v>1</v>
      </c>
      <c r="AL350" s="42"/>
      <c r="AM350" s="46"/>
      <c r="AN350" s="46"/>
      <c r="AO350" s="46"/>
      <c r="AP350" s="46"/>
      <c r="AQ350" s="46"/>
      <c r="AR350" s="46"/>
      <c r="AS350" s="46"/>
      <c r="AT350" s="46"/>
      <c r="AU350" s="42"/>
      <c r="AV350" s="42"/>
      <c r="AW350" s="46"/>
      <c r="AX350" s="44"/>
      <c r="AY350" s="44"/>
      <c r="AZ350" s="44"/>
      <c r="BA350" s="46"/>
      <c r="BB350" s="34"/>
      <c r="BC350" s="34"/>
    </row>
    <row r="351" spans="1:55" customFormat="1" ht="21" customHeight="1" x14ac:dyDescent="0.25">
      <c r="A351" s="22"/>
      <c r="B351" s="42" t="s">
        <v>499</v>
      </c>
      <c r="C351" s="42" t="s">
        <v>255</v>
      </c>
      <c r="D351" s="42" t="s">
        <v>756</v>
      </c>
      <c r="E351" s="34" t="s">
        <v>757</v>
      </c>
      <c r="F351" s="46"/>
      <c r="G351" s="46"/>
      <c r="H351" s="34"/>
      <c r="I351" s="46"/>
      <c r="J351" s="46"/>
      <c r="K351" s="46"/>
      <c r="L351" s="46"/>
      <c r="M351" s="46"/>
      <c r="N351" s="42">
        <v>1</v>
      </c>
      <c r="O351" s="42">
        <v>1</v>
      </c>
      <c r="P351" s="42">
        <v>1</v>
      </c>
      <c r="Q351" s="42">
        <v>1</v>
      </c>
      <c r="R351" s="46"/>
      <c r="S351" s="46"/>
      <c r="T351" s="46"/>
      <c r="U351" s="46"/>
      <c r="V351" s="46"/>
      <c r="W351" s="46"/>
      <c r="X351" s="46"/>
      <c r="Y351" s="42"/>
      <c r="Z351" s="42">
        <v>1</v>
      </c>
      <c r="AA351" s="42">
        <v>1</v>
      </c>
      <c r="AB351" s="42">
        <v>1</v>
      </c>
      <c r="AC351" s="46"/>
      <c r="AD351" s="46"/>
      <c r="AE351" s="46"/>
      <c r="AF351" s="46"/>
      <c r="AG351" s="46"/>
      <c r="AH351" s="46"/>
      <c r="AI351" s="46"/>
      <c r="AJ351" s="42">
        <v>1</v>
      </c>
      <c r="AK351" s="42">
        <v>1</v>
      </c>
      <c r="AL351" s="42"/>
      <c r="AM351" s="42">
        <v>1</v>
      </c>
      <c r="AN351" s="46"/>
      <c r="AO351" s="46"/>
      <c r="AP351" s="46"/>
      <c r="AQ351" s="46"/>
      <c r="AR351" s="46"/>
      <c r="AS351" s="46"/>
      <c r="AT351" s="46"/>
      <c r="AU351" s="42"/>
      <c r="AV351" s="42"/>
      <c r="AW351" s="46">
        <v>1</v>
      </c>
      <c r="AX351" s="44">
        <v>1</v>
      </c>
      <c r="AY351" s="44">
        <v>1</v>
      </c>
      <c r="AZ351" s="44">
        <v>1</v>
      </c>
      <c r="BA351" s="34">
        <v>1</v>
      </c>
      <c r="BB351" s="34">
        <v>1</v>
      </c>
      <c r="BC351" s="34">
        <v>1</v>
      </c>
    </row>
    <row r="352" spans="1:55" customFormat="1" ht="21" customHeight="1" x14ac:dyDescent="0.25">
      <c r="A352" s="22"/>
      <c r="B352" s="42" t="s">
        <v>499</v>
      </c>
      <c r="C352" s="42" t="s">
        <v>246</v>
      </c>
      <c r="D352" s="42" t="s">
        <v>758</v>
      </c>
      <c r="E352" s="34" t="s">
        <v>759</v>
      </c>
      <c r="F352" s="46"/>
      <c r="G352" s="46"/>
      <c r="H352" s="34"/>
      <c r="I352" s="46"/>
      <c r="J352" s="46"/>
      <c r="K352" s="46"/>
      <c r="L352" s="46"/>
      <c r="M352" s="46"/>
      <c r="N352" s="42"/>
      <c r="O352" s="42">
        <v>1</v>
      </c>
      <c r="P352" s="42">
        <v>1</v>
      </c>
      <c r="Q352" s="46"/>
      <c r="R352" s="46"/>
      <c r="S352" s="46"/>
      <c r="T352" s="46"/>
      <c r="U352" s="46"/>
      <c r="V352" s="46"/>
      <c r="W352" s="46"/>
      <c r="X352" s="46"/>
      <c r="Y352" s="42">
        <v>1</v>
      </c>
      <c r="Z352" s="42">
        <v>1</v>
      </c>
      <c r="AA352" s="42">
        <v>1</v>
      </c>
      <c r="AB352" s="34"/>
      <c r="AC352" s="46"/>
      <c r="AD352" s="46"/>
      <c r="AE352" s="46"/>
      <c r="AF352" s="46"/>
      <c r="AG352" s="46"/>
      <c r="AH352" s="46"/>
      <c r="AI352" s="46"/>
      <c r="AJ352" s="42"/>
      <c r="AK352" s="42">
        <v>1</v>
      </c>
      <c r="AL352" s="42"/>
      <c r="AM352" s="46"/>
      <c r="AN352" s="46"/>
      <c r="AO352" s="46"/>
      <c r="AP352" s="46"/>
      <c r="AQ352" s="46"/>
      <c r="AR352" s="46"/>
      <c r="AS352" s="46"/>
      <c r="AT352" s="46"/>
      <c r="AU352" s="42"/>
      <c r="AV352" s="42"/>
      <c r="AW352" s="46"/>
      <c r="AX352" s="44"/>
      <c r="AY352" s="44"/>
      <c r="AZ352" s="44"/>
      <c r="BA352" s="46"/>
      <c r="BB352" s="34"/>
      <c r="BC352" s="34"/>
    </row>
    <row r="353" spans="1:55" customFormat="1" ht="21" customHeight="1" x14ac:dyDescent="0.25">
      <c r="A353" s="22"/>
      <c r="B353" s="42" t="s">
        <v>499</v>
      </c>
      <c r="C353" s="42" t="s">
        <v>244</v>
      </c>
      <c r="D353" s="42" t="s">
        <v>760</v>
      </c>
      <c r="E353" s="34" t="s">
        <v>761</v>
      </c>
      <c r="F353" s="46"/>
      <c r="G353" s="46"/>
      <c r="H353" s="34"/>
      <c r="I353" s="46"/>
      <c r="J353" s="46"/>
      <c r="K353" s="46"/>
      <c r="L353" s="46"/>
      <c r="M353" s="46"/>
      <c r="N353" s="42">
        <v>1</v>
      </c>
      <c r="O353" s="42">
        <v>1</v>
      </c>
      <c r="P353" s="42">
        <v>1</v>
      </c>
      <c r="Q353" s="42">
        <v>1</v>
      </c>
      <c r="R353" s="46"/>
      <c r="S353" s="46"/>
      <c r="T353" s="46"/>
      <c r="U353" s="46"/>
      <c r="V353" s="46"/>
      <c r="W353" s="46"/>
      <c r="X353" s="46"/>
      <c r="Y353" s="42">
        <v>1</v>
      </c>
      <c r="Z353" s="42">
        <v>1</v>
      </c>
      <c r="AA353" s="42">
        <v>1</v>
      </c>
      <c r="AB353" s="42">
        <v>1</v>
      </c>
      <c r="AC353" s="46"/>
      <c r="AD353" s="46"/>
      <c r="AE353" s="46"/>
      <c r="AF353" s="46"/>
      <c r="AG353" s="46"/>
      <c r="AH353" s="46"/>
      <c r="AI353" s="46"/>
      <c r="AJ353" s="42">
        <v>1</v>
      </c>
      <c r="AK353" s="42">
        <v>1</v>
      </c>
      <c r="AL353" s="42"/>
      <c r="AM353" s="42">
        <v>1</v>
      </c>
      <c r="AN353" s="46"/>
      <c r="AO353" s="46"/>
      <c r="AP353" s="46"/>
      <c r="AQ353" s="46"/>
      <c r="AR353" s="46"/>
      <c r="AS353" s="46"/>
      <c r="AT353" s="46"/>
      <c r="AU353" s="42"/>
      <c r="AV353" s="42"/>
      <c r="AW353" s="46"/>
      <c r="AX353" s="44"/>
      <c r="AY353" s="44"/>
      <c r="AZ353" s="44"/>
      <c r="BA353" s="34">
        <v>1</v>
      </c>
      <c r="BB353" s="34">
        <v>1</v>
      </c>
      <c r="BC353" s="34"/>
    </row>
    <row r="354" spans="1:55" customFormat="1" ht="21" customHeight="1" x14ac:dyDescent="0.25">
      <c r="A354" s="22"/>
      <c r="B354" s="42" t="s">
        <v>499</v>
      </c>
      <c r="C354" s="42" t="s">
        <v>255</v>
      </c>
      <c r="D354" s="42" t="s">
        <v>762</v>
      </c>
      <c r="E354" s="34" t="s">
        <v>763</v>
      </c>
      <c r="F354" s="46"/>
      <c r="G354" s="46"/>
      <c r="H354" s="34"/>
      <c r="I354" s="46"/>
      <c r="J354" s="46"/>
      <c r="K354" s="46"/>
      <c r="L354" s="46"/>
      <c r="M354" s="46"/>
      <c r="N354" s="42"/>
      <c r="O354" s="42"/>
      <c r="P354" s="46"/>
      <c r="Q354" s="46"/>
      <c r="R354" s="46"/>
      <c r="S354" s="46"/>
      <c r="T354" s="46"/>
      <c r="U354" s="46"/>
      <c r="V354" s="46"/>
      <c r="W354" s="46"/>
      <c r="X354" s="46"/>
      <c r="Y354" s="42">
        <v>1</v>
      </c>
      <c r="Z354" s="42">
        <v>1</v>
      </c>
      <c r="AA354" s="34"/>
      <c r="AB354" s="34"/>
      <c r="AC354" s="46"/>
      <c r="AD354" s="46"/>
      <c r="AE354" s="46"/>
      <c r="AF354" s="46"/>
      <c r="AG354" s="46"/>
      <c r="AH354" s="46"/>
      <c r="AI354" s="46"/>
      <c r="AJ354" s="42">
        <v>1</v>
      </c>
      <c r="AK354" s="42"/>
      <c r="AL354" s="46"/>
      <c r="AM354" s="46"/>
      <c r="AN354" s="46"/>
      <c r="AO354" s="46"/>
      <c r="AP354" s="46"/>
      <c r="AQ354" s="46"/>
      <c r="AR354" s="46"/>
      <c r="AS354" s="46"/>
      <c r="AT354" s="46"/>
      <c r="AU354" s="42"/>
      <c r="AV354" s="42"/>
      <c r="AW354" s="44">
        <v>1</v>
      </c>
      <c r="AX354" s="44">
        <v>1</v>
      </c>
      <c r="AY354" s="44"/>
      <c r="AZ354" s="44"/>
      <c r="BA354" s="46"/>
      <c r="BB354" s="34"/>
      <c r="BC354" s="34"/>
    </row>
    <row r="355" spans="1:55" customFormat="1" ht="21" customHeight="1" x14ac:dyDescent="0.25">
      <c r="A355" s="22"/>
      <c r="B355" s="42" t="s">
        <v>499</v>
      </c>
      <c r="C355" s="42" t="s">
        <v>246</v>
      </c>
      <c r="D355" s="42" t="s">
        <v>764</v>
      </c>
      <c r="E355" s="34" t="s">
        <v>765</v>
      </c>
      <c r="F355" s="46"/>
      <c r="G355" s="46"/>
      <c r="H355" s="34"/>
      <c r="I355" s="46"/>
      <c r="J355" s="46"/>
      <c r="K355" s="46"/>
      <c r="L355" s="46"/>
      <c r="M355" s="46"/>
      <c r="N355" s="42"/>
      <c r="O355" s="42">
        <v>1</v>
      </c>
      <c r="P355" s="42">
        <v>1</v>
      </c>
      <c r="Q355" s="46"/>
      <c r="R355" s="46"/>
      <c r="S355" s="46"/>
      <c r="T355" s="46"/>
      <c r="U355" s="46"/>
      <c r="V355" s="46"/>
      <c r="W355" s="46"/>
      <c r="X355" s="46"/>
      <c r="Y355" s="42">
        <v>1</v>
      </c>
      <c r="Z355" s="42">
        <v>1</v>
      </c>
      <c r="AA355" s="42">
        <v>1</v>
      </c>
      <c r="AB355" s="34"/>
      <c r="AC355" s="46"/>
      <c r="AD355" s="46"/>
      <c r="AE355" s="46"/>
      <c r="AF355" s="46"/>
      <c r="AG355" s="46"/>
      <c r="AH355" s="46"/>
      <c r="AI355" s="46"/>
      <c r="AJ355" s="42"/>
      <c r="AK355" s="42">
        <v>1</v>
      </c>
      <c r="AL355" s="42"/>
      <c r="AM355" s="46"/>
      <c r="AN355" s="46"/>
      <c r="AO355" s="46"/>
      <c r="AP355" s="46"/>
      <c r="AQ355" s="46"/>
      <c r="AR355" s="46"/>
      <c r="AS355" s="46"/>
      <c r="AT355" s="46"/>
      <c r="AU355" s="42"/>
      <c r="AV355" s="42"/>
      <c r="AW355" s="44">
        <v>1</v>
      </c>
      <c r="AX355" s="44">
        <v>1</v>
      </c>
      <c r="AY355" s="44"/>
      <c r="AZ355" s="44"/>
      <c r="BA355" s="46"/>
      <c r="BB355" s="34"/>
      <c r="BC355" s="34"/>
    </row>
    <row r="356" spans="1:55" customFormat="1" ht="21" customHeight="1" x14ac:dyDescent="0.25">
      <c r="A356" s="22"/>
      <c r="B356" s="42" t="s">
        <v>499</v>
      </c>
      <c r="C356" s="42" t="s">
        <v>246</v>
      </c>
      <c r="D356" s="42" t="s">
        <v>766</v>
      </c>
      <c r="E356" s="34" t="s">
        <v>767</v>
      </c>
      <c r="F356" s="46"/>
      <c r="G356" s="46"/>
      <c r="H356" s="34"/>
      <c r="I356" s="46"/>
      <c r="J356" s="46"/>
      <c r="K356" s="46"/>
      <c r="L356" s="46"/>
      <c r="M356" s="46"/>
      <c r="N356" s="42"/>
      <c r="O356" s="42">
        <v>1</v>
      </c>
      <c r="P356" s="42">
        <v>1</v>
      </c>
      <c r="Q356" s="42">
        <v>1</v>
      </c>
      <c r="R356" s="46"/>
      <c r="S356" s="46"/>
      <c r="T356" s="46"/>
      <c r="U356" s="46"/>
      <c r="V356" s="46"/>
      <c r="W356" s="46"/>
      <c r="X356" s="46"/>
      <c r="Y356" s="42">
        <v>1</v>
      </c>
      <c r="Z356" s="42"/>
      <c r="AA356" s="42">
        <v>1</v>
      </c>
      <c r="AB356" s="42">
        <v>1</v>
      </c>
      <c r="AC356" s="46"/>
      <c r="AD356" s="46"/>
      <c r="AE356" s="46"/>
      <c r="AF356" s="46"/>
      <c r="AG356" s="46"/>
      <c r="AH356" s="46"/>
      <c r="AI356" s="46"/>
      <c r="AJ356" s="42"/>
      <c r="AK356" s="42">
        <v>1</v>
      </c>
      <c r="AL356" s="42"/>
      <c r="AM356" s="42">
        <v>1</v>
      </c>
      <c r="AN356" s="46"/>
      <c r="AO356" s="46"/>
      <c r="AP356" s="46"/>
      <c r="AQ356" s="46"/>
      <c r="AR356" s="46"/>
      <c r="AS356" s="46"/>
      <c r="AT356" s="46"/>
      <c r="AU356" s="42"/>
      <c r="AV356" s="42"/>
      <c r="AW356" s="46">
        <v>1</v>
      </c>
      <c r="AX356" s="44">
        <v>1</v>
      </c>
      <c r="AY356" s="44">
        <v>1</v>
      </c>
      <c r="AZ356" s="44">
        <v>1</v>
      </c>
      <c r="BA356" s="34">
        <v>1</v>
      </c>
      <c r="BB356" s="34">
        <v>1</v>
      </c>
      <c r="BC356" s="34">
        <v>1</v>
      </c>
    </row>
    <row r="357" spans="1:55" customFormat="1" ht="21" customHeight="1" x14ac:dyDescent="0.25">
      <c r="A357" s="22"/>
      <c r="B357" s="42" t="s">
        <v>499</v>
      </c>
      <c r="C357" s="42" t="s">
        <v>246</v>
      </c>
      <c r="D357" s="42" t="s">
        <v>768</v>
      </c>
      <c r="E357" s="34" t="s">
        <v>769</v>
      </c>
      <c r="F357" s="46"/>
      <c r="G357" s="46"/>
      <c r="H357" s="34"/>
      <c r="I357" s="46"/>
      <c r="J357" s="46"/>
      <c r="K357" s="46"/>
      <c r="L357" s="46"/>
      <c r="M357" s="46"/>
      <c r="N357" s="42">
        <v>1</v>
      </c>
      <c r="O357" s="42">
        <v>1</v>
      </c>
      <c r="P357" s="42">
        <v>1</v>
      </c>
      <c r="Q357" s="42">
        <v>1</v>
      </c>
      <c r="R357" s="46"/>
      <c r="S357" s="46"/>
      <c r="T357" s="46"/>
      <c r="U357" s="46"/>
      <c r="V357" s="46"/>
      <c r="W357" s="46"/>
      <c r="X357" s="46"/>
      <c r="Y357" s="42">
        <v>1</v>
      </c>
      <c r="Z357" s="42">
        <v>1</v>
      </c>
      <c r="AA357" s="42">
        <v>1</v>
      </c>
      <c r="AB357" s="42">
        <v>1</v>
      </c>
      <c r="AC357" s="46"/>
      <c r="AD357" s="46"/>
      <c r="AE357" s="46"/>
      <c r="AF357" s="46"/>
      <c r="AG357" s="46"/>
      <c r="AH357" s="46"/>
      <c r="AI357" s="46"/>
      <c r="AJ357" s="42">
        <v>1</v>
      </c>
      <c r="AK357" s="42">
        <v>1</v>
      </c>
      <c r="AL357" s="42"/>
      <c r="AM357" s="46"/>
      <c r="AN357" s="46"/>
      <c r="AO357" s="46"/>
      <c r="AP357" s="46"/>
      <c r="AQ357" s="46"/>
      <c r="AR357" s="46"/>
      <c r="AS357" s="46"/>
      <c r="AT357" s="46"/>
      <c r="AU357" s="42"/>
      <c r="AV357" s="42"/>
      <c r="AW357" s="46">
        <v>1</v>
      </c>
      <c r="AX357" s="44">
        <v>1</v>
      </c>
      <c r="AY357" s="44">
        <v>1</v>
      </c>
      <c r="AZ357" s="44">
        <v>1</v>
      </c>
      <c r="BA357" s="34">
        <v>1</v>
      </c>
      <c r="BB357" s="34">
        <v>1</v>
      </c>
      <c r="BC357" s="34">
        <v>1</v>
      </c>
    </row>
    <row r="358" spans="1:55" customFormat="1" ht="21" customHeight="1" x14ac:dyDescent="0.25">
      <c r="A358" s="22"/>
      <c r="B358" s="42" t="s">
        <v>499</v>
      </c>
      <c r="C358" s="42" t="s">
        <v>246</v>
      </c>
      <c r="D358" s="42" t="s">
        <v>770</v>
      </c>
      <c r="E358" s="34" t="s">
        <v>771</v>
      </c>
      <c r="F358" s="46"/>
      <c r="G358" s="46"/>
      <c r="H358" s="34"/>
      <c r="I358" s="46"/>
      <c r="J358" s="46"/>
      <c r="K358" s="46"/>
      <c r="L358" s="46"/>
      <c r="M358" s="46"/>
      <c r="N358" s="42">
        <v>1</v>
      </c>
      <c r="O358" s="42">
        <v>1</v>
      </c>
      <c r="P358" s="42">
        <v>1</v>
      </c>
      <c r="Q358" s="42">
        <v>1</v>
      </c>
      <c r="R358" s="46"/>
      <c r="S358" s="46"/>
      <c r="T358" s="46"/>
      <c r="U358" s="46"/>
      <c r="V358" s="46"/>
      <c r="W358" s="46"/>
      <c r="X358" s="46"/>
      <c r="Y358" s="42">
        <v>1</v>
      </c>
      <c r="Z358" s="42"/>
      <c r="AA358" s="34">
        <v>1</v>
      </c>
      <c r="AB358" s="42">
        <v>1</v>
      </c>
      <c r="AC358" s="46"/>
      <c r="AD358" s="46"/>
      <c r="AE358" s="46"/>
      <c r="AF358" s="46"/>
      <c r="AG358" s="46"/>
      <c r="AH358" s="46"/>
      <c r="AI358" s="46"/>
      <c r="AJ358" s="42">
        <v>1</v>
      </c>
      <c r="AK358" s="42">
        <v>1</v>
      </c>
      <c r="AL358" s="46"/>
      <c r="AM358" s="46"/>
      <c r="AN358" s="46"/>
      <c r="AO358" s="46"/>
      <c r="AP358" s="46"/>
      <c r="AQ358" s="46"/>
      <c r="AR358" s="46"/>
      <c r="AS358" s="46"/>
      <c r="AT358" s="46"/>
      <c r="AU358" s="42"/>
      <c r="AV358" s="42"/>
      <c r="AW358" s="44">
        <v>1</v>
      </c>
      <c r="AX358" s="44">
        <v>1</v>
      </c>
      <c r="AY358" s="44">
        <v>1</v>
      </c>
      <c r="AZ358" s="44">
        <v>1</v>
      </c>
      <c r="BA358" s="34">
        <v>1</v>
      </c>
      <c r="BB358" s="34">
        <v>1</v>
      </c>
      <c r="BC358" s="34">
        <v>1</v>
      </c>
    </row>
    <row r="359" spans="1:55" customFormat="1" ht="21" customHeight="1" x14ac:dyDescent="0.25">
      <c r="A359" s="22"/>
      <c r="B359" s="42" t="s">
        <v>499</v>
      </c>
      <c r="C359" s="42" t="s">
        <v>255</v>
      </c>
      <c r="D359" s="42" t="s">
        <v>772</v>
      </c>
      <c r="E359" s="34" t="s">
        <v>773</v>
      </c>
      <c r="F359" s="46"/>
      <c r="G359" s="46"/>
      <c r="H359" s="34"/>
      <c r="I359" s="46"/>
      <c r="J359" s="46"/>
      <c r="K359" s="46"/>
      <c r="L359" s="46"/>
      <c r="M359" s="46"/>
      <c r="N359" s="42">
        <v>1</v>
      </c>
      <c r="O359" s="42"/>
      <c r="P359" s="42">
        <v>1</v>
      </c>
      <c r="Q359" s="46"/>
      <c r="R359" s="46"/>
      <c r="S359" s="46"/>
      <c r="T359" s="46"/>
      <c r="U359" s="46"/>
      <c r="V359" s="46"/>
      <c r="W359" s="46"/>
      <c r="X359" s="46"/>
      <c r="Y359" s="42"/>
      <c r="Z359" s="42">
        <v>1</v>
      </c>
      <c r="AA359" s="34"/>
      <c r="AB359" s="34"/>
      <c r="AC359" s="46"/>
      <c r="AD359" s="46"/>
      <c r="AE359" s="46"/>
      <c r="AF359" s="46"/>
      <c r="AG359" s="46"/>
      <c r="AH359" s="46"/>
      <c r="AI359" s="46"/>
      <c r="AJ359" s="42">
        <v>1</v>
      </c>
      <c r="AK359" s="42"/>
      <c r="AL359" s="46"/>
      <c r="AM359" s="46"/>
      <c r="AN359" s="46"/>
      <c r="AO359" s="46"/>
      <c r="AP359" s="46"/>
      <c r="AQ359" s="46"/>
      <c r="AR359" s="46"/>
      <c r="AS359" s="46"/>
      <c r="AT359" s="46"/>
      <c r="AU359" s="42"/>
      <c r="AV359" s="42"/>
      <c r="AW359" s="44">
        <v>1</v>
      </c>
      <c r="AX359" s="44">
        <v>1</v>
      </c>
      <c r="AY359" s="44">
        <v>1</v>
      </c>
      <c r="AZ359" s="44">
        <v>1</v>
      </c>
      <c r="BA359" s="34">
        <v>1</v>
      </c>
      <c r="BB359" s="34"/>
      <c r="BC359" s="34"/>
    </row>
    <row r="360" spans="1:55" customFormat="1" ht="21" customHeight="1" x14ac:dyDescent="0.25">
      <c r="A360" s="22"/>
      <c r="B360" s="42" t="s">
        <v>499</v>
      </c>
      <c r="C360" s="42" t="s">
        <v>244</v>
      </c>
      <c r="D360" s="42" t="s">
        <v>774</v>
      </c>
      <c r="E360" s="34" t="s">
        <v>775</v>
      </c>
      <c r="F360" s="46"/>
      <c r="G360" s="46"/>
      <c r="H360" s="34"/>
      <c r="I360" s="46"/>
      <c r="J360" s="46"/>
      <c r="K360" s="46"/>
      <c r="L360" s="46"/>
      <c r="M360" s="46"/>
      <c r="N360" s="42">
        <v>1</v>
      </c>
      <c r="O360" s="42">
        <v>1</v>
      </c>
      <c r="P360" s="42">
        <v>1</v>
      </c>
      <c r="Q360" s="42">
        <v>1</v>
      </c>
      <c r="R360" s="46"/>
      <c r="S360" s="46"/>
      <c r="T360" s="46"/>
      <c r="U360" s="46"/>
      <c r="V360" s="46"/>
      <c r="W360" s="46"/>
      <c r="X360" s="46"/>
      <c r="Y360" s="42">
        <v>1</v>
      </c>
      <c r="Z360" s="42"/>
      <c r="AA360" s="42">
        <v>1</v>
      </c>
      <c r="AB360" s="42">
        <v>1</v>
      </c>
      <c r="AC360" s="46"/>
      <c r="AD360" s="46"/>
      <c r="AE360" s="46"/>
      <c r="AF360" s="46"/>
      <c r="AG360" s="46"/>
      <c r="AH360" s="46"/>
      <c r="AI360" s="46"/>
      <c r="AJ360" s="42">
        <v>1</v>
      </c>
      <c r="AK360" s="42">
        <v>1</v>
      </c>
      <c r="AL360" s="42"/>
      <c r="AM360" s="42">
        <v>1</v>
      </c>
      <c r="AN360" s="46"/>
      <c r="AO360" s="46"/>
      <c r="AP360" s="46"/>
      <c r="AQ360" s="46"/>
      <c r="AR360" s="46"/>
      <c r="AS360" s="46"/>
      <c r="AT360" s="46"/>
      <c r="AU360" s="42"/>
      <c r="AV360" s="42"/>
      <c r="AW360" s="44">
        <v>1</v>
      </c>
      <c r="AX360" s="44">
        <v>1</v>
      </c>
      <c r="AY360" s="44">
        <v>1</v>
      </c>
      <c r="AZ360" s="44">
        <v>1</v>
      </c>
      <c r="BA360" s="34">
        <v>1</v>
      </c>
      <c r="BB360" s="34">
        <v>1</v>
      </c>
      <c r="BC360" s="34">
        <v>1</v>
      </c>
    </row>
    <row r="361" spans="1:55" customFormat="1" ht="21" customHeight="1" x14ac:dyDescent="0.25">
      <c r="A361" s="22"/>
      <c r="B361" s="42" t="s">
        <v>499</v>
      </c>
      <c r="C361" s="42" t="s">
        <v>244</v>
      </c>
      <c r="D361" s="42" t="s">
        <v>776</v>
      </c>
      <c r="E361" s="34" t="s">
        <v>777</v>
      </c>
      <c r="F361" s="46"/>
      <c r="G361" s="46"/>
      <c r="H361" s="34"/>
      <c r="I361" s="46"/>
      <c r="J361" s="46"/>
      <c r="K361" s="46"/>
      <c r="L361" s="46"/>
      <c r="M361" s="46"/>
      <c r="N361" s="42">
        <v>1</v>
      </c>
      <c r="O361" s="42">
        <v>1</v>
      </c>
      <c r="P361" s="42">
        <v>1</v>
      </c>
      <c r="Q361" s="46"/>
      <c r="R361" s="46"/>
      <c r="S361" s="46"/>
      <c r="T361" s="46"/>
      <c r="U361" s="46"/>
      <c r="V361" s="46"/>
      <c r="W361" s="46"/>
      <c r="X361" s="46"/>
      <c r="Y361" s="42">
        <v>1</v>
      </c>
      <c r="Z361" s="42">
        <v>1</v>
      </c>
      <c r="AA361" s="42">
        <v>1</v>
      </c>
      <c r="AB361" s="34"/>
      <c r="AC361" s="46"/>
      <c r="AD361" s="46"/>
      <c r="AE361" s="46"/>
      <c r="AF361" s="46"/>
      <c r="AG361" s="46"/>
      <c r="AH361" s="46"/>
      <c r="AI361" s="46"/>
      <c r="AJ361" s="42">
        <v>1</v>
      </c>
      <c r="AK361" s="42">
        <v>1</v>
      </c>
      <c r="AL361" s="42"/>
      <c r="AM361" s="46"/>
      <c r="AN361" s="46"/>
      <c r="AO361" s="46"/>
      <c r="AP361" s="46"/>
      <c r="AQ361" s="46"/>
      <c r="AR361" s="46"/>
      <c r="AS361" s="46"/>
      <c r="AT361" s="46"/>
      <c r="AU361" s="42"/>
      <c r="AV361" s="42"/>
      <c r="AW361" s="44">
        <v>1</v>
      </c>
      <c r="AX361" s="44">
        <v>1</v>
      </c>
      <c r="AY361" s="44"/>
      <c r="AZ361" s="44"/>
      <c r="BA361" s="46"/>
      <c r="BB361" s="34"/>
      <c r="BC361" s="34"/>
    </row>
    <row r="362" spans="1:55" customFormat="1" ht="21" customHeight="1" x14ac:dyDescent="0.25">
      <c r="A362" s="22"/>
      <c r="B362" s="42" t="s">
        <v>499</v>
      </c>
      <c r="C362" s="42" t="s">
        <v>244</v>
      </c>
      <c r="D362" s="42" t="s">
        <v>778</v>
      </c>
      <c r="E362" s="34" t="s">
        <v>779</v>
      </c>
      <c r="F362" s="46"/>
      <c r="G362" s="46"/>
      <c r="H362" s="34"/>
      <c r="I362" s="46"/>
      <c r="J362" s="46"/>
      <c r="K362" s="46"/>
      <c r="L362" s="46"/>
      <c r="M362" s="46"/>
      <c r="N362" s="42">
        <v>1</v>
      </c>
      <c r="O362" s="42">
        <v>1</v>
      </c>
      <c r="P362" s="42">
        <v>1</v>
      </c>
      <c r="Q362" s="42">
        <v>1</v>
      </c>
      <c r="R362" s="46"/>
      <c r="S362" s="46"/>
      <c r="T362" s="46"/>
      <c r="U362" s="46"/>
      <c r="V362" s="46"/>
      <c r="W362" s="46"/>
      <c r="X362" s="46"/>
      <c r="Y362" s="42">
        <v>1</v>
      </c>
      <c r="Z362" s="42">
        <v>1</v>
      </c>
      <c r="AA362" s="34"/>
      <c r="AB362" s="42">
        <v>1</v>
      </c>
      <c r="AC362" s="46"/>
      <c r="AD362" s="46"/>
      <c r="AE362" s="46"/>
      <c r="AF362" s="46"/>
      <c r="AG362" s="46"/>
      <c r="AH362" s="46"/>
      <c r="AI362" s="46"/>
      <c r="AJ362" s="42">
        <v>1</v>
      </c>
      <c r="AK362" s="42">
        <v>1</v>
      </c>
      <c r="AL362" s="46"/>
      <c r="AM362" s="46"/>
      <c r="AN362" s="46"/>
      <c r="AO362" s="46"/>
      <c r="AP362" s="46"/>
      <c r="AQ362" s="46"/>
      <c r="AR362" s="46"/>
      <c r="AS362" s="46"/>
      <c r="AT362" s="46"/>
      <c r="AU362" s="42">
        <v>1</v>
      </c>
      <c r="AV362" s="42">
        <v>1</v>
      </c>
      <c r="AW362" s="46">
        <v>1</v>
      </c>
      <c r="AX362" s="44">
        <v>1</v>
      </c>
      <c r="AY362" s="44">
        <v>1</v>
      </c>
      <c r="AZ362" s="44">
        <v>1</v>
      </c>
      <c r="BA362" s="34">
        <v>1</v>
      </c>
      <c r="BB362" s="34">
        <v>1</v>
      </c>
      <c r="BC362" s="34">
        <v>1</v>
      </c>
    </row>
    <row r="363" spans="1:55" customFormat="1" ht="21" customHeight="1" x14ac:dyDescent="0.25">
      <c r="A363" s="22"/>
      <c r="B363" s="42" t="s">
        <v>499</v>
      </c>
      <c r="C363" s="42" t="s">
        <v>247</v>
      </c>
      <c r="D363" s="42" t="s">
        <v>780</v>
      </c>
      <c r="E363" s="34" t="s">
        <v>781</v>
      </c>
      <c r="F363" s="46"/>
      <c r="G363" s="46"/>
      <c r="H363" s="34"/>
      <c r="I363" s="46"/>
      <c r="J363" s="46"/>
      <c r="K363" s="46"/>
      <c r="L363" s="46"/>
      <c r="M363" s="46"/>
      <c r="N363" s="42">
        <v>1</v>
      </c>
      <c r="O363" s="42"/>
      <c r="P363" s="46"/>
      <c r="Q363" s="46"/>
      <c r="R363" s="46"/>
      <c r="S363" s="46"/>
      <c r="T363" s="46"/>
      <c r="U363" s="46"/>
      <c r="V363" s="46"/>
      <c r="W363" s="46"/>
      <c r="X363" s="46"/>
      <c r="Y363" s="42"/>
      <c r="Z363" s="42"/>
      <c r="AA363" s="34"/>
      <c r="AB363" s="34"/>
      <c r="AC363" s="46"/>
      <c r="AD363" s="46"/>
      <c r="AE363" s="46"/>
      <c r="AF363" s="46"/>
      <c r="AG363" s="46"/>
      <c r="AH363" s="46"/>
      <c r="AI363" s="46"/>
      <c r="AJ363" s="42">
        <v>1</v>
      </c>
      <c r="AK363" s="42"/>
      <c r="AL363" s="46"/>
      <c r="AM363" s="46"/>
      <c r="AN363" s="46"/>
      <c r="AO363" s="46"/>
      <c r="AP363" s="46"/>
      <c r="AQ363" s="46"/>
      <c r="AR363" s="46"/>
      <c r="AS363" s="46"/>
      <c r="AT363" s="46"/>
      <c r="AU363" s="42"/>
      <c r="AV363" s="42"/>
      <c r="AW363" s="46"/>
      <c r="AX363" s="44"/>
      <c r="AY363" s="44"/>
      <c r="AZ363" s="44"/>
      <c r="BA363" s="46"/>
      <c r="BB363" s="34"/>
      <c r="BC363" s="34"/>
    </row>
    <row r="364" spans="1:55" customFormat="1" ht="21" customHeight="1" x14ac:dyDescent="0.25">
      <c r="A364" s="22"/>
      <c r="B364" s="42" t="s">
        <v>499</v>
      </c>
      <c r="C364" s="42" t="s">
        <v>247</v>
      </c>
      <c r="D364" s="42" t="s">
        <v>782</v>
      </c>
      <c r="E364" s="34" t="s">
        <v>783</v>
      </c>
      <c r="F364" s="46"/>
      <c r="G364" s="46"/>
      <c r="H364" s="34"/>
      <c r="I364" s="46"/>
      <c r="J364" s="46"/>
      <c r="K364" s="46"/>
      <c r="L364" s="46"/>
      <c r="M364" s="46"/>
      <c r="N364" s="42"/>
      <c r="O364" s="42"/>
      <c r="P364" s="46"/>
      <c r="Q364" s="42">
        <v>1</v>
      </c>
      <c r="R364" s="46"/>
      <c r="S364" s="46"/>
      <c r="T364" s="46"/>
      <c r="U364" s="46"/>
      <c r="V364" s="46"/>
      <c r="W364" s="46"/>
      <c r="X364" s="46"/>
      <c r="Y364" s="42"/>
      <c r="Z364" s="42"/>
      <c r="AA364" s="34"/>
      <c r="AB364" s="34"/>
      <c r="AC364" s="46"/>
      <c r="AD364" s="46"/>
      <c r="AE364" s="46"/>
      <c r="AF364" s="46"/>
      <c r="AG364" s="46"/>
      <c r="AH364" s="46"/>
      <c r="AI364" s="46"/>
      <c r="AJ364" s="42"/>
      <c r="AK364" s="42"/>
      <c r="AL364" s="46"/>
      <c r="AM364" s="46"/>
      <c r="AN364" s="46"/>
      <c r="AO364" s="46"/>
      <c r="AP364" s="46"/>
      <c r="AQ364" s="46"/>
      <c r="AR364" s="46"/>
      <c r="AS364" s="46"/>
      <c r="AT364" s="46"/>
      <c r="AU364" s="42"/>
      <c r="AV364" s="42"/>
      <c r="AW364" s="46"/>
      <c r="AX364" s="44"/>
      <c r="AY364" s="44"/>
      <c r="AZ364" s="44"/>
      <c r="BA364" s="46"/>
      <c r="BB364" s="34"/>
      <c r="BC364" s="34"/>
    </row>
    <row r="365" spans="1:55" customFormat="1" ht="21" customHeight="1" x14ac:dyDescent="0.25">
      <c r="A365" s="22"/>
      <c r="B365" s="42" t="s">
        <v>499</v>
      </c>
      <c r="C365" s="42" t="s">
        <v>244</v>
      </c>
      <c r="D365" s="42" t="s">
        <v>784</v>
      </c>
      <c r="E365" s="34" t="s">
        <v>785</v>
      </c>
      <c r="F365" s="46"/>
      <c r="G365" s="46"/>
      <c r="H365" s="34"/>
      <c r="I365" s="46"/>
      <c r="J365" s="46"/>
      <c r="K365" s="46"/>
      <c r="L365" s="46"/>
      <c r="M365" s="46"/>
      <c r="N365" s="42"/>
      <c r="O365" s="42">
        <v>1</v>
      </c>
      <c r="P365" s="42">
        <v>1</v>
      </c>
      <c r="Q365" s="42">
        <v>1</v>
      </c>
      <c r="R365" s="46"/>
      <c r="S365" s="46"/>
      <c r="T365" s="46"/>
      <c r="U365" s="46"/>
      <c r="V365" s="46"/>
      <c r="W365" s="46"/>
      <c r="X365" s="46"/>
      <c r="Y365" s="42"/>
      <c r="Z365" s="42"/>
      <c r="AA365" s="42">
        <v>1</v>
      </c>
      <c r="AB365" s="42">
        <v>1</v>
      </c>
      <c r="AC365" s="46"/>
      <c r="AD365" s="46"/>
      <c r="AE365" s="46"/>
      <c r="AF365" s="46"/>
      <c r="AG365" s="46"/>
      <c r="AH365" s="46"/>
      <c r="AI365" s="46"/>
      <c r="AJ365" s="42">
        <v>1</v>
      </c>
      <c r="AK365" s="42">
        <v>1</v>
      </c>
      <c r="AL365" s="42"/>
      <c r="AM365" s="42">
        <v>1</v>
      </c>
      <c r="AN365" s="46"/>
      <c r="AO365" s="46"/>
      <c r="AP365" s="46"/>
      <c r="AQ365" s="46"/>
      <c r="AR365" s="46"/>
      <c r="AS365" s="46"/>
      <c r="AT365" s="46"/>
      <c r="AU365" s="42">
        <v>1</v>
      </c>
      <c r="AV365" s="42">
        <v>1</v>
      </c>
      <c r="AW365" s="46"/>
      <c r="AX365" s="44"/>
      <c r="AY365" s="44">
        <v>1</v>
      </c>
      <c r="AZ365" s="44">
        <v>1</v>
      </c>
      <c r="BA365" s="34">
        <v>1</v>
      </c>
      <c r="BB365" s="34">
        <v>1</v>
      </c>
      <c r="BC365" s="34">
        <v>1</v>
      </c>
    </row>
    <row r="366" spans="1:55" customFormat="1" ht="21" customHeight="1" x14ac:dyDescent="0.25">
      <c r="A366" s="22"/>
      <c r="B366" s="42" t="s">
        <v>499</v>
      </c>
      <c r="C366" s="42" t="s">
        <v>246</v>
      </c>
      <c r="D366" s="42" t="s">
        <v>786</v>
      </c>
      <c r="E366" s="34"/>
      <c r="F366" s="46"/>
      <c r="G366" s="46"/>
      <c r="H366" s="34"/>
      <c r="I366" s="46"/>
      <c r="J366" s="46"/>
      <c r="K366" s="46"/>
      <c r="L366" s="46"/>
      <c r="M366" s="46"/>
      <c r="N366" s="42"/>
      <c r="O366" s="42"/>
      <c r="P366" s="46"/>
      <c r="Q366" s="46"/>
      <c r="R366" s="46"/>
      <c r="S366" s="46"/>
      <c r="T366" s="46"/>
      <c r="U366" s="46"/>
      <c r="V366" s="46"/>
      <c r="W366" s="46"/>
      <c r="X366" s="46"/>
      <c r="Y366" s="42">
        <v>1</v>
      </c>
      <c r="Z366" s="42"/>
      <c r="AA366" s="34"/>
      <c r="AB366" s="34"/>
      <c r="AC366" s="46"/>
      <c r="AD366" s="46"/>
      <c r="AE366" s="46"/>
      <c r="AF366" s="46"/>
      <c r="AG366" s="46"/>
      <c r="AH366" s="46"/>
      <c r="AI366" s="46"/>
      <c r="AJ366" s="42">
        <v>1</v>
      </c>
      <c r="AK366" s="42"/>
      <c r="AL366" s="46"/>
      <c r="AM366" s="46"/>
      <c r="AN366" s="46"/>
      <c r="AO366" s="46"/>
      <c r="AP366" s="46"/>
      <c r="AQ366" s="46"/>
      <c r="AR366" s="46"/>
      <c r="AS366" s="46"/>
      <c r="AT366" s="46"/>
      <c r="AU366" s="42">
        <v>1</v>
      </c>
      <c r="AV366" s="42">
        <v>1</v>
      </c>
      <c r="AW366" s="46"/>
      <c r="AX366" s="44"/>
      <c r="AY366" s="44"/>
      <c r="AZ366" s="44"/>
      <c r="BA366" s="46"/>
      <c r="BB366" s="34"/>
      <c r="BC366" s="34"/>
    </row>
    <row r="367" spans="1:55" customFormat="1" ht="21" customHeight="1" x14ac:dyDescent="0.25">
      <c r="A367" s="22"/>
      <c r="B367" s="42" t="s">
        <v>499</v>
      </c>
      <c r="C367" s="42" t="s">
        <v>246</v>
      </c>
      <c r="D367" s="42" t="s">
        <v>787</v>
      </c>
      <c r="E367" s="34" t="s">
        <v>788</v>
      </c>
      <c r="F367" s="46"/>
      <c r="G367" s="46"/>
      <c r="H367" s="34"/>
      <c r="I367" s="46"/>
      <c r="J367" s="46"/>
      <c r="K367" s="46"/>
      <c r="L367" s="46"/>
      <c r="M367" s="46"/>
      <c r="N367" s="42">
        <v>1</v>
      </c>
      <c r="O367" s="42">
        <v>1</v>
      </c>
      <c r="P367" s="42">
        <v>1</v>
      </c>
      <c r="Q367" s="42">
        <v>1</v>
      </c>
      <c r="R367" s="46"/>
      <c r="S367" s="46"/>
      <c r="T367" s="46"/>
      <c r="U367" s="46"/>
      <c r="V367" s="46"/>
      <c r="W367" s="46"/>
      <c r="X367" s="46"/>
      <c r="Y367" s="42"/>
      <c r="Z367" s="42"/>
      <c r="AA367" s="34"/>
      <c r="AB367" s="42">
        <v>1</v>
      </c>
      <c r="AC367" s="46"/>
      <c r="AD367" s="46"/>
      <c r="AE367" s="46"/>
      <c r="AF367" s="46"/>
      <c r="AG367" s="46"/>
      <c r="AH367" s="46"/>
      <c r="AI367" s="46"/>
      <c r="AJ367" s="42">
        <v>1</v>
      </c>
      <c r="AK367" s="42">
        <v>1</v>
      </c>
      <c r="AL367" s="46"/>
      <c r="AM367" s="46"/>
      <c r="AN367" s="46"/>
      <c r="AO367" s="46"/>
      <c r="AP367" s="46"/>
      <c r="AQ367" s="46"/>
      <c r="AR367" s="46"/>
      <c r="AS367" s="46"/>
      <c r="AT367" s="46"/>
      <c r="AU367" s="42"/>
      <c r="AV367" s="42"/>
      <c r="AW367" s="44">
        <v>1</v>
      </c>
      <c r="AX367" s="44">
        <v>1</v>
      </c>
      <c r="AY367" s="44">
        <v>1</v>
      </c>
      <c r="AZ367" s="44">
        <v>1</v>
      </c>
      <c r="BA367" s="34">
        <v>1</v>
      </c>
      <c r="BB367" s="34">
        <v>1</v>
      </c>
      <c r="BC367" s="34"/>
    </row>
    <row r="368" spans="1:55" customFormat="1" ht="21" customHeight="1" x14ac:dyDescent="0.25">
      <c r="A368" s="22"/>
      <c r="B368" s="42" t="s">
        <v>499</v>
      </c>
      <c r="C368" s="42" t="s">
        <v>244</v>
      </c>
      <c r="D368" s="42" t="s">
        <v>789</v>
      </c>
      <c r="E368" s="34" t="s">
        <v>790</v>
      </c>
      <c r="F368" s="46"/>
      <c r="G368" s="46"/>
      <c r="H368" s="34"/>
      <c r="I368" s="46"/>
      <c r="J368" s="46"/>
      <c r="K368" s="46"/>
      <c r="L368" s="46"/>
      <c r="M368" s="46"/>
      <c r="N368" s="42">
        <v>1</v>
      </c>
      <c r="O368" s="42">
        <v>1</v>
      </c>
      <c r="P368" s="42">
        <v>1</v>
      </c>
      <c r="Q368" s="46"/>
      <c r="R368" s="46"/>
      <c r="S368" s="46"/>
      <c r="T368" s="46"/>
      <c r="U368" s="46"/>
      <c r="V368" s="46"/>
      <c r="W368" s="46"/>
      <c r="X368" s="46"/>
      <c r="Y368" s="42"/>
      <c r="Z368" s="42">
        <v>1</v>
      </c>
      <c r="AA368" s="42">
        <v>1</v>
      </c>
      <c r="AB368" s="34"/>
      <c r="AC368" s="46"/>
      <c r="AD368" s="46"/>
      <c r="AE368" s="46"/>
      <c r="AF368" s="46"/>
      <c r="AG368" s="46"/>
      <c r="AH368" s="46"/>
      <c r="AI368" s="46"/>
      <c r="AJ368" s="42">
        <v>1</v>
      </c>
      <c r="AK368" s="42">
        <v>1</v>
      </c>
      <c r="AL368" s="42"/>
      <c r="AM368" s="46"/>
      <c r="AN368" s="46"/>
      <c r="AO368" s="46"/>
      <c r="AP368" s="46"/>
      <c r="AQ368" s="46"/>
      <c r="AR368" s="46"/>
      <c r="AS368" s="46"/>
      <c r="AT368" s="46"/>
      <c r="AU368" s="42"/>
      <c r="AV368" s="42"/>
      <c r="AW368" s="46">
        <v>1</v>
      </c>
      <c r="AX368" s="44">
        <v>1</v>
      </c>
      <c r="AY368" s="44"/>
      <c r="AZ368" s="44"/>
      <c r="BA368" s="46"/>
      <c r="BB368" s="34"/>
      <c r="BC368" s="34"/>
    </row>
    <row r="369" spans="1:55" customFormat="1" ht="21" customHeight="1" x14ac:dyDescent="0.25">
      <c r="A369" s="22"/>
      <c r="B369" s="42" t="s">
        <v>499</v>
      </c>
      <c r="C369" s="42" t="s">
        <v>255</v>
      </c>
      <c r="D369" s="42" t="s">
        <v>791</v>
      </c>
      <c r="E369" s="34" t="s">
        <v>792</v>
      </c>
      <c r="F369" s="46"/>
      <c r="G369" s="46"/>
      <c r="H369" s="34"/>
      <c r="I369" s="46"/>
      <c r="J369" s="46"/>
      <c r="K369" s="46"/>
      <c r="L369" s="46"/>
      <c r="M369" s="46"/>
      <c r="N369" s="42"/>
      <c r="O369" s="42">
        <v>1</v>
      </c>
      <c r="P369" s="42">
        <v>1</v>
      </c>
      <c r="Q369" s="42">
        <v>1</v>
      </c>
      <c r="R369" s="46"/>
      <c r="S369" s="46"/>
      <c r="T369" s="46"/>
      <c r="U369" s="46"/>
      <c r="V369" s="46"/>
      <c r="W369" s="46"/>
      <c r="X369" s="46"/>
      <c r="Y369" s="42"/>
      <c r="Z369" s="42">
        <v>1</v>
      </c>
      <c r="AA369" s="42">
        <v>1</v>
      </c>
      <c r="AB369" s="42">
        <v>1</v>
      </c>
      <c r="AC369" s="46"/>
      <c r="AD369" s="46"/>
      <c r="AE369" s="46"/>
      <c r="AF369" s="46"/>
      <c r="AG369" s="46"/>
      <c r="AH369" s="46"/>
      <c r="AI369" s="46"/>
      <c r="AJ369" s="42">
        <v>1</v>
      </c>
      <c r="AK369" s="42">
        <v>1</v>
      </c>
      <c r="AL369" s="42"/>
      <c r="AM369" s="42">
        <v>1</v>
      </c>
      <c r="AN369" s="46"/>
      <c r="AO369" s="46"/>
      <c r="AP369" s="46"/>
      <c r="AQ369" s="46"/>
      <c r="AR369" s="46"/>
      <c r="AS369" s="46"/>
      <c r="AT369" s="46"/>
      <c r="AU369" s="42">
        <v>1</v>
      </c>
      <c r="AV369" s="42">
        <v>1</v>
      </c>
      <c r="AW369" s="46"/>
      <c r="AX369" s="44"/>
      <c r="AY369" s="44">
        <v>1</v>
      </c>
      <c r="AZ369" s="44">
        <v>1</v>
      </c>
      <c r="BA369" s="34">
        <v>1</v>
      </c>
      <c r="BB369" s="34">
        <v>1</v>
      </c>
      <c r="BC369" s="34">
        <v>1</v>
      </c>
    </row>
    <row r="370" spans="1:55" customFormat="1" ht="21" customHeight="1" x14ac:dyDescent="0.25">
      <c r="A370" s="22"/>
      <c r="B370" s="42" t="s">
        <v>499</v>
      </c>
      <c r="C370" s="42" t="s">
        <v>247</v>
      </c>
      <c r="D370" s="42" t="s">
        <v>793</v>
      </c>
      <c r="E370" s="34" t="s">
        <v>794</v>
      </c>
      <c r="F370" s="46"/>
      <c r="G370" s="46"/>
      <c r="H370" s="34"/>
      <c r="I370" s="46"/>
      <c r="J370" s="46"/>
      <c r="K370" s="46"/>
      <c r="L370" s="46"/>
      <c r="M370" s="46"/>
      <c r="N370" s="42">
        <v>1</v>
      </c>
      <c r="O370" s="42"/>
      <c r="P370" s="46"/>
      <c r="Q370" s="46"/>
      <c r="R370" s="46"/>
      <c r="S370" s="46"/>
      <c r="T370" s="46"/>
      <c r="U370" s="46"/>
      <c r="V370" s="46"/>
      <c r="W370" s="46"/>
      <c r="X370" s="46"/>
      <c r="Y370" s="42"/>
      <c r="Z370" s="42">
        <v>1</v>
      </c>
      <c r="AA370" s="34"/>
      <c r="AB370" s="34"/>
      <c r="AC370" s="46"/>
      <c r="AD370" s="46"/>
      <c r="AE370" s="46"/>
      <c r="AF370" s="46"/>
      <c r="AG370" s="46"/>
      <c r="AH370" s="46"/>
      <c r="AI370" s="46"/>
      <c r="AJ370" s="42">
        <v>1</v>
      </c>
      <c r="AK370" s="42"/>
      <c r="AL370" s="46"/>
      <c r="AM370" s="46"/>
      <c r="AN370" s="46"/>
      <c r="AO370" s="46"/>
      <c r="AP370" s="46"/>
      <c r="AQ370" s="46"/>
      <c r="AR370" s="46"/>
      <c r="AS370" s="46"/>
      <c r="AT370" s="46"/>
      <c r="AU370" s="42"/>
      <c r="AV370" s="42"/>
      <c r="AW370" s="46"/>
      <c r="AX370" s="44"/>
      <c r="AY370" s="44"/>
      <c r="AZ370" s="44"/>
      <c r="BA370" s="46"/>
      <c r="BB370" s="34"/>
      <c r="BC370" s="34"/>
    </row>
    <row r="371" spans="1:55" customFormat="1" ht="21" customHeight="1" x14ac:dyDescent="0.25">
      <c r="A371" s="22"/>
      <c r="B371" s="42" t="s">
        <v>499</v>
      </c>
      <c r="C371" s="42" t="s">
        <v>246</v>
      </c>
      <c r="D371" s="42" t="s">
        <v>795</v>
      </c>
      <c r="E371" s="34" t="s">
        <v>796</v>
      </c>
      <c r="F371" s="46"/>
      <c r="G371" s="46"/>
      <c r="H371" s="34"/>
      <c r="I371" s="46"/>
      <c r="J371" s="46"/>
      <c r="K371" s="46"/>
      <c r="L371" s="46"/>
      <c r="M371" s="46"/>
      <c r="N371" s="42">
        <v>1</v>
      </c>
      <c r="O371" s="42">
        <v>1</v>
      </c>
      <c r="P371" s="42">
        <v>1</v>
      </c>
      <c r="Q371" s="42">
        <v>1</v>
      </c>
      <c r="R371" s="46"/>
      <c r="S371" s="46"/>
      <c r="T371" s="46"/>
      <c r="U371" s="46"/>
      <c r="V371" s="46"/>
      <c r="W371" s="46"/>
      <c r="X371" s="46"/>
      <c r="Y371" s="42"/>
      <c r="Z371" s="42">
        <v>1</v>
      </c>
      <c r="AA371" s="42">
        <v>1</v>
      </c>
      <c r="AB371" s="42">
        <v>1</v>
      </c>
      <c r="AC371" s="46"/>
      <c r="AD371" s="46"/>
      <c r="AE371" s="46"/>
      <c r="AF371" s="46"/>
      <c r="AG371" s="46"/>
      <c r="AH371" s="46"/>
      <c r="AI371" s="46"/>
      <c r="AJ371" s="42">
        <v>1</v>
      </c>
      <c r="AK371" s="42">
        <v>1</v>
      </c>
      <c r="AL371" s="42">
        <v>1</v>
      </c>
      <c r="AM371" s="42">
        <v>1</v>
      </c>
      <c r="AN371" s="46"/>
      <c r="AO371" s="46"/>
      <c r="AP371" s="46"/>
      <c r="AQ371" s="46"/>
      <c r="AR371" s="46"/>
      <c r="AS371" s="46"/>
      <c r="AT371" s="46"/>
      <c r="AU371" s="42"/>
      <c r="AV371" s="42"/>
      <c r="AW371" s="44">
        <v>1</v>
      </c>
      <c r="AX371" s="44">
        <v>1</v>
      </c>
      <c r="AY371" s="44">
        <v>1</v>
      </c>
      <c r="AZ371" s="44">
        <v>1</v>
      </c>
      <c r="BA371" s="34">
        <v>1</v>
      </c>
      <c r="BB371" s="34">
        <v>1</v>
      </c>
      <c r="BC371" s="34">
        <v>1</v>
      </c>
    </row>
    <row r="372" spans="1:55" customFormat="1" ht="21" customHeight="1" x14ac:dyDescent="0.25">
      <c r="A372" s="22"/>
      <c r="B372" s="42" t="s">
        <v>499</v>
      </c>
      <c r="C372" s="42" t="s">
        <v>244</v>
      </c>
      <c r="D372" s="42" t="s">
        <v>797</v>
      </c>
      <c r="E372" s="34" t="s">
        <v>798</v>
      </c>
      <c r="F372" s="46"/>
      <c r="G372" s="46"/>
      <c r="H372" s="34"/>
      <c r="I372" s="46"/>
      <c r="J372" s="46"/>
      <c r="K372" s="46"/>
      <c r="L372" s="46"/>
      <c r="M372" s="46"/>
      <c r="N372" s="42">
        <v>1</v>
      </c>
      <c r="O372" s="42">
        <v>1</v>
      </c>
      <c r="P372" s="42">
        <v>1</v>
      </c>
      <c r="Q372" s="42">
        <v>1</v>
      </c>
      <c r="R372" s="46"/>
      <c r="S372" s="46"/>
      <c r="T372" s="46"/>
      <c r="U372" s="46"/>
      <c r="V372" s="46"/>
      <c r="W372" s="46"/>
      <c r="X372" s="46"/>
      <c r="Y372" s="42"/>
      <c r="Z372" s="42"/>
      <c r="AA372" s="42">
        <v>1</v>
      </c>
      <c r="AB372" s="42">
        <v>1</v>
      </c>
      <c r="AC372" s="46"/>
      <c r="AD372" s="46"/>
      <c r="AE372" s="46"/>
      <c r="AF372" s="46"/>
      <c r="AG372" s="46"/>
      <c r="AH372" s="46"/>
      <c r="AI372" s="46"/>
      <c r="AJ372" s="42">
        <v>1</v>
      </c>
      <c r="AK372" s="42">
        <v>1</v>
      </c>
      <c r="AL372" s="42"/>
      <c r="AM372" s="46"/>
      <c r="AN372" s="46"/>
      <c r="AO372" s="46"/>
      <c r="AP372" s="46"/>
      <c r="AQ372" s="46"/>
      <c r="AR372" s="46"/>
      <c r="AS372" s="46"/>
      <c r="AT372" s="46"/>
      <c r="AU372" s="42"/>
      <c r="AV372" s="42"/>
      <c r="AW372" s="46"/>
      <c r="AX372" s="44"/>
      <c r="AY372" s="44">
        <v>1</v>
      </c>
      <c r="AZ372" s="44"/>
      <c r="BA372" s="34">
        <v>1</v>
      </c>
      <c r="BB372" s="34">
        <v>1</v>
      </c>
      <c r="BC372" s="34">
        <v>1</v>
      </c>
    </row>
    <row r="373" spans="1:55" customFormat="1" ht="21" customHeight="1" x14ac:dyDescent="0.25">
      <c r="A373" s="22"/>
      <c r="B373" s="42" t="s">
        <v>499</v>
      </c>
      <c r="C373" s="42" t="s">
        <v>246</v>
      </c>
      <c r="D373" s="42" t="s">
        <v>799</v>
      </c>
      <c r="E373" s="34" t="s">
        <v>800</v>
      </c>
      <c r="F373" s="46"/>
      <c r="G373" s="46"/>
      <c r="H373" s="34"/>
      <c r="I373" s="46"/>
      <c r="J373" s="46"/>
      <c r="K373" s="46"/>
      <c r="L373" s="46"/>
      <c r="M373" s="46"/>
      <c r="N373" s="42"/>
      <c r="O373" s="42">
        <v>1</v>
      </c>
      <c r="P373" s="42">
        <v>1</v>
      </c>
      <c r="Q373" s="42">
        <v>1</v>
      </c>
      <c r="R373" s="46"/>
      <c r="S373" s="46"/>
      <c r="T373" s="46"/>
      <c r="U373" s="46"/>
      <c r="V373" s="46"/>
      <c r="W373" s="46"/>
      <c r="X373" s="46"/>
      <c r="Y373" s="42"/>
      <c r="Z373" s="42"/>
      <c r="AA373" s="42">
        <v>1</v>
      </c>
      <c r="AB373" s="42">
        <v>1</v>
      </c>
      <c r="AC373" s="46"/>
      <c r="AD373" s="46"/>
      <c r="AE373" s="46"/>
      <c r="AF373" s="46"/>
      <c r="AG373" s="46"/>
      <c r="AH373" s="46"/>
      <c r="AI373" s="46"/>
      <c r="AJ373" s="42">
        <v>1</v>
      </c>
      <c r="AK373" s="42">
        <v>1</v>
      </c>
      <c r="AL373" s="42"/>
      <c r="AM373" s="46"/>
      <c r="AN373" s="46"/>
      <c r="AO373" s="46"/>
      <c r="AP373" s="46"/>
      <c r="AQ373" s="46"/>
      <c r="AR373" s="46"/>
      <c r="AS373" s="46"/>
      <c r="AT373" s="46"/>
      <c r="AU373" s="42"/>
      <c r="AV373" s="42"/>
      <c r="AW373" s="44">
        <v>1</v>
      </c>
      <c r="AX373" s="44">
        <v>1</v>
      </c>
      <c r="AY373" s="44"/>
      <c r="AZ373" s="44">
        <v>1</v>
      </c>
      <c r="BA373" s="34">
        <v>1</v>
      </c>
      <c r="BB373" s="34">
        <v>1</v>
      </c>
      <c r="BC373" s="34">
        <v>1</v>
      </c>
    </row>
    <row r="374" spans="1:55" customFormat="1" ht="21" customHeight="1" x14ac:dyDescent="0.25">
      <c r="A374" s="22"/>
      <c r="B374" s="42" t="s">
        <v>499</v>
      </c>
      <c r="C374" s="42" t="s">
        <v>255</v>
      </c>
      <c r="D374" s="42" t="s">
        <v>801</v>
      </c>
      <c r="E374" s="34" t="s">
        <v>802</v>
      </c>
      <c r="F374" s="46"/>
      <c r="G374" s="46"/>
      <c r="H374" s="34"/>
      <c r="I374" s="46"/>
      <c r="J374" s="46"/>
      <c r="K374" s="46"/>
      <c r="L374" s="46"/>
      <c r="M374" s="46"/>
      <c r="N374" s="42"/>
      <c r="O374" s="42"/>
      <c r="P374" s="46"/>
      <c r="Q374" s="46"/>
      <c r="R374" s="46"/>
      <c r="S374" s="46"/>
      <c r="T374" s="46"/>
      <c r="U374" s="46"/>
      <c r="V374" s="46"/>
      <c r="W374" s="46"/>
      <c r="X374" s="46"/>
      <c r="Y374" s="42"/>
      <c r="Z374" s="42"/>
      <c r="AA374" s="34"/>
      <c r="AB374" s="34"/>
      <c r="AC374" s="46"/>
      <c r="AD374" s="46"/>
      <c r="AE374" s="46"/>
      <c r="AF374" s="46"/>
      <c r="AG374" s="46"/>
      <c r="AH374" s="46"/>
      <c r="AI374" s="46"/>
      <c r="AJ374" s="42"/>
      <c r="AK374" s="42"/>
      <c r="AL374" s="46"/>
      <c r="AM374" s="46"/>
      <c r="AN374" s="46"/>
      <c r="AO374" s="46"/>
      <c r="AP374" s="46"/>
      <c r="AQ374" s="46"/>
      <c r="AR374" s="46"/>
      <c r="AS374" s="46"/>
      <c r="AT374" s="46"/>
      <c r="AU374" s="42"/>
      <c r="AV374" s="42"/>
      <c r="AW374" s="44">
        <v>1</v>
      </c>
      <c r="AX374" s="44">
        <v>1</v>
      </c>
      <c r="AY374" s="44"/>
      <c r="AZ374" s="44"/>
      <c r="BA374" s="46"/>
      <c r="BB374" s="34"/>
      <c r="BC374" s="34"/>
    </row>
    <row r="375" spans="1:55" customFormat="1" ht="21" customHeight="1" x14ac:dyDescent="0.25">
      <c r="A375" s="22"/>
      <c r="B375" s="42" t="s">
        <v>499</v>
      </c>
      <c r="C375" s="42" t="s">
        <v>244</v>
      </c>
      <c r="D375" s="42" t="s">
        <v>803</v>
      </c>
      <c r="E375" s="34" t="s">
        <v>804</v>
      </c>
      <c r="F375" s="46"/>
      <c r="G375" s="46"/>
      <c r="H375" s="34"/>
      <c r="I375" s="46"/>
      <c r="J375" s="46"/>
      <c r="K375" s="46"/>
      <c r="L375" s="46"/>
      <c r="M375" s="46"/>
      <c r="N375" s="42"/>
      <c r="O375" s="42">
        <v>1</v>
      </c>
      <c r="P375" s="42">
        <v>1</v>
      </c>
      <c r="Q375" s="46"/>
      <c r="R375" s="46"/>
      <c r="S375" s="46"/>
      <c r="T375" s="46"/>
      <c r="U375" s="46"/>
      <c r="V375" s="46"/>
      <c r="W375" s="46"/>
      <c r="X375" s="46"/>
      <c r="Y375" s="42"/>
      <c r="Z375" s="42">
        <v>1</v>
      </c>
      <c r="AA375" s="42">
        <v>1</v>
      </c>
      <c r="AB375" s="34"/>
      <c r="AC375" s="46"/>
      <c r="AD375" s="46"/>
      <c r="AE375" s="46"/>
      <c r="AF375" s="46"/>
      <c r="AG375" s="46"/>
      <c r="AH375" s="46"/>
      <c r="AI375" s="46"/>
      <c r="AJ375" s="42"/>
      <c r="AK375" s="42">
        <v>1</v>
      </c>
      <c r="AL375" s="42"/>
      <c r="AM375" s="46"/>
      <c r="AN375" s="46"/>
      <c r="AO375" s="46"/>
      <c r="AP375" s="46"/>
      <c r="AQ375" s="46"/>
      <c r="AR375" s="46"/>
      <c r="AS375" s="46"/>
      <c r="AT375" s="46"/>
      <c r="AU375" s="42"/>
      <c r="AV375" s="42"/>
      <c r="AW375" s="44">
        <v>1</v>
      </c>
      <c r="AX375" s="44">
        <v>1</v>
      </c>
      <c r="AY375" s="44"/>
      <c r="AZ375" s="44"/>
      <c r="BA375" s="46"/>
      <c r="BB375" s="34"/>
      <c r="BC375" s="34"/>
    </row>
    <row r="376" spans="1:55" customFormat="1" ht="21" customHeight="1" x14ac:dyDescent="0.25">
      <c r="A376" s="22"/>
      <c r="B376" s="42" t="s">
        <v>499</v>
      </c>
      <c r="C376" s="42" t="s">
        <v>244</v>
      </c>
      <c r="D376" s="42" t="s">
        <v>805</v>
      </c>
      <c r="E376" s="34" t="s">
        <v>806</v>
      </c>
      <c r="F376" s="46"/>
      <c r="G376" s="46"/>
      <c r="H376" s="34"/>
      <c r="I376" s="46"/>
      <c r="J376" s="46"/>
      <c r="K376" s="46"/>
      <c r="L376" s="46"/>
      <c r="M376" s="46"/>
      <c r="N376" s="42"/>
      <c r="O376" s="42">
        <v>1</v>
      </c>
      <c r="P376" s="42">
        <v>1</v>
      </c>
      <c r="Q376" s="42">
        <v>1</v>
      </c>
      <c r="R376" s="46"/>
      <c r="S376" s="46"/>
      <c r="T376" s="46"/>
      <c r="U376" s="46"/>
      <c r="V376" s="46"/>
      <c r="W376" s="46"/>
      <c r="X376" s="46"/>
      <c r="Y376" s="42"/>
      <c r="Z376" s="42"/>
      <c r="AA376" s="34"/>
      <c r="AB376" s="42">
        <v>1</v>
      </c>
      <c r="AC376" s="46"/>
      <c r="AD376" s="46"/>
      <c r="AE376" s="46"/>
      <c r="AF376" s="46"/>
      <c r="AG376" s="46"/>
      <c r="AH376" s="46"/>
      <c r="AI376" s="46"/>
      <c r="AJ376" s="42"/>
      <c r="AK376" s="42">
        <v>1</v>
      </c>
      <c r="AL376" s="46"/>
      <c r="AM376" s="46"/>
      <c r="AN376" s="46"/>
      <c r="AO376" s="46"/>
      <c r="AP376" s="46"/>
      <c r="AQ376" s="46"/>
      <c r="AR376" s="46"/>
      <c r="AS376" s="46"/>
      <c r="AT376" s="46"/>
      <c r="AU376" s="42"/>
      <c r="AV376" s="42"/>
      <c r="AW376" s="46"/>
      <c r="AX376" s="44"/>
      <c r="AY376" s="44">
        <v>1</v>
      </c>
      <c r="AZ376" s="44"/>
      <c r="BA376" s="34">
        <v>1</v>
      </c>
      <c r="BB376" s="34">
        <v>1</v>
      </c>
      <c r="BC376" s="34">
        <v>1</v>
      </c>
    </row>
    <row r="377" spans="1:55" customFormat="1" ht="21" customHeight="1" x14ac:dyDescent="0.25">
      <c r="A377" s="22"/>
      <c r="B377" s="42" t="s">
        <v>499</v>
      </c>
      <c r="C377" s="42" t="s">
        <v>244</v>
      </c>
      <c r="D377" s="42" t="s">
        <v>807</v>
      </c>
      <c r="E377" s="34" t="s">
        <v>808</v>
      </c>
      <c r="F377" s="46"/>
      <c r="G377" s="46"/>
      <c r="H377" s="34"/>
      <c r="I377" s="46"/>
      <c r="J377" s="46"/>
      <c r="K377" s="46"/>
      <c r="L377" s="46"/>
      <c r="M377" s="46"/>
      <c r="N377" s="42"/>
      <c r="O377" s="42">
        <v>1</v>
      </c>
      <c r="P377" s="42">
        <v>1</v>
      </c>
      <c r="Q377" s="46"/>
      <c r="R377" s="46"/>
      <c r="S377" s="46"/>
      <c r="T377" s="46"/>
      <c r="U377" s="46"/>
      <c r="V377" s="46"/>
      <c r="W377" s="46"/>
      <c r="X377" s="46"/>
      <c r="Y377" s="42">
        <v>1</v>
      </c>
      <c r="Z377" s="42">
        <v>1</v>
      </c>
      <c r="AA377" s="42">
        <v>1</v>
      </c>
      <c r="AB377" s="34"/>
      <c r="AC377" s="46"/>
      <c r="AD377" s="46"/>
      <c r="AE377" s="46"/>
      <c r="AF377" s="46"/>
      <c r="AG377" s="46"/>
      <c r="AH377" s="46"/>
      <c r="AI377" s="46"/>
      <c r="AJ377" s="42"/>
      <c r="AK377" s="42">
        <v>1</v>
      </c>
      <c r="AL377" s="42"/>
      <c r="AM377" s="46"/>
      <c r="AN377" s="46"/>
      <c r="AO377" s="46"/>
      <c r="AP377" s="46"/>
      <c r="AQ377" s="46"/>
      <c r="AR377" s="46"/>
      <c r="AS377" s="46"/>
      <c r="AT377" s="46"/>
      <c r="AU377" s="42"/>
      <c r="AV377" s="42"/>
      <c r="AW377" s="46">
        <v>1</v>
      </c>
      <c r="AX377" s="44">
        <v>1</v>
      </c>
      <c r="AY377" s="44"/>
      <c r="AZ377" s="44"/>
      <c r="BA377" s="46"/>
      <c r="BB377" s="34"/>
      <c r="BC377" s="34"/>
    </row>
    <row r="378" spans="1:55" customFormat="1" ht="21" customHeight="1" x14ac:dyDescent="0.25">
      <c r="A378" s="22"/>
      <c r="B378" s="42" t="s">
        <v>499</v>
      </c>
      <c r="C378" s="42" t="s">
        <v>246</v>
      </c>
      <c r="D378" s="42" t="s">
        <v>809</v>
      </c>
      <c r="E378" s="34" t="s">
        <v>810</v>
      </c>
      <c r="F378" s="46"/>
      <c r="G378" s="46"/>
      <c r="H378" s="34"/>
      <c r="I378" s="46"/>
      <c r="J378" s="46"/>
      <c r="K378" s="46"/>
      <c r="L378" s="46"/>
      <c r="M378" s="46"/>
      <c r="N378" s="42"/>
      <c r="O378" s="42"/>
      <c r="P378" s="46"/>
      <c r="Q378" s="46"/>
      <c r="R378" s="46"/>
      <c r="S378" s="46"/>
      <c r="T378" s="46"/>
      <c r="U378" s="46"/>
      <c r="V378" s="46"/>
      <c r="W378" s="46"/>
      <c r="X378" s="46"/>
      <c r="Y378" s="42">
        <v>1</v>
      </c>
      <c r="Z378" s="42"/>
      <c r="AA378" s="34"/>
      <c r="AB378" s="34"/>
      <c r="AC378" s="46"/>
      <c r="AD378" s="46"/>
      <c r="AE378" s="46"/>
      <c r="AF378" s="46"/>
      <c r="AG378" s="46"/>
      <c r="AH378" s="46"/>
      <c r="AI378" s="46"/>
      <c r="AJ378" s="42"/>
      <c r="AK378" s="42">
        <v>1</v>
      </c>
      <c r="AL378" s="46"/>
      <c r="AM378" s="46"/>
      <c r="AN378" s="46"/>
      <c r="AO378" s="46"/>
      <c r="AP378" s="46"/>
      <c r="AQ378" s="46"/>
      <c r="AR378" s="46"/>
      <c r="AS378" s="46"/>
      <c r="AT378" s="46"/>
      <c r="AU378" s="42"/>
      <c r="AV378" s="42"/>
      <c r="AW378" s="46"/>
      <c r="AX378" s="44"/>
      <c r="AY378" s="44"/>
      <c r="AZ378" s="44"/>
      <c r="BA378" s="46"/>
      <c r="BB378" s="34"/>
      <c r="BC378" s="34"/>
    </row>
    <row r="379" spans="1:55" customFormat="1" ht="21" customHeight="1" x14ac:dyDescent="0.25">
      <c r="A379" s="22"/>
      <c r="B379" s="42" t="s">
        <v>499</v>
      </c>
      <c r="C379" s="42" t="s">
        <v>244</v>
      </c>
      <c r="D379" s="42" t="s">
        <v>811</v>
      </c>
      <c r="E379" s="34" t="s">
        <v>812</v>
      </c>
      <c r="F379" s="46"/>
      <c r="G379" s="46"/>
      <c r="H379" s="34"/>
      <c r="I379" s="46"/>
      <c r="J379" s="46"/>
      <c r="K379" s="46"/>
      <c r="L379" s="46"/>
      <c r="M379" s="46"/>
      <c r="N379" s="42"/>
      <c r="O379" s="42">
        <v>1</v>
      </c>
      <c r="P379" s="42">
        <v>1</v>
      </c>
      <c r="Q379" s="42">
        <v>1</v>
      </c>
      <c r="R379" s="46"/>
      <c r="S379" s="46"/>
      <c r="T379" s="46"/>
      <c r="U379" s="46"/>
      <c r="V379" s="46"/>
      <c r="W379" s="46"/>
      <c r="X379" s="46"/>
      <c r="Y379" s="42">
        <v>1</v>
      </c>
      <c r="Z379" s="42"/>
      <c r="AA379" s="42">
        <v>1</v>
      </c>
      <c r="AB379" s="42">
        <v>1</v>
      </c>
      <c r="AC379" s="46"/>
      <c r="AD379" s="46"/>
      <c r="AE379" s="46"/>
      <c r="AF379" s="46"/>
      <c r="AG379" s="46"/>
      <c r="AH379" s="46"/>
      <c r="AI379" s="46"/>
      <c r="AJ379" s="42"/>
      <c r="AK379" s="42">
        <v>1</v>
      </c>
      <c r="AL379" s="42"/>
      <c r="AM379" s="46"/>
      <c r="AN379" s="46"/>
      <c r="AO379" s="46"/>
      <c r="AP379" s="46"/>
      <c r="AQ379" s="46"/>
      <c r="AR379" s="46"/>
      <c r="AS379" s="46"/>
      <c r="AT379" s="46"/>
      <c r="AU379" s="42"/>
      <c r="AV379" s="42"/>
      <c r="AW379" s="46"/>
      <c r="AX379" s="44"/>
      <c r="AY379" s="44"/>
      <c r="AZ379" s="44"/>
      <c r="BA379" s="34">
        <v>1</v>
      </c>
      <c r="BB379" s="34">
        <v>1</v>
      </c>
      <c r="BC379" s="34"/>
    </row>
    <row r="380" spans="1:55" customFormat="1" ht="21" customHeight="1" x14ac:dyDescent="0.25">
      <c r="A380" s="22"/>
      <c r="B380" s="42" t="s">
        <v>499</v>
      </c>
      <c r="C380" s="42" t="s">
        <v>246</v>
      </c>
      <c r="D380" s="42" t="s">
        <v>813</v>
      </c>
      <c r="E380" s="34" t="s">
        <v>814</v>
      </c>
      <c r="F380" s="46"/>
      <c r="G380" s="46"/>
      <c r="H380" s="34"/>
      <c r="I380" s="46"/>
      <c r="J380" s="46"/>
      <c r="K380" s="46"/>
      <c r="L380" s="46"/>
      <c r="M380" s="46"/>
      <c r="N380" s="42">
        <v>1</v>
      </c>
      <c r="O380" s="42">
        <v>1</v>
      </c>
      <c r="P380" s="42">
        <v>1</v>
      </c>
      <c r="Q380" s="42">
        <v>1</v>
      </c>
      <c r="R380" s="46"/>
      <c r="S380" s="46"/>
      <c r="T380" s="46"/>
      <c r="U380" s="46"/>
      <c r="V380" s="46"/>
      <c r="W380" s="46"/>
      <c r="X380" s="46"/>
      <c r="Y380" s="42">
        <v>1</v>
      </c>
      <c r="Z380" s="42"/>
      <c r="AA380" s="42">
        <v>1</v>
      </c>
      <c r="AB380" s="42">
        <v>1</v>
      </c>
      <c r="AC380" s="46"/>
      <c r="AD380" s="46"/>
      <c r="AE380" s="46"/>
      <c r="AF380" s="46"/>
      <c r="AG380" s="46"/>
      <c r="AH380" s="46"/>
      <c r="AI380" s="46"/>
      <c r="AJ380" s="42">
        <v>1</v>
      </c>
      <c r="AK380" s="42">
        <v>1</v>
      </c>
      <c r="AL380" s="42"/>
      <c r="AM380" s="46"/>
      <c r="AN380" s="46"/>
      <c r="AO380" s="46"/>
      <c r="AP380" s="46"/>
      <c r="AQ380" s="46"/>
      <c r="AR380" s="46"/>
      <c r="AS380" s="46"/>
      <c r="AT380" s="46"/>
      <c r="AU380" s="42"/>
      <c r="AV380" s="42"/>
      <c r="AW380" s="46"/>
      <c r="AX380" s="44"/>
      <c r="AY380" s="44">
        <v>1</v>
      </c>
      <c r="AZ380" s="44">
        <v>1</v>
      </c>
      <c r="BA380" s="46"/>
      <c r="BB380" s="34">
        <v>1</v>
      </c>
      <c r="BC380" s="34">
        <v>1</v>
      </c>
    </row>
    <row r="381" spans="1:55" customFormat="1" ht="21" customHeight="1" x14ac:dyDescent="0.25">
      <c r="A381" s="22"/>
      <c r="B381" s="42" t="s">
        <v>499</v>
      </c>
      <c r="C381" s="42" t="s">
        <v>246</v>
      </c>
      <c r="D381" s="42" t="s">
        <v>815</v>
      </c>
      <c r="E381" s="34" t="s">
        <v>816</v>
      </c>
      <c r="F381" s="46"/>
      <c r="G381" s="46"/>
      <c r="H381" s="34"/>
      <c r="I381" s="46"/>
      <c r="J381" s="46"/>
      <c r="K381" s="46"/>
      <c r="L381" s="46"/>
      <c r="M381" s="46"/>
      <c r="N381" s="42"/>
      <c r="O381" s="42"/>
      <c r="P381" s="46"/>
      <c r="Q381" s="46"/>
      <c r="R381" s="46"/>
      <c r="S381" s="46"/>
      <c r="T381" s="46"/>
      <c r="U381" s="46"/>
      <c r="V381" s="46"/>
      <c r="W381" s="46"/>
      <c r="X381" s="46"/>
      <c r="Y381" s="42">
        <v>1</v>
      </c>
      <c r="Z381" s="42"/>
      <c r="AA381" s="34"/>
      <c r="AB381" s="42">
        <v>1</v>
      </c>
      <c r="AC381" s="46"/>
      <c r="AD381" s="46"/>
      <c r="AE381" s="46"/>
      <c r="AF381" s="46"/>
      <c r="AG381" s="46"/>
      <c r="AH381" s="46"/>
      <c r="AI381" s="46"/>
      <c r="AJ381" s="42"/>
      <c r="AK381" s="42"/>
      <c r="AL381" s="46"/>
      <c r="AM381" s="46"/>
      <c r="AN381" s="46"/>
      <c r="AO381" s="46"/>
      <c r="AP381" s="46"/>
      <c r="AQ381" s="46"/>
      <c r="AR381" s="46"/>
      <c r="AS381" s="46"/>
      <c r="AT381" s="46"/>
      <c r="AU381" s="42"/>
      <c r="AV381" s="42"/>
      <c r="AW381" s="46"/>
      <c r="AX381" s="44"/>
      <c r="AY381" s="44"/>
      <c r="AZ381" s="44"/>
      <c r="BA381" s="46"/>
      <c r="BB381" s="34"/>
      <c r="BC381" s="34"/>
    </row>
    <row r="382" spans="1:55" customFormat="1" ht="21" customHeight="1" x14ac:dyDescent="0.25">
      <c r="A382" s="22"/>
      <c r="B382" s="42" t="s">
        <v>499</v>
      </c>
      <c r="C382" s="42" t="s">
        <v>246</v>
      </c>
      <c r="D382" s="42" t="s">
        <v>817</v>
      </c>
      <c r="E382" s="34" t="s">
        <v>818</v>
      </c>
      <c r="F382" s="46"/>
      <c r="G382" s="46"/>
      <c r="H382" s="34"/>
      <c r="I382" s="46"/>
      <c r="J382" s="46"/>
      <c r="K382" s="46"/>
      <c r="L382" s="46"/>
      <c r="M382" s="46"/>
      <c r="N382" s="42">
        <v>1</v>
      </c>
      <c r="O382" s="42"/>
      <c r="P382" s="46"/>
      <c r="Q382" s="46"/>
      <c r="R382" s="46"/>
      <c r="S382" s="46"/>
      <c r="T382" s="46"/>
      <c r="U382" s="46"/>
      <c r="V382" s="46"/>
      <c r="W382" s="46"/>
      <c r="X382" s="46"/>
      <c r="Y382" s="42">
        <v>1</v>
      </c>
      <c r="Z382" s="42"/>
      <c r="AA382" s="34"/>
      <c r="AB382" s="34"/>
      <c r="AC382" s="46"/>
      <c r="AD382" s="46"/>
      <c r="AE382" s="46"/>
      <c r="AF382" s="46"/>
      <c r="AG382" s="46"/>
      <c r="AH382" s="46"/>
      <c r="AI382" s="46"/>
      <c r="AJ382" s="42">
        <v>1</v>
      </c>
      <c r="AK382" s="42"/>
      <c r="AL382" s="46"/>
      <c r="AM382" s="46"/>
      <c r="AN382" s="46"/>
      <c r="AO382" s="46"/>
      <c r="AP382" s="46"/>
      <c r="AQ382" s="46"/>
      <c r="AR382" s="46"/>
      <c r="AS382" s="46"/>
      <c r="AT382" s="46"/>
      <c r="AU382" s="42"/>
      <c r="AV382" s="42"/>
      <c r="AW382" s="46"/>
      <c r="AX382" s="44"/>
      <c r="AY382" s="44"/>
      <c r="AZ382" s="44"/>
      <c r="BA382" s="46"/>
      <c r="BB382" s="34"/>
      <c r="BC382" s="34"/>
    </row>
    <row r="383" spans="1:55" customFormat="1" ht="21" customHeight="1" x14ac:dyDescent="0.25">
      <c r="A383" s="22"/>
      <c r="B383" s="42" t="s">
        <v>499</v>
      </c>
      <c r="C383" s="42" t="s">
        <v>246</v>
      </c>
      <c r="D383" s="42" t="s">
        <v>819</v>
      </c>
      <c r="E383" s="34" t="s">
        <v>820</v>
      </c>
      <c r="F383" s="46"/>
      <c r="G383" s="46"/>
      <c r="H383" s="34"/>
      <c r="I383" s="46"/>
      <c r="J383" s="46"/>
      <c r="K383" s="46"/>
      <c r="L383" s="46"/>
      <c r="M383" s="46"/>
      <c r="N383" s="42">
        <v>1</v>
      </c>
      <c r="O383" s="42"/>
      <c r="P383" s="46"/>
      <c r="Q383" s="46"/>
      <c r="R383" s="46"/>
      <c r="S383" s="46"/>
      <c r="T383" s="46"/>
      <c r="U383" s="46"/>
      <c r="V383" s="46"/>
      <c r="W383" s="46"/>
      <c r="X383" s="46"/>
      <c r="Y383" s="42">
        <v>1</v>
      </c>
      <c r="Z383" s="42"/>
      <c r="AA383" s="34"/>
      <c r="AB383" s="34"/>
      <c r="AC383" s="46"/>
      <c r="AD383" s="46"/>
      <c r="AE383" s="46"/>
      <c r="AF383" s="46"/>
      <c r="AG383" s="46"/>
      <c r="AH383" s="46"/>
      <c r="AI383" s="46"/>
      <c r="AJ383" s="42">
        <v>1</v>
      </c>
      <c r="AK383" s="42"/>
      <c r="AL383" s="46"/>
      <c r="AM383" s="46"/>
      <c r="AN383" s="46"/>
      <c r="AO383" s="46"/>
      <c r="AP383" s="46"/>
      <c r="AQ383" s="46"/>
      <c r="AR383" s="46"/>
      <c r="AS383" s="46"/>
      <c r="AT383" s="46"/>
      <c r="AU383" s="42"/>
      <c r="AV383" s="42"/>
      <c r="AW383" s="44">
        <v>1</v>
      </c>
      <c r="AX383" s="44">
        <v>1</v>
      </c>
      <c r="AY383" s="44"/>
      <c r="AZ383" s="44"/>
      <c r="BA383" s="46"/>
      <c r="BB383" s="34"/>
      <c r="BC383" s="34"/>
    </row>
    <row r="384" spans="1:55" customFormat="1" ht="21" customHeight="1" x14ac:dyDescent="0.25">
      <c r="A384" s="22"/>
      <c r="B384" s="42" t="s">
        <v>499</v>
      </c>
      <c r="C384" s="42" t="s">
        <v>246</v>
      </c>
      <c r="D384" s="42" t="s">
        <v>821</v>
      </c>
      <c r="E384" s="34" t="s">
        <v>822</v>
      </c>
      <c r="F384" s="46"/>
      <c r="G384" s="46"/>
      <c r="H384" s="34"/>
      <c r="I384" s="46"/>
      <c r="J384" s="46"/>
      <c r="K384" s="46"/>
      <c r="L384" s="46"/>
      <c r="M384" s="46"/>
      <c r="N384" s="42">
        <v>1</v>
      </c>
      <c r="O384" s="42"/>
      <c r="P384" s="46"/>
      <c r="Q384" s="46"/>
      <c r="R384" s="46"/>
      <c r="S384" s="46"/>
      <c r="T384" s="46"/>
      <c r="U384" s="46"/>
      <c r="V384" s="46"/>
      <c r="W384" s="46"/>
      <c r="X384" s="46"/>
      <c r="Y384" s="42">
        <v>1</v>
      </c>
      <c r="Z384" s="42"/>
      <c r="AA384" s="34"/>
      <c r="AB384" s="34"/>
      <c r="AC384" s="46"/>
      <c r="AD384" s="46"/>
      <c r="AE384" s="46"/>
      <c r="AF384" s="46"/>
      <c r="AG384" s="46"/>
      <c r="AH384" s="46"/>
      <c r="AI384" s="46"/>
      <c r="AJ384" s="42">
        <v>1</v>
      </c>
      <c r="AK384" s="42"/>
      <c r="AL384" s="46"/>
      <c r="AM384" s="46"/>
      <c r="AN384" s="46"/>
      <c r="AO384" s="46"/>
      <c r="AP384" s="46"/>
      <c r="AQ384" s="46"/>
      <c r="AR384" s="46"/>
      <c r="AS384" s="46"/>
      <c r="AT384" s="46"/>
      <c r="AU384" s="42"/>
      <c r="AV384" s="42"/>
      <c r="AW384" s="44">
        <v>1</v>
      </c>
      <c r="AX384" s="44">
        <v>1</v>
      </c>
      <c r="AY384" s="44"/>
      <c r="AZ384" s="44"/>
      <c r="BA384" s="46"/>
      <c r="BB384" s="34"/>
      <c r="BC384" s="34"/>
    </row>
    <row r="385" spans="1:55" customFormat="1" ht="21" customHeight="1" x14ac:dyDescent="0.25">
      <c r="A385" s="22"/>
      <c r="B385" s="42" t="s">
        <v>499</v>
      </c>
      <c r="C385" s="42" t="s">
        <v>246</v>
      </c>
      <c r="D385" s="42" t="s">
        <v>823</v>
      </c>
      <c r="E385" s="34" t="s">
        <v>824</v>
      </c>
      <c r="F385" s="46"/>
      <c r="G385" s="46"/>
      <c r="H385" s="34"/>
      <c r="I385" s="46"/>
      <c r="J385" s="46"/>
      <c r="K385" s="46"/>
      <c r="L385" s="46"/>
      <c r="M385" s="46"/>
      <c r="N385" s="42">
        <v>1</v>
      </c>
      <c r="O385" s="42"/>
      <c r="P385" s="46"/>
      <c r="Q385" s="46"/>
      <c r="R385" s="46"/>
      <c r="S385" s="46"/>
      <c r="T385" s="46"/>
      <c r="U385" s="46"/>
      <c r="V385" s="46"/>
      <c r="W385" s="46"/>
      <c r="X385" s="46"/>
      <c r="Y385" s="42"/>
      <c r="Z385" s="42"/>
      <c r="AA385" s="34"/>
      <c r="AB385" s="34"/>
      <c r="AC385" s="46"/>
      <c r="AD385" s="46"/>
      <c r="AE385" s="46"/>
      <c r="AF385" s="46"/>
      <c r="AG385" s="46"/>
      <c r="AH385" s="46"/>
      <c r="AI385" s="46"/>
      <c r="AJ385" s="42">
        <v>1</v>
      </c>
      <c r="AK385" s="42"/>
      <c r="AL385" s="46"/>
      <c r="AM385" s="46"/>
      <c r="AN385" s="46"/>
      <c r="AO385" s="46"/>
      <c r="AP385" s="46"/>
      <c r="AQ385" s="46"/>
      <c r="AR385" s="46"/>
      <c r="AS385" s="46"/>
      <c r="AT385" s="46"/>
      <c r="AU385" s="42"/>
      <c r="AV385" s="42"/>
      <c r="AW385" s="46"/>
      <c r="AX385" s="44"/>
      <c r="AY385" s="44"/>
      <c r="AZ385" s="44"/>
      <c r="BA385" s="46"/>
      <c r="BB385" s="34"/>
      <c r="BC385" s="34"/>
    </row>
    <row r="386" spans="1:55" customFormat="1" ht="21" customHeight="1" x14ac:dyDescent="0.25">
      <c r="A386" s="22"/>
      <c r="B386" s="42" t="s">
        <v>499</v>
      </c>
      <c r="C386" s="42" t="s">
        <v>246</v>
      </c>
      <c r="D386" s="42" t="s">
        <v>825</v>
      </c>
      <c r="E386" s="34" t="s">
        <v>826</v>
      </c>
      <c r="F386" s="46"/>
      <c r="G386" s="46"/>
      <c r="H386" s="34"/>
      <c r="I386" s="46"/>
      <c r="J386" s="46"/>
      <c r="K386" s="46"/>
      <c r="L386" s="46"/>
      <c r="M386" s="46"/>
      <c r="N386" s="42">
        <v>1</v>
      </c>
      <c r="O386" s="42">
        <v>1</v>
      </c>
      <c r="P386" s="42">
        <v>1</v>
      </c>
      <c r="Q386" s="46"/>
      <c r="R386" s="46"/>
      <c r="S386" s="46"/>
      <c r="T386" s="46"/>
      <c r="U386" s="46"/>
      <c r="V386" s="46"/>
      <c r="W386" s="46"/>
      <c r="X386" s="46"/>
      <c r="Y386" s="42"/>
      <c r="Z386" s="42">
        <v>1</v>
      </c>
      <c r="AA386" s="42">
        <v>1</v>
      </c>
      <c r="AB386" s="34"/>
      <c r="AC386" s="46"/>
      <c r="AD386" s="46"/>
      <c r="AE386" s="46"/>
      <c r="AF386" s="46"/>
      <c r="AG386" s="46"/>
      <c r="AH386" s="46"/>
      <c r="AI386" s="46"/>
      <c r="AJ386" s="42">
        <v>1</v>
      </c>
      <c r="AK386" s="42">
        <v>1</v>
      </c>
      <c r="AL386" s="42"/>
      <c r="AM386" s="46"/>
      <c r="AN386" s="46"/>
      <c r="AO386" s="46"/>
      <c r="AP386" s="46"/>
      <c r="AQ386" s="46"/>
      <c r="AR386" s="46"/>
      <c r="AS386" s="46"/>
      <c r="AT386" s="46"/>
      <c r="AU386" s="42"/>
      <c r="AV386" s="42"/>
      <c r="AW386" s="46">
        <v>1</v>
      </c>
      <c r="AX386" s="44">
        <v>1</v>
      </c>
      <c r="AY386" s="44"/>
      <c r="AZ386" s="44"/>
      <c r="BA386" s="46"/>
      <c r="BB386" s="34"/>
      <c r="BC386" s="34"/>
    </row>
    <row r="387" spans="1:55" customFormat="1" ht="21" customHeight="1" x14ac:dyDescent="0.25">
      <c r="A387" s="22"/>
      <c r="B387" s="42" t="s">
        <v>499</v>
      </c>
      <c r="C387" s="42" t="s">
        <v>255</v>
      </c>
      <c r="D387" s="42" t="s">
        <v>827</v>
      </c>
      <c r="E387" s="34" t="s">
        <v>828</v>
      </c>
      <c r="F387" s="46"/>
      <c r="G387" s="46"/>
      <c r="H387" s="34"/>
      <c r="I387" s="46"/>
      <c r="J387" s="46"/>
      <c r="K387" s="46"/>
      <c r="L387" s="46"/>
      <c r="M387" s="46"/>
      <c r="N387" s="42">
        <v>1</v>
      </c>
      <c r="O387" s="42">
        <v>1</v>
      </c>
      <c r="P387" s="42">
        <v>1</v>
      </c>
      <c r="Q387" s="42">
        <v>1</v>
      </c>
      <c r="R387" s="46"/>
      <c r="S387" s="46"/>
      <c r="T387" s="46"/>
      <c r="U387" s="46"/>
      <c r="V387" s="46"/>
      <c r="W387" s="46"/>
      <c r="X387" s="46"/>
      <c r="Y387" s="42"/>
      <c r="Z387" s="42">
        <v>1</v>
      </c>
      <c r="AA387" s="42">
        <v>1</v>
      </c>
      <c r="AB387" s="42">
        <v>1</v>
      </c>
      <c r="AC387" s="46"/>
      <c r="AD387" s="46"/>
      <c r="AE387" s="46"/>
      <c r="AF387" s="46"/>
      <c r="AG387" s="46"/>
      <c r="AH387" s="46"/>
      <c r="AI387" s="46"/>
      <c r="AJ387" s="42">
        <v>1</v>
      </c>
      <c r="AK387" s="42">
        <v>1</v>
      </c>
      <c r="AL387" s="42"/>
      <c r="AM387" s="46"/>
      <c r="AN387" s="46"/>
      <c r="AO387" s="46"/>
      <c r="AP387" s="46"/>
      <c r="AQ387" s="46"/>
      <c r="AR387" s="46"/>
      <c r="AS387" s="46"/>
      <c r="AT387" s="46"/>
      <c r="AU387" s="42"/>
      <c r="AV387" s="42"/>
      <c r="AW387" s="46">
        <v>1</v>
      </c>
      <c r="AX387" s="44">
        <v>1</v>
      </c>
      <c r="AY387" s="44"/>
      <c r="AZ387" s="44">
        <v>1</v>
      </c>
      <c r="BA387" s="34">
        <v>1</v>
      </c>
      <c r="BB387" s="34">
        <v>1</v>
      </c>
      <c r="BC387" s="34"/>
    </row>
    <row r="388" spans="1:55" customFormat="1" ht="21" customHeight="1" x14ac:dyDescent="0.25">
      <c r="A388" s="22"/>
      <c r="B388" s="42" t="s">
        <v>499</v>
      </c>
      <c r="C388" s="42" t="s">
        <v>255</v>
      </c>
      <c r="D388" s="42" t="s">
        <v>829</v>
      </c>
      <c r="E388" s="34" t="s">
        <v>830</v>
      </c>
      <c r="F388" s="46"/>
      <c r="G388" s="46"/>
      <c r="H388" s="34"/>
      <c r="I388" s="46"/>
      <c r="J388" s="46"/>
      <c r="K388" s="46"/>
      <c r="L388" s="46"/>
      <c r="M388" s="46"/>
      <c r="N388" s="42">
        <v>1</v>
      </c>
      <c r="O388" s="42">
        <v>1</v>
      </c>
      <c r="P388" s="42">
        <v>1</v>
      </c>
      <c r="Q388" s="42">
        <v>1</v>
      </c>
      <c r="R388" s="46"/>
      <c r="S388" s="46"/>
      <c r="T388" s="46"/>
      <c r="U388" s="46"/>
      <c r="V388" s="46"/>
      <c r="W388" s="46"/>
      <c r="X388" s="46"/>
      <c r="Y388" s="42"/>
      <c r="Z388" s="42">
        <v>1</v>
      </c>
      <c r="AA388" s="42">
        <v>1</v>
      </c>
      <c r="AB388" s="42">
        <v>1</v>
      </c>
      <c r="AC388" s="46"/>
      <c r="AD388" s="46"/>
      <c r="AE388" s="46"/>
      <c r="AF388" s="46"/>
      <c r="AG388" s="46"/>
      <c r="AH388" s="46"/>
      <c r="AI388" s="46"/>
      <c r="AJ388" s="42">
        <v>1</v>
      </c>
      <c r="AK388" s="42">
        <v>1</v>
      </c>
      <c r="AL388" s="42"/>
      <c r="AM388" s="46"/>
      <c r="AN388" s="46"/>
      <c r="AO388" s="46"/>
      <c r="AP388" s="46"/>
      <c r="AQ388" s="46"/>
      <c r="AR388" s="46"/>
      <c r="AS388" s="46"/>
      <c r="AT388" s="46"/>
      <c r="AU388" s="42"/>
      <c r="AV388" s="42"/>
      <c r="AW388" s="46">
        <v>1</v>
      </c>
      <c r="AX388" s="44">
        <v>1</v>
      </c>
      <c r="AY388" s="44">
        <v>1</v>
      </c>
      <c r="AZ388" s="44">
        <v>1</v>
      </c>
      <c r="BA388" s="34">
        <v>1</v>
      </c>
      <c r="BB388" s="34">
        <v>1</v>
      </c>
      <c r="BC388" s="34">
        <v>1</v>
      </c>
    </row>
    <row r="389" spans="1:55" customFormat="1" ht="21" customHeight="1" x14ac:dyDescent="0.25">
      <c r="A389" s="22"/>
      <c r="B389" s="42" t="s">
        <v>499</v>
      </c>
      <c r="C389" s="42" t="s">
        <v>244</v>
      </c>
      <c r="D389" s="42" t="s">
        <v>831</v>
      </c>
      <c r="E389" s="34" t="s">
        <v>832</v>
      </c>
      <c r="F389" s="46"/>
      <c r="G389" s="46"/>
      <c r="H389" s="34"/>
      <c r="I389" s="46"/>
      <c r="J389" s="46"/>
      <c r="K389" s="46"/>
      <c r="L389" s="46"/>
      <c r="M389" s="46"/>
      <c r="N389" s="42">
        <v>1</v>
      </c>
      <c r="O389" s="42">
        <v>1</v>
      </c>
      <c r="P389" s="42">
        <v>1</v>
      </c>
      <c r="Q389" s="42">
        <v>1</v>
      </c>
      <c r="R389" s="46"/>
      <c r="S389" s="46"/>
      <c r="T389" s="46"/>
      <c r="U389" s="46"/>
      <c r="V389" s="46"/>
      <c r="W389" s="46"/>
      <c r="X389" s="46"/>
      <c r="Y389" s="42"/>
      <c r="Z389" s="42">
        <v>1</v>
      </c>
      <c r="AA389" s="42">
        <v>1</v>
      </c>
      <c r="AB389" s="42">
        <v>1</v>
      </c>
      <c r="AC389" s="46"/>
      <c r="AD389" s="46"/>
      <c r="AE389" s="46"/>
      <c r="AF389" s="46"/>
      <c r="AG389" s="46"/>
      <c r="AH389" s="46"/>
      <c r="AI389" s="46"/>
      <c r="AJ389" s="42">
        <v>1</v>
      </c>
      <c r="AK389" s="42">
        <v>1</v>
      </c>
      <c r="AL389" s="42"/>
      <c r="AM389" s="46"/>
      <c r="AN389" s="46"/>
      <c r="AO389" s="46"/>
      <c r="AP389" s="46"/>
      <c r="AQ389" s="46"/>
      <c r="AR389" s="46"/>
      <c r="AS389" s="46"/>
      <c r="AT389" s="46"/>
      <c r="AU389" s="42">
        <v>1</v>
      </c>
      <c r="AV389" s="42">
        <v>1</v>
      </c>
      <c r="AW389" s="46">
        <v>1</v>
      </c>
      <c r="AX389" s="44">
        <v>1</v>
      </c>
      <c r="AY389" s="44"/>
      <c r="AZ389" s="44"/>
      <c r="BA389" s="34">
        <v>1</v>
      </c>
      <c r="BB389" s="34">
        <v>1</v>
      </c>
      <c r="BC389" s="34">
        <v>1</v>
      </c>
    </row>
    <row r="390" spans="1:55" customFormat="1" ht="21" customHeight="1" x14ac:dyDescent="0.25">
      <c r="A390" s="22"/>
      <c r="B390" s="42" t="s">
        <v>499</v>
      </c>
      <c r="C390" s="42" t="s">
        <v>246</v>
      </c>
      <c r="D390" s="42" t="s">
        <v>833</v>
      </c>
      <c r="E390" s="34" t="s">
        <v>834</v>
      </c>
      <c r="F390" s="46"/>
      <c r="G390" s="46"/>
      <c r="H390" s="34"/>
      <c r="I390" s="46"/>
      <c r="J390" s="46"/>
      <c r="K390" s="46"/>
      <c r="L390" s="46"/>
      <c r="M390" s="46"/>
      <c r="N390" s="42"/>
      <c r="O390" s="42">
        <v>1</v>
      </c>
      <c r="P390" s="42">
        <v>1</v>
      </c>
      <c r="Q390" s="42">
        <v>1</v>
      </c>
      <c r="R390" s="46"/>
      <c r="S390" s="46"/>
      <c r="T390" s="46"/>
      <c r="U390" s="46"/>
      <c r="V390" s="46"/>
      <c r="W390" s="46"/>
      <c r="X390" s="46"/>
      <c r="Y390" s="42"/>
      <c r="Z390" s="42">
        <v>1</v>
      </c>
      <c r="AA390" s="42">
        <v>1</v>
      </c>
      <c r="AB390" s="42">
        <v>1</v>
      </c>
      <c r="AC390" s="46"/>
      <c r="AD390" s="46"/>
      <c r="AE390" s="46"/>
      <c r="AF390" s="46"/>
      <c r="AG390" s="46"/>
      <c r="AH390" s="46"/>
      <c r="AI390" s="46"/>
      <c r="AJ390" s="42"/>
      <c r="AK390" s="42">
        <v>1</v>
      </c>
      <c r="AL390" s="42"/>
      <c r="AM390" s="46"/>
      <c r="AN390" s="46"/>
      <c r="AO390" s="46"/>
      <c r="AP390" s="46"/>
      <c r="AQ390" s="46"/>
      <c r="AR390" s="46"/>
      <c r="AS390" s="46"/>
      <c r="AT390" s="46"/>
      <c r="AU390" s="46"/>
      <c r="AV390" s="46"/>
      <c r="AW390" s="46"/>
      <c r="AX390" s="44"/>
      <c r="AY390" s="44">
        <v>1</v>
      </c>
      <c r="AZ390" s="44">
        <v>1</v>
      </c>
      <c r="BA390" s="34">
        <v>1</v>
      </c>
      <c r="BB390" s="34">
        <v>1</v>
      </c>
      <c r="BC390" s="34">
        <v>1</v>
      </c>
    </row>
    <row r="391" spans="1:55" customFormat="1" ht="21" customHeight="1" x14ac:dyDescent="0.25">
      <c r="A391" s="22"/>
      <c r="B391" s="42" t="s">
        <v>499</v>
      </c>
      <c r="C391" s="42" t="s">
        <v>246</v>
      </c>
      <c r="D391" s="42" t="s">
        <v>835</v>
      </c>
      <c r="E391" s="34" t="s">
        <v>836</v>
      </c>
      <c r="F391" s="46"/>
      <c r="G391" s="46"/>
      <c r="H391" s="34"/>
      <c r="I391" s="46"/>
      <c r="J391" s="46"/>
      <c r="K391" s="46"/>
      <c r="L391" s="46"/>
      <c r="M391" s="46"/>
      <c r="N391" s="42"/>
      <c r="O391" s="42">
        <v>1</v>
      </c>
      <c r="P391" s="42">
        <v>1</v>
      </c>
      <c r="Q391" s="42">
        <v>1</v>
      </c>
      <c r="R391" s="46"/>
      <c r="S391" s="46"/>
      <c r="T391" s="46"/>
      <c r="U391" s="46"/>
      <c r="V391" s="46"/>
      <c r="W391" s="46"/>
      <c r="X391" s="46"/>
      <c r="Y391" s="42"/>
      <c r="Z391" s="42">
        <v>1</v>
      </c>
      <c r="AA391" s="42">
        <v>1</v>
      </c>
      <c r="AB391" s="42">
        <v>1</v>
      </c>
      <c r="AC391" s="46"/>
      <c r="AD391" s="46"/>
      <c r="AE391" s="46"/>
      <c r="AF391" s="46"/>
      <c r="AG391" s="46"/>
      <c r="AH391" s="46"/>
      <c r="AI391" s="46"/>
      <c r="AJ391" s="42"/>
      <c r="AK391" s="42">
        <v>1</v>
      </c>
      <c r="AL391" s="42"/>
      <c r="AM391" s="46"/>
      <c r="AN391" s="46"/>
      <c r="AO391" s="46"/>
      <c r="AP391" s="46"/>
      <c r="AQ391" s="46"/>
      <c r="AR391" s="46"/>
      <c r="AS391" s="46"/>
      <c r="AT391" s="46"/>
      <c r="AU391" s="46"/>
      <c r="AV391" s="46"/>
      <c r="AW391" s="46">
        <v>1</v>
      </c>
      <c r="AX391" s="44">
        <v>1</v>
      </c>
      <c r="AY391" s="44">
        <v>1</v>
      </c>
      <c r="AZ391" s="44">
        <v>1</v>
      </c>
      <c r="BA391" s="34">
        <v>1</v>
      </c>
      <c r="BB391" s="34">
        <v>1</v>
      </c>
      <c r="BC391" s="34">
        <v>1</v>
      </c>
    </row>
    <row r="392" spans="1:55" customFormat="1" ht="21" customHeight="1" x14ac:dyDescent="0.25">
      <c r="A392" s="22"/>
      <c r="B392" s="42" t="s">
        <v>499</v>
      </c>
      <c r="C392" s="42" t="s">
        <v>246</v>
      </c>
      <c r="D392" s="42" t="s">
        <v>837</v>
      </c>
      <c r="E392" s="34" t="s">
        <v>838</v>
      </c>
      <c r="F392" s="46"/>
      <c r="G392" s="46"/>
      <c r="H392" s="34"/>
      <c r="I392" s="46"/>
      <c r="J392" s="46"/>
      <c r="K392" s="46"/>
      <c r="L392" s="46"/>
      <c r="M392" s="46"/>
      <c r="N392" s="42"/>
      <c r="O392" s="42"/>
      <c r="P392" s="46"/>
      <c r="Q392" s="46"/>
      <c r="R392" s="46"/>
      <c r="S392" s="46"/>
      <c r="T392" s="46"/>
      <c r="U392" s="46"/>
      <c r="V392" s="46"/>
      <c r="W392" s="46"/>
      <c r="X392" s="46"/>
      <c r="Y392" s="42"/>
      <c r="Z392" s="42"/>
      <c r="AA392" s="34"/>
      <c r="AB392" s="34"/>
      <c r="AC392" s="46"/>
      <c r="AD392" s="46"/>
      <c r="AE392" s="46"/>
      <c r="AF392" s="46"/>
      <c r="AG392" s="46"/>
      <c r="AH392" s="46"/>
      <c r="AI392" s="46"/>
      <c r="AJ392" s="42"/>
      <c r="AK392" s="42"/>
      <c r="AL392" s="46"/>
      <c r="AM392" s="46"/>
      <c r="AN392" s="46"/>
      <c r="AO392" s="46"/>
      <c r="AP392" s="46"/>
      <c r="AQ392" s="46"/>
      <c r="AR392" s="46"/>
      <c r="AS392" s="46"/>
      <c r="AT392" s="46"/>
      <c r="AU392" s="46"/>
      <c r="AV392" s="46"/>
      <c r="AW392" s="46"/>
      <c r="AX392" s="44"/>
      <c r="AY392" s="44"/>
      <c r="AZ392" s="44"/>
      <c r="BA392" s="46"/>
      <c r="BB392" s="34"/>
      <c r="BC392" s="34"/>
    </row>
    <row r="393" spans="1:55" customFormat="1" ht="21" customHeight="1" x14ac:dyDescent="0.25">
      <c r="A393" s="22"/>
      <c r="B393" s="42" t="s">
        <v>499</v>
      </c>
      <c r="C393" s="42" t="s">
        <v>246</v>
      </c>
      <c r="D393" s="42" t="s">
        <v>839</v>
      </c>
      <c r="E393" s="34" t="s">
        <v>840</v>
      </c>
      <c r="F393" s="46"/>
      <c r="G393" s="46"/>
      <c r="H393" s="34"/>
      <c r="I393" s="46"/>
      <c r="J393" s="46"/>
      <c r="K393" s="46"/>
      <c r="L393" s="46"/>
      <c r="M393" s="46"/>
      <c r="N393" s="42"/>
      <c r="O393" s="42"/>
      <c r="P393" s="46"/>
      <c r="Q393" s="46"/>
      <c r="R393" s="46"/>
      <c r="S393" s="46"/>
      <c r="T393" s="46"/>
      <c r="U393" s="46"/>
      <c r="V393" s="46"/>
      <c r="W393" s="46"/>
      <c r="X393" s="46"/>
      <c r="Y393" s="42"/>
      <c r="Z393" s="42"/>
      <c r="AA393" s="34"/>
      <c r="AB393" s="34"/>
      <c r="AC393" s="46"/>
      <c r="AD393" s="46"/>
      <c r="AE393" s="46"/>
      <c r="AF393" s="46"/>
      <c r="AG393" s="46"/>
      <c r="AH393" s="46"/>
      <c r="AI393" s="46"/>
      <c r="AJ393" s="42"/>
      <c r="AK393" s="42">
        <v>1</v>
      </c>
      <c r="AL393" s="46"/>
      <c r="AM393" s="46"/>
      <c r="AN393" s="46"/>
      <c r="AO393" s="46"/>
      <c r="AP393" s="46"/>
      <c r="AQ393" s="46"/>
      <c r="AR393" s="46"/>
      <c r="AS393" s="46"/>
      <c r="AT393" s="46"/>
      <c r="AU393" s="46"/>
      <c r="AV393" s="46"/>
      <c r="AW393" s="46"/>
      <c r="AX393" s="44"/>
      <c r="AY393" s="44"/>
      <c r="AZ393" s="44">
        <v>1</v>
      </c>
      <c r="BA393" s="46"/>
      <c r="BB393" s="34"/>
      <c r="BC393" s="34"/>
    </row>
    <row r="394" spans="1:55" customFormat="1" ht="21" customHeight="1" x14ac:dyDescent="0.25">
      <c r="A394" s="22"/>
      <c r="B394" s="42" t="s">
        <v>499</v>
      </c>
      <c r="C394" s="42" t="s">
        <v>246</v>
      </c>
      <c r="D394" s="42" t="s">
        <v>841</v>
      </c>
      <c r="E394" s="34" t="s">
        <v>842</v>
      </c>
      <c r="F394" s="46"/>
      <c r="G394" s="46"/>
      <c r="H394" s="34"/>
      <c r="I394" s="46"/>
      <c r="J394" s="46"/>
      <c r="K394" s="46"/>
      <c r="L394" s="46"/>
      <c r="M394" s="46"/>
      <c r="N394" s="42"/>
      <c r="O394" s="42"/>
      <c r="P394" s="46"/>
      <c r="Q394" s="46"/>
      <c r="R394" s="46"/>
      <c r="S394" s="46"/>
      <c r="T394" s="46"/>
      <c r="U394" s="46"/>
      <c r="V394" s="46"/>
      <c r="W394" s="46"/>
      <c r="X394" s="46"/>
      <c r="Y394" s="42"/>
      <c r="Z394" s="42"/>
      <c r="AA394" s="34"/>
      <c r="AB394" s="34"/>
      <c r="AC394" s="46"/>
      <c r="AD394" s="46"/>
      <c r="AE394" s="46"/>
      <c r="AF394" s="46"/>
      <c r="AG394" s="46"/>
      <c r="AH394" s="46"/>
      <c r="AI394" s="46"/>
      <c r="AJ394" s="42"/>
      <c r="AK394" s="42"/>
      <c r="AL394" s="46"/>
      <c r="AM394" s="46"/>
      <c r="AN394" s="46"/>
      <c r="AO394" s="46"/>
      <c r="AP394" s="46"/>
      <c r="AQ394" s="46"/>
      <c r="AR394" s="46"/>
      <c r="AS394" s="46"/>
      <c r="AT394" s="46"/>
      <c r="AU394" s="46"/>
      <c r="AV394" s="46"/>
      <c r="AW394" s="46"/>
      <c r="AX394" s="44"/>
      <c r="AY394" s="44"/>
      <c r="AZ394" s="44"/>
      <c r="BA394" s="46"/>
      <c r="BB394" s="34"/>
      <c r="BC394" s="34"/>
    </row>
    <row r="395" spans="1:55" customFormat="1" ht="21" customHeight="1" x14ac:dyDescent="0.25">
      <c r="A395" s="22"/>
      <c r="B395" s="42" t="s">
        <v>499</v>
      </c>
      <c r="C395" s="42" t="s">
        <v>246</v>
      </c>
      <c r="D395" s="42" t="s">
        <v>843</v>
      </c>
      <c r="E395" s="34" t="s">
        <v>844</v>
      </c>
      <c r="F395" s="46"/>
      <c r="G395" s="46"/>
      <c r="H395" s="34"/>
      <c r="I395" s="46"/>
      <c r="J395" s="46"/>
      <c r="K395" s="46"/>
      <c r="L395" s="46"/>
      <c r="M395" s="46"/>
      <c r="N395" s="42"/>
      <c r="O395" s="42"/>
      <c r="P395" s="46"/>
      <c r="Q395" s="42">
        <v>1</v>
      </c>
      <c r="R395" s="46"/>
      <c r="S395" s="46"/>
      <c r="T395" s="46"/>
      <c r="U395" s="46"/>
      <c r="V395" s="46"/>
      <c r="W395" s="46"/>
      <c r="X395" s="46"/>
      <c r="Y395" s="42"/>
      <c r="Z395" s="42"/>
      <c r="AA395" s="34"/>
      <c r="AB395" s="34"/>
      <c r="AC395" s="46"/>
      <c r="AD395" s="46"/>
      <c r="AE395" s="46"/>
      <c r="AF395" s="46"/>
      <c r="AG395" s="46"/>
      <c r="AH395" s="46"/>
      <c r="AI395" s="46"/>
      <c r="AJ395" s="42">
        <v>1</v>
      </c>
      <c r="AK395" s="42"/>
      <c r="AL395" s="46"/>
      <c r="AM395" s="46"/>
      <c r="AN395" s="46"/>
      <c r="AO395" s="46"/>
      <c r="AP395" s="46"/>
      <c r="AQ395" s="46"/>
      <c r="AR395" s="46"/>
      <c r="AS395" s="46"/>
      <c r="AT395" s="46"/>
      <c r="AU395" s="46"/>
      <c r="AV395" s="46"/>
      <c r="AW395" s="46"/>
      <c r="AX395" s="44"/>
      <c r="AY395" s="44"/>
      <c r="AZ395" s="44"/>
      <c r="BA395" s="46"/>
      <c r="BB395" s="34"/>
      <c r="BC395" s="34"/>
    </row>
    <row r="396" spans="1:55" customFormat="1" ht="21" customHeight="1" x14ac:dyDescent="0.25">
      <c r="A396" s="22"/>
      <c r="B396" s="42" t="s">
        <v>499</v>
      </c>
      <c r="C396" s="42" t="s">
        <v>246</v>
      </c>
      <c r="D396" s="42" t="s">
        <v>845</v>
      </c>
      <c r="E396" s="34" t="s">
        <v>846</v>
      </c>
      <c r="F396" s="46"/>
      <c r="G396" s="46"/>
      <c r="H396" s="34"/>
      <c r="I396" s="46"/>
      <c r="J396" s="46"/>
      <c r="K396" s="46"/>
      <c r="L396" s="46"/>
      <c r="M396" s="46"/>
      <c r="N396" s="42"/>
      <c r="O396" s="42"/>
      <c r="P396" s="46"/>
      <c r="Q396" s="46"/>
      <c r="R396" s="46"/>
      <c r="S396" s="46"/>
      <c r="T396" s="46"/>
      <c r="U396" s="46"/>
      <c r="V396" s="46"/>
      <c r="W396" s="46"/>
      <c r="X396" s="46"/>
      <c r="Y396" s="42"/>
      <c r="Z396" s="42"/>
      <c r="AA396" s="34"/>
      <c r="AB396" s="34"/>
      <c r="AC396" s="46"/>
      <c r="AD396" s="46"/>
      <c r="AE396" s="46"/>
      <c r="AF396" s="46"/>
      <c r="AG396" s="46"/>
      <c r="AH396" s="46"/>
      <c r="AI396" s="46"/>
      <c r="AJ396" s="42"/>
      <c r="AK396" s="42"/>
      <c r="AL396" s="46"/>
      <c r="AM396" s="46"/>
      <c r="AN396" s="46"/>
      <c r="AO396" s="46"/>
      <c r="AP396" s="46"/>
      <c r="AQ396" s="46"/>
      <c r="AR396" s="46"/>
      <c r="AS396" s="46"/>
      <c r="AT396" s="46"/>
      <c r="AU396" s="46"/>
      <c r="AV396" s="46"/>
      <c r="AW396" s="46"/>
      <c r="AX396" s="44"/>
      <c r="AY396" s="44">
        <v>1</v>
      </c>
      <c r="AZ396" s="44"/>
      <c r="BA396" s="46"/>
      <c r="BB396" s="34"/>
      <c r="BC396" s="34"/>
    </row>
    <row r="397" spans="1:55" customFormat="1" ht="21" customHeight="1" x14ac:dyDescent="0.25">
      <c r="A397" s="22"/>
      <c r="B397" s="42" t="s">
        <v>499</v>
      </c>
      <c r="C397" s="42" t="s">
        <v>246</v>
      </c>
      <c r="D397" s="42" t="s">
        <v>847</v>
      </c>
      <c r="E397" s="34" t="s">
        <v>848</v>
      </c>
      <c r="F397" s="46"/>
      <c r="G397" s="46"/>
      <c r="H397" s="34"/>
      <c r="I397" s="46"/>
      <c r="J397" s="46"/>
      <c r="K397" s="46"/>
      <c r="L397" s="46"/>
      <c r="M397" s="46"/>
      <c r="N397" s="42"/>
      <c r="O397" s="42"/>
      <c r="P397" s="46"/>
      <c r="Q397" s="46"/>
      <c r="R397" s="46"/>
      <c r="S397" s="46"/>
      <c r="T397" s="46"/>
      <c r="U397" s="46"/>
      <c r="V397" s="46"/>
      <c r="W397" s="46"/>
      <c r="X397" s="46"/>
      <c r="Y397" s="42"/>
      <c r="Z397" s="42"/>
      <c r="AA397" s="34"/>
      <c r="AB397" s="34"/>
      <c r="AC397" s="46"/>
      <c r="AD397" s="46"/>
      <c r="AE397" s="46"/>
      <c r="AF397" s="46"/>
      <c r="AG397" s="46"/>
      <c r="AH397" s="46"/>
      <c r="AI397" s="46"/>
      <c r="AJ397" s="42"/>
      <c r="AK397" s="42">
        <v>1</v>
      </c>
      <c r="AL397" s="46"/>
      <c r="AM397" s="46"/>
      <c r="AN397" s="46"/>
      <c r="AO397" s="46"/>
      <c r="AP397" s="46"/>
      <c r="AQ397" s="46"/>
      <c r="AR397" s="46"/>
      <c r="AS397" s="46"/>
      <c r="AT397" s="46"/>
      <c r="AU397" s="46"/>
      <c r="AV397" s="46"/>
      <c r="AW397" s="46"/>
      <c r="AX397" s="44"/>
      <c r="AY397" s="44"/>
      <c r="AZ397" s="44"/>
      <c r="BA397" s="46"/>
      <c r="BB397" s="34"/>
      <c r="BC397" s="34"/>
    </row>
    <row r="398" spans="1:55" customFormat="1" ht="21" customHeight="1" x14ac:dyDescent="0.25">
      <c r="A398" s="22"/>
      <c r="B398" s="42" t="s">
        <v>499</v>
      </c>
      <c r="C398" s="42" t="s">
        <v>246</v>
      </c>
      <c r="D398" s="42" t="s">
        <v>849</v>
      </c>
      <c r="E398" s="34" t="s">
        <v>850</v>
      </c>
      <c r="F398" s="46"/>
      <c r="G398" s="46"/>
      <c r="H398" s="34"/>
      <c r="I398" s="46"/>
      <c r="J398" s="46"/>
      <c r="K398" s="46"/>
      <c r="L398" s="46"/>
      <c r="M398" s="46"/>
      <c r="N398" s="42"/>
      <c r="O398" s="42"/>
      <c r="P398" s="46"/>
      <c r="Q398" s="46"/>
      <c r="R398" s="46"/>
      <c r="S398" s="46"/>
      <c r="T398" s="46"/>
      <c r="U398" s="46"/>
      <c r="V398" s="46"/>
      <c r="W398" s="46"/>
      <c r="X398" s="46"/>
      <c r="Y398" s="42"/>
      <c r="Z398" s="42"/>
      <c r="AA398" s="34"/>
      <c r="AB398" s="34"/>
      <c r="AC398" s="46"/>
      <c r="AD398" s="46"/>
      <c r="AE398" s="46"/>
      <c r="AF398" s="46"/>
      <c r="AG398" s="46"/>
      <c r="AH398" s="46"/>
      <c r="AI398" s="46"/>
      <c r="AJ398" s="42"/>
      <c r="AK398" s="42"/>
      <c r="AL398" s="46"/>
      <c r="AM398" s="46"/>
      <c r="AN398" s="46"/>
      <c r="AO398" s="46"/>
      <c r="AP398" s="46"/>
      <c r="AQ398" s="46"/>
      <c r="AR398" s="46"/>
      <c r="AS398" s="46"/>
      <c r="AT398" s="46"/>
      <c r="AU398" s="46"/>
      <c r="AV398" s="46"/>
      <c r="AW398" s="46"/>
      <c r="AX398" s="44"/>
      <c r="AY398" s="44"/>
      <c r="AZ398" s="44"/>
      <c r="BA398" s="46"/>
      <c r="BB398" s="34"/>
      <c r="BC398" s="34"/>
    </row>
    <row r="399" spans="1:55" customFormat="1" ht="21" customHeight="1" x14ac:dyDescent="0.25">
      <c r="A399" s="22"/>
      <c r="B399" s="42" t="s">
        <v>499</v>
      </c>
      <c r="C399" s="42" t="s">
        <v>246</v>
      </c>
      <c r="D399" s="42" t="s">
        <v>851</v>
      </c>
      <c r="E399" s="34" t="s">
        <v>852</v>
      </c>
      <c r="F399" s="46"/>
      <c r="G399" s="46"/>
      <c r="H399" s="34"/>
      <c r="I399" s="46"/>
      <c r="J399" s="46"/>
      <c r="K399" s="46"/>
      <c r="L399" s="46"/>
      <c r="M399" s="46"/>
      <c r="N399" s="42">
        <v>1</v>
      </c>
      <c r="O399" s="42"/>
      <c r="P399" s="46"/>
      <c r="Q399" s="46"/>
      <c r="R399" s="46"/>
      <c r="S399" s="46"/>
      <c r="T399" s="46"/>
      <c r="U399" s="46"/>
      <c r="V399" s="46"/>
      <c r="W399" s="46"/>
      <c r="X399" s="46"/>
      <c r="Y399" s="42"/>
      <c r="Z399" s="42"/>
      <c r="AA399" s="34"/>
      <c r="AB399" s="34"/>
      <c r="AC399" s="46"/>
      <c r="AD399" s="46"/>
      <c r="AE399" s="46"/>
      <c r="AF399" s="46"/>
      <c r="AG399" s="46"/>
      <c r="AH399" s="46"/>
      <c r="AI399" s="46"/>
      <c r="AJ399" s="42"/>
      <c r="AK399" s="42"/>
      <c r="AL399" s="46"/>
      <c r="AM399" s="46"/>
      <c r="AN399" s="46"/>
      <c r="AO399" s="46"/>
      <c r="AP399" s="46"/>
      <c r="AQ399" s="46"/>
      <c r="AR399" s="46"/>
      <c r="AS399" s="46"/>
      <c r="AT399" s="46"/>
      <c r="AU399" s="46"/>
      <c r="AV399" s="46"/>
      <c r="AW399" s="46"/>
      <c r="AX399" s="44"/>
      <c r="AY399" s="44"/>
      <c r="AZ399" s="44">
        <v>1</v>
      </c>
      <c r="BA399" s="46"/>
      <c r="BB399" s="34"/>
      <c r="BC399" s="34"/>
    </row>
    <row r="400" spans="1:55" customFormat="1" ht="21" customHeight="1" x14ac:dyDescent="0.25">
      <c r="A400" s="22"/>
      <c r="B400" s="42" t="s">
        <v>499</v>
      </c>
      <c r="C400" s="42" t="s">
        <v>246</v>
      </c>
      <c r="D400" s="42" t="s">
        <v>853</v>
      </c>
      <c r="E400" s="34" t="s">
        <v>854</v>
      </c>
      <c r="F400" s="46"/>
      <c r="G400" s="46"/>
      <c r="H400" s="34"/>
      <c r="I400" s="46"/>
      <c r="J400" s="46"/>
      <c r="K400" s="46"/>
      <c r="L400" s="46"/>
      <c r="M400" s="46"/>
      <c r="N400" s="42"/>
      <c r="O400" s="42"/>
      <c r="P400" s="46"/>
      <c r="Q400" s="46"/>
      <c r="R400" s="46"/>
      <c r="S400" s="46"/>
      <c r="T400" s="46"/>
      <c r="U400" s="46"/>
      <c r="V400" s="46"/>
      <c r="W400" s="46"/>
      <c r="X400" s="46"/>
      <c r="Y400" s="42"/>
      <c r="Z400" s="42"/>
      <c r="AA400" s="34"/>
      <c r="AB400" s="34"/>
      <c r="AC400" s="46"/>
      <c r="AD400" s="46"/>
      <c r="AE400" s="46"/>
      <c r="AF400" s="46"/>
      <c r="AG400" s="46"/>
      <c r="AH400" s="46"/>
      <c r="AI400" s="46"/>
      <c r="AJ400" s="42"/>
      <c r="AK400" s="42"/>
      <c r="AL400" s="46"/>
      <c r="AM400" s="46"/>
      <c r="AN400" s="46"/>
      <c r="AO400" s="46"/>
      <c r="AP400" s="46"/>
      <c r="AQ400" s="46"/>
      <c r="AR400" s="46"/>
      <c r="AS400" s="46"/>
      <c r="AT400" s="46"/>
      <c r="AU400" s="46"/>
      <c r="AV400" s="46"/>
      <c r="AW400" s="46"/>
      <c r="AX400" s="44"/>
      <c r="AY400" s="44"/>
      <c r="AZ400" s="44"/>
      <c r="BA400" s="46"/>
      <c r="BB400" s="34"/>
      <c r="BC400" s="34"/>
    </row>
    <row r="401" spans="1:55" customFormat="1" ht="21" customHeight="1" x14ac:dyDescent="0.25">
      <c r="A401" s="22"/>
      <c r="B401" s="42" t="s">
        <v>499</v>
      </c>
      <c r="C401" s="42" t="s">
        <v>246</v>
      </c>
      <c r="D401" s="42" t="s">
        <v>855</v>
      </c>
      <c r="E401" s="34" t="s">
        <v>856</v>
      </c>
      <c r="F401" s="46"/>
      <c r="G401" s="46"/>
      <c r="H401" s="34"/>
      <c r="I401" s="46"/>
      <c r="J401" s="46"/>
      <c r="K401" s="46"/>
      <c r="L401" s="46"/>
      <c r="M401" s="46"/>
      <c r="N401" s="42"/>
      <c r="O401" s="42"/>
      <c r="P401" s="46"/>
      <c r="Q401" s="46">
        <v>1</v>
      </c>
      <c r="R401" s="46"/>
      <c r="S401" s="46"/>
      <c r="T401" s="46"/>
      <c r="U401" s="46"/>
      <c r="V401" s="46"/>
      <c r="W401" s="46"/>
      <c r="X401" s="46"/>
      <c r="Y401" s="42"/>
      <c r="Z401" s="42"/>
      <c r="AA401" s="34"/>
      <c r="AB401" s="42">
        <v>1</v>
      </c>
      <c r="AC401" s="46"/>
      <c r="AD401" s="46"/>
      <c r="AE401" s="46"/>
      <c r="AF401" s="46"/>
      <c r="AG401" s="46"/>
      <c r="AH401" s="46"/>
      <c r="AI401" s="46"/>
      <c r="AJ401" s="42"/>
      <c r="AK401" s="42"/>
      <c r="AL401" s="46"/>
      <c r="AM401" s="46"/>
      <c r="AN401" s="46"/>
      <c r="AO401" s="46"/>
      <c r="AP401" s="46"/>
      <c r="AQ401" s="46"/>
      <c r="AR401" s="46"/>
      <c r="AS401" s="46"/>
      <c r="AT401" s="46"/>
      <c r="AU401" s="46"/>
      <c r="AV401" s="46"/>
      <c r="AW401" s="46"/>
      <c r="AX401" s="44"/>
      <c r="AY401" s="44"/>
      <c r="AZ401" s="44"/>
      <c r="BA401" s="46"/>
      <c r="BB401" s="34"/>
      <c r="BC401" s="34"/>
    </row>
    <row r="402" spans="1:55" customFormat="1" ht="21" customHeight="1" x14ac:dyDescent="0.25">
      <c r="A402" s="22"/>
      <c r="B402" s="42" t="s">
        <v>499</v>
      </c>
      <c r="C402" s="42" t="s">
        <v>246</v>
      </c>
      <c r="D402" s="42" t="s">
        <v>857</v>
      </c>
      <c r="E402" s="34" t="s">
        <v>858</v>
      </c>
      <c r="F402" s="46"/>
      <c r="G402" s="46"/>
      <c r="H402" s="34"/>
      <c r="I402" s="46"/>
      <c r="J402" s="46"/>
      <c r="K402" s="46"/>
      <c r="L402" s="46"/>
      <c r="M402" s="46"/>
      <c r="N402" s="42"/>
      <c r="O402" s="42"/>
      <c r="P402" s="46"/>
      <c r="Q402" s="46"/>
      <c r="R402" s="46"/>
      <c r="S402" s="46"/>
      <c r="T402" s="46"/>
      <c r="U402" s="46"/>
      <c r="V402" s="46"/>
      <c r="W402" s="46"/>
      <c r="X402" s="46"/>
      <c r="Y402" s="42">
        <v>1</v>
      </c>
      <c r="Z402" s="42"/>
      <c r="AA402" s="34"/>
      <c r="AB402" s="34"/>
      <c r="AC402" s="46"/>
      <c r="AD402" s="46"/>
      <c r="AE402" s="46"/>
      <c r="AF402" s="46"/>
      <c r="AG402" s="46"/>
      <c r="AH402" s="46"/>
      <c r="AI402" s="46"/>
      <c r="AJ402" s="42"/>
      <c r="AK402" s="42"/>
      <c r="AL402" s="46"/>
      <c r="AM402" s="46"/>
      <c r="AN402" s="46"/>
      <c r="AO402" s="46"/>
      <c r="AP402" s="46"/>
      <c r="AQ402" s="46"/>
      <c r="AR402" s="46"/>
      <c r="AS402" s="46"/>
      <c r="AT402" s="46"/>
      <c r="AU402" s="46"/>
      <c r="AV402" s="46"/>
      <c r="AW402" s="46"/>
      <c r="AX402" s="44"/>
      <c r="AY402" s="44"/>
      <c r="AZ402" s="44"/>
      <c r="BA402" s="46"/>
      <c r="BB402" s="34"/>
      <c r="BC402" s="34"/>
    </row>
    <row r="403" spans="1:55" customFormat="1" ht="21" customHeight="1" x14ac:dyDescent="0.25">
      <c r="A403" s="22"/>
      <c r="B403" s="42" t="s">
        <v>499</v>
      </c>
      <c r="C403" s="42" t="s">
        <v>246</v>
      </c>
      <c r="D403" s="42" t="s">
        <v>859</v>
      </c>
      <c r="E403" s="34" t="s">
        <v>860</v>
      </c>
      <c r="F403" s="46"/>
      <c r="G403" s="46"/>
      <c r="H403" s="34"/>
      <c r="I403" s="46"/>
      <c r="J403" s="46"/>
      <c r="K403" s="46"/>
      <c r="L403" s="46"/>
      <c r="M403" s="46"/>
      <c r="N403" s="42"/>
      <c r="O403" s="42"/>
      <c r="P403" s="46"/>
      <c r="Q403" s="46"/>
      <c r="R403" s="46"/>
      <c r="S403" s="46"/>
      <c r="T403" s="46"/>
      <c r="U403" s="46"/>
      <c r="V403" s="46"/>
      <c r="W403" s="46"/>
      <c r="X403" s="46"/>
      <c r="Y403" s="42"/>
      <c r="Z403" s="42"/>
      <c r="AA403" s="34"/>
      <c r="AB403" s="34"/>
      <c r="AC403" s="46"/>
      <c r="AD403" s="46"/>
      <c r="AE403" s="46"/>
      <c r="AF403" s="46"/>
      <c r="AG403" s="46"/>
      <c r="AH403" s="46"/>
      <c r="AI403" s="46"/>
      <c r="AJ403" s="42"/>
      <c r="AK403" s="42"/>
      <c r="AL403" s="46"/>
      <c r="AM403" s="46"/>
      <c r="AN403" s="46"/>
      <c r="AO403" s="46"/>
      <c r="AP403" s="46"/>
      <c r="AQ403" s="46"/>
      <c r="AR403" s="46"/>
      <c r="AS403" s="46"/>
      <c r="AT403" s="46"/>
      <c r="AU403" s="46"/>
      <c r="AV403" s="46"/>
      <c r="AW403" s="46"/>
      <c r="AX403" s="44"/>
      <c r="AY403" s="44"/>
      <c r="AZ403" s="44">
        <v>1</v>
      </c>
      <c r="BA403" s="46"/>
      <c r="BB403" s="34"/>
      <c r="BC403" s="34"/>
    </row>
    <row r="404" spans="1:55" customFormat="1" ht="21" customHeight="1" x14ac:dyDescent="0.25">
      <c r="A404" s="22"/>
      <c r="B404" s="42" t="s">
        <v>499</v>
      </c>
      <c r="C404" s="42" t="s">
        <v>246</v>
      </c>
      <c r="D404" s="42" t="s">
        <v>861</v>
      </c>
      <c r="E404" s="34" t="s">
        <v>862</v>
      </c>
      <c r="F404" s="46"/>
      <c r="G404" s="46"/>
      <c r="H404" s="34"/>
      <c r="I404" s="46"/>
      <c r="J404" s="46"/>
      <c r="K404" s="46"/>
      <c r="L404" s="46"/>
      <c r="M404" s="46"/>
      <c r="N404" s="42">
        <v>1</v>
      </c>
      <c r="O404" s="42"/>
      <c r="P404" s="46"/>
      <c r="Q404" s="46"/>
      <c r="R404" s="46"/>
      <c r="S404" s="46"/>
      <c r="T404" s="46"/>
      <c r="U404" s="46"/>
      <c r="V404" s="46"/>
      <c r="W404" s="46"/>
      <c r="X404" s="46"/>
      <c r="Y404" s="42"/>
      <c r="Z404" s="42"/>
      <c r="AA404" s="34"/>
      <c r="AB404" s="34"/>
      <c r="AC404" s="46"/>
      <c r="AD404" s="46"/>
      <c r="AE404" s="46"/>
      <c r="AF404" s="46"/>
      <c r="AG404" s="46"/>
      <c r="AH404" s="46"/>
      <c r="AI404" s="46"/>
      <c r="AJ404" s="42">
        <v>1</v>
      </c>
      <c r="AK404" s="42"/>
      <c r="AL404" s="46"/>
      <c r="AM404" s="46"/>
      <c r="AN404" s="46"/>
      <c r="AO404" s="46"/>
      <c r="AP404" s="46"/>
      <c r="AQ404" s="46"/>
      <c r="AR404" s="46"/>
      <c r="AS404" s="46"/>
      <c r="AT404" s="46"/>
      <c r="AU404" s="46"/>
      <c r="AV404" s="46"/>
      <c r="AW404" s="46"/>
      <c r="AX404" s="44"/>
      <c r="AY404" s="44"/>
      <c r="AZ404" s="44"/>
      <c r="BA404" s="46"/>
      <c r="BB404" s="34"/>
      <c r="BC404" s="34"/>
    </row>
    <row r="405" spans="1:55" customFormat="1" ht="21" customHeight="1" x14ac:dyDescent="0.25">
      <c r="A405" s="22"/>
      <c r="B405" s="42" t="s">
        <v>499</v>
      </c>
      <c r="C405" s="42" t="s">
        <v>246</v>
      </c>
      <c r="D405" s="42" t="s">
        <v>863</v>
      </c>
      <c r="E405" s="34" t="s">
        <v>864</v>
      </c>
      <c r="F405" s="46"/>
      <c r="G405" s="46"/>
      <c r="H405" s="34"/>
      <c r="I405" s="46"/>
      <c r="J405" s="46"/>
      <c r="K405" s="46"/>
      <c r="L405" s="46"/>
      <c r="M405" s="46"/>
      <c r="N405" s="42"/>
      <c r="O405" s="42"/>
      <c r="P405" s="46"/>
      <c r="Q405" s="46"/>
      <c r="R405" s="46"/>
      <c r="S405" s="46"/>
      <c r="T405" s="46"/>
      <c r="U405" s="46"/>
      <c r="V405" s="46"/>
      <c r="W405" s="46"/>
      <c r="X405" s="46"/>
      <c r="Y405" s="42"/>
      <c r="Z405" s="42">
        <v>1</v>
      </c>
      <c r="AA405" s="34"/>
      <c r="AB405" s="34"/>
      <c r="AC405" s="46"/>
      <c r="AD405" s="46"/>
      <c r="AE405" s="46"/>
      <c r="AF405" s="46"/>
      <c r="AG405" s="46"/>
      <c r="AH405" s="46"/>
      <c r="AI405" s="46"/>
      <c r="AJ405" s="42"/>
      <c r="AK405" s="42"/>
      <c r="AL405" s="46"/>
      <c r="AM405" s="46"/>
      <c r="AN405" s="46"/>
      <c r="AO405" s="46"/>
      <c r="AP405" s="46"/>
      <c r="AQ405" s="46"/>
      <c r="AR405" s="46"/>
      <c r="AS405" s="46"/>
      <c r="AT405" s="46"/>
      <c r="AU405" s="46"/>
      <c r="AV405" s="46"/>
      <c r="AW405" s="44">
        <v>1</v>
      </c>
      <c r="AX405" s="44">
        <v>1</v>
      </c>
      <c r="AY405" s="44"/>
      <c r="AZ405" s="44"/>
      <c r="BA405" s="46"/>
      <c r="BB405" s="34"/>
      <c r="BC405" s="34">
        <v>1</v>
      </c>
    </row>
    <row r="406" spans="1:55" customFormat="1" ht="21" customHeight="1" x14ac:dyDescent="0.25">
      <c r="A406" s="22"/>
      <c r="B406" s="42" t="s">
        <v>499</v>
      </c>
      <c r="C406" s="42" t="s">
        <v>246</v>
      </c>
      <c r="D406" s="42" t="s">
        <v>865</v>
      </c>
      <c r="E406" s="34" t="s">
        <v>866</v>
      </c>
      <c r="F406" s="46"/>
      <c r="G406" s="46"/>
      <c r="H406" s="34"/>
      <c r="I406" s="46"/>
      <c r="J406" s="46"/>
      <c r="K406" s="46"/>
      <c r="L406" s="46"/>
      <c r="M406" s="46"/>
      <c r="N406" s="42">
        <v>1</v>
      </c>
      <c r="O406" s="42">
        <v>1</v>
      </c>
      <c r="P406" s="46"/>
      <c r="Q406" s="46"/>
      <c r="R406" s="46"/>
      <c r="S406" s="46"/>
      <c r="T406" s="46"/>
      <c r="U406" s="46"/>
      <c r="V406" s="46"/>
      <c r="W406" s="46"/>
      <c r="X406" s="46"/>
      <c r="Y406" s="42"/>
      <c r="Z406" s="42"/>
      <c r="AA406" s="34"/>
      <c r="AB406" s="34"/>
      <c r="AC406" s="46"/>
      <c r="AD406" s="46"/>
      <c r="AE406" s="46"/>
      <c r="AF406" s="46"/>
      <c r="AG406" s="46"/>
      <c r="AH406" s="46"/>
      <c r="AI406" s="46"/>
      <c r="AJ406" s="42"/>
      <c r="AK406" s="42">
        <v>1</v>
      </c>
      <c r="AL406" s="46"/>
      <c r="AM406" s="46"/>
      <c r="AN406" s="46"/>
      <c r="AO406" s="46"/>
      <c r="AP406" s="46"/>
      <c r="AQ406" s="46"/>
      <c r="AR406" s="46"/>
      <c r="AS406" s="46"/>
      <c r="AT406" s="46"/>
      <c r="AU406" s="46"/>
      <c r="AV406" s="46"/>
      <c r="AW406" s="44">
        <v>1</v>
      </c>
      <c r="AX406" s="44">
        <v>1</v>
      </c>
      <c r="AY406" s="44"/>
      <c r="AZ406" s="44"/>
      <c r="BA406" s="46"/>
      <c r="BB406" s="34"/>
      <c r="BC406" s="34"/>
    </row>
    <row r="407" spans="1:55" customFormat="1" ht="21" customHeight="1" x14ac:dyDescent="0.25">
      <c r="A407" s="22"/>
      <c r="B407" s="42" t="s">
        <v>499</v>
      </c>
      <c r="C407" s="42" t="s">
        <v>246</v>
      </c>
      <c r="D407" s="42" t="s">
        <v>867</v>
      </c>
      <c r="E407" s="34" t="s">
        <v>868</v>
      </c>
      <c r="F407" s="46"/>
      <c r="G407" s="46"/>
      <c r="H407" s="34"/>
      <c r="I407" s="46"/>
      <c r="J407" s="46"/>
      <c r="K407" s="46"/>
      <c r="L407" s="46"/>
      <c r="M407" s="46"/>
      <c r="N407" s="42"/>
      <c r="O407" s="42"/>
      <c r="P407" s="46"/>
      <c r="Q407" s="46"/>
      <c r="R407" s="46"/>
      <c r="S407" s="46"/>
      <c r="T407" s="46"/>
      <c r="U407" s="46"/>
      <c r="V407" s="46"/>
      <c r="W407" s="46"/>
      <c r="X407" s="46"/>
      <c r="Y407" s="42"/>
      <c r="Z407" s="42"/>
      <c r="AA407" s="34"/>
      <c r="AB407" s="34"/>
      <c r="AC407" s="46"/>
      <c r="AD407" s="46"/>
      <c r="AE407" s="46"/>
      <c r="AF407" s="46"/>
      <c r="AG407" s="46"/>
      <c r="AH407" s="46"/>
      <c r="AI407" s="46"/>
      <c r="AJ407" s="42"/>
      <c r="AK407" s="42">
        <v>1</v>
      </c>
      <c r="AL407" s="46"/>
      <c r="AM407" s="46"/>
      <c r="AN407" s="46"/>
      <c r="AO407" s="46"/>
      <c r="AP407" s="46"/>
      <c r="AQ407" s="46"/>
      <c r="AR407" s="46"/>
      <c r="AS407" s="46"/>
      <c r="AT407" s="46"/>
      <c r="AU407" s="46"/>
      <c r="AV407" s="46"/>
      <c r="AW407" s="46"/>
      <c r="AX407" s="44"/>
      <c r="AY407" s="44"/>
      <c r="AZ407" s="44"/>
      <c r="BA407" s="46"/>
      <c r="BB407" s="34"/>
      <c r="BC407" s="34"/>
    </row>
    <row r="408" spans="1:55" customFormat="1" ht="21" customHeight="1" x14ac:dyDescent="0.25">
      <c r="A408" s="22"/>
      <c r="B408" s="42" t="s">
        <v>499</v>
      </c>
      <c r="C408" s="42" t="s">
        <v>246</v>
      </c>
      <c r="D408" s="42" t="s">
        <v>869</v>
      </c>
      <c r="E408" s="34" t="s">
        <v>870</v>
      </c>
      <c r="F408" s="46"/>
      <c r="G408" s="46"/>
      <c r="H408" s="34"/>
      <c r="I408" s="46"/>
      <c r="J408" s="46"/>
      <c r="K408" s="46"/>
      <c r="L408" s="46"/>
      <c r="M408" s="46"/>
      <c r="N408" s="42">
        <v>1</v>
      </c>
      <c r="O408" s="42">
        <v>1</v>
      </c>
      <c r="P408" s="46"/>
      <c r="Q408" s="46"/>
      <c r="R408" s="46"/>
      <c r="S408" s="46"/>
      <c r="T408" s="46"/>
      <c r="U408" s="46"/>
      <c r="V408" s="46"/>
      <c r="W408" s="46"/>
      <c r="X408" s="46"/>
      <c r="Y408" s="42"/>
      <c r="Z408" s="42"/>
      <c r="AA408" s="34"/>
      <c r="AB408" s="42">
        <v>1</v>
      </c>
      <c r="AC408" s="46"/>
      <c r="AD408" s="46"/>
      <c r="AE408" s="46"/>
      <c r="AF408" s="46"/>
      <c r="AG408" s="46"/>
      <c r="AH408" s="46"/>
      <c r="AI408" s="46"/>
      <c r="AJ408" s="42">
        <v>1</v>
      </c>
      <c r="AK408" s="42"/>
      <c r="AL408" s="46"/>
      <c r="AM408" s="46"/>
      <c r="AN408" s="46"/>
      <c r="AO408" s="46"/>
      <c r="AP408" s="46"/>
      <c r="AQ408" s="46"/>
      <c r="AR408" s="46"/>
      <c r="AS408" s="46"/>
      <c r="AT408" s="46"/>
      <c r="AU408" s="46"/>
      <c r="AV408" s="46"/>
      <c r="AW408" s="46"/>
      <c r="AX408" s="44"/>
      <c r="AY408" s="44">
        <v>1</v>
      </c>
      <c r="AZ408" s="44"/>
      <c r="BA408" s="46"/>
      <c r="BB408" s="34"/>
      <c r="BC408" s="34"/>
    </row>
    <row r="409" spans="1:55" customFormat="1" ht="21" customHeight="1" x14ac:dyDescent="0.25">
      <c r="A409" s="22"/>
      <c r="B409" s="42" t="s">
        <v>499</v>
      </c>
      <c r="C409" s="42" t="s">
        <v>246</v>
      </c>
      <c r="D409" s="42" t="s">
        <v>871</v>
      </c>
      <c r="E409" s="34" t="s">
        <v>872</v>
      </c>
      <c r="F409" s="46"/>
      <c r="G409" s="46"/>
      <c r="H409" s="34"/>
      <c r="I409" s="46"/>
      <c r="J409" s="46"/>
      <c r="K409" s="46"/>
      <c r="L409" s="46"/>
      <c r="M409" s="46"/>
      <c r="N409" s="42"/>
      <c r="O409" s="42"/>
      <c r="P409" s="46"/>
      <c r="Q409" s="46"/>
      <c r="R409" s="46"/>
      <c r="S409" s="46"/>
      <c r="T409" s="46"/>
      <c r="U409" s="46"/>
      <c r="V409" s="46"/>
      <c r="W409" s="46"/>
      <c r="X409" s="46"/>
      <c r="Y409" s="42"/>
      <c r="Z409" s="42"/>
      <c r="AA409" s="42">
        <v>1</v>
      </c>
      <c r="AB409" s="34"/>
      <c r="AC409" s="46"/>
      <c r="AD409" s="46"/>
      <c r="AE409" s="46"/>
      <c r="AF409" s="46"/>
      <c r="AG409" s="46"/>
      <c r="AH409" s="46"/>
      <c r="AI409" s="46"/>
      <c r="AJ409" s="42">
        <v>1</v>
      </c>
      <c r="AK409" s="42"/>
      <c r="AL409" s="42"/>
      <c r="AM409" s="46"/>
      <c r="AN409" s="46"/>
      <c r="AO409" s="46"/>
      <c r="AP409" s="46"/>
      <c r="AQ409" s="46"/>
      <c r="AR409" s="46"/>
      <c r="AS409" s="46"/>
      <c r="AT409" s="46"/>
      <c r="AU409" s="46"/>
      <c r="AV409" s="46"/>
      <c r="AW409" s="46"/>
      <c r="AX409" s="44"/>
      <c r="AY409" s="44"/>
      <c r="AZ409" s="44"/>
      <c r="BA409" s="46"/>
      <c r="BB409" s="34"/>
      <c r="BC409" s="34"/>
    </row>
    <row r="410" spans="1:55" customFormat="1" ht="21" customHeight="1" x14ac:dyDescent="0.25">
      <c r="A410" s="22"/>
      <c r="B410" s="42" t="s">
        <v>499</v>
      </c>
      <c r="C410" s="42" t="s">
        <v>246</v>
      </c>
      <c r="D410" s="42" t="s">
        <v>873</v>
      </c>
      <c r="E410" s="34" t="s">
        <v>874</v>
      </c>
      <c r="F410" s="46"/>
      <c r="G410" s="46"/>
      <c r="H410" s="34"/>
      <c r="I410" s="46"/>
      <c r="J410" s="46"/>
      <c r="K410" s="46"/>
      <c r="L410" s="46"/>
      <c r="M410" s="46"/>
      <c r="N410" s="42"/>
      <c r="O410" s="42">
        <v>1</v>
      </c>
      <c r="P410" s="42">
        <v>1</v>
      </c>
      <c r="Q410" s="42">
        <v>1</v>
      </c>
      <c r="R410" s="46"/>
      <c r="S410" s="46"/>
      <c r="T410" s="46"/>
      <c r="U410" s="46"/>
      <c r="V410" s="46"/>
      <c r="W410" s="46"/>
      <c r="X410" s="46"/>
      <c r="Y410" s="42"/>
      <c r="Z410" s="42">
        <v>1</v>
      </c>
      <c r="AA410" s="42">
        <v>1</v>
      </c>
      <c r="AB410" s="42">
        <v>1</v>
      </c>
      <c r="AC410" s="46"/>
      <c r="AD410" s="46"/>
      <c r="AE410" s="46"/>
      <c r="AF410" s="46"/>
      <c r="AG410" s="46"/>
      <c r="AH410" s="46"/>
      <c r="AI410" s="46"/>
      <c r="AJ410" s="42"/>
      <c r="AK410" s="42">
        <v>1</v>
      </c>
      <c r="AL410" s="42"/>
      <c r="AM410" s="42">
        <v>1</v>
      </c>
      <c r="AN410" s="46"/>
      <c r="AO410" s="46"/>
      <c r="AP410" s="46"/>
      <c r="AQ410" s="46"/>
      <c r="AR410" s="46"/>
      <c r="AS410" s="46"/>
      <c r="AT410" s="46"/>
      <c r="AU410" s="46"/>
      <c r="AV410" s="46"/>
      <c r="AW410" s="44">
        <v>1</v>
      </c>
      <c r="AX410" s="44">
        <v>1</v>
      </c>
      <c r="AY410" s="44">
        <v>1</v>
      </c>
      <c r="AZ410" s="44">
        <v>1</v>
      </c>
      <c r="BA410" s="34">
        <v>1</v>
      </c>
      <c r="BB410" s="34">
        <v>1</v>
      </c>
      <c r="BC410" s="34">
        <v>1</v>
      </c>
    </row>
    <row r="411" spans="1:55" customFormat="1" ht="21" customHeight="1" x14ac:dyDescent="0.25">
      <c r="A411" s="22"/>
      <c r="B411" s="42" t="s">
        <v>499</v>
      </c>
      <c r="C411" s="42" t="s">
        <v>246</v>
      </c>
      <c r="D411" s="42" t="s">
        <v>875</v>
      </c>
      <c r="E411" s="34" t="s">
        <v>876</v>
      </c>
      <c r="F411" s="46"/>
      <c r="G411" s="46"/>
      <c r="H411" s="34"/>
      <c r="I411" s="46"/>
      <c r="J411" s="46"/>
      <c r="K411" s="46"/>
      <c r="L411" s="46"/>
      <c r="M411" s="46"/>
      <c r="N411" s="42"/>
      <c r="O411" s="42"/>
      <c r="P411" s="46"/>
      <c r="Q411" s="42">
        <v>1</v>
      </c>
      <c r="R411" s="46"/>
      <c r="S411" s="46"/>
      <c r="T411" s="46"/>
      <c r="U411" s="46"/>
      <c r="V411" s="46"/>
      <c r="W411" s="46"/>
      <c r="X411" s="46"/>
      <c r="Y411" s="42"/>
      <c r="Z411" s="42"/>
      <c r="AA411" s="34"/>
      <c r="AB411" s="34"/>
      <c r="AC411" s="46"/>
      <c r="AD411" s="46"/>
      <c r="AE411" s="46"/>
      <c r="AF411" s="46"/>
      <c r="AG411" s="46"/>
      <c r="AH411" s="46"/>
      <c r="AI411" s="46"/>
      <c r="AJ411" s="42"/>
      <c r="AK411" s="42"/>
      <c r="AL411" s="42">
        <v>1</v>
      </c>
      <c r="AM411" s="46">
        <v>1</v>
      </c>
      <c r="AN411" s="46"/>
      <c r="AO411" s="46"/>
      <c r="AP411" s="46"/>
      <c r="AQ411" s="46"/>
      <c r="AR411" s="46"/>
      <c r="AS411" s="46"/>
      <c r="AT411" s="46"/>
      <c r="AU411" s="46"/>
      <c r="AV411" s="46"/>
      <c r="AW411" s="46"/>
      <c r="AX411" s="44"/>
      <c r="AY411" s="44"/>
      <c r="AZ411" s="44"/>
      <c r="BA411" s="46"/>
      <c r="BB411" s="34"/>
      <c r="BC411" s="34"/>
    </row>
    <row r="412" spans="1:55" customFormat="1" ht="21" customHeight="1" x14ac:dyDescent="0.25">
      <c r="A412" s="22"/>
      <c r="B412" s="42" t="s">
        <v>499</v>
      </c>
      <c r="C412" s="42" t="s">
        <v>246</v>
      </c>
      <c r="D412" s="42" t="s">
        <v>877</v>
      </c>
      <c r="E412" s="34" t="s">
        <v>878</v>
      </c>
      <c r="F412" s="46"/>
      <c r="G412" s="46"/>
      <c r="H412" s="34"/>
      <c r="I412" s="46"/>
      <c r="J412" s="46"/>
      <c r="K412" s="46"/>
      <c r="L412" s="46"/>
      <c r="M412" s="46"/>
      <c r="N412" s="42"/>
      <c r="O412" s="42"/>
      <c r="P412" s="46"/>
      <c r="Q412" s="46"/>
      <c r="R412" s="46"/>
      <c r="S412" s="46"/>
      <c r="T412" s="46"/>
      <c r="U412" s="46"/>
      <c r="V412" s="46"/>
      <c r="W412" s="46"/>
      <c r="X412" s="46"/>
      <c r="Y412" s="42"/>
      <c r="Z412" s="42"/>
      <c r="AA412" s="34"/>
      <c r="AB412" s="34"/>
      <c r="AC412" s="46"/>
      <c r="AD412" s="46"/>
      <c r="AE412" s="46"/>
      <c r="AF412" s="46"/>
      <c r="AG412" s="46"/>
      <c r="AH412" s="46"/>
      <c r="AI412" s="46"/>
      <c r="AJ412" s="42"/>
      <c r="AK412" s="42"/>
      <c r="AL412" s="46"/>
      <c r="AM412" s="46"/>
      <c r="AN412" s="46"/>
      <c r="AO412" s="46"/>
      <c r="AP412" s="46"/>
      <c r="AQ412" s="46"/>
      <c r="AR412" s="46"/>
      <c r="AS412" s="46"/>
      <c r="AT412" s="46"/>
      <c r="AU412" s="46"/>
      <c r="AV412" s="46"/>
      <c r="AW412" s="46"/>
      <c r="AX412" s="44"/>
      <c r="AY412" s="44"/>
      <c r="AZ412" s="44"/>
      <c r="BA412" s="46"/>
      <c r="BB412" s="34"/>
      <c r="BC412" s="34"/>
    </row>
    <row r="413" spans="1:55" customFormat="1" ht="21" customHeight="1" x14ac:dyDescent="0.25">
      <c r="A413" s="22"/>
      <c r="B413" s="42" t="s">
        <v>499</v>
      </c>
      <c r="C413" s="42" t="s">
        <v>246</v>
      </c>
      <c r="D413" s="42" t="s">
        <v>879</v>
      </c>
      <c r="E413" s="34" t="s">
        <v>880</v>
      </c>
      <c r="F413" s="46"/>
      <c r="G413" s="46"/>
      <c r="H413" s="34"/>
      <c r="I413" s="46"/>
      <c r="J413" s="46"/>
      <c r="K413" s="46"/>
      <c r="L413" s="46"/>
      <c r="M413" s="46"/>
      <c r="N413" s="42"/>
      <c r="O413" s="42"/>
      <c r="P413" s="46"/>
      <c r="Q413" s="46"/>
      <c r="R413" s="46"/>
      <c r="S413" s="46"/>
      <c r="T413" s="46"/>
      <c r="U413" s="46"/>
      <c r="V413" s="46"/>
      <c r="W413" s="46"/>
      <c r="X413" s="46"/>
      <c r="Y413" s="42"/>
      <c r="Z413" s="42"/>
      <c r="AA413" s="34"/>
      <c r="AB413" s="34"/>
      <c r="AC413" s="46"/>
      <c r="AD413" s="46"/>
      <c r="AE413" s="46"/>
      <c r="AF413" s="46"/>
      <c r="AG413" s="46"/>
      <c r="AH413" s="46"/>
      <c r="AI413" s="46"/>
      <c r="AJ413" s="42"/>
      <c r="AK413" s="42"/>
      <c r="AL413" s="46"/>
      <c r="AM413" s="46"/>
      <c r="AN413" s="46"/>
      <c r="AO413" s="46"/>
      <c r="AP413" s="46"/>
      <c r="AQ413" s="46"/>
      <c r="AR413" s="46"/>
      <c r="AS413" s="46"/>
      <c r="AT413" s="46"/>
      <c r="AU413" s="46"/>
      <c r="AV413" s="46"/>
      <c r="AW413" s="44">
        <v>1</v>
      </c>
      <c r="AX413" s="44">
        <v>1</v>
      </c>
      <c r="AY413" s="44"/>
      <c r="AZ413" s="44"/>
      <c r="BA413" s="46"/>
      <c r="BB413" s="34"/>
      <c r="BC413" s="34"/>
    </row>
    <row r="414" spans="1:55" customFormat="1" ht="21" customHeight="1" x14ac:dyDescent="0.25">
      <c r="A414" s="22"/>
      <c r="B414" s="42" t="s">
        <v>499</v>
      </c>
      <c r="C414" s="42" t="s">
        <v>246</v>
      </c>
      <c r="D414" s="42" t="s">
        <v>881</v>
      </c>
      <c r="E414" s="34" t="s">
        <v>882</v>
      </c>
      <c r="F414" s="46"/>
      <c r="G414" s="46"/>
      <c r="H414" s="34"/>
      <c r="I414" s="46"/>
      <c r="J414" s="46"/>
      <c r="K414" s="46"/>
      <c r="L414" s="46"/>
      <c r="M414" s="46"/>
      <c r="N414" s="42"/>
      <c r="O414" s="42">
        <v>1</v>
      </c>
      <c r="P414" s="46"/>
      <c r="Q414" s="46"/>
      <c r="R414" s="46"/>
      <c r="S414" s="46"/>
      <c r="T414" s="46"/>
      <c r="U414" s="46"/>
      <c r="V414" s="46"/>
      <c r="W414" s="46"/>
      <c r="X414" s="46"/>
      <c r="Y414" s="42"/>
      <c r="Z414" s="42"/>
      <c r="AA414" s="34"/>
      <c r="AB414" s="34"/>
      <c r="AC414" s="46"/>
      <c r="AD414" s="46"/>
      <c r="AE414" s="46"/>
      <c r="AF414" s="46"/>
      <c r="AG414" s="46"/>
      <c r="AH414" s="46"/>
      <c r="AI414" s="46"/>
      <c r="AJ414" s="42"/>
      <c r="AK414" s="42">
        <v>1</v>
      </c>
      <c r="AL414" s="46"/>
      <c r="AM414" s="46"/>
      <c r="AN414" s="46"/>
      <c r="AO414" s="46"/>
      <c r="AP414" s="46"/>
      <c r="AQ414" s="46"/>
      <c r="AR414" s="46"/>
      <c r="AS414" s="46"/>
      <c r="AT414" s="46"/>
      <c r="AU414" s="46"/>
      <c r="AV414" s="46"/>
      <c r="AW414" s="46"/>
      <c r="AX414" s="44"/>
      <c r="AY414" s="44"/>
      <c r="AZ414" s="44"/>
      <c r="BA414" s="46"/>
      <c r="BB414" s="34"/>
      <c r="BC414" s="34"/>
    </row>
    <row r="415" spans="1:55" customFormat="1" ht="21" customHeight="1" x14ac:dyDescent="0.25">
      <c r="A415" s="22"/>
      <c r="B415" s="42" t="s">
        <v>499</v>
      </c>
      <c r="C415" s="42" t="s">
        <v>246</v>
      </c>
      <c r="D415" s="42" t="s">
        <v>883</v>
      </c>
      <c r="E415" s="34" t="s">
        <v>884</v>
      </c>
      <c r="F415" s="46"/>
      <c r="G415" s="46"/>
      <c r="H415" s="34"/>
      <c r="I415" s="46"/>
      <c r="J415" s="46"/>
      <c r="K415" s="46"/>
      <c r="L415" s="46"/>
      <c r="M415" s="46"/>
      <c r="N415" s="42"/>
      <c r="O415" s="42"/>
      <c r="P415" s="46"/>
      <c r="Q415" s="46"/>
      <c r="R415" s="46"/>
      <c r="S415" s="46"/>
      <c r="T415" s="46"/>
      <c r="U415" s="46"/>
      <c r="V415" s="46"/>
      <c r="W415" s="46"/>
      <c r="X415" s="46"/>
      <c r="Y415" s="42"/>
      <c r="Z415" s="42"/>
      <c r="AA415" s="34"/>
      <c r="AB415" s="34"/>
      <c r="AC415" s="46"/>
      <c r="AD415" s="46"/>
      <c r="AE415" s="46"/>
      <c r="AF415" s="46"/>
      <c r="AG415" s="46"/>
      <c r="AH415" s="46"/>
      <c r="AI415" s="46"/>
      <c r="AJ415" s="42"/>
      <c r="AK415" s="42"/>
      <c r="AL415" s="46"/>
      <c r="AM415" s="46"/>
      <c r="AN415" s="46"/>
      <c r="AO415" s="46"/>
      <c r="AP415" s="46"/>
      <c r="AQ415" s="46"/>
      <c r="AR415" s="46"/>
      <c r="AS415" s="46"/>
      <c r="AT415" s="46"/>
      <c r="AU415" s="46"/>
      <c r="AV415" s="46"/>
      <c r="AW415" s="46">
        <v>1</v>
      </c>
      <c r="AX415" s="44">
        <v>1</v>
      </c>
      <c r="AY415" s="44"/>
      <c r="AZ415" s="44"/>
      <c r="BA415" s="46"/>
      <c r="BB415" s="34"/>
      <c r="BC415" s="34"/>
    </row>
    <row r="416" spans="1:55" customFormat="1" ht="21" customHeight="1" x14ac:dyDescent="0.25">
      <c r="A416" s="22"/>
      <c r="B416" s="42" t="s">
        <v>499</v>
      </c>
      <c r="C416" s="42" t="s">
        <v>246</v>
      </c>
      <c r="D416" s="42" t="s">
        <v>885</v>
      </c>
      <c r="E416" s="34" t="s">
        <v>886</v>
      </c>
      <c r="F416" s="46"/>
      <c r="G416" s="46"/>
      <c r="H416" s="34"/>
      <c r="I416" s="46"/>
      <c r="J416" s="46"/>
      <c r="K416" s="46"/>
      <c r="L416" s="46"/>
      <c r="M416" s="46"/>
      <c r="N416" s="42">
        <v>1</v>
      </c>
      <c r="O416" s="42"/>
      <c r="P416" s="46"/>
      <c r="Q416" s="46"/>
      <c r="R416" s="46"/>
      <c r="S416" s="46"/>
      <c r="T416" s="46"/>
      <c r="U416" s="46"/>
      <c r="V416" s="46"/>
      <c r="W416" s="46"/>
      <c r="X416" s="46"/>
      <c r="Y416" s="42"/>
      <c r="Z416" s="42"/>
      <c r="AA416" s="34"/>
      <c r="AB416" s="34"/>
      <c r="AC416" s="46"/>
      <c r="AD416" s="46"/>
      <c r="AE416" s="46"/>
      <c r="AF416" s="46"/>
      <c r="AG416" s="46"/>
      <c r="AH416" s="46"/>
      <c r="AI416" s="46"/>
      <c r="AJ416" s="42">
        <v>1</v>
      </c>
      <c r="AK416" s="42"/>
      <c r="AL416" s="46"/>
      <c r="AM416" s="46"/>
      <c r="AN416" s="46"/>
      <c r="AO416" s="46"/>
      <c r="AP416" s="46"/>
      <c r="AQ416" s="46"/>
      <c r="AR416" s="46"/>
      <c r="AS416" s="46"/>
      <c r="AT416" s="46"/>
      <c r="AU416" s="46"/>
      <c r="AV416" s="46"/>
      <c r="AW416" s="46"/>
      <c r="AX416" s="44"/>
      <c r="AY416" s="44"/>
      <c r="AZ416" s="44"/>
      <c r="BA416" s="46"/>
      <c r="BB416" s="34"/>
      <c r="BC416" s="34"/>
    </row>
    <row r="417" spans="1:55" customFormat="1" ht="21" customHeight="1" x14ac:dyDescent="0.25">
      <c r="A417" s="22"/>
      <c r="B417" s="42" t="s">
        <v>499</v>
      </c>
      <c r="C417" s="42" t="s">
        <v>253</v>
      </c>
      <c r="D417" s="42" t="s">
        <v>887</v>
      </c>
      <c r="E417" s="34" t="s">
        <v>888</v>
      </c>
      <c r="F417" s="46"/>
      <c r="G417" s="46"/>
      <c r="H417" s="34"/>
      <c r="I417" s="46"/>
      <c r="J417" s="46"/>
      <c r="K417" s="46"/>
      <c r="L417" s="46"/>
      <c r="M417" s="46"/>
      <c r="N417" s="46"/>
      <c r="O417" s="42"/>
      <c r="P417" s="46"/>
      <c r="Q417" s="46"/>
      <c r="R417" s="46"/>
      <c r="S417" s="46"/>
      <c r="T417" s="46"/>
      <c r="U417" s="46"/>
      <c r="V417" s="46"/>
      <c r="W417" s="46"/>
      <c r="X417" s="46"/>
      <c r="Y417" s="42"/>
      <c r="Z417" s="42"/>
      <c r="AA417" s="34"/>
      <c r="AB417" s="34"/>
      <c r="AC417" s="46"/>
      <c r="AD417" s="46"/>
      <c r="AE417" s="46"/>
      <c r="AF417" s="46"/>
      <c r="AG417" s="46"/>
      <c r="AH417" s="46"/>
      <c r="AI417" s="46"/>
      <c r="AJ417" s="46"/>
      <c r="AK417" s="42"/>
      <c r="AL417" s="46"/>
      <c r="AM417" s="46"/>
      <c r="AN417" s="46"/>
      <c r="AO417" s="46"/>
      <c r="AP417" s="46"/>
      <c r="AQ417" s="46"/>
      <c r="AR417" s="46"/>
      <c r="AS417" s="46"/>
      <c r="AT417" s="46"/>
      <c r="AU417" s="46"/>
      <c r="AV417" s="46"/>
      <c r="AW417" s="46"/>
      <c r="AX417" s="44"/>
      <c r="AY417" s="44"/>
      <c r="AZ417" s="44"/>
      <c r="BA417" s="46"/>
      <c r="BB417" s="34"/>
      <c r="BC417" s="34"/>
    </row>
    <row r="418" spans="1:55" customFormat="1" ht="21" customHeight="1" x14ac:dyDescent="0.25">
      <c r="A418" s="22"/>
      <c r="B418" s="42" t="s">
        <v>499</v>
      </c>
      <c r="C418" s="42" t="s">
        <v>255</v>
      </c>
      <c r="D418" s="42" t="s">
        <v>889</v>
      </c>
      <c r="E418" s="34" t="s">
        <v>890</v>
      </c>
      <c r="F418" s="46"/>
      <c r="G418" s="46"/>
      <c r="H418" s="34"/>
      <c r="I418" s="46"/>
      <c r="J418" s="46"/>
      <c r="K418" s="46"/>
      <c r="L418" s="46"/>
      <c r="M418" s="46"/>
      <c r="N418" s="46"/>
      <c r="O418" s="42">
        <v>1</v>
      </c>
      <c r="P418" s="42">
        <v>1</v>
      </c>
      <c r="Q418" s="42">
        <v>1</v>
      </c>
      <c r="R418" s="46"/>
      <c r="S418" s="46"/>
      <c r="T418" s="46"/>
      <c r="U418" s="46"/>
      <c r="V418" s="46"/>
      <c r="W418" s="46"/>
      <c r="X418" s="46"/>
      <c r="Y418" s="42"/>
      <c r="Z418" s="42">
        <v>1</v>
      </c>
      <c r="AA418" s="42">
        <v>1</v>
      </c>
      <c r="AB418" s="42">
        <v>1</v>
      </c>
      <c r="AC418" s="46"/>
      <c r="AD418" s="46"/>
      <c r="AE418" s="46"/>
      <c r="AF418" s="46"/>
      <c r="AG418" s="46"/>
      <c r="AH418" s="46"/>
      <c r="AI418" s="46"/>
      <c r="AJ418" s="46"/>
      <c r="AK418" s="42">
        <v>1</v>
      </c>
      <c r="AL418" s="42">
        <v>1</v>
      </c>
      <c r="AM418" s="46">
        <v>1</v>
      </c>
      <c r="AN418" s="46"/>
      <c r="AO418" s="46"/>
      <c r="AP418" s="46"/>
      <c r="AQ418" s="46"/>
      <c r="AR418" s="46"/>
      <c r="AS418" s="46"/>
      <c r="AT418" s="46"/>
      <c r="AU418" s="46"/>
      <c r="AV418" s="46"/>
      <c r="AW418" s="46"/>
      <c r="AX418" s="44"/>
      <c r="AY418" s="44">
        <v>1</v>
      </c>
      <c r="AZ418" s="44"/>
      <c r="BA418" s="34">
        <v>1</v>
      </c>
      <c r="BB418" s="34"/>
      <c r="BC418" s="34"/>
    </row>
    <row r="419" spans="1:55" customFormat="1" ht="21" customHeight="1" x14ac:dyDescent="0.25">
      <c r="A419" s="22"/>
      <c r="B419" s="42" t="s">
        <v>499</v>
      </c>
      <c r="C419" s="42" t="s">
        <v>248</v>
      </c>
      <c r="D419" s="42" t="s">
        <v>891</v>
      </c>
      <c r="E419" s="34" t="s">
        <v>892</v>
      </c>
      <c r="F419" s="46"/>
      <c r="G419" s="46"/>
      <c r="H419" s="34"/>
      <c r="I419" s="46"/>
      <c r="J419" s="46"/>
      <c r="K419" s="46"/>
      <c r="L419" s="46"/>
      <c r="M419" s="46"/>
      <c r="N419" s="46"/>
      <c r="O419" s="42"/>
      <c r="P419" s="46"/>
      <c r="Q419" s="46"/>
      <c r="R419" s="46"/>
      <c r="S419" s="46"/>
      <c r="T419" s="46"/>
      <c r="U419" s="46"/>
      <c r="V419" s="46"/>
      <c r="W419" s="46"/>
      <c r="X419" s="46"/>
      <c r="Y419" s="42">
        <v>1</v>
      </c>
      <c r="Z419" s="46"/>
      <c r="AA419" s="34"/>
      <c r="AB419" s="34"/>
      <c r="AC419" s="46"/>
      <c r="AD419" s="46"/>
      <c r="AE419" s="46"/>
      <c r="AF419" s="46"/>
      <c r="AG419" s="46"/>
      <c r="AH419" s="46"/>
      <c r="AI419" s="46"/>
      <c r="AJ419" s="46"/>
      <c r="AK419" s="46"/>
      <c r="AL419" s="46"/>
      <c r="AM419" s="46"/>
      <c r="AN419" s="46"/>
      <c r="AO419" s="46"/>
      <c r="AP419" s="46"/>
      <c r="AQ419" s="46"/>
      <c r="AR419" s="46"/>
      <c r="AS419" s="46"/>
      <c r="AT419" s="46"/>
      <c r="AU419" s="46"/>
      <c r="AV419" s="46"/>
      <c r="AW419" s="44">
        <v>1</v>
      </c>
      <c r="AX419" s="44">
        <v>1</v>
      </c>
      <c r="AY419" s="44"/>
      <c r="AZ419" s="44"/>
      <c r="BA419" s="46"/>
      <c r="BB419" s="34"/>
      <c r="BC419" s="34"/>
    </row>
    <row r="420" spans="1:55" customFormat="1" ht="21" customHeight="1" x14ac:dyDescent="0.25">
      <c r="A420" s="22"/>
      <c r="B420" s="42" t="s">
        <v>893</v>
      </c>
      <c r="C420" s="42" t="s">
        <v>253</v>
      </c>
      <c r="D420" s="42" t="s">
        <v>894</v>
      </c>
      <c r="E420" s="34"/>
      <c r="F420" s="46"/>
      <c r="G420" s="46"/>
      <c r="H420" s="34"/>
      <c r="I420" s="46"/>
      <c r="J420" s="46"/>
      <c r="K420" s="46"/>
      <c r="L420" s="46"/>
      <c r="M420" s="46"/>
      <c r="N420" s="46"/>
      <c r="O420" s="46"/>
      <c r="P420" s="34">
        <v>1</v>
      </c>
      <c r="Q420" s="42">
        <v>1</v>
      </c>
      <c r="R420" s="46"/>
      <c r="S420" s="46"/>
      <c r="T420" s="46"/>
      <c r="U420" s="46"/>
      <c r="V420" s="46"/>
      <c r="W420" s="46"/>
      <c r="X420" s="46"/>
      <c r="Y420" s="46"/>
      <c r="Z420" s="46"/>
      <c r="AA420" s="34">
        <v>1</v>
      </c>
      <c r="AB420" s="42">
        <v>1</v>
      </c>
      <c r="AC420" s="46"/>
      <c r="AD420" s="46"/>
      <c r="AE420" s="46"/>
      <c r="AF420" s="46"/>
      <c r="AG420" s="46"/>
      <c r="AH420" s="46"/>
      <c r="AI420" s="46"/>
      <c r="AJ420" s="46"/>
      <c r="AK420" s="46"/>
      <c r="AL420" s="46"/>
      <c r="AM420" s="42">
        <v>1</v>
      </c>
      <c r="AN420" s="46"/>
      <c r="AO420" s="46"/>
      <c r="AP420" s="46"/>
      <c r="AQ420" s="46"/>
      <c r="AR420" s="46"/>
      <c r="AS420" s="46"/>
      <c r="AT420" s="46"/>
      <c r="AU420" s="46"/>
      <c r="AV420" s="46"/>
      <c r="AW420" s="46"/>
      <c r="AX420" s="44"/>
      <c r="AY420" s="44">
        <v>1</v>
      </c>
      <c r="AZ420" s="44">
        <v>1</v>
      </c>
      <c r="BA420" s="46"/>
      <c r="BB420" s="34">
        <v>1</v>
      </c>
      <c r="BC420" s="34">
        <v>1</v>
      </c>
    </row>
    <row r="421" spans="1:55" customFormat="1" ht="21" customHeight="1" x14ac:dyDescent="0.25">
      <c r="A421" s="22"/>
      <c r="B421" s="42" t="s">
        <v>893</v>
      </c>
      <c r="C421" s="42" t="s">
        <v>246</v>
      </c>
      <c r="D421" s="42" t="s">
        <v>895</v>
      </c>
      <c r="E421" s="34"/>
      <c r="F421" s="46"/>
      <c r="G421" s="46"/>
      <c r="H421" s="34"/>
      <c r="I421" s="46"/>
      <c r="J421" s="46"/>
      <c r="K421" s="46"/>
      <c r="L421" s="46"/>
      <c r="M421" s="46"/>
      <c r="N421" s="46"/>
      <c r="O421" s="46"/>
      <c r="P421" s="34">
        <v>1</v>
      </c>
      <c r="Q421" s="42">
        <v>1</v>
      </c>
      <c r="R421" s="46"/>
      <c r="S421" s="46"/>
      <c r="T421" s="46"/>
      <c r="U421" s="46"/>
      <c r="V421" s="46"/>
      <c r="W421" s="46"/>
      <c r="X421" s="46"/>
      <c r="Y421" s="46"/>
      <c r="Z421" s="46"/>
      <c r="AA421" s="34">
        <v>1</v>
      </c>
      <c r="AB421" s="42">
        <v>1</v>
      </c>
      <c r="AC421" s="46"/>
      <c r="AD421" s="46"/>
      <c r="AE421" s="46"/>
      <c r="AF421" s="46"/>
      <c r="AG421" s="46"/>
      <c r="AH421" s="46"/>
      <c r="AI421" s="46"/>
      <c r="AJ421" s="46"/>
      <c r="AK421" s="46"/>
      <c r="AL421" s="46"/>
      <c r="AM421" s="46"/>
      <c r="AN421" s="46"/>
      <c r="AO421" s="46"/>
      <c r="AP421" s="46"/>
      <c r="AQ421" s="46"/>
      <c r="AR421" s="46"/>
      <c r="AS421" s="46"/>
      <c r="AT421" s="46"/>
      <c r="AU421" s="46"/>
      <c r="AV421" s="46"/>
      <c r="AW421" s="46"/>
      <c r="AX421" s="44"/>
      <c r="AY421" s="44">
        <v>1</v>
      </c>
      <c r="AZ421" s="44">
        <v>1</v>
      </c>
      <c r="BA421" s="34">
        <v>1</v>
      </c>
      <c r="BB421" s="34">
        <v>1</v>
      </c>
      <c r="BC421" s="34">
        <v>1</v>
      </c>
    </row>
    <row r="422" spans="1:55" customFormat="1" ht="21" customHeight="1" x14ac:dyDescent="0.25">
      <c r="A422" s="22"/>
      <c r="B422" s="42" t="s">
        <v>893</v>
      </c>
      <c r="C422" s="42" t="s">
        <v>244</v>
      </c>
      <c r="D422" s="42" t="s">
        <v>896</v>
      </c>
      <c r="E422" s="34"/>
      <c r="F422" s="46"/>
      <c r="G422" s="46"/>
      <c r="H422" s="34"/>
      <c r="I422" s="46"/>
      <c r="J422" s="46"/>
      <c r="K422" s="46"/>
      <c r="L422" s="46"/>
      <c r="M422" s="46"/>
      <c r="N422" s="46"/>
      <c r="O422" s="46"/>
      <c r="P422" s="34">
        <v>1</v>
      </c>
      <c r="Q422" s="42">
        <v>1</v>
      </c>
      <c r="R422" s="46"/>
      <c r="S422" s="46"/>
      <c r="T422" s="46"/>
      <c r="U422" s="46"/>
      <c r="V422" s="46"/>
      <c r="W422" s="46"/>
      <c r="X422" s="46"/>
      <c r="Y422" s="46"/>
      <c r="Z422" s="46"/>
      <c r="AA422" s="34"/>
      <c r="AB422" s="34"/>
      <c r="AC422" s="46"/>
      <c r="AD422" s="46"/>
      <c r="AE422" s="46"/>
      <c r="AF422" s="46"/>
      <c r="AG422" s="46"/>
      <c r="AH422" s="46"/>
      <c r="AI422" s="46"/>
      <c r="AJ422" s="46"/>
      <c r="AK422" s="46"/>
      <c r="AL422" s="46"/>
      <c r="AM422" s="46"/>
      <c r="AN422" s="46"/>
      <c r="AO422" s="46"/>
      <c r="AP422" s="46"/>
      <c r="AQ422" s="46"/>
      <c r="AR422" s="46"/>
      <c r="AS422" s="46"/>
      <c r="AT422" s="46"/>
      <c r="AU422" s="46"/>
      <c r="AV422" s="46"/>
      <c r="AW422" s="46"/>
      <c r="AX422" s="44"/>
      <c r="AY422" s="44">
        <v>1</v>
      </c>
      <c r="AZ422" s="44">
        <v>1</v>
      </c>
      <c r="BA422" s="34">
        <v>1</v>
      </c>
      <c r="BB422" s="34">
        <v>1</v>
      </c>
      <c r="BC422" s="34">
        <v>1</v>
      </c>
    </row>
    <row r="423" spans="1:55" customFormat="1" ht="21" customHeight="1" x14ac:dyDescent="0.25">
      <c r="A423" s="22"/>
      <c r="B423" s="42" t="s">
        <v>893</v>
      </c>
      <c r="C423" s="42" t="s">
        <v>246</v>
      </c>
      <c r="D423" s="42" t="s">
        <v>897</v>
      </c>
      <c r="E423" s="34"/>
      <c r="F423" s="46"/>
      <c r="G423" s="46"/>
      <c r="H423" s="34"/>
      <c r="I423" s="46"/>
      <c r="J423" s="46"/>
      <c r="K423" s="46"/>
      <c r="L423" s="46"/>
      <c r="M423" s="46"/>
      <c r="N423" s="46"/>
      <c r="O423" s="46"/>
      <c r="P423" s="34">
        <v>1</v>
      </c>
      <c r="Q423" s="46">
        <v>1</v>
      </c>
      <c r="R423" s="46"/>
      <c r="S423" s="46"/>
      <c r="T423" s="46"/>
      <c r="U423" s="46"/>
      <c r="V423" s="46"/>
      <c r="W423" s="46"/>
      <c r="X423" s="46"/>
      <c r="Y423" s="46"/>
      <c r="Z423" s="46"/>
      <c r="AA423" s="34"/>
      <c r="AB423" s="42">
        <v>1</v>
      </c>
      <c r="AC423" s="46"/>
      <c r="AD423" s="46"/>
      <c r="AE423" s="46"/>
      <c r="AF423" s="46"/>
      <c r="AG423" s="46"/>
      <c r="AH423" s="46"/>
      <c r="AI423" s="46"/>
      <c r="AJ423" s="46"/>
      <c r="AK423" s="46"/>
      <c r="AL423" s="46"/>
      <c r="AM423" s="42">
        <v>1</v>
      </c>
      <c r="AN423" s="46"/>
      <c r="AO423" s="46"/>
      <c r="AP423" s="46"/>
      <c r="AQ423" s="46"/>
      <c r="AR423" s="46"/>
      <c r="AS423" s="46"/>
      <c r="AT423" s="46"/>
      <c r="AU423" s="46"/>
      <c r="AV423" s="46"/>
      <c r="AW423" s="46"/>
      <c r="AX423" s="44"/>
      <c r="AY423" s="44">
        <v>1</v>
      </c>
      <c r="AZ423" s="44">
        <v>1</v>
      </c>
      <c r="BA423" s="34">
        <v>1</v>
      </c>
      <c r="BB423" s="34">
        <v>1</v>
      </c>
      <c r="BC423" s="34">
        <v>1</v>
      </c>
    </row>
    <row r="424" spans="1:55" customFormat="1" ht="21" customHeight="1" x14ac:dyDescent="0.25">
      <c r="A424" s="22"/>
      <c r="B424" s="42" t="s">
        <v>893</v>
      </c>
      <c r="C424" s="42" t="s">
        <v>246</v>
      </c>
      <c r="D424" s="42" t="s">
        <v>898</v>
      </c>
      <c r="E424" s="34"/>
      <c r="F424" s="46"/>
      <c r="G424" s="46"/>
      <c r="H424" s="34"/>
      <c r="I424" s="46"/>
      <c r="J424" s="46"/>
      <c r="K424" s="46"/>
      <c r="L424" s="46"/>
      <c r="M424" s="46"/>
      <c r="N424" s="46"/>
      <c r="O424" s="46"/>
      <c r="P424" s="34">
        <v>1</v>
      </c>
      <c r="Q424" s="42">
        <v>1</v>
      </c>
      <c r="R424" s="46"/>
      <c r="S424" s="46"/>
      <c r="T424" s="46"/>
      <c r="U424" s="46"/>
      <c r="V424" s="46"/>
      <c r="W424" s="46"/>
      <c r="X424" s="46"/>
      <c r="Y424" s="46"/>
      <c r="Z424" s="46"/>
      <c r="AA424" s="34">
        <v>1</v>
      </c>
      <c r="AB424" s="42">
        <v>1</v>
      </c>
      <c r="AC424" s="46"/>
      <c r="AD424" s="46"/>
      <c r="AE424" s="46"/>
      <c r="AF424" s="46"/>
      <c r="AG424" s="46"/>
      <c r="AH424" s="46"/>
      <c r="AI424" s="46"/>
      <c r="AJ424" s="46"/>
      <c r="AK424" s="46"/>
      <c r="AL424" s="46"/>
      <c r="AM424" s="42">
        <v>1</v>
      </c>
      <c r="AN424" s="46"/>
      <c r="AO424" s="46"/>
      <c r="AP424" s="46"/>
      <c r="AQ424" s="46"/>
      <c r="AR424" s="46"/>
      <c r="AS424" s="46"/>
      <c r="AT424" s="46"/>
      <c r="AU424" s="46"/>
      <c r="AV424" s="46"/>
      <c r="AW424" s="46"/>
      <c r="AX424" s="44"/>
      <c r="AY424" s="44">
        <v>1</v>
      </c>
      <c r="AZ424" s="44">
        <v>1</v>
      </c>
      <c r="BA424" s="46"/>
      <c r="BB424" s="34">
        <v>1</v>
      </c>
      <c r="BC424" s="34"/>
    </row>
    <row r="425" spans="1:55" customFormat="1" ht="21" customHeight="1" x14ac:dyDescent="0.25">
      <c r="A425" s="22"/>
      <c r="B425" s="42" t="s">
        <v>893</v>
      </c>
      <c r="C425" s="42" t="s">
        <v>244</v>
      </c>
      <c r="D425" s="42" t="s">
        <v>899</v>
      </c>
      <c r="E425" s="34"/>
      <c r="F425" s="46"/>
      <c r="G425" s="46"/>
      <c r="H425" s="34"/>
      <c r="I425" s="46"/>
      <c r="J425" s="46"/>
      <c r="K425" s="46"/>
      <c r="L425" s="46"/>
      <c r="M425" s="46"/>
      <c r="N425" s="46"/>
      <c r="O425" s="46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  <c r="AA425" s="34"/>
      <c r="AB425" s="34"/>
      <c r="AC425" s="46"/>
      <c r="AD425" s="46"/>
      <c r="AE425" s="46"/>
      <c r="AF425" s="46"/>
      <c r="AG425" s="46"/>
      <c r="AH425" s="46"/>
      <c r="AI425" s="46"/>
      <c r="AJ425" s="46"/>
      <c r="AK425" s="46"/>
      <c r="AL425" s="46"/>
      <c r="AM425" s="46"/>
      <c r="AN425" s="46"/>
      <c r="AO425" s="46"/>
      <c r="AP425" s="46"/>
      <c r="AQ425" s="46"/>
      <c r="AR425" s="46"/>
      <c r="AS425" s="46"/>
      <c r="AT425" s="46"/>
      <c r="AU425" s="46"/>
      <c r="AV425" s="46"/>
      <c r="AW425" s="46"/>
      <c r="AX425" s="44"/>
      <c r="AY425" s="44">
        <v>1</v>
      </c>
      <c r="AZ425" s="44">
        <v>1</v>
      </c>
      <c r="BA425" s="46"/>
      <c r="BB425" s="34"/>
      <c r="BC425" s="34"/>
    </row>
    <row r="426" spans="1:55" customFormat="1" ht="21" customHeight="1" x14ac:dyDescent="0.25">
      <c r="A426" s="22"/>
      <c r="B426" s="42" t="s">
        <v>893</v>
      </c>
      <c r="C426" s="42" t="s">
        <v>244</v>
      </c>
      <c r="D426" s="42" t="s">
        <v>900</v>
      </c>
      <c r="E426" s="34"/>
      <c r="F426" s="46"/>
      <c r="G426" s="46"/>
      <c r="H426" s="34"/>
      <c r="I426" s="46"/>
      <c r="J426" s="46"/>
      <c r="K426" s="46"/>
      <c r="L426" s="46"/>
      <c r="M426" s="46"/>
      <c r="N426" s="46"/>
      <c r="O426" s="46"/>
      <c r="P426" s="34">
        <v>1</v>
      </c>
      <c r="Q426" s="42">
        <v>1</v>
      </c>
      <c r="R426" s="46"/>
      <c r="S426" s="46"/>
      <c r="T426" s="46"/>
      <c r="U426" s="46"/>
      <c r="V426" s="46"/>
      <c r="W426" s="46"/>
      <c r="X426" s="46"/>
      <c r="Y426" s="46"/>
      <c r="Z426" s="46"/>
      <c r="AA426" s="34">
        <v>1</v>
      </c>
      <c r="AB426" s="34"/>
      <c r="AC426" s="46"/>
      <c r="AD426" s="46"/>
      <c r="AE426" s="46"/>
      <c r="AF426" s="46"/>
      <c r="AG426" s="46"/>
      <c r="AH426" s="46"/>
      <c r="AI426" s="46"/>
      <c r="AJ426" s="46"/>
      <c r="AK426" s="46"/>
      <c r="AL426" s="46"/>
      <c r="AM426" s="42">
        <v>1</v>
      </c>
      <c r="AN426" s="46"/>
      <c r="AO426" s="46"/>
      <c r="AP426" s="46"/>
      <c r="AQ426" s="46"/>
      <c r="AR426" s="46"/>
      <c r="AS426" s="46"/>
      <c r="AT426" s="46"/>
      <c r="AU426" s="46"/>
      <c r="AV426" s="46"/>
      <c r="AW426" s="46"/>
      <c r="AX426" s="44"/>
      <c r="AY426" s="44">
        <v>1</v>
      </c>
      <c r="AZ426" s="44">
        <v>1</v>
      </c>
      <c r="BA426" s="34">
        <v>1</v>
      </c>
      <c r="BB426" s="34">
        <v>1</v>
      </c>
      <c r="BC426" s="34">
        <v>1</v>
      </c>
    </row>
    <row r="427" spans="1:55" customFormat="1" ht="21" customHeight="1" x14ac:dyDescent="0.25">
      <c r="A427" s="22"/>
      <c r="B427" s="42" t="s">
        <v>893</v>
      </c>
      <c r="C427" s="42" t="s">
        <v>244</v>
      </c>
      <c r="D427" s="42" t="s">
        <v>901</v>
      </c>
      <c r="E427" s="34"/>
      <c r="F427" s="46"/>
      <c r="G427" s="46"/>
      <c r="H427" s="34"/>
      <c r="I427" s="46"/>
      <c r="J427" s="46"/>
      <c r="K427" s="46"/>
      <c r="L427" s="46"/>
      <c r="M427" s="46"/>
      <c r="N427" s="46"/>
      <c r="O427" s="46"/>
      <c r="P427" s="34">
        <v>1</v>
      </c>
      <c r="Q427" s="42">
        <v>1</v>
      </c>
      <c r="R427" s="46"/>
      <c r="S427" s="46"/>
      <c r="T427" s="46"/>
      <c r="U427" s="46"/>
      <c r="V427" s="46"/>
      <c r="W427" s="46"/>
      <c r="X427" s="46"/>
      <c r="Y427" s="46"/>
      <c r="Z427" s="46"/>
      <c r="AA427" s="34">
        <v>1</v>
      </c>
      <c r="AB427" s="42">
        <v>1</v>
      </c>
      <c r="AC427" s="46"/>
      <c r="AD427" s="46"/>
      <c r="AE427" s="46"/>
      <c r="AF427" s="46"/>
      <c r="AG427" s="46"/>
      <c r="AH427" s="46"/>
      <c r="AI427" s="46"/>
      <c r="AJ427" s="46"/>
      <c r="AK427" s="46"/>
      <c r="AL427" s="46"/>
      <c r="AM427" s="46"/>
      <c r="AN427" s="46"/>
      <c r="AO427" s="46"/>
      <c r="AP427" s="46"/>
      <c r="AQ427" s="46"/>
      <c r="AR427" s="46"/>
      <c r="AS427" s="46"/>
      <c r="AT427" s="46"/>
      <c r="AU427" s="46"/>
      <c r="AV427" s="46"/>
      <c r="AW427" s="46"/>
      <c r="AX427" s="44"/>
      <c r="AY427" s="44">
        <v>1</v>
      </c>
      <c r="AZ427" s="44">
        <v>1</v>
      </c>
      <c r="BA427" s="34">
        <v>1</v>
      </c>
      <c r="BB427" s="34">
        <v>1</v>
      </c>
      <c r="BC427" s="34">
        <v>1</v>
      </c>
    </row>
    <row r="428" spans="1:55" customFormat="1" ht="21" customHeight="1" x14ac:dyDescent="0.25">
      <c r="A428" s="22"/>
      <c r="B428" s="42" t="s">
        <v>893</v>
      </c>
      <c r="C428" s="42" t="s">
        <v>246</v>
      </c>
      <c r="D428" s="42" t="s">
        <v>902</v>
      </c>
      <c r="E428" s="34"/>
      <c r="F428" s="46"/>
      <c r="G428" s="46"/>
      <c r="H428" s="34"/>
      <c r="I428" s="46"/>
      <c r="J428" s="46"/>
      <c r="K428" s="46"/>
      <c r="L428" s="46"/>
      <c r="M428" s="46"/>
      <c r="N428" s="46"/>
      <c r="O428" s="46"/>
      <c r="P428" s="34">
        <v>1</v>
      </c>
      <c r="Q428" s="42">
        <v>1</v>
      </c>
      <c r="R428" s="46"/>
      <c r="S428" s="46"/>
      <c r="T428" s="46"/>
      <c r="U428" s="46"/>
      <c r="V428" s="46"/>
      <c r="W428" s="46"/>
      <c r="X428" s="46"/>
      <c r="Y428" s="46"/>
      <c r="Z428" s="46"/>
      <c r="AA428" s="34">
        <v>1</v>
      </c>
      <c r="AB428" s="34"/>
      <c r="AC428" s="46"/>
      <c r="AD428" s="46"/>
      <c r="AE428" s="46"/>
      <c r="AF428" s="46"/>
      <c r="AG428" s="46"/>
      <c r="AH428" s="46"/>
      <c r="AI428" s="46"/>
      <c r="AJ428" s="46"/>
      <c r="AK428" s="46"/>
      <c r="AL428" s="46"/>
      <c r="AM428" s="46"/>
      <c r="AN428" s="46"/>
      <c r="AO428" s="46"/>
      <c r="AP428" s="46"/>
      <c r="AQ428" s="46"/>
      <c r="AR428" s="46"/>
      <c r="AS428" s="46"/>
      <c r="AT428" s="46"/>
      <c r="AU428" s="46"/>
      <c r="AV428" s="46"/>
      <c r="AW428" s="46"/>
      <c r="AX428" s="44"/>
      <c r="AY428" s="44">
        <v>1</v>
      </c>
      <c r="AZ428" s="44">
        <v>1</v>
      </c>
      <c r="BA428" s="34">
        <v>1</v>
      </c>
      <c r="BB428" s="34">
        <v>1</v>
      </c>
      <c r="BC428" s="34">
        <v>1</v>
      </c>
    </row>
    <row r="429" spans="1:55" customFormat="1" ht="21" customHeight="1" x14ac:dyDescent="0.25">
      <c r="A429" s="22"/>
      <c r="B429" s="42" t="s">
        <v>893</v>
      </c>
      <c r="C429" s="42" t="s">
        <v>246</v>
      </c>
      <c r="D429" s="42" t="s">
        <v>903</v>
      </c>
      <c r="E429" s="34"/>
      <c r="F429" s="46"/>
      <c r="G429" s="46"/>
      <c r="H429" s="34"/>
      <c r="I429" s="46"/>
      <c r="J429" s="46"/>
      <c r="K429" s="46"/>
      <c r="L429" s="46"/>
      <c r="M429" s="46"/>
      <c r="N429" s="46"/>
      <c r="O429" s="46"/>
      <c r="P429" s="34">
        <v>1</v>
      </c>
      <c r="Q429" s="42">
        <v>1</v>
      </c>
      <c r="R429" s="46"/>
      <c r="S429" s="46"/>
      <c r="T429" s="46"/>
      <c r="U429" s="46"/>
      <c r="V429" s="46"/>
      <c r="W429" s="46"/>
      <c r="X429" s="46"/>
      <c r="Y429" s="46"/>
      <c r="Z429" s="46"/>
      <c r="AA429" s="34">
        <v>1</v>
      </c>
      <c r="AB429" s="42">
        <v>1</v>
      </c>
      <c r="AC429" s="46"/>
      <c r="AD429" s="46"/>
      <c r="AE429" s="46"/>
      <c r="AF429" s="46"/>
      <c r="AG429" s="46"/>
      <c r="AH429" s="46"/>
      <c r="AI429" s="46"/>
      <c r="AJ429" s="46"/>
      <c r="AK429" s="46"/>
      <c r="AL429" s="46"/>
      <c r="AM429" s="42">
        <v>1</v>
      </c>
      <c r="AN429" s="46"/>
      <c r="AO429" s="46"/>
      <c r="AP429" s="46"/>
      <c r="AQ429" s="46"/>
      <c r="AR429" s="46"/>
      <c r="AS429" s="46"/>
      <c r="AT429" s="46"/>
      <c r="AU429" s="46"/>
      <c r="AV429" s="46"/>
      <c r="AW429" s="46"/>
      <c r="AX429" s="44"/>
      <c r="AY429" s="44">
        <v>1</v>
      </c>
      <c r="AZ429" s="44">
        <v>1</v>
      </c>
      <c r="BA429" s="34">
        <v>1</v>
      </c>
      <c r="BB429" s="34"/>
      <c r="BC429" s="34"/>
    </row>
    <row r="430" spans="1:55" customFormat="1" ht="21" customHeight="1" x14ac:dyDescent="0.25">
      <c r="A430" s="22"/>
      <c r="B430" s="42" t="s">
        <v>893</v>
      </c>
      <c r="C430" s="42" t="s">
        <v>244</v>
      </c>
      <c r="D430" s="42" t="s">
        <v>904</v>
      </c>
      <c r="E430" s="34"/>
      <c r="F430" s="46"/>
      <c r="G430" s="46"/>
      <c r="H430" s="34"/>
      <c r="I430" s="46"/>
      <c r="J430" s="46"/>
      <c r="K430" s="46"/>
      <c r="L430" s="46"/>
      <c r="M430" s="46"/>
      <c r="N430" s="46"/>
      <c r="O430" s="46"/>
      <c r="P430" s="34">
        <v>1</v>
      </c>
      <c r="Q430" s="42">
        <v>1</v>
      </c>
      <c r="R430" s="46"/>
      <c r="S430" s="46"/>
      <c r="T430" s="46"/>
      <c r="U430" s="46"/>
      <c r="V430" s="46"/>
      <c r="W430" s="46"/>
      <c r="X430" s="46"/>
      <c r="Y430" s="46"/>
      <c r="Z430" s="46"/>
      <c r="AA430" s="34">
        <v>1</v>
      </c>
      <c r="AB430" s="42">
        <v>1</v>
      </c>
      <c r="AC430" s="46"/>
      <c r="AD430" s="46"/>
      <c r="AE430" s="46"/>
      <c r="AF430" s="46"/>
      <c r="AG430" s="46"/>
      <c r="AH430" s="46"/>
      <c r="AI430" s="46"/>
      <c r="AJ430" s="46"/>
      <c r="AK430" s="46"/>
      <c r="AL430" s="46"/>
      <c r="AM430" s="46"/>
      <c r="AN430" s="46"/>
      <c r="AO430" s="46"/>
      <c r="AP430" s="46"/>
      <c r="AQ430" s="46"/>
      <c r="AR430" s="46"/>
      <c r="AS430" s="46"/>
      <c r="AT430" s="46"/>
      <c r="AU430" s="46"/>
      <c r="AV430" s="46"/>
      <c r="AW430" s="46"/>
      <c r="AX430" s="44"/>
      <c r="AY430" s="44">
        <v>1</v>
      </c>
      <c r="AZ430" s="44">
        <v>1</v>
      </c>
      <c r="BA430" s="34">
        <v>1</v>
      </c>
      <c r="BB430" s="34">
        <v>1</v>
      </c>
      <c r="BC430" s="34">
        <v>1</v>
      </c>
    </row>
    <row r="431" spans="1:55" customFormat="1" ht="21" customHeight="1" x14ac:dyDescent="0.25">
      <c r="A431" s="22"/>
      <c r="B431" s="42" t="s">
        <v>893</v>
      </c>
      <c r="C431" s="42" t="s">
        <v>246</v>
      </c>
      <c r="D431" s="42" t="s">
        <v>905</v>
      </c>
      <c r="E431" s="34"/>
      <c r="F431" s="46"/>
      <c r="G431" s="46"/>
      <c r="H431" s="34"/>
      <c r="I431" s="46"/>
      <c r="J431" s="46"/>
      <c r="K431" s="46"/>
      <c r="L431" s="46"/>
      <c r="M431" s="46"/>
      <c r="N431" s="46"/>
      <c r="O431" s="46"/>
      <c r="P431" s="34">
        <v>1</v>
      </c>
      <c r="Q431" s="46">
        <v>1</v>
      </c>
      <c r="R431" s="46"/>
      <c r="S431" s="46"/>
      <c r="T431" s="46"/>
      <c r="U431" s="46"/>
      <c r="V431" s="46"/>
      <c r="W431" s="46"/>
      <c r="X431" s="46"/>
      <c r="Y431" s="46"/>
      <c r="Z431" s="46"/>
      <c r="AA431" s="34"/>
      <c r="AB431" s="34"/>
      <c r="AC431" s="46"/>
      <c r="AD431" s="46"/>
      <c r="AE431" s="46"/>
      <c r="AF431" s="46"/>
      <c r="AG431" s="46"/>
      <c r="AH431" s="46"/>
      <c r="AI431" s="46"/>
      <c r="AJ431" s="46"/>
      <c r="AK431" s="46"/>
      <c r="AL431" s="46"/>
      <c r="AM431" s="42">
        <v>1</v>
      </c>
      <c r="AN431" s="46"/>
      <c r="AO431" s="46"/>
      <c r="AP431" s="46"/>
      <c r="AQ431" s="46"/>
      <c r="AR431" s="46"/>
      <c r="AS431" s="46"/>
      <c r="AT431" s="46"/>
      <c r="AU431" s="46"/>
      <c r="AV431" s="46"/>
      <c r="AW431" s="46"/>
      <c r="AX431" s="44"/>
      <c r="AY431" s="44">
        <v>1</v>
      </c>
      <c r="AZ431" s="44">
        <v>1</v>
      </c>
      <c r="BA431" s="46"/>
      <c r="BB431" s="34">
        <v>1</v>
      </c>
      <c r="BC431" s="34">
        <v>1</v>
      </c>
    </row>
    <row r="432" spans="1:55" customFormat="1" ht="21" customHeight="1" x14ac:dyDescent="0.25">
      <c r="A432" s="22"/>
      <c r="B432" s="42" t="s">
        <v>893</v>
      </c>
      <c r="C432" s="42" t="s">
        <v>246</v>
      </c>
      <c r="D432" s="42" t="s">
        <v>906</v>
      </c>
      <c r="E432" s="34"/>
      <c r="F432" s="46"/>
      <c r="G432" s="46"/>
      <c r="H432" s="34"/>
      <c r="I432" s="46"/>
      <c r="J432" s="46"/>
      <c r="K432" s="46"/>
      <c r="L432" s="46"/>
      <c r="M432" s="46"/>
      <c r="N432" s="46"/>
      <c r="O432" s="46"/>
      <c r="P432" s="34">
        <v>1</v>
      </c>
      <c r="Q432" s="42">
        <v>1</v>
      </c>
      <c r="R432" s="46"/>
      <c r="S432" s="46"/>
      <c r="T432" s="46"/>
      <c r="U432" s="46"/>
      <c r="V432" s="46"/>
      <c r="W432" s="46"/>
      <c r="X432" s="46"/>
      <c r="Y432" s="46"/>
      <c r="Z432" s="46"/>
      <c r="AA432" s="34">
        <v>1</v>
      </c>
      <c r="AB432" s="42">
        <v>1</v>
      </c>
      <c r="AC432" s="46"/>
      <c r="AD432" s="46"/>
      <c r="AE432" s="46"/>
      <c r="AF432" s="46"/>
      <c r="AG432" s="46"/>
      <c r="AH432" s="46"/>
      <c r="AI432" s="46"/>
      <c r="AJ432" s="46"/>
      <c r="AK432" s="46"/>
      <c r="AL432" s="46"/>
      <c r="AM432" s="46"/>
      <c r="AN432" s="46"/>
      <c r="AO432" s="46"/>
      <c r="AP432" s="46"/>
      <c r="AQ432" s="46"/>
      <c r="AR432" s="46"/>
      <c r="AS432" s="46"/>
      <c r="AT432" s="46"/>
      <c r="AU432" s="46"/>
      <c r="AV432" s="46"/>
      <c r="AW432" s="46"/>
      <c r="AX432" s="44"/>
      <c r="AY432" s="44">
        <v>1</v>
      </c>
      <c r="AZ432" s="44">
        <v>1</v>
      </c>
      <c r="BA432" s="34">
        <v>1</v>
      </c>
      <c r="BB432" s="34">
        <v>1</v>
      </c>
      <c r="BC432" s="34"/>
    </row>
    <row r="433" spans="1:55" customFormat="1" ht="21" customHeight="1" x14ac:dyDescent="0.25">
      <c r="A433" s="22"/>
      <c r="B433" s="42" t="s">
        <v>893</v>
      </c>
      <c r="C433" s="42" t="s">
        <v>244</v>
      </c>
      <c r="D433" s="42" t="s">
        <v>907</v>
      </c>
      <c r="E433" s="34"/>
      <c r="F433" s="46"/>
      <c r="G433" s="46"/>
      <c r="H433" s="34"/>
      <c r="I433" s="46"/>
      <c r="J433" s="46"/>
      <c r="K433" s="46"/>
      <c r="L433" s="46"/>
      <c r="M433" s="46"/>
      <c r="N433" s="46"/>
      <c r="O433" s="46"/>
      <c r="P433" s="34">
        <v>1</v>
      </c>
      <c r="Q433" s="42">
        <v>1</v>
      </c>
      <c r="R433" s="46"/>
      <c r="S433" s="46"/>
      <c r="T433" s="46"/>
      <c r="U433" s="46"/>
      <c r="V433" s="46"/>
      <c r="W433" s="46"/>
      <c r="X433" s="46"/>
      <c r="Y433" s="46"/>
      <c r="Z433" s="46"/>
      <c r="AA433" s="34">
        <v>1</v>
      </c>
      <c r="AB433" s="42">
        <v>1</v>
      </c>
      <c r="AC433" s="46"/>
      <c r="AD433" s="46"/>
      <c r="AE433" s="46"/>
      <c r="AF433" s="46"/>
      <c r="AG433" s="46"/>
      <c r="AH433" s="46"/>
      <c r="AI433" s="46"/>
      <c r="AJ433" s="46"/>
      <c r="AK433" s="46"/>
      <c r="AL433" s="46"/>
      <c r="AM433" s="46"/>
      <c r="AN433" s="46"/>
      <c r="AO433" s="46"/>
      <c r="AP433" s="46"/>
      <c r="AQ433" s="46"/>
      <c r="AR433" s="46"/>
      <c r="AS433" s="46"/>
      <c r="AT433" s="46"/>
      <c r="AU433" s="46"/>
      <c r="AV433" s="46"/>
      <c r="AW433" s="46"/>
      <c r="AX433" s="44"/>
      <c r="AY433" s="44">
        <v>1</v>
      </c>
      <c r="AZ433" s="44">
        <v>1</v>
      </c>
      <c r="BA433" s="34">
        <v>1</v>
      </c>
      <c r="BB433" s="34">
        <v>1</v>
      </c>
      <c r="BC433" s="34">
        <v>1</v>
      </c>
    </row>
    <row r="434" spans="1:55" customFormat="1" ht="21" customHeight="1" x14ac:dyDescent="0.25">
      <c r="A434" s="22"/>
      <c r="B434" s="42" t="s">
        <v>893</v>
      </c>
      <c r="C434" s="42" t="s">
        <v>244</v>
      </c>
      <c r="D434" s="42" t="s">
        <v>908</v>
      </c>
      <c r="E434" s="34"/>
      <c r="F434" s="46"/>
      <c r="G434" s="46"/>
      <c r="H434" s="34"/>
      <c r="I434" s="46"/>
      <c r="J434" s="46"/>
      <c r="K434" s="46"/>
      <c r="L434" s="46"/>
      <c r="M434" s="46"/>
      <c r="N434" s="46"/>
      <c r="O434" s="46"/>
      <c r="P434" s="34">
        <v>1</v>
      </c>
      <c r="Q434" s="42">
        <v>1</v>
      </c>
      <c r="R434" s="46"/>
      <c r="S434" s="46"/>
      <c r="T434" s="46"/>
      <c r="U434" s="46"/>
      <c r="V434" s="46"/>
      <c r="W434" s="46"/>
      <c r="X434" s="46"/>
      <c r="Y434" s="46"/>
      <c r="Z434" s="46"/>
      <c r="AA434" s="34">
        <v>1</v>
      </c>
      <c r="AB434" s="34"/>
      <c r="AC434" s="46"/>
      <c r="AD434" s="46"/>
      <c r="AE434" s="46"/>
      <c r="AF434" s="46"/>
      <c r="AG434" s="46"/>
      <c r="AH434" s="46"/>
      <c r="AI434" s="46"/>
      <c r="AJ434" s="46"/>
      <c r="AK434" s="46"/>
      <c r="AL434" s="46"/>
      <c r="AM434" s="46"/>
      <c r="AN434" s="46"/>
      <c r="AO434" s="46"/>
      <c r="AP434" s="46"/>
      <c r="AQ434" s="46"/>
      <c r="AR434" s="46"/>
      <c r="AS434" s="46"/>
      <c r="AT434" s="46"/>
      <c r="AU434" s="46"/>
      <c r="AV434" s="46"/>
      <c r="AW434" s="46"/>
      <c r="AX434" s="44"/>
      <c r="AY434" s="44">
        <v>1</v>
      </c>
      <c r="AZ434" s="44">
        <v>1</v>
      </c>
      <c r="BA434" s="34">
        <v>1</v>
      </c>
      <c r="BB434" s="34">
        <v>1</v>
      </c>
      <c r="BC434" s="34">
        <v>1</v>
      </c>
    </row>
    <row r="435" spans="1:55" customFormat="1" ht="21" customHeight="1" x14ac:dyDescent="0.25">
      <c r="A435" s="22"/>
      <c r="B435" s="42" t="s">
        <v>893</v>
      </c>
      <c r="C435" s="42" t="s">
        <v>244</v>
      </c>
      <c r="D435" s="42" t="s">
        <v>909</v>
      </c>
      <c r="E435" s="34"/>
      <c r="F435" s="46"/>
      <c r="G435" s="46"/>
      <c r="H435" s="34"/>
      <c r="I435" s="46"/>
      <c r="J435" s="46"/>
      <c r="K435" s="46"/>
      <c r="L435" s="46"/>
      <c r="M435" s="46"/>
      <c r="N435" s="46"/>
      <c r="O435" s="46"/>
      <c r="P435" s="34">
        <v>1</v>
      </c>
      <c r="Q435" s="42">
        <v>1</v>
      </c>
      <c r="R435" s="46"/>
      <c r="S435" s="46"/>
      <c r="T435" s="46"/>
      <c r="U435" s="46"/>
      <c r="V435" s="46"/>
      <c r="W435" s="46"/>
      <c r="X435" s="46"/>
      <c r="Y435" s="46"/>
      <c r="Z435" s="46"/>
      <c r="AA435" s="34">
        <v>1</v>
      </c>
      <c r="AB435" s="42">
        <v>1</v>
      </c>
      <c r="AC435" s="46"/>
      <c r="AD435" s="46"/>
      <c r="AE435" s="46"/>
      <c r="AF435" s="46"/>
      <c r="AG435" s="46"/>
      <c r="AH435" s="46"/>
      <c r="AI435" s="46"/>
      <c r="AJ435" s="46"/>
      <c r="AK435" s="46"/>
      <c r="AL435" s="46"/>
      <c r="AM435" s="42">
        <v>1</v>
      </c>
      <c r="AN435" s="46"/>
      <c r="AO435" s="46"/>
      <c r="AP435" s="46"/>
      <c r="AQ435" s="46"/>
      <c r="AR435" s="46"/>
      <c r="AS435" s="46"/>
      <c r="AT435" s="46"/>
      <c r="AU435" s="46"/>
      <c r="AV435" s="46"/>
      <c r="AW435" s="46"/>
      <c r="AX435" s="44"/>
      <c r="AY435" s="44">
        <v>1</v>
      </c>
      <c r="AZ435" s="44">
        <v>1</v>
      </c>
      <c r="BA435" s="34">
        <v>1</v>
      </c>
      <c r="BB435" s="34">
        <v>1</v>
      </c>
      <c r="BC435" s="34">
        <v>1</v>
      </c>
    </row>
    <row r="436" spans="1:55" customFormat="1" ht="21" customHeight="1" x14ac:dyDescent="0.25">
      <c r="A436" s="22"/>
      <c r="B436" s="42" t="s">
        <v>893</v>
      </c>
      <c r="C436" s="42" t="s">
        <v>244</v>
      </c>
      <c r="D436" s="42" t="s">
        <v>910</v>
      </c>
      <c r="E436" s="34"/>
      <c r="F436" s="46"/>
      <c r="G436" s="46"/>
      <c r="H436" s="34"/>
      <c r="I436" s="46"/>
      <c r="J436" s="46"/>
      <c r="K436" s="46"/>
      <c r="L436" s="46"/>
      <c r="M436" s="46"/>
      <c r="N436" s="46"/>
      <c r="O436" s="46"/>
      <c r="P436" s="34">
        <v>1</v>
      </c>
      <c r="Q436" s="42">
        <v>1</v>
      </c>
      <c r="R436" s="46"/>
      <c r="S436" s="46"/>
      <c r="T436" s="46"/>
      <c r="U436" s="46"/>
      <c r="V436" s="46"/>
      <c r="W436" s="46"/>
      <c r="X436" s="46"/>
      <c r="Y436" s="46"/>
      <c r="Z436" s="46"/>
      <c r="AA436" s="34">
        <v>1</v>
      </c>
      <c r="AB436" s="34"/>
      <c r="AC436" s="46"/>
      <c r="AD436" s="46"/>
      <c r="AE436" s="46"/>
      <c r="AF436" s="46"/>
      <c r="AG436" s="46"/>
      <c r="AH436" s="46"/>
      <c r="AI436" s="46"/>
      <c r="AJ436" s="46"/>
      <c r="AK436" s="46"/>
      <c r="AL436" s="46"/>
      <c r="AM436" s="46"/>
      <c r="AN436" s="46"/>
      <c r="AO436" s="46"/>
      <c r="AP436" s="46"/>
      <c r="AQ436" s="46"/>
      <c r="AR436" s="46"/>
      <c r="AS436" s="46"/>
      <c r="AT436" s="46"/>
      <c r="AU436" s="46"/>
      <c r="AV436" s="46"/>
      <c r="AW436" s="46"/>
      <c r="AX436" s="44"/>
      <c r="AY436" s="44">
        <v>1</v>
      </c>
      <c r="AZ436" s="44">
        <v>1</v>
      </c>
      <c r="BA436" s="46"/>
      <c r="BB436" s="34"/>
      <c r="BC436" s="34">
        <v>1</v>
      </c>
    </row>
    <row r="437" spans="1:55" customFormat="1" ht="21" customHeight="1" x14ac:dyDescent="0.25">
      <c r="A437" s="22"/>
      <c r="B437" s="42" t="s">
        <v>893</v>
      </c>
      <c r="C437" s="42" t="s">
        <v>244</v>
      </c>
      <c r="D437" s="42" t="s">
        <v>911</v>
      </c>
      <c r="E437" s="34"/>
      <c r="F437" s="46"/>
      <c r="G437" s="46"/>
      <c r="H437" s="34"/>
      <c r="I437" s="46"/>
      <c r="J437" s="46"/>
      <c r="K437" s="46"/>
      <c r="L437" s="46"/>
      <c r="M437" s="46"/>
      <c r="N437" s="46"/>
      <c r="O437" s="46"/>
      <c r="P437" s="34">
        <v>1</v>
      </c>
      <c r="Q437" s="42">
        <v>1</v>
      </c>
      <c r="R437" s="46"/>
      <c r="S437" s="46"/>
      <c r="T437" s="46"/>
      <c r="U437" s="46"/>
      <c r="V437" s="46"/>
      <c r="W437" s="46"/>
      <c r="X437" s="46"/>
      <c r="Y437" s="46"/>
      <c r="Z437" s="46"/>
      <c r="AA437" s="34">
        <v>1</v>
      </c>
      <c r="AB437" s="42">
        <v>1</v>
      </c>
      <c r="AC437" s="46"/>
      <c r="AD437" s="46"/>
      <c r="AE437" s="46"/>
      <c r="AF437" s="46"/>
      <c r="AG437" s="46"/>
      <c r="AH437" s="46"/>
      <c r="AI437" s="46"/>
      <c r="AJ437" s="46"/>
      <c r="AK437" s="46"/>
      <c r="AL437" s="46"/>
      <c r="AM437" s="42">
        <v>1</v>
      </c>
      <c r="AN437" s="46"/>
      <c r="AO437" s="46"/>
      <c r="AP437" s="46"/>
      <c r="AQ437" s="46"/>
      <c r="AR437" s="46"/>
      <c r="AS437" s="46"/>
      <c r="AT437" s="46"/>
      <c r="AU437" s="46"/>
      <c r="AV437" s="46"/>
      <c r="AW437" s="46"/>
      <c r="AX437" s="44"/>
      <c r="AY437" s="44"/>
      <c r="AZ437" s="44">
        <v>1</v>
      </c>
      <c r="BA437" s="34">
        <v>1</v>
      </c>
      <c r="BB437" s="34">
        <v>1</v>
      </c>
      <c r="BC437" s="34">
        <v>1</v>
      </c>
    </row>
    <row r="438" spans="1:55" customFormat="1" ht="21" customHeight="1" x14ac:dyDescent="0.25">
      <c r="A438" s="22"/>
      <c r="B438" s="42" t="s">
        <v>893</v>
      </c>
      <c r="C438" s="42" t="s">
        <v>244</v>
      </c>
      <c r="D438" s="42" t="s">
        <v>912</v>
      </c>
      <c r="E438" s="34"/>
      <c r="F438" s="46"/>
      <c r="G438" s="46"/>
      <c r="H438" s="34"/>
      <c r="I438" s="46"/>
      <c r="J438" s="46"/>
      <c r="K438" s="46"/>
      <c r="L438" s="46"/>
      <c r="M438" s="46"/>
      <c r="N438" s="46"/>
      <c r="O438" s="46"/>
      <c r="P438" s="34">
        <v>1</v>
      </c>
      <c r="Q438" s="46"/>
      <c r="R438" s="46"/>
      <c r="S438" s="46"/>
      <c r="T438" s="46"/>
      <c r="U438" s="46"/>
      <c r="V438" s="46"/>
      <c r="W438" s="46"/>
      <c r="X438" s="46"/>
      <c r="Y438" s="46"/>
      <c r="Z438" s="46"/>
      <c r="AA438" s="34"/>
      <c r="AB438" s="42">
        <v>1</v>
      </c>
      <c r="AC438" s="46"/>
      <c r="AD438" s="46"/>
      <c r="AE438" s="46"/>
      <c r="AF438" s="46"/>
      <c r="AG438" s="46"/>
      <c r="AH438" s="46"/>
      <c r="AI438" s="46"/>
      <c r="AJ438" s="46"/>
      <c r="AK438" s="46"/>
      <c r="AL438" s="46"/>
      <c r="AM438" s="42">
        <v>1</v>
      </c>
      <c r="AN438" s="46"/>
      <c r="AO438" s="46"/>
      <c r="AP438" s="46"/>
      <c r="AQ438" s="46"/>
      <c r="AR438" s="46"/>
      <c r="AS438" s="46"/>
      <c r="AT438" s="46"/>
      <c r="AU438" s="46"/>
      <c r="AV438" s="46"/>
      <c r="AW438" s="46"/>
      <c r="AX438" s="44"/>
      <c r="AY438" s="44">
        <v>1</v>
      </c>
      <c r="AZ438" s="44">
        <v>1</v>
      </c>
      <c r="BA438" s="34">
        <v>1</v>
      </c>
      <c r="BB438" s="34">
        <v>1</v>
      </c>
      <c r="BC438" s="34"/>
    </row>
    <row r="439" spans="1:55" customFormat="1" ht="21" customHeight="1" x14ac:dyDescent="0.25">
      <c r="A439" s="22"/>
      <c r="B439" s="42" t="s">
        <v>893</v>
      </c>
      <c r="C439" s="42" t="s">
        <v>244</v>
      </c>
      <c r="D439" s="42" t="s">
        <v>913</v>
      </c>
      <c r="E439" s="34"/>
      <c r="F439" s="46"/>
      <c r="G439" s="46"/>
      <c r="H439" s="34"/>
      <c r="I439" s="46"/>
      <c r="J439" s="46"/>
      <c r="K439" s="46"/>
      <c r="L439" s="46"/>
      <c r="M439" s="46"/>
      <c r="N439" s="46"/>
      <c r="O439" s="46"/>
      <c r="P439" s="34">
        <v>1</v>
      </c>
      <c r="Q439" s="42">
        <v>1</v>
      </c>
      <c r="R439" s="46"/>
      <c r="S439" s="46"/>
      <c r="T439" s="46"/>
      <c r="U439" s="46"/>
      <c r="V439" s="46"/>
      <c r="W439" s="46"/>
      <c r="X439" s="46"/>
      <c r="Y439" s="46"/>
      <c r="Z439" s="46"/>
      <c r="AA439" s="34">
        <v>1</v>
      </c>
      <c r="AB439" s="42">
        <v>1</v>
      </c>
      <c r="AC439" s="46"/>
      <c r="AD439" s="46"/>
      <c r="AE439" s="46"/>
      <c r="AF439" s="46"/>
      <c r="AG439" s="46"/>
      <c r="AH439" s="46"/>
      <c r="AI439" s="46"/>
      <c r="AJ439" s="46"/>
      <c r="AK439" s="46"/>
      <c r="AL439" s="46"/>
      <c r="AM439" s="46"/>
      <c r="AN439" s="46"/>
      <c r="AO439" s="46"/>
      <c r="AP439" s="46"/>
      <c r="AQ439" s="46"/>
      <c r="AR439" s="46"/>
      <c r="AS439" s="46"/>
      <c r="AT439" s="46"/>
      <c r="AU439" s="46"/>
      <c r="AV439" s="46"/>
      <c r="AW439" s="46"/>
      <c r="AX439" s="44"/>
      <c r="AY439" s="44">
        <v>1</v>
      </c>
      <c r="AZ439" s="44">
        <v>1</v>
      </c>
      <c r="BA439" s="34">
        <v>1</v>
      </c>
      <c r="BB439" s="34">
        <v>1</v>
      </c>
      <c r="BC439" s="34">
        <v>1</v>
      </c>
    </row>
    <row r="440" spans="1:55" customFormat="1" ht="21" customHeight="1" x14ac:dyDescent="0.25">
      <c r="A440" s="22"/>
      <c r="B440" s="42" t="s">
        <v>893</v>
      </c>
      <c r="C440" s="42" t="s">
        <v>244</v>
      </c>
      <c r="D440" s="42" t="s">
        <v>914</v>
      </c>
      <c r="E440" s="34"/>
      <c r="F440" s="46"/>
      <c r="G440" s="46"/>
      <c r="H440" s="34"/>
      <c r="I440" s="46"/>
      <c r="J440" s="46"/>
      <c r="K440" s="46"/>
      <c r="L440" s="46"/>
      <c r="M440" s="46"/>
      <c r="N440" s="46"/>
      <c r="O440" s="46"/>
      <c r="P440" s="34">
        <v>1</v>
      </c>
      <c r="Q440" s="42">
        <v>1</v>
      </c>
      <c r="R440" s="46"/>
      <c r="S440" s="46"/>
      <c r="T440" s="46"/>
      <c r="U440" s="46"/>
      <c r="V440" s="46"/>
      <c r="W440" s="46"/>
      <c r="X440" s="46"/>
      <c r="Y440" s="46"/>
      <c r="Z440" s="46"/>
      <c r="AA440" s="34">
        <v>1</v>
      </c>
      <c r="AB440" s="34"/>
      <c r="AC440" s="46"/>
      <c r="AD440" s="46"/>
      <c r="AE440" s="46"/>
      <c r="AF440" s="46"/>
      <c r="AG440" s="46"/>
      <c r="AH440" s="46"/>
      <c r="AI440" s="46"/>
      <c r="AJ440" s="46"/>
      <c r="AK440" s="46"/>
      <c r="AL440" s="42">
        <v>1</v>
      </c>
      <c r="AM440" s="46">
        <v>1</v>
      </c>
      <c r="AN440" s="46"/>
      <c r="AO440" s="46"/>
      <c r="AP440" s="46"/>
      <c r="AQ440" s="46"/>
      <c r="AR440" s="46"/>
      <c r="AS440" s="46"/>
      <c r="AT440" s="46"/>
      <c r="AU440" s="46"/>
      <c r="AV440" s="46"/>
      <c r="AW440" s="46"/>
      <c r="AX440" s="44"/>
      <c r="AY440" s="44">
        <v>1</v>
      </c>
      <c r="AZ440" s="44">
        <v>1</v>
      </c>
      <c r="BA440" s="46"/>
      <c r="BB440" s="34">
        <v>1</v>
      </c>
      <c r="BC440" s="34">
        <v>1</v>
      </c>
    </row>
    <row r="441" spans="1:55" customFormat="1" ht="21" customHeight="1" x14ac:dyDescent="0.25">
      <c r="A441" s="22"/>
      <c r="B441" s="42" t="s">
        <v>893</v>
      </c>
      <c r="C441" s="42" t="s">
        <v>246</v>
      </c>
      <c r="D441" s="42" t="s">
        <v>915</v>
      </c>
      <c r="E441" s="34"/>
      <c r="F441" s="46"/>
      <c r="G441" s="46"/>
      <c r="H441" s="34"/>
      <c r="I441" s="46"/>
      <c r="J441" s="46"/>
      <c r="K441" s="46"/>
      <c r="L441" s="46"/>
      <c r="M441" s="46"/>
      <c r="N441" s="46"/>
      <c r="O441" s="46"/>
      <c r="P441" s="34">
        <v>1</v>
      </c>
      <c r="Q441" s="42">
        <v>1</v>
      </c>
      <c r="R441" s="46"/>
      <c r="S441" s="46"/>
      <c r="T441" s="46"/>
      <c r="U441" s="46"/>
      <c r="V441" s="46"/>
      <c r="W441" s="46"/>
      <c r="X441" s="46"/>
      <c r="Y441" s="46"/>
      <c r="Z441" s="46"/>
      <c r="AA441" s="34">
        <v>1</v>
      </c>
      <c r="AB441" s="42">
        <v>1</v>
      </c>
      <c r="AC441" s="46"/>
      <c r="AD441" s="46"/>
      <c r="AE441" s="46"/>
      <c r="AF441" s="46"/>
      <c r="AG441" s="46"/>
      <c r="AH441" s="46"/>
      <c r="AI441" s="46"/>
      <c r="AJ441" s="46"/>
      <c r="AK441" s="46"/>
      <c r="AL441" s="42">
        <v>1</v>
      </c>
      <c r="AM441" s="42">
        <v>1</v>
      </c>
      <c r="AN441" s="46"/>
      <c r="AO441" s="46"/>
      <c r="AP441" s="46"/>
      <c r="AQ441" s="46"/>
      <c r="AR441" s="46"/>
      <c r="AS441" s="46"/>
      <c r="AT441" s="46"/>
      <c r="AU441" s="46"/>
      <c r="AV441" s="46"/>
      <c r="AW441" s="46"/>
      <c r="AX441" s="44"/>
      <c r="AY441" s="44">
        <v>1</v>
      </c>
      <c r="AZ441" s="44">
        <v>1</v>
      </c>
      <c r="BA441" s="34">
        <v>1</v>
      </c>
      <c r="BB441" s="34">
        <v>1</v>
      </c>
      <c r="BC441" s="34">
        <v>1</v>
      </c>
    </row>
    <row r="442" spans="1:55" customFormat="1" ht="21" customHeight="1" x14ac:dyDescent="0.25">
      <c r="A442" s="22"/>
      <c r="B442" s="42" t="s">
        <v>893</v>
      </c>
      <c r="C442" s="42" t="s">
        <v>244</v>
      </c>
      <c r="D442" s="42" t="s">
        <v>916</v>
      </c>
      <c r="E442" s="34"/>
      <c r="F442" s="46"/>
      <c r="G442" s="46"/>
      <c r="H442" s="34"/>
      <c r="I442" s="46"/>
      <c r="J442" s="46"/>
      <c r="K442" s="46"/>
      <c r="L442" s="46"/>
      <c r="M442" s="46"/>
      <c r="N442" s="46"/>
      <c r="O442" s="46"/>
      <c r="P442" s="46">
        <v>1</v>
      </c>
      <c r="Q442" s="42">
        <v>1</v>
      </c>
      <c r="R442" s="46"/>
      <c r="S442" s="46"/>
      <c r="T442" s="46"/>
      <c r="U442" s="46"/>
      <c r="V442" s="46"/>
      <c r="W442" s="46"/>
      <c r="X442" s="46"/>
      <c r="Y442" s="46"/>
      <c r="Z442" s="46"/>
      <c r="AA442" s="34"/>
      <c r="AB442" s="34">
        <v>1</v>
      </c>
      <c r="AC442" s="46"/>
      <c r="AD442" s="46"/>
      <c r="AE442" s="46"/>
      <c r="AF442" s="46"/>
      <c r="AG442" s="46"/>
      <c r="AH442" s="46"/>
      <c r="AI442" s="46"/>
      <c r="AJ442" s="46"/>
      <c r="AK442" s="46"/>
      <c r="AL442" s="42">
        <v>1</v>
      </c>
      <c r="AM442" s="46">
        <v>1</v>
      </c>
      <c r="AN442" s="46"/>
      <c r="AO442" s="46"/>
      <c r="AP442" s="46"/>
      <c r="AQ442" s="46"/>
      <c r="AR442" s="46"/>
      <c r="AS442" s="46"/>
      <c r="AT442" s="46"/>
      <c r="AU442" s="46"/>
      <c r="AV442" s="46"/>
      <c r="AW442" s="46"/>
      <c r="AX442" s="44"/>
      <c r="AY442" s="44">
        <v>1</v>
      </c>
      <c r="AZ442" s="44">
        <v>1</v>
      </c>
      <c r="BA442" s="34">
        <v>1</v>
      </c>
      <c r="BB442" s="34">
        <v>1</v>
      </c>
      <c r="BC442" s="34">
        <v>1</v>
      </c>
    </row>
    <row r="443" spans="1:55" customFormat="1" ht="21" customHeight="1" x14ac:dyDescent="0.25">
      <c r="A443" s="22"/>
      <c r="B443" s="42" t="s">
        <v>893</v>
      </c>
      <c r="C443" s="42" t="s">
        <v>246</v>
      </c>
      <c r="D443" s="42" t="s">
        <v>917</v>
      </c>
      <c r="E443" s="34"/>
      <c r="F443" s="46"/>
      <c r="G443" s="46"/>
      <c r="H443" s="34"/>
      <c r="I443" s="46"/>
      <c r="J443" s="46"/>
      <c r="K443" s="46"/>
      <c r="L443" s="46"/>
      <c r="M443" s="46"/>
      <c r="N443" s="46"/>
      <c r="O443" s="46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  <c r="AA443" s="34"/>
      <c r="AB443" s="34"/>
      <c r="AC443" s="46"/>
      <c r="AD443" s="46"/>
      <c r="AE443" s="46"/>
      <c r="AF443" s="46"/>
      <c r="AG443" s="46"/>
      <c r="AH443" s="46"/>
      <c r="AI443" s="46"/>
      <c r="AJ443" s="46"/>
      <c r="AK443" s="46"/>
      <c r="AL443" s="46"/>
      <c r="AM443" s="46"/>
      <c r="AN443" s="46"/>
      <c r="AO443" s="46"/>
      <c r="AP443" s="46"/>
      <c r="AQ443" s="46"/>
      <c r="AR443" s="46"/>
      <c r="AS443" s="46"/>
      <c r="AT443" s="46"/>
      <c r="AU443" s="46"/>
      <c r="AV443" s="46"/>
      <c r="AW443" s="46"/>
      <c r="AX443" s="44"/>
      <c r="AY443" s="44">
        <v>1</v>
      </c>
      <c r="AZ443" s="44"/>
      <c r="BA443" s="46"/>
      <c r="BB443" s="34"/>
      <c r="BC443" s="34"/>
    </row>
    <row r="444" spans="1:55" customFormat="1" ht="21" customHeight="1" x14ac:dyDescent="0.25">
      <c r="A444" s="22"/>
      <c r="B444" s="42" t="s">
        <v>893</v>
      </c>
      <c r="C444" s="42" t="s">
        <v>244</v>
      </c>
      <c r="D444" s="42" t="s">
        <v>918</v>
      </c>
      <c r="E444" s="34"/>
      <c r="F444" s="46"/>
      <c r="G444" s="46"/>
      <c r="H444" s="34"/>
      <c r="I444" s="46"/>
      <c r="J444" s="46"/>
      <c r="K444" s="46"/>
      <c r="L444" s="46"/>
      <c r="M444" s="46"/>
      <c r="N444" s="46"/>
      <c r="O444" s="46"/>
      <c r="P444" s="34">
        <v>1</v>
      </c>
      <c r="Q444" s="42">
        <v>1</v>
      </c>
      <c r="R444" s="46"/>
      <c r="S444" s="46"/>
      <c r="T444" s="46"/>
      <c r="U444" s="46"/>
      <c r="V444" s="46"/>
      <c r="W444" s="46"/>
      <c r="X444" s="46"/>
      <c r="Y444" s="46"/>
      <c r="Z444" s="46"/>
      <c r="AA444" s="34">
        <v>1</v>
      </c>
      <c r="AB444" s="42">
        <v>1</v>
      </c>
      <c r="AC444" s="46"/>
      <c r="AD444" s="46"/>
      <c r="AE444" s="46"/>
      <c r="AF444" s="46"/>
      <c r="AG444" s="46"/>
      <c r="AH444" s="46"/>
      <c r="AI444" s="46"/>
      <c r="AJ444" s="46"/>
      <c r="AK444" s="46"/>
      <c r="AL444" s="46"/>
      <c r="AM444" s="46"/>
      <c r="AN444" s="46"/>
      <c r="AO444" s="46"/>
      <c r="AP444" s="46"/>
      <c r="AQ444" s="46"/>
      <c r="AR444" s="46"/>
      <c r="AS444" s="46"/>
      <c r="AT444" s="46"/>
      <c r="AU444" s="46"/>
      <c r="AV444" s="46"/>
      <c r="AW444" s="46"/>
      <c r="AX444" s="44"/>
      <c r="AY444" s="44">
        <v>1</v>
      </c>
      <c r="AZ444" s="44">
        <v>1</v>
      </c>
      <c r="BA444" s="34">
        <v>1</v>
      </c>
      <c r="BB444" s="34">
        <v>1</v>
      </c>
      <c r="BC444" s="34">
        <v>1</v>
      </c>
    </row>
    <row r="445" spans="1:55" customFormat="1" ht="21" customHeight="1" x14ac:dyDescent="0.25">
      <c r="A445" s="22"/>
      <c r="B445" s="42" t="s">
        <v>893</v>
      </c>
      <c r="C445" s="42" t="s">
        <v>246</v>
      </c>
      <c r="D445" s="42" t="s">
        <v>919</v>
      </c>
      <c r="E445" s="34"/>
      <c r="F445" s="46"/>
      <c r="G445" s="46"/>
      <c r="H445" s="34"/>
      <c r="I445" s="46"/>
      <c r="J445" s="46"/>
      <c r="K445" s="46"/>
      <c r="L445" s="46"/>
      <c r="M445" s="46"/>
      <c r="N445" s="46"/>
      <c r="O445" s="46"/>
      <c r="P445" s="34">
        <v>1</v>
      </c>
      <c r="Q445" s="42">
        <v>1</v>
      </c>
      <c r="R445" s="46"/>
      <c r="S445" s="46"/>
      <c r="T445" s="46"/>
      <c r="U445" s="46"/>
      <c r="V445" s="46"/>
      <c r="W445" s="46"/>
      <c r="X445" s="46"/>
      <c r="Y445" s="46"/>
      <c r="Z445" s="46"/>
      <c r="AA445" s="34">
        <v>1</v>
      </c>
      <c r="AB445" s="42">
        <v>1</v>
      </c>
      <c r="AC445" s="46"/>
      <c r="AD445" s="46"/>
      <c r="AE445" s="46"/>
      <c r="AF445" s="46"/>
      <c r="AG445" s="46"/>
      <c r="AH445" s="46"/>
      <c r="AI445" s="46"/>
      <c r="AJ445" s="46"/>
      <c r="AK445" s="46"/>
      <c r="AL445" s="46"/>
      <c r="AM445" s="46"/>
      <c r="AN445" s="46"/>
      <c r="AO445" s="46"/>
      <c r="AP445" s="46"/>
      <c r="AQ445" s="46"/>
      <c r="AR445" s="46"/>
      <c r="AS445" s="46"/>
      <c r="AT445" s="46"/>
      <c r="AU445" s="46"/>
      <c r="AV445" s="46"/>
      <c r="AW445" s="46"/>
      <c r="AX445" s="44"/>
      <c r="AY445" s="44">
        <v>1</v>
      </c>
      <c r="AZ445" s="44">
        <v>1</v>
      </c>
      <c r="BA445" s="34">
        <v>1</v>
      </c>
      <c r="BB445" s="34">
        <v>1</v>
      </c>
      <c r="BC445" s="34">
        <v>1</v>
      </c>
    </row>
    <row r="446" spans="1:55" customFormat="1" ht="21" customHeight="1" x14ac:dyDescent="0.25">
      <c r="A446" s="22"/>
      <c r="B446" s="42" t="s">
        <v>893</v>
      </c>
      <c r="C446" s="42" t="s">
        <v>246</v>
      </c>
      <c r="D446" s="42" t="s">
        <v>920</v>
      </c>
      <c r="E446" s="34"/>
      <c r="F446" s="46"/>
      <c r="G446" s="46"/>
      <c r="H446" s="34"/>
      <c r="I446" s="46"/>
      <c r="J446" s="46"/>
      <c r="K446" s="46"/>
      <c r="L446" s="46"/>
      <c r="M446" s="46"/>
      <c r="N446" s="46"/>
      <c r="O446" s="46"/>
      <c r="P446" s="34">
        <v>1</v>
      </c>
      <c r="Q446" s="42">
        <v>1</v>
      </c>
      <c r="R446" s="46"/>
      <c r="S446" s="46"/>
      <c r="T446" s="46"/>
      <c r="U446" s="46"/>
      <c r="V446" s="46"/>
      <c r="W446" s="46"/>
      <c r="X446" s="46"/>
      <c r="Y446" s="46"/>
      <c r="Z446" s="46"/>
      <c r="AA446" s="34"/>
      <c r="AB446" s="42">
        <v>1</v>
      </c>
      <c r="AC446" s="46"/>
      <c r="AD446" s="46"/>
      <c r="AE446" s="46"/>
      <c r="AF446" s="46"/>
      <c r="AG446" s="46"/>
      <c r="AH446" s="46"/>
      <c r="AI446" s="46"/>
      <c r="AJ446" s="46"/>
      <c r="AK446" s="46"/>
      <c r="AL446" s="46"/>
      <c r="AM446" s="46"/>
      <c r="AN446" s="46"/>
      <c r="AO446" s="46"/>
      <c r="AP446" s="46"/>
      <c r="AQ446" s="46"/>
      <c r="AR446" s="46"/>
      <c r="AS446" s="46"/>
      <c r="AT446" s="46"/>
      <c r="AU446" s="46"/>
      <c r="AV446" s="46"/>
      <c r="AW446" s="46"/>
      <c r="AX446" s="44"/>
      <c r="AY446" s="44">
        <v>1</v>
      </c>
      <c r="AZ446" s="44">
        <v>1</v>
      </c>
      <c r="BA446" s="34">
        <v>1</v>
      </c>
      <c r="BB446" s="34">
        <v>1</v>
      </c>
      <c r="BC446" s="34">
        <v>1</v>
      </c>
    </row>
    <row r="447" spans="1:55" customFormat="1" ht="21" customHeight="1" x14ac:dyDescent="0.25">
      <c r="A447" s="22"/>
      <c r="B447" s="42" t="s">
        <v>893</v>
      </c>
      <c r="C447" s="42" t="s">
        <v>244</v>
      </c>
      <c r="D447" s="42" t="s">
        <v>921</v>
      </c>
      <c r="E447" s="34"/>
      <c r="F447" s="46"/>
      <c r="G447" s="46"/>
      <c r="H447" s="34"/>
      <c r="I447" s="46"/>
      <c r="J447" s="46"/>
      <c r="K447" s="46"/>
      <c r="L447" s="46"/>
      <c r="M447" s="46"/>
      <c r="N447" s="46"/>
      <c r="O447" s="46"/>
      <c r="P447" s="34">
        <v>1</v>
      </c>
      <c r="Q447" s="42">
        <v>1</v>
      </c>
      <c r="R447" s="46"/>
      <c r="S447" s="46"/>
      <c r="T447" s="46"/>
      <c r="U447" s="46"/>
      <c r="V447" s="46"/>
      <c r="W447" s="46"/>
      <c r="X447" s="46"/>
      <c r="Y447" s="46"/>
      <c r="Z447" s="46"/>
      <c r="AA447" s="34">
        <v>1</v>
      </c>
      <c r="AB447" s="42">
        <v>1</v>
      </c>
      <c r="AC447" s="46"/>
      <c r="AD447" s="46"/>
      <c r="AE447" s="46"/>
      <c r="AF447" s="46"/>
      <c r="AG447" s="46"/>
      <c r="AH447" s="46"/>
      <c r="AI447" s="46"/>
      <c r="AJ447" s="46"/>
      <c r="AK447" s="46"/>
      <c r="AL447" s="46"/>
      <c r="AM447" s="42">
        <v>1</v>
      </c>
      <c r="AN447" s="46"/>
      <c r="AO447" s="46"/>
      <c r="AP447" s="46"/>
      <c r="AQ447" s="46"/>
      <c r="AR447" s="46"/>
      <c r="AS447" s="46"/>
      <c r="AT447" s="46"/>
      <c r="AU447" s="46"/>
      <c r="AV447" s="46"/>
      <c r="AW447" s="46"/>
      <c r="AX447" s="44"/>
      <c r="AY447" s="44">
        <v>1</v>
      </c>
      <c r="AZ447" s="44">
        <v>1</v>
      </c>
      <c r="BA447" s="34">
        <v>1</v>
      </c>
      <c r="BB447" s="34">
        <v>1</v>
      </c>
      <c r="BC447" s="34">
        <v>1</v>
      </c>
    </row>
    <row r="448" spans="1:55" customFormat="1" ht="21" customHeight="1" x14ac:dyDescent="0.25">
      <c r="A448" s="22"/>
      <c r="B448" s="42" t="s">
        <v>893</v>
      </c>
      <c r="C448" s="42" t="s">
        <v>244</v>
      </c>
      <c r="D448" s="42" t="s">
        <v>922</v>
      </c>
      <c r="E448" s="34"/>
      <c r="F448" s="46"/>
      <c r="G448" s="46"/>
      <c r="H448" s="34"/>
      <c r="I448" s="46"/>
      <c r="J448" s="46"/>
      <c r="K448" s="46"/>
      <c r="L448" s="46"/>
      <c r="M448" s="46"/>
      <c r="N448" s="46"/>
      <c r="O448" s="46"/>
      <c r="P448" s="34">
        <v>1</v>
      </c>
      <c r="Q448" s="42">
        <v>1</v>
      </c>
      <c r="R448" s="46"/>
      <c r="S448" s="46"/>
      <c r="T448" s="46"/>
      <c r="U448" s="46"/>
      <c r="V448" s="46"/>
      <c r="W448" s="46"/>
      <c r="X448" s="46"/>
      <c r="Y448" s="46"/>
      <c r="Z448" s="46"/>
      <c r="AA448" s="34">
        <v>1</v>
      </c>
      <c r="AB448" s="42">
        <v>1</v>
      </c>
      <c r="AC448" s="46"/>
      <c r="AD448" s="46"/>
      <c r="AE448" s="46"/>
      <c r="AF448" s="46"/>
      <c r="AG448" s="46"/>
      <c r="AH448" s="46"/>
      <c r="AI448" s="46"/>
      <c r="AJ448" s="46"/>
      <c r="AK448" s="46"/>
      <c r="AL448" s="46"/>
      <c r="AM448" s="46"/>
      <c r="AN448" s="46"/>
      <c r="AO448" s="46"/>
      <c r="AP448" s="46"/>
      <c r="AQ448" s="46"/>
      <c r="AR448" s="46"/>
      <c r="AS448" s="46"/>
      <c r="AT448" s="46"/>
      <c r="AU448" s="46"/>
      <c r="AV448" s="46"/>
      <c r="AW448" s="46"/>
      <c r="AX448" s="44"/>
      <c r="AY448" s="44">
        <v>1</v>
      </c>
      <c r="AZ448" s="44">
        <v>1</v>
      </c>
      <c r="BA448" s="34">
        <v>1</v>
      </c>
      <c r="BB448" s="34">
        <v>1</v>
      </c>
      <c r="BC448" s="34">
        <v>1</v>
      </c>
    </row>
    <row r="449" spans="1:55" customFormat="1" ht="21" customHeight="1" x14ac:dyDescent="0.25">
      <c r="A449" s="22"/>
      <c r="B449" s="42" t="s">
        <v>893</v>
      </c>
      <c r="C449" s="42" t="s">
        <v>244</v>
      </c>
      <c r="D449" s="42" t="s">
        <v>923</v>
      </c>
      <c r="E449" s="34"/>
      <c r="F449" s="46"/>
      <c r="G449" s="46"/>
      <c r="H449" s="34"/>
      <c r="I449" s="46"/>
      <c r="J449" s="46"/>
      <c r="K449" s="46"/>
      <c r="L449" s="46"/>
      <c r="M449" s="46"/>
      <c r="N449" s="46"/>
      <c r="O449" s="46"/>
      <c r="P449" s="34">
        <v>1</v>
      </c>
      <c r="Q449" s="42">
        <v>1</v>
      </c>
      <c r="R449" s="46"/>
      <c r="S449" s="46"/>
      <c r="T449" s="46"/>
      <c r="U449" s="46"/>
      <c r="V449" s="46"/>
      <c r="W449" s="46"/>
      <c r="X449" s="46"/>
      <c r="Y449" s="46"/>
      <c r="Z449" s="46"/>
      <c r="AA449" s="34">
        <v>1</v>
      </c>
      <c r="AB449" s="42">
        <v>1</v>
      </c>
      <c r="AC449" s="46"/>
      <c r="AD449" s="46"/>
      <c r="AE449" s="46"/>
      <c r="AF449" s="46"/>
      <c r="AG449" s="46"/>
      <c r="AH449" s="46"/>
      <c r="AI449" s="46"/>
      <c r="AJ449" s="46"/>
      <c r="AK449" s="46"/>
      <c r="AL449" s="46"/>
      <c r="AM449" s="42">
        <v>1</v>
      </c>
      <c r="AN449" s="46"/>
      <c r="AO449" s="46"/>
      <c r="AP449" s="46"/>
      <c r="AQ449" s="46"/>
      <c r="AR449" s="46"/>
      <c r="AS449" s="46"/>
      <c r="AT449" s="46"/>
      <c r="AU449" s="46"/>
      <c r="AV449" s="46"/>
      <c r="AW449" s="46"/>
      <c r="AX449" s="44"/>
      <c r="AY449" s="44">
        <v>1</v>
      </c>
      <c r="AZ449" s="44">
        <v>1</v>
      </c>
      <c r="BA449" s="34">
        <v>1</v>
      </c>
      <c r="BB449" s="34">
        <v>1</v>
      </c>
      <c r="BC449" s="34">
        <v>1</v>
      </c>
    </row>
    <row r="450" spans="1:55" customFormat="1" ht="21" customHeight="1" x14ac:dyDescent="0.25">
      <c r="A450" s="22"/>
      <c r="B450" s="42" t="s">
        <v>893</v>
      </c>
      <c r="C450" s="42" t="s">
        <v>246</v>
      </c>
      <c r="D450" s="42" t="s">
        <v>924</v>
      </c>
      <c r="E450" s="34"/>
      <c r="F450" s="46"/>
      <c r="G450" s="46"/>
      <c r="H450" s="34"/>
      <c r="I450" s="46"/>
      <c r="J450" s="46"/>
      <c r="K450" s="46"/>
      <c r="L450" s="46"/>
      <c r="M450" s="46"/>
      <c r="N450" s="46"/>
      <c r="O450" s="46"/>
      <c r="P450" s="34">
        <v>1</v>
      </c>
      <c r="Q450" s="42">
        <v>1</v>
      </c>
      <c r="R450" s="46"/>
      <c r="S450" s="46"/>
      <c r="T450" s="46"/>
      <c r="U450" s="46"/>
      <c r="V450" s="46"/>
      <c r="W450" s="46"/>
      <c r="X450" s="46"/>
      <c r="Y450" s="46"/>
      <c r="Z450" s="46"/>
      <c r="AA450" s="34">
        <v>1</v>
      </c>
      <c r="AB450" s="42">
        <v>1</v>
      </c>
      <c r="AC450" s="46"/>
      <c r="AD450" s="46"/>
      <c r="AE450" s="46"/>
      <c r="AF450" s="46"/>
      <c r="AG450" s="46"/>
      <c r="AH450" s="46"/>
      <c r="AI450" s="46"/>
      <c r="AJ450" s="46"/>
      <c r="AK450" s="46"/>
      <c r="AL450" s="46"/>
      <c r="AM450" s="46"/>
      <c r="AN450" s="46"/>
      <c r="AO450" s="46"/>
      <c r="AP450" s="46"/>
      <c r="AQ450" s="46"/>
      <c r="AR450" s="46"/>
      <c r="AS450" s="46"/>
      <c r="AT450" s="46"/>
      <c r="AU450" s="46"/>
      <c r="AV450" s="46"/>
      <c r="AW450" s="46"/>
      <c r="AX450" s="44"/>
      <c r="AY450" s="44">
        <v>1</v>
      </c>
      <c r="AZ450" s="44">
        <v>1</v>
      </c>
      <c r="BA450" s="34">
        <v>1</v>
      </c>
      <c r="BB450" s="34">
        <v>1</v>
      </c>
      <c r="BC450" s="34">
        <v>1</v>
      </c>
    </row>
    <row r="451" spans="1:55" customFormat="1" ht="21" customHeight="1" x14ac:dyDescent="0.25">
      <c r="A451" s="22"/>
      <c r="B451" s="42" t="s">
        <v>893</v>
      </c>
      <c r="C451" s="42" t="s">
        <v>246</v>
      </c>
      <c r="D451" s="42" t="s">
        <v>925</v>
      </c>
      <c r="E451" s="34"/>
      <c r="F451" s="46"/>
      <c r="G451" s="46"/>
      <c r="H451" s="34"/>
      <c r="I451" s="46"/>
      <c r="J451" s="46"/>
      <c r="K451" s="46"/>
      <c r="L451" s="46"/>
      <c r="M451" s="46"/>
      <c r="N451" s="46"/>
      <c r="O451" s="46"/>
      <c r="P451" s="34">
        <v>1</v>
      </c>
      <c r="Q451" s="42">
        <v>1</v>
      </c>
      <c r="R451" s="46"/>
      <c r="S451" s="46"/>
      <c r="T451" s="46"/>
      <c r="U451" s="46"/>
      <c r="V451" s="46"/>
      <c r="W451" s="46"/>
      <c r="X451" s="46"/>
      <c r="Y451" s="46"/>
      <c r="Z451" s="46"/>
      <c r="AA451" s="34">
        <v>1</v>
      </c>
      <c r="AB451" s="42">
        <v>1</v>
      </c>
      <c r="AC451" s="46"/>
      <c r="AD451" s="46"/>
      <c r="AE451" s="46"/>
      <c r="AF451" s="46"/>
      <c r="AG451" s="46"/>
      <c r="AH451" s="46"/>
      <c r="AI451" s="46"/>
      <c r="AJ451" s="46"/>
      <c r="AK451" s="46"/>
      <c r="AL451" s="46"/>
      <c r="AM451" s="42">
        <v>1</v>
      </c>
      <c r="AN451" s="46"/>
      <c r="AO451" s="46"/>
      <c r="AP451" s="46"/>
      <c r="AQ451" s="46"/>
      <c r="AR451" s="46"/>
      <c r="AS451" s="46"/>
      <c r="AT451" s="46"/>
      <c r="AU451" s="46"/>
      <c r="AV451" s="46"/>
      <c r="AW451" s="46"/>
      <c r="AX451" s="44"/>
      <c r="AY451" s="44">
        <v>1</v>
      </c>
      <c r="AZ451" s="44">
        <v>1</v>
      </c>
      <c r="BA451" s="34">
        <v>1</v>
      </c>
      <c r="BB451" s="34">
        <v>1</v>
      </c>
      <c r="BC451" s="34">
        <v>1</v>
      </c>
    </row>
    <row r="452" spans="1:55" customFormat="1" ht="21" customHeight="1" x14ac:dyDescent="0.25">
      <c r="A452" s="22"/>
      <c r="B452" s="42" t="s">
        <v>893</v>
      </c>
      <c r="C452" s="42" t="s">
        <v>244</v>
      </c>
      <c r="D452" s="42" t="s">
        <v>926</v>
      </c>
      <c r="E452" s="34"/>
      <c r="F452" s="46"/>
      <c r="G452" s="46"/>
      <c r="H452" s="34"/>
      <c r="I452" s="46"/>
      <c r="J452" s="46"/>
      <c r="K452" s="46"/>
      <c r="L452" s="46"/>
      <c r="M452" s="46"/>
      <c r="N452" s="46"/>
      <c r="O452" s="46"/>
      <c r="P452" s="34">
        <v>1</v>
      </c>
      <c r="Q452" s="42">
        <v>1</v>
      </c>
      <c r="R452" s="46"/>
      <c r="S452" s="46"/>
      <c r="T452" s="46"/>
      <c r="U452" s="46"/>
      <c r="V452" s="46"/>
      <c r="W452" s="46"/>
      <c r="X452" s="46"/>
      <c r="Y452" s="46"/>
      <c r="Z452" s="46"/>
      <c r="AA452" s="34"/>
      <c r="AB452" s="34">
        <v>1</v>
      </c>
      <c r="AC452" s="46"/>
      <c r="AD452" s="46"/>
      <c r="AE452" s="46"/>
      <c r="AF452" s="46"/>
      <c r="AG452" s="46"/>
      <c r="AH452" s="46"/>
      <c r="AI452" s="46"/>
      <c r="AJ452" s="46"/>
      <c r="AK452" s="46"/>
      <c r="AL452" s="46"/>
      <c r="AM452" s="46"/>
      <c r="AN452" s="46"/>
      <c r="AO452" s="46"/>
      <c r="AP452" s="46"/>
      <c r="AQ452" s="46"/>
      <c r="AR452" s="46"/>
      <c r="AS452" s="46"/>
      <c r="AT452" s="46"/>
      <c r="AU452" s="46"/>
      <c r="AV452" s="46"/>
      <c r="AW452" s="46"/>
      <c r="AX452" s="44"/>
      <c r="AY452" s="44">
        <v>1</v>
      </c>
      <c r="AZ452" s="44">
        <v>1</v>
      </c>
      <c r="BA452" s="34">
        <v>1</v>
      </c>
      <c r="BB452" s="34">
        <v>1</v>
      </c>
      <c r="BC452" s="34">
        <v>1</v>
      </c>
    </row>
    <row r="453" spans="1:55" customFormat="1" ht="21" customHeight="1" x14ac:dyDescent="0.25">
      <c r="A453" s="22"/>
      <c r="B453" s="42" t="s">
        <v>893</v>
      </c>
      <c r="C453" s="42" t="s">
        <v>246</v>
      </c>
      <c r="D453" s="42" t="s">
        <v>927</v>
      </c>
      <c r="E453" s="34"/>
      <c r="F453" s="46"/>
      <c r="G453" s="46"/>
      <c r="H453" s="34"/>
      <c r="I453" s="46"/>
      <c r="J453" s="46"/>
      <c r="K453" s="46"/>
      <c r="L453" s="46"/>
      <c r="M453" s="46"/>
      <c r="N453" s="46"/>
      <c r="O453" s="46"/>
      <c r="P453" s="34">
        <v>1</v>
      </c>
      <c r="Q453" s="42">
        <v>1</v>
      </c>
      <c r="R453" s="46"/>
      <c r="S453" s="46"/>
      <c r="T453" s="46"/>
      <c r="U453" s="46"/>
      <c r="V453" s="46"/>
      <c r="W453" s="46"/>
      <c r="X453" s="46"/>
      <c r="Y453" s="46"/>
      <c r="Z453" s="46"/>
      <c r="AA453" s="34"/>
      <c r="AB453" s="34"/>
      <c r="AC453" s="46"/>
      <c r="AD453" s="46"/>
      <c r="AE453" s="46"/>
      <c r="AF453" s="46"/>
      <c r="AG453" s="46"/>
      <c r="AH453" s="46"/>
      <c r="AI453" s="46"/>
      <c r="AJ453" s="46"/>
      <c r="AK453" s="46"/>
      <c r="AL453" s="46"/>
      <c r="AM453" s="46"/>
      <c r="AN453" s="46"/>
      <c r="AO453" s="46"/>
      <c r="AP453" s="46"/>
      <c r="AQ453" s="46"/>
      <c r="AR453" s="46"/>
      <c r="AS453" s="46"/>
      <c r="AT453" s="46"/>
      <c r="AU453" s="46"/>
      <c r="AV453" s="46"/>
      <c r="AW453" s="46"/>
      <c r="AX453" s="44"/>
      <c r="AY453" s="44">
        <v>1</v>
      </c>
      <c r="AZ453" s="44">
        <v>1</v>
      </c>
      <c r="BA453" s="34">
        <v>1</v>
      </c>
      <c r="BB453" s="34">
        <v>1</v>
      </c>
      <c r="BC453" s="34">
        <v>1</v>
      </c>
    </row>
    <row r="454" spans="1:55" customFormat="1" ht="21" customHeight="1" x14ac:dyDescent="0.25">
      <c r="A454" s="22"/>
      <c r="B454" s="42" t="s">
        <v>893</v>
      </c>
      <c r="C454" s="42" t="s">
        <v>244</v>
      </c>
      <c r="D454" s="42" t="s">
        <v>928</v>
      </c>
      <c r="E454" s="34"/>
      <c r="F454" s="46"/>
      <c r="G454" s="46"/>
      <c r="H454" s="34"/>
      <c r="I454" s="46"/>
      <c r="J454" s="46"/>
      <c r="K454" s="46"/>
      <c r="L454" s="46"/>
      <c r="M454" s="46"/>
      <c r="N454" s="46"/>
      <c r="O454" s="46"/>
      <c r="P454" s="34">
        <v>1</v>
      </c>
      <c r="Q454" s="42">
        <v>1</v>
      </c>
      <c r="R454" s="46"/>
      <c r="S454" s="46"/>
      <c r="T454" s="46"/>
      <c r="U454" s="46"/>
      <c r="V454" s="46"/>
      <c r="W454" s="46"/>
      <c r="X454" s="46"/>
      <c r="Y454" s="46"/>
      <c r="Z454" s="46"/>
      <c r="AA454" s="34">
        <v>1</v>
      </c>
      <c r="AB454" s="42">
        <v>1</v>
      </c>
      <c r="AC454" s="46"/>
      <c r="AD454" s="46"/>
      <c r="AE454" s="46"/>
      <c r="AF454" s="46"/>
      <c r="AG454" s="46"/>
      <c r="AH454" s="46"/>
      <c r="AI454" s="46"/>
      <c r="AJ454" s="46"/>
      <c r="AK454" s="46"/>
      <c r="AL454" s="42">
        <v>1</v>
      </c>
      <c r="AM454" s="42">
        <v>1</v>
      </c>
      <c r="AN454" s="46"/>
      <c r="AO454" s="46"/>
      <c r="AP454" s="46"/>
      <c r="AQ454" s="46"/>
      <c r="AR454" s="46"/>
      <c r="AS454" s="46"/>
      <c r="AT454" s="46"/>
      <c r="AU454" s="46"/>
      <c r="AV454" s="46"/>
      <c r="AW454" s="46"/>
      <c r="AX454" s="44"/>
      <c r="AY454" s="44">
        <v>1</v>
      </c>
      <c r="AZ454" s="44">
        <v>1</v>
      </c>
      <c r="BA454" s="34">
        <v>1</v>
      </c>
      <c r="BB454" s="34">
        <v>1</v>
      </c>
      <c r="BC454" s="34">
        <v>1</v>
      </c>
    </row>
    <row r="455" spans="1:55" customFormat="1" ht="21" customHeight="1" x14ac:dyDescent="0.25">
      <c r="A455" s="22"/>
      <c r="B455" s="42" t="s">
        <v>893</v>
      </c>
      <c r="C455" s="42" t="s">
        <v>246</v>
      </c>
      <c r="D455" s="42" t="s">
        <v>929</v>
      </c>
      <c r="E455" s="34"/>
      <c r="F455" s="46"/>
      <c r="G455" s="46"/>
      <c r="H455" s="34"/>
      <c r="I455" s="46"/>
      <c r="J455" s="46"/>
      <c r="K455" s="46"/>
      <c r="L455" s="46"/>
      <c r="M455" s="46"/>
      <c r="N455" s="46"/>
      <c r="O455" s="46"/>
      <c r="P455" s="34">
        <v>1</v>
      </c>
      <c r="Q455" s="42">
        <v>1</v>
      </c>
      <c r="R455" s="46"/>
      <c r="S455" s="46"/>
      <c r="T455" s="46"/>
      <c r="U455" s="46"/>
      <c r="V455" s="46"/>
      <c r="W455" s="46"/>
      <c r="X455" s="46"/>
      <c r="Y455" s="46"/>
      <c r="Z455" s="46"/>
      <c r="AA455" s="34">
        <v>1</v>
      </c>
      <c r="AB455" s="42">
        <v>1</v>
      </c>
      <c r="AC455" s="46"/>
      <c r="AD455" s="46"/>
      <c r="AE455" s="46"/>
      <c r="AF455" s="46"/>
      <c r="AG455" s="46"/>
      <c r="AH455" s="46"/>
      <c r="AI455" s="46"/>
      <c r="AJ455" s="46"/>
      <c r="AK455" s="46"/>
      <c r="AL455" s="46"/>
      <c r="AM455" s="46"/>
      <c r="AN455" s="46"/>
      <c r="AO455" s="46"/>
      <c r="AP455" s="46"/>
      <c r="AQ455" s="46"/>
      <c r="AR455" s="46"/>
      <c r="AS455" s="46"/>
      <c r="AT455" s="46"/>
      <c r="AU455" s="46"/>
      <c r="AV455" s="46"/>
      <c r="AW455" s="46"/>
      <c r="AX455" s="44"/>
      <c r="AY455" s="44">
        <v>1</v>
      </c>
      <c r="AZ455" s="44">
        <v>1</v>
      </c>
      <c r="BA455" s="34">
        <v>1</v>
      </c>
      <c r="BB455" s="34">
        <v>1</v>
      </c>
      <c r="BC455" s="34">
        <v>1</v>
      </c>
    </row>
    <row r="456" spans="1:55" customFormat="1" ht="21" customHeight="1" x14ac:dyDescent="0.25">
      <c r="A456" s="22"/>
      <c r="B456" s="42" t="s">
        <v>893</v>
      </c>
      <c r="C456" s="42" t="s">
        <v>250</v>
      </c>
      <c r="D456" s="42" t="s">
        <v>930</v>
      </c>
      <c r="E456" s="34"/>
      <c r="F456" s="46"/>
      <c r="G456" s="46"/>
      <c r="H456" s="34"/>
      <c r="I456" s="46"/>
      <c r="J456" s="46"/>
      <c r="K456" s="46"/>
      <c r="L456" s="46"/>
      <c r="M456" s="46"/>
      <c r="N456" s="46"/>
      <c r="O456" s="46"/>
      <c r="P456" s="34">
        <v>1</v>
      </c>
      <c r="Q456" s="42">
        <v>1</v>
      </c>
      <c r="R456" s="46"/>
      <c r="S456" s="46"/>
      <c r="T456" s="46"/>
      <c r="U456" s="46"/>
      <c r="V456" s="46"/>
      <c r="W456" s="46"/>
      <c r="X456" s="46"/>
      <c r="Y456" s="46"/>
      <c r="Z456" s="46"/>
      <c r="AA456" s="34">
        <v>1</v>
      </c>
      <c r="AB456" s="42">
        <v>1</v>
      </c>
      <c r="AC456" s="46"/>
      <c r="AD456" s="46"/>
      <c r="AE456" s="46"/>
      <c r="AF456" s="46"/>
      <c r="AG456" s="46"/>
      <c r="AH456" s="46"/>
      <c r="AI456" s="46"/>
      <c r="AJ456" s="46"/>
      <c r="AK456" s="46"/>
      <c r="AL456" s="46"/>
      <c r="AM456" s="46"/>
      <c r="AN456" s="46"/>
      <c r="AO456" s="46"/>
      <c r="AP456" s="46"/>
      <c r="AQ456" s="46"/>
      <c r="AR456" s="46"/>
      <c r="AS456" s="46"/>
      <c r="AT456" s="46"/>
      <c r="AU456" s="46"/>
      <c r="AV456" s="46"/>
      <c r="AW456" s="46"/>
      <c r="AX456" s="44"/>
      <c r="AY456" s="44"/>
      <c r="AZ456" s="44"/>
      <c r="BA456" s="46"/>
      <c r="BB456" s="34"/>
      <c r="BC456" s="34"/>
    </row>
    <row r="457" spans="1:55" customFormat="1" ht="21" customHeight="1" x14ac:dyDescent="0.25">
      <c r="A457" s="22"/>
      <c r="B457" s="42" t="s">
        <v>893</v>
      </c>
      <c r="C457" s="42" t="s">
        <v>244</v>
      </c>
      <c r="D457" s="42" t="s">
        <v>931</v>
      </c>
      <c r="E457" s="34"/>
      <c r="F457" s="46"/>
      <c r="G457" s="46"/>
      <c r="H457" s="34"/>
      <c r="I457" s="46"/>
      <c r="J457" s="46"/>
      <c r="K457" s="46"/>
      <c r="L457" s="46"/>
      <c r="M457" s="46"/>
      <c r="N457" s="46"/>
      <c r="O457" s="46"/>
      <c r="P457" s="34">
        <v>1</v>
      </c>
      <c r="Q457" s="42">
        <v>1</v>
      </c>
      <c r="R457" s="46"/>
      <c r="S457" s="46"/>
      <c r="T457" s="46"/>
      <c r="U457" s="46"/>
      <c r="V457" s="46"/>
      <c r="W457" s="46"/>
      <c r="X457" s="46"/>
      <c r="Y457" s="46"/>
      <c r="Z457" s="46"/>
      <c r="AA457" s="34">
        <v>1</v>
      </c>
      <c r="AB457" s="42">
        <v>1</v>
      </c>
      <c r="AC457" s="46"/>
      <c r="AD457" s="46"/>
      <c r="AE457" s="46"/>
      <c r="AF457" s="46"/>
      <c r="AG457" s="46"/>
      <c r="AH457" s="46"/>
      <c r="AI457" s="46"/>
      <c r="AJ457" s="46"/>
      <c r="AK457" s="46"/>
      <c r="AL457" s="46"/>
      <c r="AM457" s="46"/>
      <c r="AN457" s="46"/>
      <c r="AO457" s="46"/>
      <c r="AP457" s="46"/>
      <c r="AQ457" s="46"/>
      <c r="AR457" s="46"/>
      <c r="AS457" s="46"/>
      <c r="AT457" s="46"/>
      <c r="AU457" s="46"/>
      <c r="AV457" s="46"/>
      <c r="AW457" s="46"/>
      <c r="AX457" s="44"/>
      <c r="AY457" s="44">
        <v>1</v>
      </c>
      <c r="AZ457" s="44">
        <v>1</v>
      </c>
      <c r="BA457" s="34">
        <v>1</v>
      </c>
      <c r="BB457" s="34">
        <v>1</v>
      </c>
      <c r="BC457" s="34"/>
    </row>
    <row r="458" spans="1:55" customFormat="1" ht="21" customHeight="1" x14ac:dyDescent="0.25">
      <c r="A458" s="22"/>
      <c r="B458" s="42" t="s">
        <v>893</v>
      </c>
      <c r="C458" s="42" t="s">
        <v>246</v>
      </c>
      <c r="D458" s="42" t="s">
        <v>932</v>
      </c>
      <c r="E458" s="34"/>
      <c r="F458" s="46"/>
      <c r="G458" s="46"/>
      <c r="H458" s="34"/>
      <c r="I458" s="46"/>
      <c r="J458" s="46"/>
      <c r="K458" s="46"/>
      <c r="L458" s="46"/>
      <c r="M458" s="46"/>
      <c r="N458" s="46"/>
      <c r="O458" s="46"/>
      <c r="P458" s="34">
        <v>1</v>
      </c>
      <c r="Q458" s="42">
        <v>1</v>
      </c>
      <c r="R458" s="46"/>
      <c r="S458" s="46"/>
      <c r="T458" s="46"/>
      <c r="U458" s="46"/>
      <c r="V458" s="46"/>
      <c r="W458" s="46"/>
      <c r="X458" s="46"/>
      <c r="Y458" s="46"/>
      <c r="Z458" s="46"/>
      <c r="AA458" s="34">
        <v>1</v>
      </c>
      <c r="AB458" s="42">
        <v>1</v>
      </c>
      <c r="AC458" s="46"/>
      <c r="AD458" s="46"/>
      <c r="AE458" s="46"/>
      <c r="AF458" s="46"/>
      <c r="AG458" s="46"/>
      <c r="AH458" s="46"/>
      <c r="AI458" s="46"/>
      <c r="AJ458" s="46"/>
      <c r="AK458" s="46"/>
      <c r="AL458" s="46"/>
      <c r="AM458" s="42">
        <v>1</v>
      </c>
      <c r="AN458" s="46"/>
      <c r="AO458" s="46"/>
      <c r="AP458" s="46"/>
      <c r="AQ458" s="46"/>
      <c r="AR458" s="46"/>
      <c r="AS458" s="46"/>
      <c r="AT458" s="46"/>
      <c r="AU458" s="46"/>
      <c r="AV458" s="46"/>
      <c r="AW458" s="46"/>
      <c r="AX458" s="44"/>
      <c r="AY458" s="44">
        <v>1</v>
      </c>
      <c r="AZ458" s="44">
        <v>1</v>
      </c>
      <c r="BA458" s="34">
        <v>1</v>
      </c>
      <c r="BB458" s="34">
        <v>1</v>
      </c>
      <c r="BC458" s="34">
        <v>1</v>
      </c>
    </row>
    <row r="459" spans="1:55" customFormat="1" ht="21" customHeight="1" x14ac:dyDescent="0.25">
      <c r="A459" s="22"/>
      <c r="B459" s="42" t="s">
        <v>893</v>
      </c>
      <c r="C459" s="42" t="s">
        <v>244</v>
      </c>
      <c r="D459" s="42" t="s">
        <v>933</v>
      </c>
      <c r="E459" s="34"/>
      <c r="F459" s="46"/>
      <c r="G459" s="46"/>
      <c r="H459" s="34"/>
      <c r="I459" s="46"/>
      <c r="J459" s="46"/>
      <c r="K459" s="46"/>
      <c r="L459" s="46"/>
      <c r="M459" s="46"/>
      <c r="N459" s="46"/>
      <c r="O459" s="46"/>
      <c r="P459" s="34">
        <v>1</v>
      </c>
      <c r="Q459" s="42">
        <v>1</v>
      </c>
      <c r="R459" s="46"/>
      <c r="S459" s="46"/>
      <c r="T459" s="46"/>
      <c r="U459" s="46"/>
      <c r="V459" s="46"/>
      <c r="W459" s="46"/>
      <c r="X459" s="46"/>
      <c r="Y459" s="46"/>
      <c r="Z459" s="46"/>
      <c r="AA459" s="34">
        <v>1</v>
      </c>
      <c r="AB459" s="42">
        <v>1</v>
      </c>
      <c r="AC459" s="46"/>
      <c r="AD459" s="46"/>
      <c r="AE459" s="46"/>
      <c r="AF459" s="46"/>
      <c r="AG459" s="46"/>
      <c r="AH459" s="46"/>
      <c r="AI459" s="46"/>
      <c r="AJ459" s="46"/>
      <c r="AK459" s="46"/>
      <c r="AL459" s="46"/>
      <c r="AM459" s="42">
        <v>1</v>
      </c>
      <c r="AN459" s="46"/>
      <c r="AO459" s="46"/>
      <c r="AP459" s="46"/>
      <c r="AQ459" s="46"/>
      <c r="AR459" s="46"/>
      <c r="AS459" s="46"/>
      <c r="AT459" s="46"/>
      <c r="AU459" s="46"/>
      <c r="AV459" s="46"/>
      <c r="AW459" s="46"/>
      <c r="AX459" s="44"/>
      <c r="AY459" s="44">
        <v>1</v>
      </c>
      <c r="AZ459" s="44">
        <v>1</v>
      </c>
      <c r="BA459" s="34">
        <v>1</v>
      </c>
      <c r="BB459" s="34">
        <v>1</v>
      </c>
      <c r="BC459" s="34">
        <v>1</v>
      </c>
    </row>
    <row r="460" spans="1:55" customFormat="1" ht="21" customHeight="1" x14ac:dyDescent="0.25">
      <c r="A460" s="22"/>
      <c r="B460" s="42" t="s">
        <v>893</v>
      </c>
      <c r="C460" s="42" t="s">
        <v>244</v>
      </c>
      <c r="D460" s="42" t="s">
        <v>934</v>
      </c>
      <c r="E460" s="34"/>
      <c r="F460" s="46"/>
      <c r="G460" s="46"/>
      <c r="H460" s="34"/>
      <c r="I460" s="46"/>
      <c r="J460" s="46"/>
      <c r="K460" s="46"/>
      <c r="L460" s="46"/>
      <c r="M460" s="46"/>
      <c r="N460" s="46"/>
      <c r="O460" s="46"/>
      <c r="P460" s="34">
        <v>1</v>
      </c>
      <c r="Q460" s="42">
        <v>1</v>
      </c>
      <c r="R460" s="46"/>
      <c r="S460" s="46"/>
      <c r="T460" s="46"/>
      <c r="U460" s="46"/>
      <c r="V460" s="46"/>
      <c r="W460" s="46"/>
      <c r="X460" s="46"/>
      <c r="Y460" s="46"/>
      <c r="Z460" s="46"/>
      <c r="AA460" s="34">
        <v>1</v>
      </c>
      <c r="AB460" s="42">
        <v>1</v>
      </c>
      <c r="AC460" s="46"/>
      <c r="AD460" s="46"/>
      <c r="AE460" s="46"/>
      <c r="AF460" s="46"/>
      <c r="AG460" s="46"/>
      <c r="AH460" s="46"/>
      <c r="AI460" s="46"/>
      <c r="AJ460" s="46"/>
      <c r="AK460" s="46"/>
      <c r="AL460" s="46"/>
      <c r="AM460" s="46"/>
      <c r="AN460" s="46"/>
      <c r="AO460" s="46"/>
      <c r="AP460" s="46"/>
      <c r="AQ460" s="46"/>
      <c r="AR460" s="46"/>
      <c r="AS460" s="46"/>
      <c r="AT460" s="46"/>
      <c r="AU460" s="46"/>
      <c r="AV460" s="46"/>
      <c r="AW460" s="46"/>
      <c r="AX460" s="44"/>
      <c r="AY460" s="44">
        <v>1</v>
      </c>
      <c r="AZ460" s="44">
        <v>1</v>
      </c>
      <c r="BA460" s="34">
        <v>1</v>
      </c>
      <c r="BB460" s="34">
        <v>1</v>
      </c>
      <c r="BC460" s="34">
        <v>1</v>
      </c>
    </row>
    <row r="461" spans="1:55" customFormat="1" ht="21" customHeight="1" x14ac:dyDescent="0.25">
      <c r="A461" s="22"/>
      <c r="B461" s="42" t="s">
        <v>893</v>
      </c>
      <c r="C461" s="42" t="s">
        <v>244</v>
      </c>
      <c r="D461" s="42" t="s">
        <v>935</v>
      </c>
      <c r="E461" s="34"/>
      <c r="F461" s="46"/>
      <c r="G461" s="46"/>
      <c r="H461" s="34"/>
      <c r="I461" s="46"/>
      <c r="J461" s="46"/>
      <c r="K461" s="46"/>
      <c r="L461" s="46"/>
      <c r="M461" s="46"/>
      <c r="N461" s="46"/>
      <c r="O461" s="46"/>
      <c r="P461" s="34">
        <v>1</v>
      </c>
      <c r="Q461" s="42">
        <v>1</v>
      </c>
      <c r="R461" s="46"/>
      <c r="S461" s="46"/>
      <c r="T461" s="46"/>
      <c r="U461" s="46"/>
      <c r="V461" s="46"/>
      <c r="W461" s="46"/>
      <c r="X461" s="46"/>
      <c r="Y461" s="46"/>
      <c r="Z461" s="46"/>
      <c r="AA461" s="34"/>
      <c r="AB461" s="34">
        <v>1</v>
      </c>
      <c r="AC461" s="46"/>
      <c r="AD461" s="46"/>
      <c r="AE461" s="46"/>
      <c r="AF461" s="46"/>
      <c r="AG461" s="46"/>
      <c r="AH461" s="46"/>
      <c r="AI461" s="46"/>
      <c r="AJ461" s="46"/>
      <c r="AK461" s="46"/>
      <c r="AL461" s="46"/>
      <c r="AM461" s="46"/>
      <c r="AN461" s="46"/>
      <c r="AO461" s="46"/>
      <c r="AP461" s="46"/>
      <c r="AQ461" s="46"/>
      <c r="AR461" s="46"/>
      <c r="AS461" s="46"/>
      <c r="AT461" s="46"/>
      <c r="AU461" s="46"/>
      <c r="AV461" s="46"/>
      <c r="AW461" s="46"/>
      <c r="AX461" s="44"/>
      <c r="AY461" s="44">
        <v>1</v>
      </c>
      <c r="AZ461" s="44">
        <v>1</v>
      </c>
      <c r="BA461" s="46"/>
      <c r="BB461" s="34">
        <v>1</v>
      </c>
      <c r="BC461" s="34">
        <v>1</v>
      </c>
    </row>
    <row r="462" spans="1:55" customFormat="1" ht="21" customHeight="1" x14ac:dyDescent="0.25">
      <c r="A462" s="22"/>
      <c r="B462" s="42" t="s">
        <v>893</v>
      </c>
      <c r="C462" s="42" t="s">
        <v>244</v>
      </c>
      <c r="D462" s="42" t="s">
        <v>936</v>
      </c>
      <c r="E462" s="34"/>
      <c r="F462" s="46"/>
      <c r="G462" s="46"/>
      <c r="H462" s="34"/>
      <c r="I462" s="46"/>
      <c r="J462" s="46"/>
      <c r="K462" s="46"/>
      <c r="L462" s="46"/>
      <c r="M462" s="46"/>
      <c r="N462" s="46"/>
      <c r="O462" s="46"/>
      <c r="P462" s="34">
        <v>1</v>
      </c>
      <c r="Q462" s="42">
        <v>1</v>
      </c>
      <c r="R462" s="46"/>
      <c r="S462" s="46"/>
      <c r="T462" s="46"/>
      <c r="U462" s="46"/>
      <c r="V462" s="46"/>
      <c r="W462" s="46"/>
      <c r="X462" s="46"/>
      <c r="Y462" s="46"/>
      <c r="Z462" s="46"/>
      <c r="AA462" s="34">
        <v>1</v>
      </c>
      <c r="AB462" s="42">
        <v>1</v>
      </c>
      <c r="AC462" s="46"/>
      <c r="AD462" s="46"/>
      <c r="AE462" s="46"/>
      <c r="AF462" s="46"/>
      <c r="AG462" s="46"/>
      <c r="AH462" s="46"/>
      <c r="AI462" s="46"/>
      <c r="AJ462" s="46"/>
      <c r="AK462" s="46"/>
      <c r="AL462" s="46"/>
      <c r="AM462" s="46"/>
      <c r="AN462" s="46"/>
      <c r="AO462" s="46"/>
      <c r="AP462" s="46"/>
      <c r="AQ462" s="46"/>
      <c r="AR462" s="46"/>
      <c r="AS462" s="46"/>
      <c r="AT462" s="46"/>
      <c r="AU462" s="46"/>
      <c r="AV462" s="46"/>
      <c r="AW462" s="46"/>
      <c r="AX462" s="44"/>
      <c r="AY462" s="44">
        <v>1</v>
      </c>
      <c r="AZ462" s="44">
        <v>1</v>
      </c>
      <c r="BA462" s="34">
        <v>1</v>
      </c>
      <c r="BB462" s="34">
        <v>1</v>
      </c>
      <c r="BC462" s="34">
        <v>1</v>
      </c>
    </row>
    <row r="463" spans="1:55" customFormat="1" ht="21" customHeight="1" x14ac:dyDescent="0.25">
      <c r="A463" s="22"/>
      <c r="B463" s="42" t="s">
        <v>893</v>
      </c>
      <c r="C463" s="42" t="s">
        <v>244</v>
      </c>
      <c r="D463" s="42" t="s">
        <v>937</v>
      </c>
      <c r="E463" s="34"/>
      <c r="F463" s="46"/>
      <c r="G463" s="46"/>
      <c r="H463" s="34"/>
      <c r="I463" s="46"/>
      <c r="J463" s="46"/>
      <c r="K463" s="46"/>
      <c r="L463" s="46"/>
      <c r="M463" s="46"/>
      <c r="N463" s="46"/>
      <c r="O463" s="46"/>
      <c r="P463" s="34">
        <v>1</v>
      </c>
      <c r="Q463" s="42">
        <v>1</v>
      </c>
      <c r="R463" s="46"/>
      <c r="S463" s="46"/>
      <c r="T463" s="46"/>
      <c r="U463" s="46"/>
      <c r="V463" s="46"/>
      <c r="W463" s="46"/>
      <c r="X463" s="46"/>
      <c r="Y463" s="46"/>
      <c r="Z463" s="46"/>
      <c r="AA463" s="34">
        <v>1</v>
      </c>
      <c r="AB463" s="42">
        <v>1</v>
      </c>
      <c r="AC463" s="46"/>
      <c r="AD463" s="46"/>
      <c r="AE463" s="46"/>
      <c r="AF463" s="46"/>
      <c r="AG463" s="46"/>
      <c r="AH463" s="46"/>
      <c r="AI463" s="46"/>
      <c r="AJ463" s="46"/>
      <c r="AK463" s="46"/>
      <c r="AL463" s="46"/>
      <c r="AM463" s="42">
        <v>1</v>
      </c>
      <c r="AN463" s="46"/>
      <c r="AO463" s="46"/>
      <c r="AP463" s="46"/>
      <c r="AQ463" s="46"/>
      <c r="AR463" s="46"/>
      <c r="AS463" s="46"/>
      <c r="AT463" s="46"/>
      <c r="AU463" s="46"/>
      <c r="AV463" s="46"/>
      <c r="AW463" s="46"/>
      <c r="AX463" s="44"/>
      <c r="AY463" s="44"/>
      <c r="AZ463" s="44">
        <v>1</v>
      </c>
      <c r="BA463" s="34">
        <v>1</v>
      </c>
      <c r="BB463" s="34">
        <v>1</v>
      </c>
      <c r="BC463" s="34">
        <v>1</v>
      </c>
    </row>
    <row r="464" spans="1:55" customFormat="1" ht="21" customHeight="1" x14ac:dyDescent="0.25">
      <c r="A464" s="22"/>
      <c r="B464" s="42" t="s">
        <v>893</v>
      </c>
      <c r="C464" s="42" t="s">
        <v>244</v>
      </c>
      <c r="D464" s="42" t="s">
        <v>938</v>
      </c>
      <c r="E464" s="34"/>
      <c r="F464" s="46"/>
      <c r="G464" s="46"/>
      <c r="H464" s="34"/>
      <c r="I464" s="46"/>
      <c r="J464" s="46"/>
      <c r="K464" s="46"/>
      <c r="L464" s="46"/>
      <c r="M464" s="46"/>
      <c r="N464" s="46"/>
      <c r="O464" s="46"/>
      <c r="P464" s="34">
        <v>1</v>
      </c>
      <c r="Q464" s="42">
        <v>1</v>
      </c>
      <c r="R464" s="46"/>
      <c r="S464" s="46"/>
      <c r="T464" s="46"/>
      <c r="U464" s="46"/>
      <c r="V464" s="46"/>
      <c r="W464" s="46"/>
      <c r="X464" s="46"/>
      <c r="Y464" s="46"/>
      <c r="Z464" s="46"/>
      <c r="AA464" s="34">
        <v>1</v>
      </c>
      <c r="AB464" s="42">
        <v>1</v>
      </c>
      <c r="AC464" s="46"/>
      <c r="AD464" s="46"/>
      <c r="AE464" s="46"/>
      <c r="AF464" s="46"/>
      <c r="AG464" s="46"/>
      <c r="AH464" s="46"/>
      <c r="AI464" s="46"/>
      <c r="AJ464" s="46"/>
      <c r="AK464" s="46"/>
      <c r="AL464" s="46"/>
      <c r="AM464" s="46"/>
      <c r="AN464" s="46"/>
      <c r="AO464" s="46"/>
      <c r="AP464" s="46"/>
      <c r="AQ464" s="46"/>
      <c r="AR464" s="46"/>
      <c r="AS464" s="46"/>
      <c r="AT464" s="46"/>
      <c r="AU464" s="46"/>
      <c r="AV464" s="46"/>
      <c r="AW464" s="46"/>
      <c r="AX464" s="44"/>
      <c r="AY464" s="44">
        <v>1</v>
      </c>
      <c r="AZ464" s="44">
        <v>1</v>
      </c>
      <c r="BA464" s="46"/>
      <c r="BB464" s="34">
        <v>1</v>
      </c>
      <c r="BC464" s="34">
        <v>1</v>
      </c>
    </row>
    <row r="465" spans="1:55" customFormat="1" ht="21" customHeight="1" x14ac:dyDescent="0.25">
      <c r="A465" s="22"/>
      <c r="B465" s="42" t="s">
        <v>893</v>
      </c>
      <c r="C465" s="42" t="s">
        <v>246</v>
      </c>
      <c r="D465" s="42" t="s">
        <v>939</v>
      </c>
      <c r="E465" s="34"/>
      <c r="F465" s="46"/>
      <c r="G465" s="46"/>
      <c r="H465" s="34"/>
      <c r="I465" s="46"/>
      <c r="J465" s="46"/>
      <c r="K465" s="46"/>
      <c r="L465" s="46"/>
      <c r="M465" s="46"/>
      <c r="N465" s="46"/>
      <c r="O465" s="46"/>
      <c r="P465" s="34">
        <v>1</v>
      </c>
      <c r="Q465" s="42">
        <v>1</v>
      </c>
      <c r="R465" s="46"/>
      <c r="S465" s="46"/>
      <c r="T465" s="46"/>
      <c r="U465" s="46"/>
      <c r="V465" s="46"/>
      <c r="W465" s="46"/>
      <c r="X465" s="46"/>
      <c r="Y465" s="46"/>
      <c r="Z465" s="46"/>
      <c r="AA465" s="34">
        <v>1</v>
      </c>
      <c r="AB465" s="42">
        <v>1</v>
      </c>
      <c r="AC465" s="46"/>
      <c r="AD465" s="46"/>
      <c r="AE465" s="46"/>
      <c r="AF465" s="46"/>
      <c r="AG465" s="46"/>
      <c r="AH465" s="46"/>
      <c r="AI465" s="46"/>
      <c r="AJ465" s="46"/>
      <c r="AK465" s="46"/>
      <c r="AL465" s="46"/>
      <c r="AM465" s="46"/>
      <c r="AN465" s="46"/>
      <c r="AO465" s="46"/>
      <c r="AP465" s="46"/>
      <c r="AQ465" s="46"/>
      <c r="AR465" s="46"/>
      <c r="AS465" s="46"/>
      <c r="AT465" s="46"/>
      <c r="AU465" s="46"/>
      <c r="AV465" s="46"/>
      <c r="AW465" s="46"/>
      <c r="AX465" s="44"/>
      <c r="AY465" s="44">
        <v>1</v>
      </c>
      <c r="AZ465" s="44">
        <v>1</v>
      </c>
      <c r="BA465" s="34">
        <v>1</v>
      </c>
      <c r="BB465" s="34">
        <v>1</v>
      </c>
      <c r="BC465" s="34">
        <v>1</v>
      </c>
    </row>
    <row r="466" spans="1:55" customFormat="1" ht="21" customHeight="1" x14ac:dyDescent="0.25">
      <c r="A466" s="22"/>
      <c r="B466" s="42" t="s">
        <v>893</v>
      </c>
      <c r="C466" s="42" t="s">
        <v>244</v>
      </c>
      <c r="D466" s="42" t="s">
        <v>940</v>
      </c>
      <c r="E466" s="34"/>
      <c r="F466" s="46"/>
      <c r="G466" s="46"/>
      <c r="H466" s="34"/>
      <c r="I466" s="46"/>
      <c r="J466" s="46"/>
      <c r="K466" s="46"/>
      <c r="L466" s="46"/>
      <c r="M466" s="46"/>
      <c r="N466" s="46"/>
      <c r="O466" s="46"/>
      <c r="P466" s="34">
        <v>1</v>
      </c>
      <c r="Q466" s="42">
        <v>1</v>
      </c>
      <c r="R466" s="46"/>
      <c r="S466" s="46"/>
      <c r="T466" s="46"/>
      <c r="U466" s="46"/>
      <c r="V466" s="46"/>
      <c r="W466" s="46"/>
      <c r="X466" s="46"/>
      <c r="Y466" s="46"/>
      <c r="Z466" s="46"/>
      <c r="AA466" s="34">
        <v>1</v>
      </c>
      <c r="AB466" s="42">
        <v>1</v>
      </c>
      <c r="AC466" s="46"/>
      <c r="AD466" s="46"/>
      <c r="AE466" s="46"/>
      <c r="AF466" s="46"/>
      <c r="AG466" s="46"/>
      <c r="AH466" s="46"/>
      <c r="AI466" s="46"/>
      <c r="AJ466" s="46"/>
      <c r="AK466" s="46"/>
      <c r="AL466" s="46"/>
      <c r="AM466" s="42">
        <v>1</v>
      </c>
      <c r="AN466" s="46"/>
      <c r="AO466" s="46"/>
      <c r="AP466" s="46"/>
      <c r="AQ466" s="46"/>
      <c r="AR466" s="46"/>
      <c r="AS466" s="46"/>
      <c r="AT466" s="46"/>
      <c r="AU466" s="46"/>
      <c r="AV466" s="46"/>
      <c r="AW466" s="46"/>
      <c r="AX466" s="44"/>
      <c r="AY466" s="44">
        <v>1</v>
      </c>
      <c r="AZ466" s="44">
        <v>1</v>
      </c>
      <c r="BA466" s="34">
        <v>1</v>
      </c>
      <c r="BB466" s="34">
        <v>1</v>
      </c>
      <c r="BC466" s="34">
        <v>1</v>
      </c>
    </row>
    <row r="467" spans="1:55" customFormat="1" ht="21" customHeight="1" x14ac:dyDescent="0.25">
      <c r="A467" s="22"/>
      <c r="B467" s="42" t="s">
        <v>893</v>
      </c>
      <c r="C467" s="42" t="s">
        <v>246</v>
      </c>
      <c r="D467" s="42" t="s">
        <v>941</v>
      </c>
      <c r="E467" s="34"/>
      <c r="F467" s="46"/>
      <c r="G467" s="46"/>
      <c r="H467" s="34"/>
      <c r="I467" s="46"/>
      <c r="J467" s="46"/>
      <c r="K467" s="46"/>
      <c r="L467" s="46"/>
      <c r="M467" s="46"/>
      <c r="N467" s="46"/>
      <c r="O467" s="46"/>
      <c r="P467" s="34">
        <v>1</v>
      </c>
      <c r="Q467" s="42">
        <v>1</v>
      </c>
      <c r="R467" s="46"/>
      <c r="S467" s="46"/>
      <c r="T467" s="46"/>
      <c r="U467" s="46"/>
      <c r="V467" s="46"/>
      <c r="W467" s="46"/>
      <c r="X467" s="46"/>
      <c r="Y467" s="46"/>
      <c r="Z467" s="46"/>
      <c r="AA467" s="34">
        <v>1</v>
      </c>
      <c r="AB467" s="42">
        <v>1</v>
      </c>
      <c r="AC467" s="46"/>
      <c r="AD467" s="46"/>
      <c r="AE467" s="46"/>
      <c r="AF467" s="46"/>
      <c r="AG467" s="46"/>
      <c r="AH467" s="46"/>
      <c r="AI467" s="46"/>
      <c r="AJ467" s="46"/>
      <c r="AK467" s="46"/>
      <c r="AL467" s="46"/>
      <c r="AM467" s="46"/>
      <c r="AN467" s="46"/>
      <c r="AO467" s="46"/>
      <c r="AP467" s="46"/>
      <c r="AQ467" s="46"/>
      <c r="AR467" s="46"/>
      <c r="AS467" s="46"/>
      <c r="AT467" s="46"/>
      <c r="AU467" s="46"/>
      <c r="AV467" s="46"/>
      <c r="AW467" s="46"/>
      <c r="AX467" s="44"/>
      <c r="AY467" s="44">
        <v>1</v>
      </c>
      <c r="AZ467" s="44">
        <v>1</v>
      </c>
      <c r="BA467" s="34">
        <v>1</v>
      </c>
      <c r="BB467" s="34">
        <v>1</v>
      </c>
      <c r="BC467" s="34"/>
    </row>
    <row r="468" spans="1:55" customFormat="1" ht="21" customHeight="1" x14ac:dyDescent="0.25">
      <c r="A468" s="22"/>
      <c r="B468" s="42" t="s">
        <v>893</v>
      </c>
      <c r="C468" s="42" t="s">
        <v>246</v>
      </c>
      <c r="D468" s="42" t="s">
        <v>942</v>
      </c>
      <c r="E468" s="34"/>
      <c r="F468" s="46"/>
      <c r="G468" s="46"/>
      <c r="H468" s="34"/>
      <c r="I468" s="46"/>
      <c r="J468" s="46"/>
      <c r="K468" s="46"/>
      <c r="L468" s="46"/>
      <c r="M468" s="46"/>
      <c r="N468" s="46"/>
      <c r="O468" s="46"/>
      <c r="P468" s="34">
        <v>1</v>
      </c>
      <c r="Q468" s="42">
        <v>1</v>
      </c>
      <c r="R468" s="46"/>
      <c r="S468" s="46"/>
      <c r="T468" s="46"/>
      <c r="U468" s="46"/>
      <c r="V468" s="46"/>
      <c r="W468" s="46"/>
      <c r="X468" s="46"/>
      <c r="Y468" s="46"/>
      <c r="Z468" s="46"/>
      <c r="AA468" s="34">
        <v>1</v>
      </c>
      <c r="AB468" s="42">
        <v>1</v>
      </c>
      <c r="AC468" s="46"/>
      <c r="AD468" s="46"/>
      <c r="AE468" s="46"/>
      <c r="AF468" s="46"/>
      <c r="AG468" s="46"/>
      <c r="AH468" s="46"/>
      <c r="AI468" s="46"/>
      <c r="AJ468" s="46"/>
      <c r="AK468" s="46"/>
      <c r="AL468" s="46"/>
      <c r="AM468" s="46"/>
      <c r="AN468" s="46"/>
      <c r="AO468" s="46"/>
      <c r="AP468" s="46"/>
      <c r="AQ468" s="46"/>
      <c r="AR468" s="46"/>
      <c r="AS468" s="46"/>
      <c r="AT468" s="46"/>
      <c r="AU468" s="46"/>
      <c r="AV468" s="46"/>
      <c r="AW468" s="46"/>
      <c r="AX468" s="44"/>
      <c r="AY468" s="44">
        <v>1</v>
      </c>
      <c r="AZ468" s="44">
        <v>1</v>
      </c>
      <c r="BA468" s="34">
        <v>1</v>
      </c>
      <c r="BB468" s="34">
        <v>1</v>
      </c>
      <c r="BC468" s="34">
        <v>1</v>
      </c>
    </row>
    <row r="469" spans="1:55" customFormat="1" ht="21" customHeight="1" x14ac:dyDescent="0.25">
      <c r="A469" s="22"/>
      <c r="B469" s="42" t="s">
        <v>893</v>
      </c>
      <c r="C469" s="42" t="s">
        <v>244</v>
      </c>
      <c r="D469" s="42" t="s">
        <v>943</v>
      </c>
      <c r="E469" s="34"/>
      <c r="F469" s="46"/>
      <c r="G469" s="46"/>
      <c r="H469" s="34"/>
      <c r="I469" s="46"/>
      <c r="J469" s="46"/>
      <c r="K469" s="46"/>
      <c r="L469" s="46"/>
      <c r="M469" s="46"/>
      <c r="N469" s="46"/>
      <c r="O469" s="46"/>
      <c r="P469" s="34">
        <v>1</v>
      </c>
      <c r="Q469" s="42">
        <v>1</v>
      </c>
      <c r="R469" s="46"/>
      <c r="S469" s="46"/>
      <c r="T469" s="46"/>
      <c r="U469" s="46"/>
      <c r="V469" s="46"/>
      <c r="W469" s="46"/>
      <c r="X469" s="46"/>
      <c r="Y469" s="46"/>
      <c r="Z469" s="46"/>
      <c r="AA469" s="34">
        <v>1</v>
      </c>
      <c r="AB469" s="42">
        <v>1</v>
      </c>
      <c r="AC469" s="46"/>
      <c r="AD469" s="46"/>
      <c r="AE469" s="46"/>
      <c r="AF469" s="46"/>
      <c r="AG469" s="46"/>
      <c r="AH469" s="46"/>
      <c r="AI469" s="46"/>
      <c r="AJ469" s="46"/>
      <c r="AK469" s="46"/>
      <c r="AL469" s="46"/>
      <c r="AM469" s="42">
        <v>1</v>
      </c>
      <c r="AN469" s="46"/>
      <c r="AO469" s="46"/>
      <c r="AP469" s="46"/>
      <c r="AQ469" s="46"/>
      <c r="AR469" s="46"/>
      <c r="AS469" s="46"/>
      <c r="AT469" s="46"/>
      <c r="AU469" s="46"/>
      <c r="AV469" s="46"/>
      <c r="AW469" s="46"/>
      <c r="AX469" s="44"/>
      <c r="AY469" s="44">
        <v>1</v>
      </c>
      <c r="AZ469" s="44">
        <v>1</v>
      </c>
      <c r="BA469" s="34">
        <v>1</v>
      </c>
      <c r="BB469" s="34">
        <v>1</v>
      </c>
      <c r="BC469" s="34">
        <v>1</v>
      </c>
    </row>
    <row r="470" spans="1:55" customFormat="1" ht="21" customHeight="1" x14ac:dyDescent="0.25">
      <c r="A470" s="22"/>
      <c r="B470" s="42" t="s">
        <v>893</v>
      </c>
      <c r="C470" s="42" t="s">
        <v>244</v>
      </c>
      <c r="D470" s="42" t="s">
        <v>944</v>
      </c>
      <c r="E470" s="34"/>
      <c r="F470" s="46"/>
      <c r="G470" s="46"/>
      <c r="H470" s="34"/>
      <c r="I470" s="46"/>
      <c r="J470" s="46"/>
      <c r="K470" s="46"/>
      <c r="L470" s="46"/>
      <c r="M470" s="46"/>
      <c r="N470" s="46"/>
      <c r="O470" s="46"/>
      <c r="P470" s="34">
        <v>1</v>
      </c>
      <c r="Q470" s="42">
        <v>1</v>
      </c>
      <c r="R470" s="46"/>
      <c r="S470" s="46"/>
      <c r="T470" s="46"/>
      <c r="U470" s="46"/>
      <c r="V470" s="46"/>
      <c r="W470" s="46"/>
      <c r="X470" s="46"/>
      <c r="Y470" s="46"/>
      <c r="Z470" s="46"/>
      <c r="AA470" s="34">
        <v>1</v>
      </c>
      <c r="AB470" s="42">
        <v>1</v>
      </c>
      <c r="AC470" s="46"/>
      <c r="AD470" s="46"/>
      <c r="AE470" s="46"/>
      <c r="AF470" s="46"/>
      <c r="AG470" s="46"/>
      <c r="AH470" s="46"/>
      <c r="AI470" s="46"/>
      <c r="AJ470" s="46"/>
      <c r="AK470" s="46"/>
      <c r="AL470" s="46"/>
      <c r="AM470" s="42">
        <v>1</v>
      </c>
      <c r="AN470" s="46"/>
      <c r="AO470" s="46"/>
      <c r="AP470" s="46"/>
      <c r="AQ470" s="46"/>
      <c r="AR470" s="46"/>
      <c r="AS470" s="46"/>
      <c r="AT470" s="46"/>
      <c r="AU470" s="46"/>
      <c r="AV470" s="46"/>
      <c r="AW470" s="46"/>
      <c r="AX470" s="44"/>
      <c r="AY470" s="44">
        <v>1</v>
      </c>
      <c r="AZ470" s="44">
        <v>1</v>
      </c>
      <c r="BA470" s="34">
        <v>1</v>
      </c>
      <c r="BB470" s="34">
        <v>1</v>
      </c>
      <c r="BC470" s="34">
        <v>1</v>
      </c>
    </row>
    <row r="471" spans="1:55" customFormat="1" ht="21" customHeight="1" x14ac:dyDescent="0.25">
      <c r="A471" s="22"/>
      <c r="B471" s="42" t="s">
        <v>893</v>
      </c>
      <c r="C471" s="42" t="s">
        <v>244</v>
      </c>
      <c r="D471" s="42" t="s">
        <v>945</v>
      </c>
      <c r="E471" s="34"/>
      <c r="F471" s="46"/>
      <c r="G471" s="46"/>
      <c r="H471" s="34"/>
      <c r="I471" s="46"/>
      <c r="J471" s="46"/>
      <c r="K471" s="46"/>
      <c r="L471" s="46"/>
      <c r="M471" s="46"/>
      <c r="N471" s="46"/>
      <c r="O471" s="46"/>
      <c r="P471" s="34">
        <v>1</v>
      </c>
      <c r="Q471" s="42">
        <v>1</v>
      </c>
      <c r="R471" s="46"/>
      <c r="S471" s="46"/>
      <c r="T471" s="46"/>
      <c r="U471" s="46"/>
      <c r="V471" s="46"/>
      <c r="W471" s="46"/>
      <c r="X471" s="46"/>
      <c r="Y471" s="46"/>
      <c r="Z471" s="46"/>
      <c r="AA471" s="34">
        <v>1</v>
      </c>
      <c r="AB471" s="42">
        <v>1</v>
      </c>
      <c r="AC471" s="46"/>
      <c r="AD471" s="46"/>
      <c r="AE471" s="46"/>
      <c r="AF471" s="46"/>
      <c r="AG471" s="46"/>
      <c r="AH471" s="46"/>
      <c r="AI471" s="46"/>
      <c r="AJ471" s="46"/>
      <c r="AK471" s="46"/>
      <c r="AL471" s="46"/>
      <c r="AM471" s="46"/>
      <c r="AN471" s="46"/>
      <c r="AO471" s="46"/>
      <c r="AP471" s="46"/>
      <c r="AQ471" s="46"/>
      <c r="AR471" s="46"/>
      <c r="AS471" s="46"/>
      <c r="AT471" s="46"/>
      <c r="AU471" s="46"/>
      <c r="AV471" s="46"/>
      <c r="AW471" s="46"/>
      <c r="AX471" s="44"/>
      <c r="AY471" s="44">
        <v>1</v>
      </c>
      <c r="AZ471" s="44">
        <v>1</v>
      </c>
      <c r="BA471" s="34">
        <v>1</v>
      </c>
      <c r="BB471" s="34">
        <v>1</v>
      </c>
      <c r="BC471" s="34">
        <v>1</v>
      </c>
    </row>
    <row r="472" spans="1:55" customFormat="1" ht="21" customHeight="1" x14ac:dyDescent="0.25">
      <c r="A472" s="22"/>
      <c r="B472" s="42" t="s">
        <v>893</v>
      </c>
      <c r="C472" s="42" t="s">
        <v>244</v>
      </c>
      <c r="D472" s="42" t="s">
        <v>946</v>
      </c>
      <c r="E472" s="34"/>
      <c r="F472" s="46"/>
      <c r="G472" s="46"/>
      <c r="H472" s="34"/>
      <c r="I472" s="46"/>
      <c r="J472" s="46"/>
      <c r="K472" s="46"/>
      <c r="L472" s="46"/>
      <c r="M472" s="46"/>
      <c r="N472" s="46"/>
      <c r="O472" s="46"/>
      <c r="P472" s="34">
        <v>1</v>
      </c>
      <c r="Q472" s="42">
        <v>1</v>
      </c>
      <c r="R472" s="46"/>
      <c r="S472" s="46"/>
      <c r="T472" s="46"/>
      <c r="U472" s="46"/>
      <c r="V472" s="46"/>
      <c r="W472" s="46"/>
      <c r="X472" s="46"/>
      <c r="Y472" s="46"/>
      <c r="Z472" s="46"/>
      <c r="AA472" s="34">
        <v>1</v>
      </c>
      <c r="AB472" s="42">
        <v>1</v>
      </c>
      <c r="AC472" s="46"/>
      <c r="AD472" s="46"/>
      <c r="AE472" s="46"/>
      <c r="AF472" s="46"/>
      <c r="AG472" s="46"/>
      <c r="AH472" s="46"/>
      <c r="AI472" s="46"/>
      <c r="AJ472" s="46"/>
      <c r="AK472" s="46"/>
      <c r="AL472" s="46"/>
      <c r="AM472" s="46"/>
      <c r="AN472" s="46"/>
      <c r="AO472" s="46"/>
      <c r="AP472" s="46"/>
      <c r="AQ472" s="46"/>
      <c r="AR472" s="46"/>
      <c r="AS472" s="46"/>
      <c r="AT472" s="46"/>
      <c r="AU472" s="46"/>
      <c r="AV472" s="46"/>
      <c r="AW472" s="46"/>
      <c r="AX472" s="44"/>
      <c r="AY472" s="44"/>
      <c r="AZ472" s="44">
        <v>1</v>
      </c>
      <c r="BA472" s="34">
        <v>1</v>
      </c>
      <c r="BB472" s="34">
        <v>1</v>
      </c>
      <c r="BC472" s="34">
        <v>1</v>
      </c>
    </row>
    <row r="473" spans="1:55" customFormat="1" ht="21" customHeight="1" x14ac:dyDescent="0.25">
      <c r="A473" s="22"/>
      <c r="B473" s="42" t="s">
        <v>893</v>
      </c>
      <c r="C473" s="42" t="s">
        <v>244</v>
      </c>
      <c r="D473" s="42" t="s">
        <v>947</v>
      </c>
      <c r="E473" s="34"/>
      <c r="F473" s="46"/>
      <c r="G473" s="46"/>
      <c r="H473" s="34"/>
      <c r="I473" s="46"/>
      <c r="J473" s="46"/>
      <c r="K473" s="46"/>
      <c r="L473" s="46"/>
      <c r="M473" s="46"/>
      <c r="N473" s="46"/>
      <c r="O473" s="46"/>
      <c r="P473" s="34">
        <v>1</v>
      </c>
      <c r="Q473" s="42">
        <v>1</v>
      </c>
      <c r="R473" s="46"/>
      <c r="S473" s="46"/>
      <c r="T473" s="46"/>
      <c r="U473" s="46"/>
      <c r="V473" s="46"/>
      <c r="W473" s="46"/>
      <c r="X473" s="46"/>
      <c r="Y473" s="46"/>
      <c r="Z473" s="46"/>
      <c r="AA473" s="34">
        <v>1</v>
      </c>
      <c r="AB473" s="42">
        <v>1</v>
      </c>
      <c r="AC473" s="46"/>
      <c r="AD473" s="46"/>
      <c r="AE473" s="46"/>
      <c r="AF473" s="46"/>
      <c r="AG473" s="46"/>
      <c r="AH473" s="46"/>
      <c r="AI473" s="46"/>
      <c r="AJ473" s="46"/>
      <c r="AK473" s="46"/>
      <c r="AL473" s="46"/>
      <c r="AM473" s="46"/>
      <c r="AN473" s="46"/>
      <c r="AO473" s="46"/>
      <c r="AP473" s="46"/>
      <c r="AQ473" s="46"/>
      <c r="AR473" s="46"/>
      <c r="AS473" s="46"/>
      <c r="AT473" s="46"/>
      <c r="AU473" s="46"/>
      <c r="AV473" s="46"/>
      <c r="AW473" s="46"/>
      <c r="AX473" s="44"/>
      <c r="AY473" s="44">
        <v>1</v>
      </c>
      <c r="AZ473" s="44">
        <v>1</v>
      </c>
      <c r="BA473" s="34">
        <v>1</v>
      </c>
      <c r="BB473" s="34">
        <v>1</v>
      </c>
      <c r="BC473" s="34">
        <v>1</v>
      </c>
    </row>
    <row r="474" spans="1:55" customFormat="1" ht="21" customHeight="1" x14ac:dyDescent="0.25">
      <c r="A474" s="22"/>
      <c r="B474" s="42" t="s">
        <v>893</v>
      </c>
      <c r="C474" s="42" t="s">
        <v>244</v>
      </c>
      <c r="D474" s="42" t="s">
        <v>948</v>
      </c>
      <c r="E474" s="34"/>
      <c r="F474" s="46"/>
      <c r="G474" s="46"/>
      <c r="H474" s="34"/>
      <c r="I474" s="46"/>
      <c r="J474" s="46"/>
      <c r="K474" s="46"/>
      <c r="L474" s="46"/>
      <c r="M474" s="46"/>
      <c r="N474" s="46"/>
      <c r="O474" s="46"/>
      <c r="P474" s="34">
        <v>1</v>
      </c>
      <c r="Q474" s="42">
        <v>1</v>
      </c>
      <c r="R474" s="46"/>
      <c r="S474" s="46"/>
      <c r="T474" s="46"/>
      <c r="U474" s="46"/>
      <c r="V474" s="46"/>
      <c r="W474" s="46"/>
      <c r="X474" s="46"/>
      <c r="Y474" s="46"/>
      <c r="Z474" s="46"/>
      <c r="AA474" s="34">
        <v>1</v>
      </c>
      <c r="AB474" s="42">
        <v>1</v>
      </c>
      <c r="AC474" s="46"/>
      <c r="AD474" s="46"/>
      <c r="AE474" s="46"/>
      <c r="AF474" s="46"/>
      <c r="AG474" s="46"/>
      <c r="AH474" s="46"/>
      <c r="AI474" s="46"/>
      <c r="AJ474" s="46"/>
      <c r="AK474" s="46"/>
      <c r="AL474" s="46"/>
      <c r="AM474" s="42">
        <v>1</v>
      </c>
      <c r="AN474" s="46"/>
      <c r="AO474" s="46"/>
      <c r="AP474" s="46"/>
      <c r="AQ474" s="46"/>
      <c r="AR474" s="46"/>
      <c r="AS474" s="46"/>
      <c r="AT474" s="46"/>
      <c r="AU474" s="46"/>
      <c r="AV474" s="46"/>
      <c r="AW474" s="46"/>
      <c r="AX474" s="44"/>
      <c r="AY474" s="44">
        <v>1</v>
      </c>
      <c r="AZ474" s="44">
        <v>1</v>
      </c>
      <c r="BA474" s="34">
        <v>1</v>
      </c>
      <c r="BB474" s="34">
        <v>1</v>
      </c>
      <c r="BC474" s="34">
        <v>1</v>
      </c>
    </row>
    <row r="475" spans="1:55" customFormat="1" ht="21" customHeight="1" x14ac:dyDescent="0.25">
      <c r="A475" s="22"/>
      <c r="B475" s="42" t="s">
        <v>893</v>
      </c>
      <c r="C475" s="42" t="s">
        <v>246</v>
      </c>
      <c r="D475" s="42" t="s">
        <v>949</v>
      </c>
      <c r="E475" s="34"/>
      <c r="F475" s="46"/>
      <c r="G475" s="46"/>
      <c r="H475" s="34"/>
      <c r="I475" s="46"/>
      <c r="J475" s="46"/>
      <c r="K475" s="46"/>
      <c r="L475" s="46"/>
      <c r="M475" s="46"/>
      <c r="N475" s="46"/>
      <c r="O475" s="46"/>
      <c r="P475" s="34">
        <v>1</v>
      </c>
      <c r="Q475" s="42">
        <v>1</v>
      </c>
      <c r="R475" s="46"/>
      <c r="S475" s="46"/>
      <c r="T475" s="46"/>
      <c r="U475" s="46"/>
      <c r="V475" s="46"/>
      <c r="W475" s="46"/>
      <c r="X475" s="46"/>
      <c r="Y475" s="46"/>
      <c r="Z475" s="46"/>
      <c r="AA475" s="34">
        <v>1</v>
      </c>
      <c r="AB475" s="42">
        <v>1</v>
      </c>
      <c r="AC475" s="46"/>
      <c r="AD475" s="46"/>
      <c r="AE475" s="46"/>
      <c r="AF475" s="46"/>
      <c r="AG475" s="46"/>
      <c r="AH475" s="46"/>
      <c r="AI475" s="46"/>
      <c r="AJ475" s="46"/>
      <c r="AK475" s="46"/>
      <c r="AL475" s="46"/>
      <c r="AM475" s="42">
        <v>1</v>
      </c>
      <c r="AN475" s="46"/>
      <c r="AO475" s="46"/>
      <c r="AP475" s="46"/>
      <c r="AQ475" s="46"/>
      <c r="AR475" s="46"/>
      <c r="AS475" s="46"/>
      <c r="AT475" s="46"/>
      <c r="AU475" s="46"/>
      <c r="AV475" s="46"/>
      <c r="AW475" s="46"/>
      <c r="AX475" s="44"/>
      <c r="AY475" s="44">
        <v>1</v>
      </c>
      <c r="AZ475" s="44">
        <v>1</v>
      </c>
      <c r="BA475" s="34">
        <v>1</v>
      </c>
      <c r="BB475" s="34">
        <v>1</v>
      </c>
      <c r="BC475" s="34">
        <v>1</v>
      </c>
    </row>
    <row r="476" spans="1:55" customFormat="1" ht="21" customHeight="1" x14ac:dyDescent="0.25">
      <c r="A476" s="22"/>
      <c r="B476" s="42" t="s">
        <v>893</v>
      </c>
      <c r="C476" s="42" t="s">
        <v>244</v>
      </c>
      <c r="D476" s="42" t="s">
        <v>950</v>
      </c>
      <c r="E476" s="34"/>
      <c r="F476" s="46"/>
      <c r="G476" s="46"/>
      <c r="H476" s="34"/>
      <c r="I476" s="46"/>
      <c r="J476" s="46"/>
      <c r="K476" s="46"/>
      <c r="L476" s="46"/>
      <c r="M476" s="46"/>
      <c r="N476" s="46"/>
      <c r="O476" s="46"/>
      <c r="P476" s="34">
        <v>1</v>
      </c>
      <c r="Q476" s="42">
        <v>1</v>
      </c>
      <c r="R476" s="46"/>
      <c r="S476" s="46"/>
      <c r="T476" s="46"/>
      <c r="U476" s="46"/>
      <c r="V476" s="46"/>
      <c r="W476" s="46"/>
      <c r="X476" s="46"/>
      <c r="Y476" s="46"/>
      <c r="Z476" s="46"/>
      <c r="AA476" s="34">
        <v>1</v>
      </c>
      <c r="AB476" s="42">
        <v>1</v>
      </c>
      <c r="AC476" s="46"/>
      <c r="AD476" s="46"/>
      <c r="AE476" s="46"/>
      <c r="AF476" s="46"/>
      <c r="AG476" s="46"/>
      <c r="AH476" s="46"/>
      <c r="AI476" s="46"/>
      <c r="AJ476" s="46"/>
      <c r="AK476" s="46"/>
      <c r="AL476" s="46"/>
      <c r="AM476" s="46"/>
      <c r="AN476" s="46"/>
      <c r="AO476" s="46"/>
      <c r="AP476" s="46"/>
      <c r="AQ476" s="46"/>
      <c r="AR476" s="46"/>
      <c r="AS476" s="46"/>
      <c r="AT476" s="46"/>
      <c r="AU476" s="46"/>
      <c r="AV476" s="46"/>
      <c r="AW476" s="46"/>
      <c r="AX476" s="44"/>
      <c r="AY476" s="44">
        <v>1</v>
      </c>
      <c r="AZ476" s="44">
        <v>1</v>
      </c>
      <c r="BA476" s="34">
        <v>1</v>
      </c>
      <c r="BB476" s="34">
        <v>1</v>
      </c>
      <c r="BC476" s="34">
        <v>1</v>
      </c>
    </row>
    <row r="477" spans="1:55" customFormat="1" ht="21" customHeight="1" x14ac:dyDescent="0.25">
      <c r="A477" s="22"/>
      <c r="B477" s="42" t="s">
        <v>893</v>
      </c>
      <c r="C477" s="42" t="s">
        <v>244</v>
      </c>
      <c r="D477" s="42" t="s">
        <v>951</v>
      </c>
      <c r="E477" s="34"/>
      <c r="F477" s="46"/>
      <c r="G477" s="46"/>
      <c r="H477" s="34"/>
      <c r="I477" s="46"/>
      <c r="J477" s="46"/>
      <c r="K477" s="46"/>
      <c r="L477" s="46"/>
      <c r="M477" s="46"/>
      <c r="N477" s="46"/>
      <c r="O477" s="46"/>
      <c r="P477" s="34">
        <v>1</v>
      </c>
      <c r="Q477" s="42">
        <v>1</v>
      </c>
      <c r="R477" s="46"/>
      <c r="S477" s="46"/>
      <c r="T477" s="46"/>
      <c r="U477" s="46"/>
      <c r="V477" s="46"/>
      <c r="W477" s="46"/>
      <c r="X477" s="46"/>
      <c r="Y477" s="46"/>
      <c r="Z477" s="46"/>
      <c r="AA477" s="34">
        <v>1</v>
      </c>
      <c r="AB477" s="42">
        <v>1</v>
      </c>
      <c r="AC477" s="46"/>
      <c r="AD477" s="46"/>
      <c r="AE477" s="46"/>
      <c r="AF477" s="46"/>
      <c r="AG477" s="46"/>
      <c r="AH477" s="46"/>
      <c r="AI477" s="46"/>
      <c r="AJ477" s="46"/>
      <c r="AK477" s="46"/>
      <c r="AL477" s="46"/>
      <c r="AM477" s="42">
        <v>1</v>
      </c>
      <c r="AN477" s="46"/>
      <c r="AO477" s="46"/>
      <c r="AP477" s="46"/>
      <c r="AQ477" s="46"/>
      <c r="AR477" s="46"/>
      <c r="AS477" s="46"/>
      <c r="AT477" s="46"/>
      <c r="AU477" s="46"/>
      <c r="AV477" s="46"/>
      <c r="AW477" s="46"/>
      <c r="AX477" s="44"/>
      <c r="AY477" s="44">
        <v>1</v>
      </c>
      <c r="AZ477" s="44">
        <v>1</v>
      </c>
      <c r="BA477" s="34">
        <v>1</v>
      </c>
      <c r="BB477" s="34">
        <v>1</v>
      </c>
      <c r="BC477" s="34">
        <v>1</v>
      </c>
    </row>
    <row r="478" spans="1:55" customFormat="1" ht="21" customHeight="1" x14ac:dyDescent="0.25">
      <c r="A478" s="22"/>
      <c r="B478" s="42" t="s">
        <v>893</v>
      </c>
      <c r="C478" s="42" t="s">
        <v>244</v>
      </c>
      <c r="D478" s="42" t="s">
        <v>952</v>
      </c>
      <c r="E478" s="34"/>
      <c r="F478" s="46"/>
      <c r="G478" s="46"/>
      <c r="H478" s="34"/>
      <c r="I478" s="46"/>
      <c r="J478" s="46"/>
      <c r="K478" s="46"/>
      <c r="L478" s="46"/>
      <c r="M478" s="46"/>
      <c r="N478" s="46"/>
      <c r="O478" s="46"/>
      <c r="P478" s="46"/>
      <c r="Q478" s="42">
        <v>1</v>
      </c>
      <c r="R478" s="46"/>
      <c r="S478" s="46"/>
      <c r="T478" s="46"/>
      <c r="U478" s="46"/>
      <c r="V478" s="46"/>
      <c r="W478" s="46"/>
      <c r="X478" s="46"/>
      <c r="Y478" s="46"/>
      <c r="Z478" s="46"/>
      <c r="AA478" s="34"/>
      <c r="AB478" s="34"/>
      <c r="AC478" s="46"/>
      <c r="AD478" s="46"/>
      <c r="AE478" s="46"/>
      <c r="AF478" s="46"/>
      <c r="AG478" s="46"/>
      <c r="AH478" s="46"/>
      <c r="AI478" s="46"/>
      <c r="AJ478" s="46"/>
      <c r="AK478" s="46"/>
      <c r="AL478" s="46"/>
      <c r="AM478" s="46"/>
      <c r="AN478" s="46"/>
      <c r="AO478" s="46"/>
      <c r="AP478" s="46"/>
      <c r="AQ478" s="46"/>
      <c r="AR478" s="46"/>
      <c r="AS478" s="46"/>
      <c r="AT478" s="46"/>
      <c r="AU478" s="46"/>
      <c r="AV478" s="46"/>
      <c r="AW478" s="46"/>
      <c r="AX478" s="44"/>
      <c r="AY478" s="44"/>
      <c r="AZ478" s="44">
        <v>1</v>
      </c>
      <c r="BA478" s="46"/>
      <c r="BB478" s="34"/>
      <c r="BC478" s="34"/>
    </row>
    <row r="479" spans="1:55" customFormat="1" ht="21" customHeight="1" x14ac:dyDescent="0.25">
      <c r="A479" s="22"/>
      <c r="B479" s="42" t="s">
        <v>893</v>
      </c>
      <c r="C479" s="42" t="s">
        <v>244</v>
      </c>
      <c r="D479" s="42" t="s">
        <v>953</v>
      </c>
      <c r="E479" s="34"/>
      <c r="F479" s="46"/>
      <c r="G479" s="46"/>
      <c r="H479" s="34"/>
      <c r="I479" s="46"/>
      <c r="J479" s="46"/>
      <c r="K479" s="46"/>
      <c r="L479" s="46"/>
      <c r="M479" s="46"/>
      <c r="N479" s="46"/>
      <c r="O479" s="46"/>
      <c r="P479" s="34">
        <v>1</v>
      </c>
      <c r="Q479" s="42">
        <v>1</v>
      </c>
      <c r="R479" s="46"/>
      <c r="S479" s="46"/>
      <c r="T479" s="46"/>
      <c r="U479" s="46"/>
      <c r="V479" s="46"/>
      <c r="W479" s="46"/>
      <c r="X479" s="46"/>
      <c r="Y479" s="46"/>
      <c r="Z479" s="46"/>
      <c r="AA479" s="34"/>
      <c r="AB479" s="34"/>
      <c r="AC479" s="46"/>
      <c r="AD479" s="46"/>
      <c r="AE479" s="46"/>
      <c r="AF479" s="46"/>
      <c r="AG479" s="46"/>
      <c r="AH479" s="46"/>
      <c r="AI479" s="46"/>
      <c r="AJ479" s="46"/>
      <c r="AK479" s="46"/>
      <c r="AL479" s="46"/>
      <c r="AM479" s="46"/>
      <c r="AN479" s="46"/>
      <c r="AO479" s="46"/>
      <c r="AP479" s="46"/>
      <c r="AQ479" s="46"/>
      <c r="AR479" s="46"/>
      <c r="AS479" s="46"/>
      <c r="AT479" s="46"/>
      <c r="AU479" s="46"/>
      <c r="AV479" s="46"/>
      <c r="AW479" s="46"/>
      <c r="AX479" s="44"/>
      <c r="AY479" s="44">
        <v>1</v>
      </c>
      <c r="AZ479" s="44">
        <v>1</v>
      </c>
      <c r="BA479" s="34">
        <v>1</v>
      </c>
      <c r="BB479" s="34">
        <v>1</v>
      </c>
      <c r="BC479" s="34">
        <v>1</v>
      </c>
    </row>
    <row r="480" spans="1:55" customFormat="1" ht="21" customHeight="1" x14ac:dyDescent="0.25">
      <c r="A480" s="22"/>
      <c r="B480" s="42" t="s">
        <v>893</v>
      </c>
      <c r="C480" s="42" t="s">
        <v>244</v>
      </c>
      <c r="D480" s="42" t="s">
        <v>954</v>
      </c>
      <c r="E480" s="34"/>
      <c r="F480" s="46"/>
      <c r="G480" s="46"/>
      <c r="H480" s="34"/>
      <c r="I480" s="46"/>
      <c r="J480" s="46"/>
      <c r="K480" s="46"/>
      <c r="L480" s="46"/>
      <c r="M480" s="46"/>
      <c r="N480" s="46"/>
      <c r="O480" s="46"/>
      <c r="P480" s="34">
        <v>1</v>
      </c>
      <c r="Q480" s="42">
        <v>1</v>
      </c>
      <c r="R480" s="46"/>
      <c r="S480" s="46"/>
      <c r="T480" s="46"/>
      <c r="U480" s="46"/>
      <c r="V480" s="46"/>
      <c r="W480" s="46"/>
      <c r="X480" s="46"/>
      <c r="Y480" s="46"/>
      <c r="Z480" s="46"/>
      <c r="AA480" s="34">
        <v>1</v>
      </c>
      <c r="AB480" s="42">
        <v>1</v>
      </c>
      <c r="AC480" s="46"/>
      <c r="AD480" s="46"/>
      <c r="AE480" s="46"/>
      <c r="AF480" s="46"/>
      <c r="AG480" s="46"/>
      <c r="AH480" s="46"/>
      <c r="AI480" s="46"/>
      <c r="AJ480" s="46"/>
      <c r="AK480" s="46"/>
      <c r="AL480" s="46"/>
      <c r="AM480" s="42">
        <v>1</v>
      </c>
      <c r="AN480" s="46"/>
      <c r="AO480" s="46"/>
      <c r="AP480" s="46"/>
      <c r="AQ480" s="46"/>
      <c r="AR480" s="46"/>
      <c r="AS480" s="46"/>
      <c r="AT480" s="46"/>
      <c r="AU480" s="46"/>
      <c r="AV480" s="46"/>
      <c r="AW480" s="46"/>
      <c r="AX480" s="44"/>
      <c r="AY480" s="44">
        <v>1</v>
      </c>
      <c r="AZ480" s="44">
        <v>1</v>
      </c>
      <c r="BA480" s="34">
        <v>1</v>
      </c>
      <c r="BB480" s="34">
        <v>1</v>
      </c>
      <c r="BC480" s="34">
        <v>1</v>
      </c>
    </row>
    <row r="481" spans="1:55" customFormat="1" ht="21" customHeight="1" x14ac:dyDescent="0.25">
      <c r="A481" s="22"/>
      <c r="B481" s="42" t="s">
        <v>893</v>
      </c>
      <c r="C481" s="42" t="s">
        <v>244</v>
      </c>
      <c r="D481" s="42" t="s">
        <v>955</v>
      </c>
      <c r="E481" s="34"/>
      <c r="F481" s="46"/>
      <c r="G481" s="46"/>
      <c r="H481" s="34"/>
      <c r="I481" s="46"/>
      <c r="J481" s="46"/>
      <c r="K481" s="46"/>
      <c r="L481" s="46"/>
      <c r="M481" s="46"/>
      <c r="N481" s="46"/>
      <c r="O481" s="46"/>
      <c r="P481" s="34">
        <v>1</v>
      </c>
      <c r="Q481" s="42">
        <v>1</v>
      </c>
      <c r="R481" s="46"/>
      <c r="S481" s="46"/>
      <c r="T481" s="46"/>
      <c r="U481" s="46"/>
      <c r="V481" s="46"/>
      <c r="W481" s="46"/>
      <c r="X481" s="46"/>
      <c r="Y481" s="46"/>
      <c r="Z481" s="46"/>
      <c r="AA481" s="34">
        <v>1</v>
      </c>
      <c r="AB481" s="42">
        <v>1</v>
      </c>
      <c r="AC481" s="46"/>
      <c r="AD481" s="46"/>
      <c r="AE481" s="46"/>
      <c r="AF481" s="46"/>
      <c r="AG481" s="46"/>
      <c r="AH481" s="46"/>
      <c r="AI481" s="46"/>
      <c r="AJ481" s="46"/>
      <c r="AK481" s="46"/>
      <c r="AL481" s="46"/>
      <c r="AM481" s="46"/>
      <c r="AN481" s="46"/>
      <c r="AO481" s="46"/>
      <c r="AP481" s="46"/>
      <c r="AQ481" s="46"/>
      <c r="AR481" s="46"/>
      <c r="AS481" s="46"/>
      <c r="AT481" s="46"/>
      <c r="AU481" s="46"/>
      <c r="AV481" s="46"/>
      <c r="AW481" s="46"/>
      <c r="AX481" s="44"/>
      <c r="AY481" s="44">
        <v>1</v>
      </c>
      <c r="AZ481" s="44">
        <v>1</v>
      </c>
      <c r="BA481" s="34">
        <v>1</v>
      </c>
      <c r="BB481" s="34">
        <v>1</v>
      </c>
      <c r="BC481" s="34">
        <v>1</v>
      </c>
    </row>
    <row r="482" spans="1:55" customFormat="1" ht="21" customHeight="1" x14ac:dyDescent="0.25">
      <c r="A482" s="22"/>
      <c r="B482" s="42" t="s">
        <v>893</v>
      </c>
      <c r="C482" s="42" t="s">
        <v>244</v>
      </c>
      <c r="D482" s="42" t="s">
        <v>956</v>
      </c>
      <c r="E482" s="34"/>
      <c r="F482" s="46"/>
      <c r="G482" s="46"/>
      <c r="H482" s="34"/>
      <c r="I482" s="46"/>
      <c r="J482" s="46"/>
      <c r="K482" s="46"/>
      <c r="L482" s="46"/>
      <c r="M482" s="46"/>
      <c r="N482" s="46"/>
      <c r="O482" s="46"/>
      <c r="P482" s="46"/>
      <c r="Q482" s="42">
        <v>1</v>
      </c>
      <c r="R482" s="46"/>
      <c r="S482" s="46"/>
      <c r="T482" s="46"/>
      <c r="U482" s="46"/>
      <c r="V482" s="46"/>
      <c r="W482" s="46"/>
      <c r="X482" s="46"/>
      <c r="Y482" s="46"/>
      <c r="Z482" s="46"/>
      <c r="AA482" s="34">
        <v>1</v>
      </c>
      <c r="AB482" s="34"/>
      <c r="AC482" s="46"/>
      <c r="AD482" s="46"/>
      <c r="AE482" s="46"/>
      <c r="AF482" s="46"/>
      <c r="AG482" s="46"/>
      <c r="AH482" s="46"/>
      <c r="AI482" s="46"/>
      <c r="AJ482" s="46"/>
      <c r="AK482" s="46"/>
      <c r="AL482" s="46"/>
      <c r="AM482" s="46"/>
      <c r="AN482" s="46"/>
      <c r="AO482" s="46"/>
      <c r="AP482" s="46"/>
      <c r="AQ482" s="46"/>
      <c r="AR482" s="46"/>
      <c r="AS482" s="46"/>
      <c r="AT482" s="46"/>
      <c r="AU482" s="46"/>
      <c r="AV482" s="46"/>
      <c r="AW482" s="46"/>
      <c r="AX482" s="44"/>
      <c r="AY482" s="44">
        <v>1</v>
      </c>
      <c r="AZ482" s="44">
        <v>1</v>
      </c>
      <c r="BA482" s="34">
        <v>1</v>
      </c>
      <c r="BB482" s="34"/>
      <c r="BC482" s="34"/>
    </row>
    <row r="483" spans="1:55" customFormat="1" ht="21" customHeight="1" x14ac:dyDescent="0.25">
      <c r="A483" s="22"/>
      <c r="B483" s="42" t="s">
        <v>893</v>
      </c>
      <c r="C483" s="42" t="s">
        <v>249</v>
      </c>
      <c r="D483" s="42" t="s">
        <v>957</v>
      </c>
      <c r="E483" s="34"/>
      <c r="F483" s="46"/>
      <c r="G483" s="46"/>
      <c r="H483" s="34"/>
      <c r="I483" s="46"/>
      <c r="J483" s="46"/>
      <c r="K483" s="46"/>
      <c r="L483" s="46"/>
      <c r="M483" s="46"/>
      <c r="N483" s="46"/>
      <c r="O483" s="46"/>
      <c r="P483" s="34">
        <v>1</v>
      </c>
      <c r="Q483" s="42"/>
      <c r="R483" s="46"/>
      <c r="S483" s="46"/>
      <c r="T483" s="46"/>
      <c r="U483" s="46"/>
      <c r="V483" s="46"/>
      <c r="W483" s="46"/>
      <c r="X483" s="46"/>
      <c r="Y483" s="46"/>
      <c r="Z483" s="46"/>
      <c r="AA483" s="34">
        <v>1</v>
      </c>
      <c r="AB483" s="42">
        <v>1</v>
      </c>
      <c r="AC483" s="46"/>
      <c r="AD483" s="46"/>
      <c r="AE483" s="46"/>
      <c r="AF483" s="46"/>
      <c r="AG483" s="46"/>
      <c r="AH483" s="46"/>
      <c r="AI483" s="46"/>
      <c r="AJ483" s="46"/>
      <c r="AK483" s="46"/>
      <c r="AL483" s="34">
        <v>1</v>
      </c>
      <c r="AM483" s="42">
        <v>1</v>
      </c>
      <c r="AN483" s="46"/>
      <c r="AO483" s="46"/>
      <c r="AP483" s="46"/>
      <c r="AQ483" s="46"/>
      <c r="AR483" s="46"/>
      <c r="AS483" s="46"/>
      <c r="AT483" s="46"/>
      <c r="AU483" s="46"/>
      <c r="AV483" s="46"/>
      <c r="AW483" s="44">
        <v>1</v>
      </c>
      <c r="AX483" s="44"/>
      <c r="AY483" s="44">
        <v>1</v>
      </c>
      <c r="AZ483" s="44"/>
      <c r="BA483" s="34">
        <v>1</v>
      </c>
      <c r="BB483" s="34">
        <v>1</v>
      </c>
      <c r="BC483" s="34">
        <v>1</v>
      </c>
    </row>
    <row r="484" spans="1:55" customFormat="1" ht="21" customHeight="1" x14ac:dyDescent="0.25">
      <c r="A484" s="22"/>
      <c r="B484" s="42" t="s">
        <v>893</v>
      </c>
      <c r="C484" s="42" t="s">
        <v>244</v>
      </c>
      <c r="D484" s="42" t="s">
        <v>958</v>
      </c>
      <c r="E484" s="34"/>
      <c r="F484" s="46"/>
      <c r="G484" s="46"/>
      <c r="H484" s="34"/>
      <c r="I484" s="46"/>
      <c r="J484" s="46"/>
      <c r="K484" s="46"/>
      <c r="L484" s="46"/>
      <c r="M484" s="46"/>
      <c r="N484" s="46"/>
      <c r="O484" s="46"/>
      <c r="P484" s="34">
        <v>1</v>
      </c>
      <c r="Q484" s="42">
        <v>1</v>
      </c>
      <c r="R484" s="46"/>
      <c r="S484" s="46"/>
      <c r="T484" s="46"/>
      <c r="U484" s="46"/>
      <c r="V484" s="46"/>
      <c r="W484" s="46"/>
      <c r="X484" s="46"/>
      <c r="Y484" s="46"/>
      <c r="Z484" s="46"/>
      <c r="AA484" s="34">
        <v>1</v>
      </c>
      <c r="AB484" s="42">
        <v>1</v>
      </c>
      <c r="AC484" s="46"/>
      <c r="AD484" s="46"/>
      <c r="AE484" s="46"/>
      <c r="AF484" s="46"/>
      <c r="AG484" s="46"/>
      <c r="AH484" s="46"/>
      <c r="AI484" s="46"/>
      <c r="AJ484" s="46"/>
      <c r="AK484" s="46"/>
      <c r="AL484" s="46"/>
      <c r="AM484" s="46"/>
      <c r="AN484" s="46"/>
      <c r="AO484" s="46"/>
      <c r="AP484" s="46"/>
      <c r="AQ484" s="46"/>
      <c r="AR484" s="46"/>
      <c r="AS484" s="46"/>
      <c r="AT484" s="46"/>
      <c r="AU484" s="46"/>
      <c r="AV484" s="46"/>
      <c r="AW484" s="46"/>
      <c r="AX484" s="44"/>
      <c r="AY484" s="44">
        <v>1</v>
      </c>
      <c r="AZ484" s="44">
        <v>1</v>
      </c>
      <c r="BA484" s="34">
        <v>1</v>
      </c>
      <c r="BB484" s="34">
        <v>1</v>
      </c>
      <c r="BC484" s="34">
        <v>1</v>
      </c>
    </row>
    <row r="485" spans="1:55" customFormat="1" ht="21" customHeight="1" x14ac:dyDescent="0.25">
      <c r="A485" s="22"/>
      <c r="B485" s="42" t="s">
        <v>893</v>
      </c>
      <c r="C485" s="42" t="s">
        <v>249</v>
      </c>
      <c r="D485" s="42" t="s">
        <v>959</v>
      </c>
      <c r="E485" s="34"/>
      <c r="F485" s="46"/>
      <c r="G485" s="46"/>
      <c r="H485" s="34"/>
      <c r="I485" s="46"/>
      <c r="J485" s="46"/>
      <c r="K485" s="46"/>
      <c r="L485" s="46"/>
      <c r="M485" s="46"/>
      <c r="N485" s="46"/>
      <c r="O485" s="46"/>
      <c r="P485" s="34">
        <v>1</v>
      </c>
      <c r="Q485" s="42">
        <v>1</v>
      </c>
      <c r="R485" s="46"/>
      <c r="S485" s="46"/>
      <c r="T485" s="46"/>
      <c r="U485" s="46"/>
      <c r="V485" s="46"/>
      <c r="W485" s="46"/>
      <c r="X485" s="46"/>
      <c r="Y485" s="46"/>
      <c r="Z485" s="46"/>
      <c r="AA485" s="34">
        <v>1</v>
      </c>
      <c r="AB485" s="42">
        <v>1</v>
      </c>
      <c r="AC485" s="46"/>
      <c r="AD485" s="46"/>
      <c r="AE485" s="46"/>
      <c r="AF485" s="46"/>
      <c r="AG485" s="46"/>
      <c r="AH485" s="46"/>
      <c r="AI485" s="46"/>
      <c r="AJ485" s="46"/>
      <c r="AK485" s="46"/>
      <c r="AL485" s="34">
        <v>1</v>
      </c>
      <c r="AM485" s="34">
        <v>1</v>
      </c>
      <c r="AN485" s="46"/>
      <c r="AO485" s="46"/>
      <c r="AP485" s="46"/>
      <c r="AQ485" s="46"/>
      <c r="AR485" s="46"/>
      <c r="AS485" s="46"/>
      <c r="AT485" s="46"/>
      <c r="AU485" s="46"/>
      <c r="AV485" s="46"/>
      <c r="AW485" s="44">
        <v>1</v>
      </c>
      <c r="AX485" s="44"/>
      <c r="AY485" s="44">
        <v>1</v>
      </c>
      <c r="AZ485" s="44"/>
      <c r="BA485" s="34">
        <v>1</v>
      </c>
      <c r="BB485" s="34">
        <v>1</v>
      </c>
      <c r="BC485" s="34">
        <v>1</v>
      </c>
    </row>
    <row r="486" spans="1:55" customFormat="1" ht="21" customHeight="1" x14ac:dyDescent="0.25">
      <c r="A486" s="22"/>
      <c r="B486" s="42" t="s">
        <v>893</v>
      </c>
      <c r="C486" s="42" t="s">
        <v>246</v>
      </c>
      <c r="D486" s="42" t="s">
        <v>960</v>
      </c>
      <c r="E486" s="34"/>
      <c r="F486" s="46"/>
      <c r="G486" s="46"/>
      <c r="H486" s="34"/>
      <c r="I486" s="46"/>
      <c r="J486" s="46"/>
      <c r="K486" s="46"/>
      <c r="L486" s="46"/>
      <c r="M486" s="46"/>
      <c r="N486" s="46"/>
      <c r="O486" s="46"/>
      <c r="P486" s="34">
        <v>1</v>
      </c>
      <c r="Q486" s="42">
        <v>1</v>
      </c>
      <c r="R486" s="46"/>
      <c r="S486" s="46"/>
      <c r="T486" s="46"/>
      <c r="U486" s="46"/>
      <c r="V486" s="46"/>
      <c r="W486" s="46"/>
      <c r="X486" s="46"/>
      <c r="Y486" s="46"/>
      <c r="Z486" s="46"/>
      <c r="AA486" s="34">
        <v>1</v>
      </c>
      <c r="AB486" s="34"/>
      <c r="AC486" s="46"/>
      <c r="AD486" s="46"/>
      <c r="AE486" s="46"/>
      <c r="AF486" s="46"/>
      <c r="AG486" s="46"/>
      <c r="AH486" s="46"/>
      <c r="AI486" s="46"/>
      <c r="AJ486" s="46"/>
      <c r="AK486" s="46"/>
      <c r="AL486" s="46"/>
      <c r="AM486" s="42">
        <v>1</v>
      </c>
      <c r="AN486" s="46"/>
      <c r="AO486" s="46"/>
      <c r="AP486" s="46"/>
      <c r="AQ486" s="46"/>
      <c r="AR486" s="46"/>
      <c r="AS486" s="46"/>
      <c r="AT486" s="46"/>
      <c r="AU486" s="46"/>
      <c r="AV486" s="46"/>
      <c r="AW486" s="46"/>
      <c r="AX486" s="44"/>
      <c r="AY486" s="44">
        <v>1</v>
      </c>
      <c r="AZ486" s="44">
        <v>1</v>
      </c>
      <c r="BA486" s="34">
        <v>1</v>
      </c>
      <c r="BB486" s="34">
        <v>1</v>
      </c>
      <c r="BC486" s="34">
        <v>1</v>
      </c>
    </row>
    <row r="487" spans="1:55" customFormat="1" ht="21" customHeight="1" x14ac:dyDescent="0.25">
      <c r="A487" s="22"/>
      <c r="B487" s="42" t="s">
        <v>893</v>
      </c>
      <c r="C487" s="42" t="s">
        <v>246</v>
      </c>
      <c r="D487" s="42" t="s">
        <v>961</v>
      </c>
      <c r="E487" s="34"/>
      <c r="F487" s="46"/>
      <c r="G487" s="46"/>
      <c r="H487" s="34"/>
      <c r="I487" s="46"/>
      <c r="J487" s="46"/>
      <c r="K487" s="46"/>
      <c r="L487" s="46"/>
      <c r="M487" s="46"/>
      <c r="N487" s="46"/>
      <c r="O487" s="46"/>
      <c r="P487" s="34">
        <v>1</v>
      </c>
      <c r="Q487" s="42">
        <v>1</v>
      </c>
      <c r="R487" s="46"/>
      <c r="S487" s="46"/>
      <c r="T487" s="46"/>
      <c r="U487" s="46"/>
      <c r="V487" s="46"/>
      <c r="W487" s="46"/>
      <c r="X487" s="46"/>
      <c r="Y487" s="46"/>
      <c r="Z487" s="46"/>
      <c r="AA487" s="34">
        <v>1</v>
      </c>
      <c r="AB487" s="42">
        <v>1</v>
      </c>
      <c r="AC487" s="46"/>
      <c r="AD487" s="46"/>
      <c r="AE487" s="46"/>
      <c r="AF487" s="46"/>
      <c r="AG487" s="46"/>
      <c r="AH487" s="46"/>
      <c r="AI487" s="46"/>
      <c r="AJ487" s="46"/>
      <c r="AK487" s="46"/>
      <c r="AL487" s="46"/>
      <c r="AM487" s="46"/>
      <c r="AN487" s="46"/>
      <c r="AO487" s="46"/>
      <c r="AP487" s="46"/>
      <c r="AQ487" s="46"/>
      <c r="AR487" s="46"/>
      <c r="AS487" s="46"/>
      <c r="AT487" s="46"/>
      <c r="AU487" s="46"/>
      <c r="AV487" s="46"/>
      <c r="AW487" s="46"/>
      <c r="AX487" s="44"/>
      <c r="AY487" s="44">
        <v>1</v>
      </c>
      <c r="AZ487" s="44">
        <v>1</v>
      </c>
      <c r="BA487" s="34">
        <v>1</v>
      </c>
      <c r="BB487" s="34">
        <v>1</v>
      </c>
      <c r="BC487" s="34">
        <v>1</v>
      </c>
    </row>
    <row r="488" spans="1:55" customFormat="1" ht="21" customHeight="1" x14ac:dyDescent="0.25">
      <c r="A488" s="22"/>
      <c r="B488" s="42" t="s">
        <v>893</v>
      </c>
      <c r="C488" s="42" t="s">
        <v>249</v>
      </c>
      <c r="D488" s="42" t="s">
        <v>962</v>
      </c>
      <c r="E488" s="34"/>
      <c r="F488" s="46"/>
      <c r="G488" s="46"/>
      <c r="H488" s="34"/>
      <c r="I488" s="46"/>
      <c r="J488" s="46"/>
      <c r="K488" s="46"/>
      <c r="L488" s="46"/>
      <c r="M488" s="46"/>
      <c r="N488" s="46"/>
      <c r="O488" s="46"/>
      <c r="P488" s="34">
        <v>1</v>
      </c>
      <c r="Q488" s="34">
        <v>1</v>
      </c>
      <c r="R488" s="46"/>
      <c r="S488" s="46"/>
      <c r="T488" s="46"/>
      <c r="U488" s="46"/>
      <c r="V488" s="46"/>
      <c r="W488" s="46"/>
      <c r="X488" s="46"/>
      <c r="Y488" s="46"/>
      <c r="Z488" s="46"/>
      <c r="AA488" s="34"/>
      <c r="AB488" s="34">
        <v>1</v>
      </c>
      <c r="AC488" s="46"/>
      <c r="AD488" s="46"/>
      <c r="AE488" s="46"/>
      <c r="AF488" s="46"/>
      <c r="AG488" s="46"/>
      <c r="AH488" s="46"/>
      <c r="AI488" s="46"/>
      <c r="AJ488" s="46"/>
      <c r="AK488" s="46"/>
      <c r="AL488" s="46"/>
      <c r="AM488" s="34">
        <v>1</v>
      </c>
      <c r="AN488" s="46"/>
      <c r="AO488" s="46"/>
      <c r="AP488" s="46"/>
      <c r="AQ488" s="46"/>
      <c r="AR488" s="46"/>
      <c r="AS488" s="46"/>
      <c r="AT488" s="46"/>
      <c r="AU488" s="46"/>
      <c r="AV488" s="46"/>
      <c r="AW488" s="46"/>
      <c r="AX488" s="44">
        <v>1</v>
      </c>
      <c r="AY488" s="44"/>
      <c r="AZ488" s="44">
        <v>1</v>
      </c>
      <c r="BA488" s="46"/>
      <c r="BB488" s="34">
        <v>1</v>
      </c>
      <c r="BC488" s="34">
        <v>1</v>
      </c>
    </row>
    <row r="489" spans="1:55" customFormat="1" ht="21" customHeight="1" x14ac:dyDescent="0.25">
      <c r="A489" s="22"/>
      <c r="B489" s="42" t="s">
        <v>893</v>
      </c>
      <c r="C489" s="42" t="s">
        <v>249</v>
      </c>
      <c r="D489" s="42" t="s">
        <v>963</v>
      </c>
      <c r="E489" s="34"/>
      <c r="F489" s="46"/>
      <c r="G489" s="46"/>
      <c r="H489" s="34"/>
      <c r="I489" s="46"/>
      <c r="J489" s="46"/>
      <c r="K489" s="46"/>
      <c r="L489" s="46"/>
      <c r="M489" s="46"/>
      <c r="N489" s="46"/>
      <c r="O489" s="46"/>
      <c r="P489" s="34">
        <v>1</v>
      </c>
      <c r="Q489" s="42"/>
      <c r="R489" s="46"/>
      <c r="S489" s="46"/>
      <c r="T489" s="46"/>
      <c r="U489" s="46"/>
      <c r="V489" s="46"/>
      <c r="W489" s="46"/>
      <c r="X489" s="46"/>
      <c r="Y489" s="46"/>
      <c r="Z489" s="46"/>
      <c r="AA489" s="34">
        <v>1</v>
      </c>
      <c r="AB489" s="42"/>
      <c r="AC489" s="46"/>
      <c r="AD489" s="46"/>
      <c r="AE489" s="46"/>
      <c r="AF489" s="46"/>
      <c r="AG489" s="46"/>
      <c r="AH489" s="46"/>
      <c r="AI489" s="46"/>
      <c r="AJ489" s="46"/>
      <c r="AK489" s="46"/>
      <c r="AL489" s="46"/>
      <c r="AM489" s="34"/>
      <c r="AN489" s="46"/>
      <c r="AO489" s="46"/>
      <c r="AP489" s="46"/>
      <c r="AQ489" s="46"/>
      <c r="AR489" s="46"/>
      <c r="AS489" s="46"/>
      <c r="AT489" s="46"/>
      <c r="AU489" s="46"/>
      <c r="AV489" s="46"/>
      <c r="AW489" s="46"/>
      <c r="AX489" s="44"/>
      <c r="AY489" s="44">
        <v>1</v>
      </c>
      <c r="AZ489" s="44"/>
      <c r="BA489" s="34">
        <v>1</v>
      </c>
      <c r="BB489" s="34"/>
      <c r="BC489" s="34"/>
    </row>
    <row r="490" spans="1:55" customFormat="1" ht="21" customHeight="1" x14ac:dyDescent="0.25">
      <c r="A490" s="22"/>
      <c r="B490" s="42" t="s">
        <v>893</v>
      </c>
      <c r="C490" s="42" t="s">
        <v>249</v>
      </c>
      <c r="D490" s="42" t="s">
        <v>964</v>
      </c>
      <c r="E490" s="34"/>
      <c r="F490" s="46"/>
      <c r="G490" s="46"/>
      <c r="H490" s="34"/>
      <c r="I490" s="46"/>
      <c r="J490" s="46"/>
      <c r="K490" s="46"/>
      <c r="L490" s="46"/>
      <c r="M490" s="46"/>
      <c r="N490" s="46"/>
      <c r="O490" s="46"/>
      <c r="P490" s="46"/>
      <c r="Q490" s="34"/>
      <c r="R490" s="46"/>
      <c r="S490" s="46"/>
      <c r="T490" s="46"/>
      <c r="U490" s="46"/>
      <c r="V490" s="46"/>
      <c r="W490" s="46"/>
      <c r="X490" s="46"/>
      <c r="Y490" s="46"/>
      <c r="Z490" s="46"/>
      <c r="AA490" s="34"/>
      <c r="AB490" s="34">
        <v>1</v>
      </c>
      <c r="AC490" s="46"/>
      <c r="AD490" s="46"/>
      <c r="AE490" s="46"/>
      <c r="AF490" s="46"/>
      <c r="AG490" s="46"/>
      <c r="AH490" s="46"/>
      <c r="AI490" s="46"/>
      <c r="AJ490" s="46"/>
      <c r="AK490" s="46"/>
      <c r="AL490" s="46"/>
      <c r="AM490" s="34">
        <v>1</v>
      </c>
      <c r="AN490" s="46"/>
      <c r="AO490" s="46"/>
      <c r="AP490" s="46"/>
      <c r="AQ490" s="46"/>
      <c r="AR490" s="46"/>
      <c r="AS490" s="46"/>
      <c r="AT490" s="46"/>
      <c r="AU490" s="46"/>
      <c r="AV490" s="46"/>
      <c r="AW490" s="46"/>
      <c r="AX490" s="44">
        <v>1</v>
      </c>
      <c r="AY490" s="44"/>
      <c r="AZ490" s="44">
        <v>1</v>
      </c>
      <c r="BA490" s="46"/>
      <c r="BB490" s="34"/>
      <c r="BC490" s="34"/>
    </row>
    <row r="491" spans="1:55" customFormat="1" ht="21" customHeight="1" x14ac:dyDescent="0.25">
      <c r="A491" s="22"/>
      <c r="B491" s="42" t="s">
        <v>893</v>
      </c>
      <c r="C491" s="42" t="s">
        <v>249</v>
      </c>
      <c r="D491" s="42" t="s">
        <v>965</v>
      </c>
      <c r="E491" s="34"/>
      <c r="F491" s="46"/>
      <c r="G491" s="46"/>
      <c r="H491" s="34"/>
      <c r="I491" s="46"/>
      <c r="J491" s="46"/>
      <c r="K491" s="46"/>
      <c r="L491" s="46"/>
      <c r="M491" s="46"/>
      <c r="N491" s="46"/>
      <c r="O491" s="46"/>
      <c r="P491" s="46"/>
      <c r="Q491" s="34">
        <v>1</v>
      </c>
      <c r="R491" s="46"/>
      <c r="S491" s="46"/>
      <c r="T491" s="46"/>
      <c r="U491" s="46"/>
      <c r="V491" s="46"/>
      <c r="W491" s="46"/>
      <c r="X491" s="46"/>
      <c r="Y491" s="46"/>
      <c r="Z491" s="46"/>
      <c r="AA491" s="34"/>
      <c r="AB491" s="34">
        <v>1</v>
      </c>
      <c r="AC491" s="46"/>
      <c r="AD491" s="46"/>
      <c r="AE491" s="46"/>
      <c r="AF491" s="46"/>
      <c r="AG491" s="46"/>
      <c r="AH491" s="46"/>
      <c r="AI491" s="46"/>
      <c r="AJ491" s="46"/>
      <c r="AK491" s="46"/>
      <c r="AL491" s="46"/>
      <c r="AM491" s="34">
        <v>1</v>
      </c>
      <c r="AN491" s="46"/>
      <c r="AO491" s="46"/>
      <c r="AP491" s="46"/>
      <c r="AQ491" s="46"/>
      <c r="AR491" s="46"/>
      <c r="AS491" s="46"/>
      <c r="AT491" s="46"/>
      <c r="AU491" s="46"/>
      <c r="AV491" s="46"/>
      <c r="AW491" s="46"/>
      <c r="AX491" s="44">
        <v>1</v>
      </c>
      <c r="AY491" s="44"/>
      <c r="AZ491" s="44">
        <v>1</v>
      </c>
      <c r="BA491" s="46"/>
      <c r="BB491" s="34">
        <v>1</v>
      </c>
      <c r="BC491" s="34"/>
    </row>
    <row r="492" spans="1:55" customFormat="1" ht="21" customHeight="1" x14ac:dyDescent="0.25">
      <c r="A492" s="22"/>
      <c r="B492" s="42" t="s">
        <v>893</v>
      </c>
      <c r="C492" s="42" t="s">
        <v>249</v>
      </c>
      <c r="D492" s="42" t="s">
        <v>966</v>
      </c>
      <c r="E492" s="34"/>
      <c r="F492" s="46"/>
      <c r="G492" s="46"/>
      <c r="H492" s="34"/>
      <c r="I492" s="46"/>
      <c r="J492" s="46"/>
      <c r="K492" s="46"/>
      <c r="L492" s="46"/>
      <c r="M492" s="46"/>
      <c r="N492" s="46"/>
      <c r="O492" s="46"/>
      <c r="P492" s="46"/>
      <c r="Q492" s="34">
        <v>1</v>
      </c>
      <c r="R492" s="46"/>
      <c r="S492" s="46"/>
      <c r="T492" s="46"/>
      <c r="U492" s="46"/>
      <c r="V492" s="46"/>
      <c r="W492" s="46"/>
      <c r="X492" s="46"/>
      <c r="Y492" s="46"/>
      <c r="Z492" s="46"/>
      <c r="AA492" s="34"/>
      <c r="AB492" s="34">
        <v>1</v>
      </c>
      <c r="AC492" s="46"/>
      <c r="AD492" s="46"/>
      <c r="AE492" s="46"/>
      <c r="AF492" s="46"/>
      <c r="AG492" s="46"/>
      <c r="AH492" s="46"/>
      <c r="AI492" s="46"/>
      <c r="AJ492" s="46"/>
      <c r="AK492" s="46"/>
      <c r="AL492" s="46"/>
      <c r="AM492" s="34">
        <v>1</v>
      </c>
      <c r="AN492" s="46"/>
      <c r="AO492" s="46"/>
      <c r="AP492" s="46"/>
      <c r="AQ492" s="46"/>
      <c r="AR492" s="46"/>
      <c r="AS492" s="46"/>
      <c r="AT492" s="46"/>
      <c r="AU492" s="46"/>
      <c r="AV492" s="46"/>
      <c r="AW492" s="46"/>
      <c r="AX492" s="44">
        <v>1</v>
      </c>
      <c r="AY492" s="44"/>
      <c r="AZ492" s="44">
        <v>1</v>
      </c>
      <c r="BA492" s="46"/>
      <c r="BB492" s="34">
        <v>1</v>
      </c>
      <c r="BC492" s="34"/>
    </row>
    <row r="493" spans="1:55" customFormat="1" ht="21" customHeight="1" x14ac:dyDescent="0.25">
      <c r="A493" s="22"/>
      <c r="B493" s="42" t="s">
        <v>893</v>
      </c>
      <c r="C493" s="42" t="s">
        <v>249</v>
      </c>
      <c r="D493" s="42" t="s">
        <v>967</v>
      </c>
      <c r="E493" s="34"/>
      <c r="F493" s="46"/>
      <c r="G493" s="46"/>
      <c r="H493" s="34"/>
      <c r="I493" s="46"/>
      <c r="J493" s="46"/>
      <c r="K493" s="46"/>
      <c r="L493" s="46"/>
      <c r="M493" s="46"/>
      <c r="N493" s="46"/>
      <c r="O493" s="46"/>
      <c r="P493" s="46"/>
      <c r="Q493" s="34"/>
      <c r="R493" s="46"/>
      <c r="S493" s="46"/>
      <c r="T493" s="46"/>
      <c r="U493" s="46"/>
      <c r="V493" s="46"/>
      <c r="W493" s="46"/>
      <c r="X493" s="46"/>
      <c r="Y493" s="46"/>
      <c r="Z493" s="46"/>
      <c r="AA493" s="34"/>
      <c r="AB493" s="34"/>
      <c r="AC493" s="46"/>
      <c r="AD493" s="46"/>
      <c r="AE493" s="46"/>
      <c r="AF493" s="46"/>
      <c r="AG493" s="46"/>
      <c r="AH493" s="46"/>
      <c r="AI493" s="46"/>
      <c r="AJ493" s="46"/>
      <c r="AK493" s="46"/>
      <c r="AL493" s="46"/>
      <c r="AM493" s="34"/>
      <c r="AN493" s="46"/>
      <c r="AO493" s="46"/>
      <c r="AP493" s="46"/>
      <c r="AQ493" s="46"/>
      <c r="AR493" s="46"/>
      <c r="AS493" s="46"/>
      <c r="AT493" s="46"/>
      <c r="AU493" s="46"/>
      <c r="AV493" s="46"/>
      <c r="AW493" s="46"/>
      <c r="AX493" s="44"/>
      <c r="AY493" s="44"/>
      <c r="AZ493" s="44"/>
      <c r="BA493" s="46"/>
      <c r="BB493" s="34">
        <v>1</v>
      </c>
      <c r="BC493" s="34"/>
    </row>
    <row r="494" spans="1:55" customFormat="1" ht="21" customHeight="1" x14ac:dyDescent="0.25">
      <c r="A494" s="22"/>
      <c r="B494" s="42" t="s">
        <v>893</v>
      </c>
      <c r="C494" s="42" t="s">
        <v>249</v>
      </c>
      <c r="D494" s="42" t="s">
        <v>968</v>
      </c>
      <c r="E494" s="34"/>
      <c r="F494" s="46"/>
      <c r="G494" s="46"/>
      <c r="H494" s="34"/>
      <c r="I494" s="46"/>
      <c r="J494" s="46"/>
      <c r="K494" s="46"/>
      <c r="L494" s="46"/>
      <c r="M494" s="46"/>
      <c r="N494" s="46"/>
      <c r="O494" s="46"/>
      <c r="P494" s="46"/>
      <c r="Q494" s="34">
        <v>1</v>
      </c>
      <c r="R494" s="46"/>
      <c r="S494" s="46"/>
      <c r="T494" s="46"/>
      <c r="U494" s="46"/>
      <c r="V494" s="46"/>
      <c r="W494" s="46"/>
      <c r="X494" s="46"/>
      <c r="Y494" s="46"/>
      <c r="Z494" s="46"/>
      <c r="AA494" s="34"/>
      <c r="AB494" s="34">
        <v>1</v>
      </c>
      <c r="AC494" s="46"/>
      <c r="AD494" s="46"/>
      <c r="AE494" s="46"/>
      <c r="AF494" s="46"/>
      <c r="AG494" s="46"/>
      <c r="AH494" s="46"/>
      <c r="AI494" s="46"/>
      <c r="AJ494" s="46"/>
      <c r="AK494" s="46"/>
      <c r="AL494" s="46"/>
      <c r="AM494" s="34">
        <v>1</v>
      </c>
      <c r="AN494" s="46"/>
      <c r="AO494" s="46"/>
      <c r="AP494" s="46"/>
      <c r="AQ494" s="46"/>
      <c r="AR494" s="46"/>
      <c r="AS494" s="46"/>
      <c r="AT494" s="46"/>
      <c r="AU494" s="46"/>
      <c r="AV494" s="46"/>
      <c r="AW494" s="46"/>
      <c r="AX494" s="44">
        <v>1</v>
      </c>
      <c r="AY494" s="44"/>
      <c r="AZ494" s="44"/>
      <c r="BA494" s="46"/>
      <c r="BB494" s="34">
        <v>1</v>
      </c>
      <c r="BC494" s="34"/>
    </row>
    <row r="495" spans="1:55" customFormat="1" ht="21" customHeight="1" x14ac:dyDescent="0.25">
      <c r="A495" s="22"/>
      <c r="B495" s="42" t="s">
        <v>893</v>
      </c>
      <c r="C495" s="42" t="s">
        <v>249</v>
      </c>
      <c r="D495" s="42" t="s">
        <v>969</v>
      </c>
      <c r="E495" s="34"/>
      <c r="F495" s="46"/>
      <c r="G495" s="46"/>
      <c r="H495" s="34"/>
      <c r="I495" s="46"/>
      <c r="J495" s="46"/>
      <c r="K495" s="46"/>
      <c r="L495" s="46"/>
      <c r="M495" s="46"/>
      <c r="N495" s="46"/>
      <c r="O495" s="46"/>
      <c r="P495" s="46"/>
      <c r="Q495" s="34">
        <v>1</v>
      </c>
      <c r="R495" s="46"/>
      <c r="S495" s="46"/>
      <c r="T495" s="46"/>
      <c r="U495" s="46"/>
      <c r="V495" s="46"/>
      <c r="W495" s="46"/>
      <c r="X495" s="46"/>
      <c r="Y495" s="46"/>
      <c r="Z495" s="46"/>
      <c r="AA495" s="34"/>
      <c r="AB495" s="34">
        <v>1</v>
      </c>
      <c r="AC495" s="46"/>
      <c r="AD495" s="46"/>
      <c r="AE495" s="46"/>
      <c r="AF495" s="46"/>
      <c r="AG495" s="46"/>
      <c r="AH495" s="46"/>
      <c r="AI495" s="46"/>
      <c r="AJ495" s="46"/>
      <c r="AK495" s="46"/>
      <c r="AL495" s="46"/>
      <c r="AM495" s="34">
        <v>1</v>
      </c>
      <c r="AN495" s="46"/>
      <c r="AO495" s="46"/>
      <c r="AP495" s="46"/>
      <c r="AQ495" s="46"/>
      <c r="AR495" s="46"/>
      <c r="AS495" s="46"/>
      <c r="AT495" s="46"/>
      <c r="AU495" s="46"/>
      <c r="AV495" s="46"/>
      <c r="AW495" s="46"/>
      <c r="AX495" s="44">
        <v>1</v>
      </c>
      <c r="AY495" s="44"/>
      <c r="AZ495" s="44">
        <v>1</v>
      </c>
      <c r="BA495" s="46"/>
      <c r="BB495" s="34">
        <v>1</v>
      </c>
      <c r="BC495" s="34"/>
    </row>
    <row r="496" spans="1:55" customFormat="1" ht="21" customHeight="1" x14ac:dyDescent="0.25">
      <c r="A496" s="22"/>
      <c r="B496" s="42" t="s">
        <v>893</v>
      </c>
      <c r="C496" s="42" t="s">
        <v>249</v>
      </c>
      <c r="D496" s="42" t="s">
        <v>970</v>
      </c>
      <c r="E496" s="34"/>
      <c r="F496" s="46"/>
      <c r="G496" s="46"/>
      <c r="H496" s="34"/>
      <c r="I496" s="46"/>
      <c r="J496" s="46"/>
      <c r="K496" s="46"/>
      <c r="L496" s="46"/>
      <c r="M496" s="46"/>
      <c r="N496" s="46"/>
      <c r="O496" s="46"/>
      <c r="P496" s="46"/>
      <c r="Q496" s="34"/>
      <c r="R496" s="46"/>
      <c r="S496" s="46"/>
      <c r="T496" s="46"/>
      <c r="U496" s="46"/>
      <c r="V496" s="46"/>
      <c r="W496" s="46"/>
      <c r="X496" s="46"/>
      <c r="Y496" s="46"/>
      <c r="Z496" s="46"/>
      <c r="AA496" s="34"/>
      <c r="AB496" s="34">
        <v>1</v>
      </c>
      <c r="AC496" s="46"/>
      <c r="AD496" s="46"/>
      <c r="AE496" s="46"/>
      <c r="AF496" s="46"/>
      <c r="AG496" s="46"/>
      <c r="AH496" s="46"/>
      <c r="AI496" s="46"/>
      <c r="AJ496" s="46"/>
      <c r="AK496" s="46"/>
      <c r="AL496" s="46"/>
      <c r="AM496" s="34">
        <v>1</v>
      </c>
      <c r="AN496" s="46"/>
      <c r="AO496" s="46"/>
      <c r="AP496" s="46"/>
      <c r="AQ496" s="46"/>
      <c r="AR496" s="46"/>
      <c r="AS496" s="46"/>
      <c r="AT496" s="46"/>
      <c r="AU496" s="46"/>
      <c r="AV496" s="46"/>
      <c r="AW496" s="46"/>
      <c r="AX496" s="44">
        <v>1</v>
      </c>
      <c r="AY496" s="44"/>
      <c r="AZ496" s="44">
        <v>1</v>
      </c>
      <c r="BA496" s="46"/>
      <c r="BB496" s="34">
        <v>1</v>
      </c>
      <c r="BC496" s="34"/>
    </row>
    <row r="497" spans="1:55" customFormat="1" ht="21" customHeight="1" x14ac:dyDescent="0.25">
      <c r="A497" s="22"/>
      <c r="B497" s="42" t="s">
        <v>893</v>
      </c>
      <c r="C497" s="42" t="s">
        <v>249</v>
      </c>
      <c r="D497" s="42" t="s">
        <v>971</v>
      </c>
      <c r="E497" s="34"/>
      <c r="F497" s="46"/>
      <c r="G497" s="46"/>
      <c r="H497" s="34"/>
      <c r="I497" s="46"/>
      <c r="J497" s="46"/>
      <c r="K497" s="46"/>
      <c r="L497" s="46"/>
      <c r="M497" s="46"/>
      <c r="N497" s="46"/>
      <c r="O497" s="46"/>
      <c r="P497" s="46"/>
      <c r="Q497" s="34">
        <v>1</v>
      </c>
      <c r="R497" s="46"/>
      <c r="S497" s="46"/>
      <c r="T497" s="46"/>
      <c r="U497" s="46"/>
      <c r="V497" s="46"/>
      <c r="W497" s="46"/>
      <c r="X497" s="46"/>
      <c r="Y497" s="46"/>
      <c r="Z497" s="46"/>
      <c r="AA497" s="34"/>
      <c r="AB497" s="34">
        <v>1</v>
      </c>
      <c r="AC497" s="46"/>
      <c r="AD497" s="46"/>
      <c r="AE497" s="46"/>
      <c r="AF497" s="46"/>
      <c r="AG497" s="46"/>
      <c r="AH497" s="46"/>
      <c r="AI497" s="46"/>
      <c r="AJ497" s="46"/>
      <c r="AK497" s="46"/>
      <c r="AL497" s="46"/>
      <c r="AM497" s="34">
        <v>1</v>
      </c>
      <c r="AN497" s="46"/>
      <c r="AO497" s="46"/>
      <c r="AP497" s="46"/>
      <c r="AQ497" s="46"/>
      <c r="AR497" s="46"/>
      <c r="AS497" s="46"/>
      <c r="AT497" s="46"/>
      <c r="AU497" s="46"/>
      <c r="AV497" s="46"/>
      <c r="AW497" s="46"/>
      <c r="AX497" s="44">
        <v>1</v>
      </c>
      <c r="AY497" s="44"/>
      <c r="AZ497" s="44">
        <v>1</v>
      </c>
      <c r="BA497" s="46"/>
      <c r="BB497" s="34">
        <v>1</v>
      </c>
      <c r="BC497" s="34"/>
    </row>
    <row r="498" spans="1:55" customFormat="1" ht="21" customHeight="1" x14ac:dyDescent="0.25">
      <c r="A498" s="22"/>
      <c r="B498" s="42" t="s">
        <v>893</v>
      </c>
      <c r="C498" s="42" t="s">
        <v>249</v>
      </c>
      <c r="D498" s="42" t="s">
        <v>972</v>
      </c>
      <c r="E498" s="34"/>
      <c r="F498" s="46"/>
      <c r="G498" s="46"/>
      <c r="H498" s="34"/>
      <c r="I498" s="46"/>
      <c r="J498" s="46"/>
      <c r="K498" s="46"/>
      <c r="L498" s="46"/>
      <c r="M498" s="46"/>
      <c r="N498" s="46"/>
      <c r="O498" s="46"/>
      <c r="P498" s="46"/>
      <c r="Q498" s="34">
        <v>1</v>
      </c>
      <c r="R498" s="46"/>
      <c r="S498" s="46"/>
      <c r="T498" s="46"/>
      <c r="U498" s="46"/>
      <c r="V498" s="46"/>
      <c r="W498" s="46"/>
      <c r="X498" s="46"/>
      <c r="Y498" s="46"/>
      <c r="Z498" s="46"/>
      <c r="AA498" s="34"/>
      <c r="AB498" s="34">
        <v>1</v>
      </c>
      <c r="AC498" s="46"/>
      <c r="AD498" s="46"/>
      <c r="AE498" s="46"/>
      <c r="AF498" s="46"/>
      <c r="AG498" s="46"/>
      <c r="AH498" s="46"/>
      <c r="AI498" s="46"/>
      <c r="AJ498" s="46"/>
      <c r="AK498" s="46"/>
      <c r="AL498" s="46"/>
      <c r="AM498" s="34">
        <v>1</v>
      </c>
      <c r="AN498" s="46"/>
      <c r="AO498" s="46"/>
      <c r="AP498" s="46"/>
      <c r="AQ498" s="46"/>
      <c r="AR498" s="46"/>
      <c r="AS498" s="46"/>
      <c r="AT498" s="46"/>
      <c r="AU498" s="46"/>
      <c r="AV498" s="46"/>
      <c r="AW498" s="46"/>
      <c r="AX498" s="44">
        <v>1</v>
      </c>
      <c r="AY498" s="44"/>
      <c r="AZ498" s="44">
        <v>1</v>
      </c>
      <c r="BA498" s="46"/>
      <c r="BB498" s="34">
        <v>1</v>
      </c>
      <c r="BC498" s="34"/>
    </row>
    <row r="499" spans="1:55" customFormat="1" ht="21" customHeight="1" x14ac:dyDescent="0.25">
      <c r="A499" s="22"/>
      <c r="B499" s="42" t="s">
        <v>893</v>
      </c>
      <c r="C499" s="42" t="s">
        <v>249</v>
      </c>
      <c r="D499" s="42" t="s">
        <v>973</v>
      </c>
      <c r="E499" s="34"/>
      <c r="F499" s="46"/>
      <c r="G499" s="46"/>
      <c r="H499" s="34"/>
      <c r="I499" s="46"/>
      <c r="J499" s="46"/>
      <c r="K499" s="46"/>
      <c r="L499" s="46"/>
      <c r="M499" s="46"/>
      <c r="N499" s="46"/>
      <c r="O499" s="46"/>
      <c r="P499" s="46"/>
      <c r="Q499" s="34">
        <v>1</v>
      </c>
      <c r="R499" s="46"/>
      <c r="S499" s="46"/>
      <c r="T499" s="46"/>
      <c r="U499" s="46"/>
      <c r="V499" s="46"/>
      <c r="W499" s="46"/>
      <c r="X499" s="46"/>
      <c r="Y499" s="46"/>
      <c r="Z499" s="46"/>
      <c r="AA499" s="34"/>
      <c r="AB499" s="34">
        <v>1</v>
      </c>
      <c r="AC499" s="46"/>
      <c r="AD499" s="46"/>
      <c r="AE499" s="46"/>
      <c r="AF499" s="46"/>
      <c r="AG499" s="46"/>
      <c r="AH499" s="46"/>
      <c r="AI499" s="46"/>
      <c r="AJ499" s="46"/>
      <c r="AK499" s="46"/>
      <c r="AL499" s="46"/>
      <c r="AM499" s="34">
        <v>1</v>
      </c>
      <c r="AN499" s="46"/>
      <c r="AO499" s="46"/>
      <c r="AP499" s="46"/>
      <c r="AQ499" s="46"/>
      <c r="AR499" s="46"/>
      <c r="AS499" s="46"/>
      <c r="AT499" s="46"/>
      <c r="AU499" s="46"/>
      <c r="AV499" s="46"/>
      <c r="AW499" s="46"/>
      <c r="AX499" s="44">
        <v>1</v>
      </c>
      <c r="AY499" s="44"/>
      <c r="AZ499" s="44">
        <v>1</v>
      </c>
      <c r="BA499" s="46"/>
      <c r="BB499" s="34">
        <v>1</v>
      </c>
      <c r="BC499" s="34"/>
    </row>
    <row r="500" spans="1:55" customFormat="1" ht="21" customHeight="1" x14ac:dyDescent="0.25">
      <c r="A500" s="22"/>
      <c r="B500" s="42" t="s">
        <v>893</v>
      </c>
      <c r="C500" s="42" t="s">
        <v>249</v>
      </c>
      <c r="D500" s="42" t="s">
        <v>974</v>
      </c>
      <c r="E500" s="34"/>
      <c r="F500" s="46"/>
      <c r="G500" s="46"/>
      <c r="H500" s="34"/>
      <c r="I500" s="46"/>
      <c r="J500" s="46"/>
      <c r="K500" s="46"/>
      <c r="L500" s="46"/>
      <c r="M500" s="46"/>
      <c r="N500" s="46"/>
      <c r="O500" s="46"/>
      <c r="P500" s="46"/>
      <c r="Q500" s="34">
        <v>1</v>
      </c>
      <c r="R500" s="46"/>
      <c r="S500" s="46"/>
      <c r="T500" s="46"/>
      <c r="U500" s="46"/>
      <c r="V500" s="46"/>
      <c r="W500" s="46"/>
      <c r="X500" s="46"/>
      <c r="Y500" s="46"/>
      <c r="Z500" s="46"/>
      <c r="AA500" s="34"/>
      <c r="AB500" s="34">
        <v>1</v>
      </c>
      <c r="AC500" s="46"/>
      <c r="AD500" s="46"/>
      <c r="AE500" s="46"/>
      <c r="AF500" s="46"/>
      <c r="AG500" s="46"/>
      <c r="AH500" s="46"/>
      <c r="AI500" s="46"/>
      <c r="AJ500" s="46"/>
      <c r="AK500" s="46"/>
      <c r="AL500" s="46"/>
      <c r="AM500" s="34">
        <v>1</v>
      </c>
      <c r="AN500" s="46"/>
      <c r="AO500" s="46"/>
      <c r="AP500" s="46"/>
      <c r="AQ500" s="46"/>
      <c r="AR500" s="46"/>
      <c r="AS500" s="46"/>
      <c r="AT500" s="46"/>
      <c r="AU500" s="46"/>
      <c r="AV500" s="46"/>
      <c r="AW500" s="46"/>
      <c r="AX500" s="44">
        <v>1</v>
      </c>
      <c r="AY500" s="44"/>
      <c r="AZ500" s="44">
        <v>1</v>
      </c>
      <c r="BA500" s="46"/>
      <c r="BB500" s="34">
        <v>1</v>
      </c>
      <c r="BC500" s="34"/>
    </row>
    <row r="501" spans="1:55" customFormat="1" ht="21" customHeight="1" x14ac:dyDescent="0.25">
      <c r="A501" s="22"/>
      <c r="B501" s="42" t="s">
        <v>893</v>
      </c>
      <c r="C501" s="42" t="s">
        <v>249</v>
      </c>
      <c r="D501" s="42" t="s">
        <v>975</v>
      </c>
      <c r="E501" s="34"/>
      <c r="F501" s="46"/>
      <c r="G501" s="46"/>
      <c r="H501" s="34"/>
      <c r="I501" s="46"/>
      <c r="J501" s="46"/>
      <c r="K501" s="46"/>
      <c r="L501" s="46"/>
      <c r="M501" s="46"/>
      <c r="N501" s="46"/>
      <c r="O501" s="46"/>
      <c r="P501" s="46"/>
      <c r="Q501" s="34">
        <v>1</v>
      </c>
      <c r="R501" s="46"/>
      <c r="S501" s="46"/>
      <c r="T501" s="46"/>
      <c r="U501" s="46"/>
      <c r="V501" s="46"/>
      <c r="W501" s="46"/>
      <c r="X501" s="46"/>
      <c r="Y501" s="46"/>
      <c r="Z501" s="46"/>
      <c r="AA501" s="34"/>
      <c r="AB501" s="34">
        <v>1</v>
      </c>
      <c r="AC501" s="46"/>
      <c r="AD501" s="46"/>
      <c r="AE501" s="46"/>
      <c r="AF501" s="46"/>
      <c r="AG501" s="46"/>
      <c r="AH501" s="46"/>
      <c r="AI501" s="46"/>
      <c r="AJ501" s="46"/>
      <c r="AK501" s="46"/>
      <c r="AL501" s="46"/>
      <c r="AM501" s="34">
        <v>1</v>
      </c>
      <c r="AN501" s="46"/>
      <c r="AO501" s="46"/>
      <c r="AP501" s="46"/>
      <c r="AQ501" s="46"/>
      <c r="AR501" s="46"/>
      <c r="AS501" s="46"/>
      <c r="AT501" s="46"/>
      <c r="AU501" s="46"/>
      <c r="AV501" s="46"/>
      <c r="AW501" s="46"/>
      <c r="AX501" s="44">
        <v>1</v>
      </c>
      <c r="AY501" s="44">
        <v>1</v>
      </c>
      <c r="AZ501" s="44">
        <v>1</v>
      </c>
      <c r="BA501" s="46"/>
      <c r="BB501" s="34">
        <v>1</v>
      </c>
      <c r="BC501" s="34"/>
    </row>
    <row r="502" spans="1:55" customFormat="1" ht="21" customHeight="1" x14ac:dyDescent="0.25">
      <c r="A502" s="22"/>
      <c r="B502" s="42" t="s">
        <v>893</v>
      </c>
      <c r="C502" s="42" t="s">
        <v>249</v>
      </c>
      <c r="D502" s="42" t="s">
        <v>976</v>
      </c>
      <c r="E502" s="34"/>
      <c r="F502" s="46"/>
      <c r="G502" s="46"/>
      <c r="H502" s="34"/>
      <c r="I502" s="46"/>
      <c r="J502" s="46"/>
      <c r="K502" s="46"/>
      <c r="L502" s="46"/>
      <c r="M502" s="46"/>
      <c r="N502" s="46"/>
      <c r="O502" s="46"/>
      <c r="P502" s="46"/>
      <c r="Q502" s="34">
        <v>1</v>
      </c>
      <c r="R502" s="46"/>
      <c r="S502" s="46"/>
      <c r="T502" s="46"/>
      <c r="U502" s="46"/>
      <c r="V502" s="46"/>
      <c r="W502" s="46"/>
      <c r="X502" s="46"/>
      <c r="Y502" s="46"/>
      <c r="Z502" s="46"/>
      <c r="AA502" s="34"/>
      <c r="AB502" s="34">
        <v>1</v>
      </c>
      <c r="AC502" s="46"/>
      <c r="AD502" s="46"/>
      <c r="AE502" s="46"/>
      <c r="AF502" s="46"/>
      <c r="AG502" s="46"/>
      <c r="AH502" s="46"/>
      <c r="AI502" s="46"/>
      <c r="AJ502" s="46"/>
      <c r="AK502" s="46"/>
      <c r="AL502" s="46"/>
      <c r="AM502" s="34">
        <v>1</v>
      </c>
      <c r="AN502" s="46"/>
      <c r="AO502" s="46"/>
      <c r="AP502" s="46"/>
      <c r="AQ502" s="46"/>
      <c r="AR502" s="46"/>
      <c r="AS502" s="46"/>
      <c r="AT502" s="46"/>
      <c r="AU502" s="46"/>
      <c r="AV502" s="46"/>
      <c r="AW502" s="46"/>
      <c r="AX502" s="44">
        <v>1</v>
      </c>
      <c r="AY502" s="44"/>
      <c r="AZ502" s="44">
        <v>1</v>
      </c>
      <c r="BA502" s="46"/>
      <c r="BB502" s="34">
        <v>1</v>
      </c>
      <c r="BC502" s="34"/>
    </row>
    <row r="503" spans="1:55" customFormat="1" ht="21" customHeight="1" x14ac:dyDescent="0.25">
      <c r="A503" s="22"/>
      <c r="B503" s="42" t="s">
        <v>893</v>
      </c>
      <c r="C503" s="42" t="s">
        <v>249</v>
      </c>
      <c r="D503" s="42" t="s">
        <v>977</v>
      </c>
      <c r="E503" s="34"/>
      <c r="F503" s="46"/>
      <c r="G503" s="46"/>
      <c r="H503" s="34"/>
      <c r="I503" s="46"/>
      <c r="J503" s="46"/>
      <c r="K503" s="46"/>
      <c r="L503" s="46"/>
      <c r="M503" s="46"/>
      <c r="N503" s="46"/>
      <c r="O503" s="46"/>
      <c r="P503" s="46"/>
      <c r="Q503" s="34"/>
      <c r="R503" s="46"/>
      <c r="S503" s="46"/>
      <c r="T503" s="46"/>
      <c r="U503" s="46"/>
      <c r="V503" s="46"/>
      <c r="W503" s="46"/>
      <c r="X503" s="46"/>
      <c r="Y503" s="46"/>
      <c r="Z503" s="46"/>
      <c r="AA503" s="34"/>
      <c r="AB503" s="34">
        <v>1</v>
      </c>
      <c r="AC503" s="46"/>
      <c r="AD503" s="46"/>
      <c r="AE503" s="46"/>
      <c r="AF503" s="46"/>
      <c r="AG503" s="46"/>
      <c r="AH503" s="46"/>
      <c r="AI503" s="46"/>
      <c r="AJ503" s="46"/>
      <c r="AK503" s="46"/>
      <c r="AL503" s="46"/>
      <c r="AM503" s="34">
        <v>1</v>
      </c>
      <c r="AN503" s="46"/>
      <c r="AO503" s="46"/>
      <c r="AP503" s="46"/>
      <c r="AQ503" s="46"/>
      <c r="AR503" s="46"/>
      <c r="AS503" s="46"/>
      <c r="AT503" s="46"/>
      <c r="AU503" s="46"/>
      <c r="AV503" s="46"/>
      <c r="AW503" s="46"/>
      <c r="AX503" s="44">
        <v>1</v>
      </c>
      <c r="AY503" s="44"/>
      <c r="AZ503" s="44">
        <v>1</v>
      </c>
      <c r="BA503" s="46"/>
      <c r="BB503" s="34"/>
      <c r="BC503" s="34"/>
    </row>
    <row r="504" spans="1:55" customFormat="1" ht="21" customHeight="1" x14ac:dyDescent="0.25">
      <c r="A504" s="22"/>
      <c r="B504" s="42" t="s">
        <v>893</v>
      </c>
      <c r="C504" s="42" t="s">
        <v>249</v>
      </c>
      <c r="D504" s="42" t="s">
        <v>978</v>
      </c>
      <c r="E504" s="34"/>
      <c r="F504" s="46"/>
      <c r="G504" s="46"/>
      <c r="H504" s="34"/>
      <c r="I504" s="46"/>
      <c r="J504" s="46"/>
      <c r="K504" s="46"/>
      <c r="L504" s="46"/>
      <c r="M504" s="46"/>
      <c r="N504" s="46"/>
      <c r="O504" s="46"/>
      <c r="P504" s="46"/>
      <c r="Q504" s="34">
        <v>1</v>
      </c>
      <c r="R504" s="46"/>
      <c r="S504" s="46"/>
      <c r="T504" s="46"/>
      <c r="U504" s="46"/>
      <c r="V504" s="46"/>
      <c r="W504" s="46"/>
      <c r="X504" s="46"/>
      <c r="Y504" s="46"/>
      <c r="Z504" s="46"/>
      <c r="AA504" s="34"/>
      <c r="AB504" s="34">
        <v>1</v>
      </c>
      <c r="AC504" s="46"/>
      <c r="AD504" s="46"/>
      <c r="AE504" s="46"/>
      <c r="AF504" s="46"/>
      <c r="AG504" s="46"/>
      <c r="AH504" s="46"/>
      <c r="AI504" s="46"/>
      <c r="AJ504" s="46"/>
      <c r="AK504" s="46"/>
      <c r="AL504" s="46"/>
      <c r="AM504" s="34">
        <v>1</v>
      </c>
      <c r="AN504" s="46"/>
      <c r="AO504" s="46"/>
      <c r="AP504" s="46"/>
      <c r="AQ504" s="46"/>
      <c r="AR504" s="46"/>
      <c r="AS504" s="46"/>
      <c r="AT504" s="46"/>
      <c r="AU504" s="46"/>
      <c r="AV504" s="46"/>
      <c r="AW504" s="46"/>
      <c r="AX504" s="44">
        <v>1</v>
      </c>
      <c r="AY504" s="44"/>
      <c r="AZ504" s="44">
        <v>1</v>
      </c>
      <c r="BA504" s="46"/>
      <c r="BB504" s="34">
        <v>1</v>
      </c>
      <c r="BC504" s="34"/>
    </row>
    <row r="505" spans="1:55" customFormat="1" ht="21" customHeight="1" x14ac:dyDescent="0.25">
      <c r="A505" s="22"/>
      <c r="B505" s="42" t="s">
        <v>893</v>
      </c>
      <c r="C505" s="42" t="s">
        <v>249</v>
      </c>
      <c r="D505" s="42" t="s">
        <v>979</v>
      </c>
      <c r="E505" s="34"/>
      <c r="F505" s="46"/>
      <c r="G505" s="46"/>
      <c r="H505" s="34"/>
      <c r="I505" s="46"/>
      <c r="J505" s="46"/>
      <c r="K505" s="46"/>
      <c r="L505" s="46"/>
      <c r="M505" s="46"/>
      <c r="N505" s="46"/>
      <c r="O505" s="46"/>
      <c r="P505" s="46"/>
      <c r="Q505" s="34">
        <v>1</v>
      </c>
      <c r="R505" s="46"/>
      <c r="S505" s="46"/>
      <c r="T505" s="46"/>
      <c r="U505" s="46"/>
      <c r="V505" s="46"/>
      <c r="W505" s="46"/>
      <c r="X505" s="46"/>
      <c r="Y505" s="46"/>
      <c r="Z505" s="46"/>
      <c r="AA505" s="34"/>
      <c r="AB505" s="34">
        <v>1</v>
      </c>
      <c r="AC505" s="46"/>
      <c r="AD505" s="46"/>
      <c r="AE505" s="46"/>
      <c r="AF505" s="46"/>
      <c r="AG505" s="46"/>
      <c r="AH505" s="46"/>
      <c r="AI505" s="46"/>
      <c r="AJ505" s="46"/>
      <c r="AK505" s="46"/>
      <c r="AL505" s="46"/>
      <c r="AM505" s="34">
        <v>1</v>
      </c>
      <c r="AN505" s="46"/>
      <c r="AO505" s="46"/>
      <c r="AP505" s="46"/>
      <c r="AQ505" s="46"/>
      <c r="AR505" s="46"/>
      <c r="AS505" s="46"/>
      <c r="AT505" s="46"/>
      <c r="AU505" s="46"/>
      <c r="AV505" s="46"/>
      <c r="AW505" s="46"/>
      <c r="AX505" s="44">
        <v>1</v>
      </c>
      <c r="AY505" s="44"/>
      <c r="AZ505" s="44">
        <v>1</v>
      </c>
      <c r="BA505" s="46"/>
      <c r="BB505" s="34">
        <v>1</v>
      </c>
      <c r="BC505" s="34"/>
    </row>
    <row r="506" spans="1:55" customFormat="1" ht="21" customHeight="1" x14ac:dyDescent="0.25">
      <c r="A506" s="22"/>
      <c r="B506" s="42" t="s">
        <v>893</v>
      </c>
      <c r="C506" s="42" t="s">
        <v>249</v>
      </c>
      <c r="D506" s="42" t="s">
        <v>980</v>
      </c>
      <c r="E506" s="34"/>
      <c r="F506" s="46"/>
      <c r="G506" s="46"/>
      <c r="H506" s="34"/>
      <c r="I506" s="46"/>
      <c r="J506" s="46"/>
      <c r="K506" s="46"/>
      <c r="L506" s="46"/>
      <c r="M506" s="46"/>
      <c r="N506" s="46"/>
      <c r="O506" s="46"/>
      <c r="P506" s="46"/>
      <c r="Q506" s="34"/>
      <c r="R506" s="46"/>
      <c r="S506" s="46"/>
      <c r="T506" s="46"/>
      <c r="U506" s="46"/>
      <c r="V506" s="46"/>
      <c r="W506" s="46"/>
      <c r="X506" s="46"/>
      <c r="Y506" s="46"/>
      <c r="Z506" s="46"/>
      <c r="AA506" s="34"/>
      <c r="AB506" s="34"/>
      <c r="AC506" s="46"/>
      <c r="AD506" s="46"/>
      <c r="AE506" s="46"/>
      <c r="AF506" s="46"/>
      <c r="AG506" s="46"/>
      <c r="AH506" s="46"/>
      <c r="AI506" s="46"/>
      <c r="AJ506" s="46"/>
      <c r="AK506" s="46"/>
      <c r="AL506" s="46"/>
      <c r="AM506" s="34"/>
      <c r="AN506" s="46"/>
      <c r="AO506" s="46"/>
      <c r="AP506" s="46"/>
      <c r="AQ506" s="46"/>
      <c r="AR506" s="46"/>
      <c r="AS506" s="46"/>
      <c r="AT506" s="46"/>
      <c r="AU506" s="46"/>
      <c r="AV506" s="46"/>
      <c r="AW506" s="46"/>
      <c r="AX506" s="44"/>
      <c r="AY506" s="44"/>
      <c r="AZ506" s="44"/>
      <c r="BA506" s="46"/>
      <c r="BB506" s="34"/>
      <c r="BC506" s="34"/>
    </row>
    <row r="507" spans="1:55" customFormat="1" ht="21" customHeight="1" x14ac:dyDescent="0.25">
      <c r="A507" s="22"/>
      <c r="B507" s="42" t="s">
        <v>893</v>
      </c>
      <c r="C507" s="42" t="s">
        <v>249</v>
      </c>
      <c r="D507" s="42" t="s">
        <v>981</v>
      </c>
      <c r="E507" s="34"/>
      <c r="F507" s="46"/>
      <c r="G507" s="46"/>
      <c r="H507" s="34"/>
      <c r="I507" s="46"/>
      <c r="J507" s="46"/>
      <c r="K507" s="46"/>
      <c r="L507" s="46"/>
      <c r="M507" s="46"/>
      <c r="N507" s="46"/>
      <c r="O507" s="46"/>
      <c r="P507" s="46"/>
      <c r="Q507" s="34">
        <v>1</v>
      </c>
      <c r="R507" s="46"/>
      <c r="S507" s="46"/>
      <c r="T507" s="46"/>
      <c r="U507" s="46"/>
      <c r="V507" s="46"/>
      <c r="W507" s="46"/>
      <c r="X507" s="46"/>
      <c r="Y507" s="46"/>
      <c r="Z507" s="46"/>
      <c r="AA507" s="34"/>
      <c r="AB507" s="34"/>
      <c r="AC507" s="46"/>
      <c r="AD507" s="46"/>
      <c r="AE507" s="46"/>
      <c r="AF507" s="46"/>
      <c r="AG507" s="46"/>
      <c r="AH507" s="46"/>
      <c r="AI507" s="46"/>
      <c r="AJ507" s="46"/>
      <c r="AK507" s="46"/>
      <c r="AL507" s="46"/>
      <c r="AM507" s="34">
        <v>1</v>
      </c>
      <c r="AN507" s="46"/>
      <c r="AO507" s="46"/>
      <c r="AP507" s="46"/>
      <c r="AQ507" s="46"/>
      <c r="AR507" s="46"/>
      <c r="AS507" s="46"/>
      <c r="AT507" s="46"/>
      <c r="AU507" s="46"/>
      <c r="AV507" s="46"/>
      <c r="AW507" s="46"/>
      <c r="AX507" s="44">
        <v>1</v>
      </c>
      <c r="AY507" s="44"/>
      <c r="AZ507" s="44">
        <v>1</v>
      </c>
      <c r="BA507" s="46"/>
      <c r="BB507" s="34">
        <v>1</v>
      </c>
      <c r="BC507" s="34"/>
    </row>
    <row r="508" spans="1:55" customFormat="1" ht="21" customHeight="1" x14ac:dyDescent="0.25">
      <c r="A508" s="22"/>
      <c r="B508" s="42" t="s">
        <v>893</v>
      </c>
      <c r="C508" s="42" t="s">
        <v>249</v>
      </c>
      <c r="D508" s="42" t="s">
        <v>982</v>
      </c>
      <c r="E508" s="34"/>
      <c r="F508" s="46"/>
      <c r="G508" s="46"/>
      <c r="H508" s="34"/>
      <c r="I508" s="46"/>
      <c r="J508" s="46"/>
      <c r="K508" s="46"/>
      <c r="L508" s="46"/>
      <c r="M508" s="46"/>
      <c r="N508" s="46"/>
      <c r="O508" s="46"/>
      <c r="P508" s="46"/>
      <c r="Q508" s="34">
        <v>1</v>
      </c>
      <c r="R508" s="46"/>
      <c r="S508" s="46"/>
      <c r="T508" s="46"/>
      <c r="U508" s="46"/>
      <c r="V508" s="46"/>
      <c r="W508" s="46"/>
      <c r="X508" s="46"/>
      <c r="Y508" s="46"/>
      <c r="Z508" s="46"/>
      <c r="AA508" s="34"/>
      <c r="AB508" s="34">
        <v>1</v>
      </c>
      <c r="AC508" s="46"/>
      <c r="AD508" s="46"/>
      <c r="AE508" s="46"/>
      <c r="AF508" s="46"/>
      <c r="AG508" s="46"/>
      <c r="AH508" s="46"/>
      <c r="AI508" s="46"/>
      <c r="AJ508" s="46"/>
      <c r="AK508" s="46"/>
      <c r="AL508" s="46"/>
      <c r="AM508" s="34">
        <v>1</v>
      </c>
      <c r="AN508" s="46"/>
      <c r="AO508" s="46"/>
      <c r="AP508" s="46"/>
      <c r="AQ508" s="46"/>
      <c r="AR508" s="46"/>
      <c r="AS508" s="46"/>
      <c r="AT508" s="46"/>
      <c r="AU508" s="46"/>
      <c r="AV508" s="46"/>
      <c r="AW508" s="46"/>
      <c r="AX508" s="44">
        <v>1</v>
      </c>
      <c r="AY508" s="44"/>
      <c r="AZ508" s="44">
        <v>1</v>
      </c>
      <c r="BA508" s="46"/>
      <c r="BB508" s="34">
        <v>1</v>
      </c>
      <c r="BC508" s="34"/>
    </row>
    <row r="509" spans="1:55" customFormat="1" ht="21" customHeight="1" x14ac:dyDescent="0.25">
      <c r="A509" s="22"/>
      <c r="B509" s="42" t="s">
        <v>893</v>
      </c>
      <c r="C509" s="42" t="s">
        <v>249</v>
      </c>
      <c r="D509" s="42" t="s">
        <v>983</v>
      </c>
      <c r="E509" s="34"/>
      <c r="F509" s="46"/>
      <c r="G509" s="46"/>
      <c r="H509" s="34"/>
      <c r="I509" s="46"/>
      <c r="J509" s="46"/>
      <c r="K509" s="46"/>
      <c r="L509" s="46"/>
      <c r="M509" s="46"/>
      <c r="N509" s="46"/>
      <c r="O509" s="46"/>
      <c r="P509" s="46"/>
      <c r="Q509" s="34">
        <v>1</v>
      </c>
      <c r="R509" s="46"/>
      <c r="S509" s="46"/>
      <c r="T509" s="46"/>
      <c r="U509" s="46"/>
      <c r="V509" s="46"/>
      <c r="W509" s="46"/>
      <c r="X509" s="46"/>
      <c r="Y509" s="46"/>
      <c r="Z509" s="46"/>
      <c r="AA509" s="34"/>
      <c r="AB509" s="34">
        <v>1</v>
      </c>
      <c r="AC509" s="46"/>
      <c r="AD509" s="46"/>
      <c r="AE509" s="46"/>
      <c r="AF509" s="46"/>
      <c r="AG509" s="46"/>
      <c r="AH509" s="46"/>
      <c r="AI509" s="46"/>
      <c r="AJ509" s="46"/>
      <c r="AK509" s="46"/>
      <c r="AL509" s="46"/>
      <c r="AM509" s="34">
        <v>1</v>
      </c>
      <c r="AN509" s="46"/>
      <c r="AO509" s="46"/>
      <c r="AP509" s="46"/>
      <c r="AQ509" s="46"/>
      <c r="AR509" s="46"/>
      <c r="AS509" s="46"/>
      <c r="AT509" s="46"/>
      <c r="AU509" s="46"/>
      <c r="AV509" s="46"/>
      <c r="AW509" s="46"/>
      <c r="AX509" s="44">
        <v>1</v>
      </c>
      <c r="AY509" s="44"/>
      <c r="AZ509" s="44"/>
      <c r="BA509" s="46"/>
      <c r="BB509" s="34">
        <v>1</v>
      </c>
      <c r="BC509" s="34"/>
    </row>
    <row r="510" spans="1:55" customFormat="1" ht="21" customHeight="1" x14ac:dyDescent="0.25">
      <c r="A510" s="22"/>
      <c r="B510" s="42" t="s">
        <v>893</v>
      </c>
      <c r="C510" s="42" t="s">
        <v>250</v>
      </c>
      <c r="D510" s="42" t="s">
        <v>984</v>
      </c>
      <c r="E510" s="34"/>
      <c r="F510" s="46"/>
      <c r="G510" s="46"/>
      <c r="H510" s="34"/>
      <c r="I510" s="46"/>
      <c r="J510" s="46"/>
      <c r="K510" s="46"/>
      <c r="L510" s="46"/>
      <c r="M510" s="46"/>
      <c r="N510" s="46"/>
      <c r="O510" s="46"/>
      <c r="P510" s="34">
        <v>1</v>
      </c>
      <c r="Q510" s="42">
        <v>1</v>
      </c>
      <c r="R510" s="46"/>
      <c r="S510" s="46"/>
      <c r="T510" s="46"/>
      <c r="U510" s="46"/>
      <c r="V510" s="46"/>
      <c r="W510" s="46"/>
      <c r="X510" s="46"/>
      <c r="Y510" s="46"/>
      <c r="Z510" s="46"/>
      <c r="AA510" s="34"/>
      <c r="AB510" s="42">
        <v>1</v>
      </c>
      <c r="AC510" s="46"/>
      <c r="AD510" s="46"/>
      <c r="AE510" s="46"/>
      <c r="AF510" s="46"/>
      <c r="AG510" s="46"/>
      <c r="AH510" s="46"/>
      <c r="AI510" s="46"/>
      <c r="AJ510" s="46"/>
      <c r="AK510" s="46"/>
      <c r="AL510" s="46"/>
      <c r="AM510" s="46"/>
      <c r="AN510" s="46"/>
      <c r="AO510" s="46"/>
      <c r="AP510" s="46"/>
      <c r="AQ510" s="46"/>
      <c r="AR510" s="46"/>
      <c r="AS510" s="46"/>
      <c r="AT510" s="46"/>
      <c r="AU510" s="46"/>
      <c r="AV510" s="46"/>
      <c r="AW510" s="46"/>
      <c r="AX510" s="44"/>
      <c r="AY510" s="44"/>
      <c r="AZ510" s="44">
        <v>1</v>
      </c>
      <c r="BA510" s="46"/>
      <c r="BB510" s="34"/>
      <c r="BC510" s="34"/>
    </row>
    <row r="511" spans="1:55" customFormat="1" ht="21" customHeight="1" x14ac:dyDescent="0.25">
      <c r="A511" s="22"/>
      <c r="B511" s="42" t="s">
        <v>893</v>
      </c>
      <c r="C511" s="42" t="s">
        <v>250</v>
      </c>
      <c r="D511" s="42" t="s">
        <v>985</v>
      </c>
      <c r="E511" s="34"/>
      <c r="F511" s="46"/>
      <c r="G511" s="46"/>
      <c r="H511" s="34"/>
      <c r="I511" s="46"/>
      <c r="J511" s="46"/>
      <c r="K511" s="46"/>
      <c r="L511" s="46"/>
      <c r="M511" s="46"/>
      <c r="N511" s="46"/>
      <c r="O511" s="46"/>
      <c r="P511" s="34">
        <v>1</v>
      </c>
      <c r="Q511" s="42">
        <v>1</v>
      </c>
      <c r="R511" s="46"/>
      <c r="S511" s="46"/>
      <c r="T511" s="46"/>
      <c r="U511" s="46"/>
      <c r="V511" s="46"/>
      <c r="W511" s="46"/>
      <c r="X511" s="46"/>
      <c r="Y511" s="46"/>
      <c r="Z511" s="46"/>
      <c r="AA511" s="34">
        <v>1</v>
      </c>
      <c r="AB511" s="42">
        <v>1</v>
      </c>
      <c r="AC511" s="46"/>
      <c r="AD511" s="46"/>
      <c r="AE511" s="46"/>
      <c r="AF511" s="46"/>
      <c r="AG511" s="46"/>
      <c r="AH511" s="46"/>
      <c r="AI511" s="46"/>
      <c r="AJ511" s="46"/>
      <c r="AK511" s="46"/>
      <c r="AL511" s="46"/>
      <c r="AM511" s="46"/>
      <c r="AN511" s="46"/>
      <c r="AO511" s="46"/>
      <c r="AP511" s="46"/>
      <c r="AQ511" s="46"/>
      <c r="AR511" s="46"/>
      <c r="AS511" s="46"/>
      <c r="AT511" s="46"/>
      <c r="AU511" s="46"/>
      <c r="AV511" s="46"/>
      <c r="AW511" s="46"/>
      <c r="AX511" s="44"/>
      <c r="AY511" s="44"/>
      <c r="AZ511" s="44">
        <v>1</v>
      </c>
      <c r="BA511" s="46"/>
      <c r="BB511" s="34"/>
      <c r="BC511" s="34"/>
    </row>
    <row r="512" spans="1:55" customFormat="1" ht="21" customHeight="1" x14ac:dyDescent="0.25">
      <c r="A512" s="22"/>
      <c r="B512" s="42" t="s">
        <v>893</v>
      </c>
      <c r="C512" s="42" t="s">
        <v>250</v>
      </c>
      <c r="D512" s="42" t="s">
        <v>986</v>
      </c>
      <c r="E512" s="34"/>
      <c r="F512" s="46"/>
      <c r="G512" s="46"/>
      <c r="H512" s="34"/>
      <c r="I512" s="46"/>
      <c r="J512" s="46"/>
      <c r="K512" s="46"/>
      <c r="L512" s="46"/>
      <c r="M512" s="46"/>
      <c r="N512" s="46"/>
      <c r="O512" s="46"/>
      <c r="P512" s="34">
        <v>1</v>
      </c>
      <c r="Q512" s="42">
        <v>1</v>
      </c>
      <c r="R512" s="46"/>
      <c r="S512" s="46"/>
      <c r="T512" s="46"/>
      <c r="U512" s="46"/>
      <c r="V512" s="46"/>
      <c r="W512" s="46"/>
      <c r="X512" s="46"/>
      <c r="Y512" s="46"/>
      <c r="Z512" s="46"/>
      <c r="AA512" s="34"/>
      <c r="AB512" s="42">
        <v>1</v>
      </c>
      <c r="AC512" s="46"/>
      <c r="AD512" s="46"/>
      <c r="AE512" s="46"/>
      <c r="AF512" s="46"/>
      <c r="AG512" s="46"/>
      <c r="AH512" s="46"/>
      <c r="AI512" s="46"/>
      <c r="AJ512" s="46"/>
      <c r="AK512" s="46"/>
      <c r="AL512" s="46"/>
      <c r="AM512" s="46"/>
      <c r="AN512" s="46"/>
      <c r="AO512" s="46"/>
      <c r="AP512" s="46"/>
      <c r="AQ512" s="46"/>
      <c r="AR512" s="46"/>
      <c r="AS512" s="46"/>
      <c r="AT512" s="46"/>
      <c r="AU512" s="46"/>
      <c r="AV512" s="46"/>
      <c r="AW512" s="46"/>
      <c r="AX512" s="44"/>
      <c r="AY512" s="44"/>
      <c r="AZ512" s="44"/>
      <c r="BA512" s="46"/>
      <c r="BB512" s="34"/>
      <c r="BC512" s="34"/>
    </row>
    <row r="513" spans="1:55" customFormat="1" ht="21" customHeight="1" x14ac:dyDescent="0.25">
      <c r="A513" s="22"/>
      <c r="B513" s="42" t="s">
        <v>893</v>
      </c>
      <c r="C513" s="42" t="s">
        <v>250</v>
      </c>
      <c r="D513" s="42" t="s">
        <v>987</v>
      </c>
      <c r="E513" s="34"/>
      <c r="F513" s="46"/>
      <c r="G513" s="46"/>
      <c r="H513" s="34"/>
      <c r="I513" s="46"/>
      <c r="J513" s="46"/>
      <c r="K513" s="46"/>
      <c r="L513" s="46"/>
      <c r="M513" s="46"/>
      <c r="N513" s="46"/>
      <c r="O513" s="46"/>
      <c r="P513" s="34">
        <v>1</v>
      </c>
      <c r="Q513" s="42">
        <v>1</v>
      </c>
      <c r="R513" s="46"/>
      <c r="S513" s="46"/>
      <c r="T513" s="46"/>
      <c r="U513" s="46"/>
      <c r="V513" s="46"/>
      <c r="W513" s="46"/>
      <c r="X513" s="46"/>
      <c r="Y513" s="46"/>
      <c r="Z513" s="46"/>
      <c r="AA513" s="34">
        <v>1</v>
      </c>
      <c r="AB513" s="42">
        <v>1</v>
      </c>
      <c r="AC513" s="46"/>
      <c r="AD513" s="46"/>
      <c r="AE513" s="46"/>
      <c r="AF513" s="46"/>
      <c r="AG513" s="46"/>
      <c r="AH513" s="46"/>
      <c r="AI513" s="46"/>
      <c r="AJ513" s="46"/>
      <c r="AK513" s="46"/>
      <c r="AL513" s="46"/>
      <c r="AM513" s="46"/>
      <c r="AN513" s="46"/>
      <c r="AO513" s="46"/>
      <c r="AP513" s="46"/>
      <c r="AQ513" s="46"/>
      <c r="AR513" s="46"/>
      <c r="AS513" s="46"/>
      <c r="AT513" s="46"/>
      <c r="AU513" s="46"/>
      <c r="AV513" s="46"/>
      <c r="AW513" s="46"/>
      <c r="AX513" s="44"/>
      <c r="AY513" s="44"/>
      <c r="AZ513" s="44"/>
      <c r="BA513" s="46"/>
      <c r="BB513" s="34"/>
      <c r="BC513" s="34"/>
    </row>
    <row r="514" spans="1:55" customFormat="1" ht="21" customHeight="1" x14ac:dyDescent="0.25">
      <c r="A514" s="22"/>
      <c r="B514" s="42" t="s">
        <v>893</v>
      </c>
      <c r="C514" s="42" t="s">
        <v>254</v>
      </c>
      <c r="D514" s="42" t="s">
        <v>988</v>
      </c>
      <c r="E514" s="34"/>
      <c r="F514" s="46"/>
      <c r="G514" s="46"/>
      <c r="H514" s="34"/>
      <c r="I514" s="46"/>
      <c r="J514" s="46"/>
      <c r="K514" s="46"/>
      <c r="L514" s="46"/>
      <c r="M514" s="46"/>
      <c r="N514" s="46"/>
      <c r="O514" s="46"/>
      <c r="P514" s="46"/>
      <c r="Q514" s="34">
        <v>1</v>
      </c>
      <c r="R514" s="46"/>
      <c r="S514" s="46"/>
      <c r="T514" s="46"/>
      <c r="U514" s="46"/>
      <c r="V514" s="46"/>
      <c r="W514" s="46"/>
      <c r="X514" s="46"/>
      <c r="Y514" s="46"/>
      <c r="Z514" s="46"/>
      <c r="AA514" s="34"/>
      <c r="AB514" s="34">
        <v>1</v>
      </c>
      <c r="AC514" s="46"/>
      <c r="AD514" s="46"/>
      <c r="AE514" s="46"/>
      <c r="AF514" s="46"/>
      <c r="AG514" s="46"/>
      <c r="AH514" s="46"/>
      <c r="AI514" s="46"/>
      <c r="AJ514" s="46"/>
      <c r="AK514" s="46"/>
      <c r="AL514" s="46"/>
      <c r="AM514" s="34">
        <v>1</v>
      </c>
      <c r="AN514" s="46"/>
      <c r="AO514" s="46"/>
      <c r="AP514" s="46"/>
      <c r="AQ514" s="46"/>
      <c r="AR514" s="46"/>
      <c r="AS514" s="46"/>
      <c r="AT514" s="46"/>
      <c r="AU514" s="46"/>
      <c r="AV514" s="46"/>
      <c r="AW514" s="46"/>
      <c r="AX514" s="44">
        <v>1</v>
      </c>
      <c r="AY514" s="44"/>
      <c r="AZ514" s="44">
        <v>1</v>
      </c>
      <c r="BA514" s="46"/>
      <c r="BB514" s="34">
        <v>1</v>
      </c>
      <c r="BC514" s="34"/>
    </row>
    <row r="515" spans="1:55" customFormat="1" ht="21" customHeight="1" x14ac:dyDescent="0.25">
      <c r="A515" s="22"/>
      <c r="B515" s="42" t="s">
        <v>893</v>
      </c>
      <c r="C515" s="42" t="s">
        <v>250</v>
      </c>
      <c r="D515" s="42" t="s">
        <v>989</v>
      </c>
      <c r="E515" s="34"/>
      <c r="F515" s="46"/>
      <c r="G515" s="46"/>
      <c r="H515" s="34"/>
      <c r="I515" s="46"/>
      <c r="J515" s="46"/>
      <c r="K515" s="46"/>
      <c r="L515" s="46"/>
      <c r="M515" s="46"/>
      <c r="N515" s="46"/>
      <c r="O515" s="46"/>
      <c r="P515" s="34"/>
      <c r="Q515" s="42">
        <v>1</v>
      </c>
      <c r="R515" s="46"/>
      <c r="S515" s="46"/>
      <c r="T515" s="46"/>
      <c r="U515" s="46"/>
      <c r="V515" s="46"/>
      <c r="W515" s="46"/>
      <c r="X515" s="46"/>
      <c r="Y515" s="46"/>
      <c r="Z515" s="46"/>
      <c r="AA515" s="34">
        <v>1</v>
      </c>
      <c r="AB515" s="42">
        <v>1</v>
      </c>
      <c r="AC515" s="46"/>
      <c r="AD515" s="46"/>
      <c r="AE515" s="46"/>
      <c r="AF515" s="46"/>
      <c r="AG515" s="46"/>
      <c r="AH515" s="46"/>
      <c r="AI515" s="46"/>
      <c r="AJ515" s="46"/>
      <c r="AK515" s="46"/>
      <c r="AL515" s="46"/>
      <c r="AM515" s="46"/>
      <c r="AN515" s="46"/>
      <c r="AO515" s="46"/>
      <c r="AP515" s="46"/>
      <c r="AQ515" s="46"/>
      <c r="AR515" s="46"/>
      <c r="AS515" s="46"/>
      <c r="AT515" s="46"/>
      <c r="AU515" s="46"/>
      <c r="AV515" s="46"/>
      <c r="AW515" s="46"/>
      <c r="AX515" s="44"/>
      <c r="AY515" s="44"/>
      <c r="AZ515" s="44"/>
      <c r="BA515" s="46"/>
      <c r="BB515" s="34"/>
      <c r="BC515" s="34"/>
    </row>
    <row r="516" spans="1:55" customFormat="1" ht="21" customHeight="1" x14ac:dyDescent="0.25">
      <c r="A516" s="22"/>
      <c r="B516" s="42" t="s">
        <v>893</v>
      </c>
      <c r="C516" s="42" t="s">
        <v>250</v>
      </c>
      <c r="D516" s="42" t="s">
        <v>990</v>
      </c>
      <c r="E516" s="34"/>
      <c r="F516" s="46"/>
      <c r="G516" s="46"/>
      <c r="H516" s="34"/>
      <c r="I516" s="46"/>
      <c r="J516" s="46"/>
      <c r="K516" s="46"/>
      <c r="L516" s="46"/>
      <c r="M516" s="46"/>
      <c r="N516" s="46"/>
      <c r="O516" s="46"/>
      <c r="P516" s="34">
        <v>1</v>
      </c>
      <c r="Q516" s="42">
        <v>1</v>
      </c>
      <c r="R516" s="46"/>
      <c r="S516" s="46"/>
      <c r="T516" s="46"/>
      <c r="U516" s="46"/>
      <c r="V516" s="46"/>
      <c r="W516" s="46"/>
      <c r="X516" s="46"/>
      <c r="Y516" s="46"/>
      <c r="Z516" s="46"/>
      <c r="AA516" s="34">
        <v>1</v>
      </c>
      <c r="AB516" s="42">
        <v>1</v>
      </c>
      <c r="AC516" s="46"/>
      <c r="AD516" s="46"/>
      <c r="AE516" s="46"/>
      <c r="AF516" s="46"/>
      <c r="AG516" s="46"/>
      <c r="AH516" s="46"/>
      <c r="AI516" s="46"/>
      <c r="AJ516" s="46"/>
      <c r="AK516" s="46"/>
      <c r="AL516" s="46"/>
      <c r="AM516" s="46"/>
      <c r="AN516" s="46"/>
      <c r="AO516" s="46"/>
      <c r="AP516" s="46"/>
      <c r="AQ516" s="46"/>
      <c r="AR516" s="46"/>
      <c r="AS516" s="46"/>
      <c r="AT516" s="46"/>
      <c r="AU516" s="46"/>
      <c r="AV516" s="46"/>
      <c r="AW516" s="46"/>
      <c r="AX516" s="44"/>
      <c r="AY516" s="44"/>
      <c r="AZ516" s="44"/>
      <c r="BA516" s="46"/>
      <c r="BB516" s="34"/>
      <c r="BC516" s="34"/>
    </row>
    <row r="517" spans="1:55" customFormat="1" ht="21" customHeight="1" x14ac:dyDescent="0.25">
      <c r="A517" s="22"/>
      <c r="B517" s="42" t="s">
        <v>893</v>
      </c>
      <c r="C517" s="42" t="s">
        <v>254</v>
      </c>
      <c r="D517" s="42" t="s">
        <v>991</v>
      </c>
      <c r="E517" s="34"/>
      <c r="F517" s="46"/>
      <c r="G517" s="46"/>
      <c r="H517" s="34"/>
      <c r="I517" s="46"/>
      <c r="J517" s="46"/>
      <c r="K517" s="46"/>
      <c r="L517" s="46"/>
      <c r="M517" s="46"/>
      <c r="N517" s="46"/>
      <c r="O517" s="46"/>
      <c r="P517" s="46"/>
      <c r="Q517" s="34">
        <v>1</v>
      </c>
      <c r="R517" s="46"/>
      <c r="S517" s="46"/>
      <c r="T517" s="46"/>
      <c r="U517" s="46"/>
      <c r="V517" s="46"/>
      <c r="W517" s="46"/>
      <c r="X517" s="46"/>
      <c r="Y517" s="46"/>
      <c r="Z517" s="46"/>
      <c r="AA517" s="34"/>
      <c r="AB517" s="34">
        <v>1</v>
      </c>
      <c r="AC517" s="46"/>
      <c r="AD517" s="46"/>
      <c r="AE517" s="46"/>
      <c r="AF517" s="46"/>
      <c r="AG517" s="46"/>
      <c r="AH517" s="46"/>
      <c r="AI517" s="46"/>
      <c r="AJ517" s="46"/>
      <c r="AK517" s="46"/>
      <c r="AL517" s="46"/>
      <c r="AM517" s="34">
        <v>1</v>
      </c>
      <c r="AN517" s="46"/>
      <c r="AO517" s="46"/>
      <c r="AP517" s="46"/>
      <c r="AQ517" s="46"/>
      <c r="AR517" s="46"/>
      <c r="AS517" s="46"/>
      <c r="AT517" s="46"/>
      <c r="AU517" s="46"/>
      <c r="AV517" s="46"/>
      <c r="AW517" s="46"/>
      <c r="AX517" s="44">
        <v>1</v>
      </c>
      <c r="AY517" s="44"/>
      <c r="AZ517" s="44">
        <v>1</v>
      </c>
      <c r="BA517" s="46"/>
      <c r="BB517" s="34">
        <v>1</v>
      </c>
      <c r="BC517" s="34"/>
    </row>
    <row r="518" spans="1:55" customFormat="1" ht="21" customHeight="1" x14ac:dyDescent="0.25">
      <c r="A518" s="22"/>
      <c r="B518" s="42" t="s">
        <v>893</v>
      </c>
      <c r="C518" s="42" t="s">
        <v>250</v>
      </c>
      <c r="D518" s="42" t="s">
        <v>992</v>
      </c>
      <c r="E518" s="34"/>
      <c r="F518" s="46"/>
      <c r="G518" s="46"/>
      <c r="H518" s="34"/>
      <c r="I518" s="46"/>
      <c r="J518" s="46"/>
      <c r="K518" s="46"/>
      <c r="L518" s="46"/>
      <c r="M518" s="46"/>
      <c r="N518" s="46"/>
      <c r="O518" s="46"/>
      <c r="P518" s="34">
        <v>1</v>
      </c>
      <c r="Q518" s="42">
        <v>1</v>
      </c>
      <c r="R518" s="46"/>
      <c r="S518" s="46"/>
      <c r="T518" s="46"/>
      <c r="U518" s="46"/>
      <c r="V518" s="46"/>
      <c r="W518" s="46"/>
      <c r="X518" s="46"/>
      <c r="Y518" s="46"/>
      <c r="Z518" s="46"/>
      <c r="AA518" s="34">
        <v>1</v>
      </c>
      <c r="AB518" s="42">
        <v>1</v>
      </c>
      <c r="AC518" s="46"/>
      <c r="AD518" s="46"/>
      <c r="AE518" s="46"/>
      <c r="AF518" s="46"/>
      <c r="AG518" s="46"/>
      <c r="AH518" s="46"/>
      <c r="AI518" s="46"/>
      <c r="AJ518" s="46"/>
      <c r="AK518" s="46"/>
      <c r="AL518" s="46"/>
      <c r="AM518" s="46"/>
      <c r="AN518" s="46"/>
      <c r="AO518" s="46"/>
      <c r="AP518" s="46"/>
      <c r="AQ518" s="46"/>
      <c r="AR518" s="46"/>
      <c r="AS518" s="46"/>
      <c r="AT518" s="46"/>
      <c r="AU518" s="46"/>
      <c r="AV518" s="46"/>
      <c r="AW518" s="46"/>
      <c r="AX518" s="44"/>
      <c r="AY518" s="44"/>
      <c r="AZ518" s="44"/>
      <c r="BA518" s="46"/>
      <c r="BB518" s="34"/>
      <c r="BC518" s="34"/>
    </row>
    <row r="519" spans="1:55" customFormat="1" ht="21" customHeight="1" x14ac:dyDescent="0.25">
      <c r="A519" s="22"/>
      <c r="B519" s="42" t="s">
        <v>893</v>
      </c>
      <c r="C519" s="42" t="s">
        <v>248</v>
      </c>
      <c r="D519" s="42" t="s">
        <v>993</v>
      </c>
      <c r="E519" s="34"/>
      <c r="F519" s="46"/>
      <c r="G519" s="46"/>
      <c r="H519" s="34"/>
      <c r="I519" s="46"/>
      <c r="J519" s="46"/>
      <c r="K519" s="46"/>
      <c r="L519" s="46"/>
      <c r="M519" s="46"/>
      <c r="N519" s="46"/>
      <c r="O519" s="46"/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  <c r="AA519" s="34"/>
      <c r="AB519" s="34"/>
      <c r="AC519" s="46"/>
      <c r="AD519" s="46"/>
      <c r="AE519" s="46"/>
      <c r="AF519" s="46"/>
      <c r="AG519" s="46"/>
      <c r="AH519" s="46"/>
      <c r="AI519" s="46"/>
      <c r="AJ519" s="46"/>
      <c r="AK519" s="46"/>
      <c r="AL519" s="46"/>
      <c r="AM519" s="46"/>
      <c r="AN519" s="46"/>
      <c r="AO519" s="46"/>
      <c r="AP519" s="46"/>
      <c r="AQ519" s="46"/>
      <c r="AR519" s="46"/>
      <c r="AS519" s="46"/>
      <c r="AT519" s="46"/>
      <c r="AU519" s="46"/>
      <c r="AV519" s="46"/>
      <c r="AW519" s="46"/>
      <c r="AX519" s="44"/>
      <c r="AY519" s="44"/>
      <c r="AZ519" s="44"/>
      <c r="BA519" s="46"/>
      <c r="BB519" s="34"/>
      <c r="BC519" s="34"/>
    </row>
    <row r="520" spans="1:55" customFormat="1" ht="21" customHeight="1" x14ac:dyDescent="0.25">
      <c r="A520" s="22"/>
      <c r="B520" s="42" t="s">
        <v>893</v>
      </c>
      <c r="C520" s="42" t="s">
        <v>254</v>
      </c>
      <c r="D520" s="42" t="s">
        <v>994</v>
      </c>
      <c r="E520" s="34"/>
      <c r="F520" s="46"/>
      <c r="G520" s="46"/>
      <c r="H520" s="34"/>
      <c r="I520" s="46"/>
      <c r="J520" s="46"/>
      <c r="K520" s="46"/>
      <c r="L520" s="46"/>
      <c r="M520" s="46"/>
      <c r="N520" s="46"/>
      <c r="O520" s="46"/>
      <c r="P520" s="46"/>
      <c r="Q520" s="34">
        <v>1</v>
      </c>
      <c r="R520" s="46"/>
      <c r="S520" s="46"/>
      <c r="T520" s="46"/>
      <c r="U520" s="46"/>
      <c r="V520" s="46"/>
      <c r="W520" s="46"/>
      <c r="X520" s="46"/>
      <c r="Y520" s="46"/>
      <c r="Z520" s="46"/>
      <c r="AA520" s="34"/>
      <c r="AB520" s="34">
        <v>1</v>
      </c>
      <c r="AC520" s="46"/>
      <c r="AD520" s="46"/>
      <c r="AE520" s="46"/>
      <c r="AF520" s="46"/>
      <c r="AG520" s="46"/>
      <c r="AH520" s="46"/>
      <c r="AI520" s="46"/>
      <c r="AJ520" s="46"/>
      <c r="AK520" s="46"/>
      <c r="AL520" s="46"/>
      <c r="AM520" s="34">
        <v>1</v>
      </c>
      <c r="AN520" s="46"/>
      <c r="AO520" s="46"/>
      <c r="AP520" s="46"/>
      <c r="AQ520" s="46"/>
      <c r="AR520" s="46"/>
      <c r="AS520" s="46"/>
      <c r="AT520" s="46"/>
      <c r="AU520" s="46"/>
      <c r="AV520" s="46"/>
      <c r="AW520" s="46"/>
      <c r="AX520" s="44">
        <v>1</v>
      </c>
      <c r="AY520" s="44"/>
      <c r="AZ520" s="44">
        <v>1</v>
      </c>
      <c r="BA520" s="46"/>
      <c r="BB520" s="34">
        <v>1</v>
      </c>
      <c r="BC520" s="34"/>
    </row>
    <row r="521" spans="1:55" customFormat="1" ht="21" customHeight="1" x14ac:dyDescent="0.25">
      <c r="A521" s="22"/>
      <c r="B521" s="42" t="s">
        <v>893</v>
      </c>
      <c r="C521" s="42" t="s">
        <v>254</v>
      </c>
      <c r="D521" s="42" t="s">
        <v>995</v>
      </c>
      <c r="E521" s="34"/>
      <c r="F521" s="46"/>
      <c r="G521" s="46"/>
      <c r="H521" s="34"/>
      <c r="I521" s="46"/>
      <c r="J521" s="46"/>
      <c r="K521" s="46"/>
      <c r="L521" s="46"/>
      <c r="M521" s="46"/>
      <c r="N521" s="46"/>
      <c r="O521" s="46"/>
      <c r="P521" s="46"/>
      <c r="Q521" s="34"/>
      <c r="R521" s="46"/>
      <c r="S521" s="46"/>
      <c r="T521" s="46"/>
      <c r="U521" s="46"/>
      <c r="V521" s="46"/>
      <c r="W521" s="46"/>
      <c r="X521" s="46"/>
      <c r="Y521" s="46"/>
      <c r="Z521" s="46"/>
      <c r="AA521" s="34"/>
      <c r="AB521" s="34">
        <v>1</v>
      </c>
      <c r="AC521" s="46"/>
      <c r="AD521" s="46"/>
      <c r="AE521" s="46"/>
      <c r="AF521" s="46"/>
      <c r="AG521" s="46"/>
      <c r="AH521" s="46"/>
      <c r="AI521" s="46"/>
      <c r="AJ521" s="46"/>
      <c r="AK521" s="46"/>
      <c r="AL521" s="46"/>
      <c r="AM521" s="34">
        <v>1</v>
      </c>
      <c r="AN521" s="46"/>
      <c r="AO521" s="46"/>
      <c r="AP521" s="46"/>
      <c r="AQ521" s="46"/>
      <c r="AR521" s="46"/>
      <c r="AS521" s="46"/>
      <c r="AT521" s="46"/>
      <c r="AU521" s="46"/>
      <c r="AV521" s="46"/>
      <c r="AW521" s="46"/>
      <c r="AX521" s="44">
        <v>1</v>
      </c>
      <c r="AY521" s="44">
        <v>1</v>
      </c>
      <c r="AZ521" s="44">
        <v>1</v>
      </c>
      <c r="BA521" s="46"/>
      <c r="BB521" s="34">
        <v>1</v>
      </c>
      <c r="BC521" s="34"/>
    </row>
    <row r="522" spans="1:55" customFormat="1" ht="21" customHeight="1" x14ac:dyDescent="0.25">
      <c r="A522" s="22"/>
      <c r="B522" s="42" t="s">
        <v>893</v>
      </c>
      <c r="C522" s="42" t="s">
        <v>254</v>
      </c>
      <c r="D522" s="42" t="s">
        <v>996</v>
      </c>
      <c r="E522" s="34"/>
      <c r="F522" s="46"/>
      <c r="G522" s="46"/>
      <c r="H522" s="34"/>
      <c r="I522" s="46"/>
      <c r="J522" s="46"/>
      <c r="K522" s="46"/>
      <c r="L522" s="46"/>
      <c r="M522" s="46"/>
      <c r="N522" s="46"/>
      <c r="O522" s="46"/>
      <c r="P522" s="46"/>
      <c r="Q522" s="34">
        <v>1</v>
      </c>
      <c r="R522" s="46"/>
      <c r="S522" s="46"/>
      <c r="T522" s="46"/>
      <c r="U522" s="46"/>
      <c r="V522" s="46"/>
      <c r="W522" s="46"/>
      <c r="X522" s="46"/>
      <c r="Y522" s="46"/>
      <c r="Z522" s="46"/>
      <c r="AA522" s="34"/>
      <c r="AB522" s="34"/>
      <c r="AC522" s="46"/>
      <c r="AD522" s="46"/>
      <c r="AE522" s="46"/>
      <c r="AF522" s="46"/>
      <c r="AG522" s="46"/>
      <c r="AH522" s="46"/>
      <c r="AI522" s="46"/>
      <c r="AJ522" s="46"/>
      <c r="AK522" s="46"/>
      <c r="AL522" s="46"/>
      <c r="AM522" s="34">
        <v>1</v>
      </c>
      <c r="AN522" s="46"/>
      <c r="AO522" s="46"/>
      <c r="AP522" s="46"/>
      <c r="AQ522" s="46"/>
      <c r="AR522" s="46"/>
      <c r="AS522" s="46"/>
      <c r="AT522" s="46"/>
      <c r="AU522" s="46"/>
      <c r="AV522" s="46"/>
      <c r="AW522" s="46"/>
      <c r="AX522" s="44">
        <v>1</v>
      </c>
      <c r="AY522" s="44"/>
      <c r="AZ522" s="44"/>
      <c r="BA522" s="46"/>
      <c r="BB522" s="34">
        <v>1</v>
      </c>
      <c r="BC522" s="34"/>
    </row>
    <row r="523" spans="1:55" customFormat="1" ht="21" customHeight="1" x14ac:dyDescent="0.25">
      <c r="A523" s="22"/>
      <c r="B523" s="42" t="s">
        <v>893</v>
      </c>
      <c r="C523" s="42" t="s">
        <v>248</v>
      </c>
      <c r="D523" s="42" t="s">
        <v>997</v>
      </c>
      <c r="E523" s="34"/>
      <c r="F523" s="46"/>
      <c r="G523" s="46"/>
      <c r="H523" s="34"/>
      <c r="I523" s="46"/>
      <c r="J523" s="46"/>
      <c r="K523" s="46"/>
      <c r="L523" s="46"/>
      <c r="M523" s="46"/>
      <c r="N523" s="46"/>
      <c r="O523" s="46"/>
      <c r="P523" s="46"/>
      <c r="Q523" s="46"/>
      <c r="R523" s="46"/>
      <c r="S523" s="46"/>
      <c r="T523" s="46"/>
      <c r="U523" s="46"/>
      <c r="V523" s="46"/>
      <c r="W523" s="46"/>
      <c r="X523" s="46"/>
      <c r="Y523" s="46"/>
      <c r="Z523" s="46"/>
      <c r="AA523" s="34"/>
      <c r="AB523" s="34"/>
      <c r="AC523" s="46"/>
      <c r="AD523" s="46"/>
      <c r="AE523" s="46"/>
      <c r="AF523" s="46"/>
      <c r="AG523" s="46"/>
      <c r="AH523" s="46"/>
      <c r="AI523" s="46"/>
      <c r="AJ523" s="46"/>
      <c r="AK523" s="46"/>
      <c r="AL523" s="46"/>
      <c r="AM523" s="46"/>
      <c r="AN523" s="46"/>
      <c r="AO523" s="46"/>
      <c r="AP523" s="46"/>
      <c r="AQ523" s="46"/>
      <c r="AR523" s="46"/>
      <c r="AS523" s="46"/>
      <c r="AT523" s="46"/>
      <c r="AU523" s="46"/>
      <c r="AV523" s="46"/>
      <c r="AW523" s="46"/>
      <c r="AX523" s="44"/>
      <c r="AY523" s="44"/>
      <c r="AZ523" s="44"/>
      <c r="BA523" s="46"/>
      <c r="BB523" s="34"/>
      <c r="BC523" s="34"/>
    </row>
    <row r="524" spans="1:55" customFormat="1" ht="21" customHeight="1" x14ac:dyDescent="0.25">
      <c r="A524" s="22"/>
      <c r="B524" s="42" t="s">
        <v>893</v>
      </c>
      <c r="C524" s="42" t="s">
        <v>254</v>
      </c>
      <c r="D524" s="42" t="s">
        <v>998</v>
      </c>
      <c r="E524" s="34"/>
      <c r="F524" s="46"/>
      <c r="G524" s="46"/>
      <c r="H524" s="34"/>
      <c r="I524" s="46"/>
      <c r="J524" s="46"/>
      <c r="K524" s="46"/>
      <c r="L524" s="46"/>
      <c r="M524" s="46"/>
      <c r="N524" s="46"/>
      <c r="O524" s="46"/>
      <c r="P524" s="46"/>
      <c r="Q524" s="34">
        <v>1</v>
      </c>
      <c r="R524" s="46"/>
      <c r="S524" s="46"/>
      <c r="T524" s="46"/>
      <c r="U524" s="46"/>
      <c r="V524" s="46"/>
      <c r="W524" s="46"/>
      <c r="X524" s="46"/>
      <c r="Y524" s="46"/>
      <c r="Z524" s="46"/>
      <c r="AA524" s="34"/>
      <c r="AB524" s="34"/>
      <c r="AC524" s="46"/>
      <c r="AD524" s="46"/>
      <c r="AE524" s="46"/>
      <c r="AF524" s="46"/>
      <c r="AG524" s="46"/>
      <c r="AH524" s="46"/>
      <c r="AI524" s="46"/>
      <c r="AJ524" s="46"/>
      <c r="AK524" s="46"/>
      <c r="AL524" s="46"/>
      <c r="AM524" s="34">
        <v>1</v>
      </c>
      <c r="AN524" s="46"/>
      <c r="AO524" s="46"/>
      <c r="AP524" s="46"/>
      <c r="AQ524" s="46"/>
      <c r="AR524" s="46"/>
      <c r="AS524" s="46"/>
      <c r="AT524" s="46"/>
      <c r="AU524" s="46"/>
      <c r="AV524" s="46"/>
      <c r="AW524" s="46"/>
      <c r="AX524" s="44">
        <v>1</v>
      </c>
      <c r="AY524" s="44"/>
      <c r="AZ524" s="44">
        <v>1</v>
      </c>
      <c r="BA524" s="46"/>
      <c r="BB524" s="34"/>
      <c r="BC524" s="34"/>
    </row>
    <row r="525" spans="1:55" customFormat="1" ht="21" customHeight="1" x14ac:dyDescent="0.25">
      <c r="A525" s="22"/>
      <c r="B525" s="42" t="s">
        <v>893</v>
      </c>
      <c r="C525" s="42" t="s">
        <v>254</v>
      </c>
      <c r="D525" s="42" t="s">
        <v>999</v>
      </c>
      <c r="E525" s="34"/>
      <c r="F525" s="46"/>
      <c r="G525" s="46"/>
      <c r="H525" s="34"/>
      <c r="I525" s="46"/>
      <c r="J525" s="46"/>
      <c r="K525" s="46"/>
      <c r="L525" s="46"/>
      <c r="M525" s="46"/>
      <c r="N525" s="46"/>
      <c r="O525" s="46"/>
      <c r="P525" s="46"/>
      <c r="Q525" s="34">
        <v>1</v>
      </c>
      <c r="R525" s="46"/>
      <c r="S525" s="46"/>
      <c r="T525" s="46"/>
      <c r="U525" s="46"/>
      <c r="V525" s="46"/>
      <c r="W525" s="46"/>
      <c r="X525" s="46"/>
      <c r="Y525" s="46"/>
      <c r="Z525" s="46"/>
      <c r="AA525" s="34"/>
      <c r="AB525" s="34">
        <v>1</v>
      </c>
      <c r="AC525" s="46"/>
      <c r="AD525" s="46"/>
      <c r="AE525" s="46"/>
      <c r="AF525" s="46"/>
      <c r="AG525" s="46"/>
      <c r="AH525" s="46"/>
      <c r="AI525" s="46"/>
      <c r="AJ525" s="46"/>
      <c r="AK525" s="46"/>
      <c r="AL525" s="46"/>
      <c r="AM525" s="34">
        <v>1</v>
      </c>
      <c r="AN525" s="46"/>
      <c r="AO525" s="46"/>
      <c r="AP525" s="46"/>
      <c r="AQ525" s="46"/>
      <c r="AR525" s="46"/>
      <c r="AS525" s="46"/>
      <c r="AT525" s="46"/>
      <c r="AU525" s="46"/>
      <c r="AV525" s="46"/>
      <c r="AW525" s="46"/>
      <c r="AX525" s="44">
        <v>1</v>
      </c>
      <c r="AY525" s="44"/>
      <c r="AZ525" s="44">
        <v>1</v>
      </c>
      <c r="BA525" s="46"/>
      <c r="BB525" s="34"/>
      <c r="BC525" s="34"/>
    </row>
    <row r="526" spans="1:55" customFormat="1" ht="21" customHeight="1" x14ac:dyDescent="0.25">
      <c r="A526" s="22"/>
      <c r="B526" s="42" t="s">
        <v>893</v>
      </c>
      <c r="C526" s="42" t="s">
        <v>254</v>
      </c>
      <c r="D526" s="42" t="s">
        <v>1000</v>
      </c>
      <c r="E526" s="34"/>
      <c r="F526" s="46"/>
      <c r="G526" s="46"/>
      <c r="H526" s="34"/>
      <c r="I526" s="46"/>
      <c r="J526" s="46"/>
      <c r="K526" s="46"/>
      <c r="L526" s="46"/>
      <c r="M526" s="46"/>
      <c r="N526" s="46"/>
      <c r="O526" s="46"/>
      <c r="P526" s="46"/>
      <c r="Q526" s="34"/>
      <c r="R526" s="46"/>
      <c r="S526" s="46"/>
      <c r="T526" s="46"/>
      <c r="U526" s="46"/>
      <c r="V526" s="46"/>
      <c r="W526" s="46"/>
      <c r="X526" s="46"/>
      <c r="Y526" s="46"/>
      <c r="Z526" s="46"/>
      <c r="AA526" s="34"/>
      <c r="AB526" s="34">
        <v>1</v>
      </c>
      <c r="AC526" s="46"/>
      <c r="AD526" s="46"/>
      <c r="AE526" s="46"/>
      <c r="AF526" s="46"/>
      <c r="AG526" s="46"/>
      <c r="AH526" s="46"/>
      <c r="AI526" s="46"/>
      <c r="AJ526" s="46"/>
      <c r="AK526" s="46"/>
      <c r="AL526" s="46"/>
      <c r="AM526" s="34">
        <v>1</v>
      </c>
      <c r="AN526" s="46"/>
      <c r="AO526" s="46"/>
      <c r="AP526" s="46"/>
      <c r="AQ526" s="46"/>
      <c r="AR526" s="46"/>
      <c r="AS526" s="46"/>
      <c r="AT526" s="46"/>
      <c r="AU526" s="46"/>
      <c r="AV526" s="46"/>
      <c r="AW526" s="46"/>
      <c r="AX526" s="44">
        <v>1</v>
      </c>
      <c r="AY526" s="44"/>
      <c r="AZ526" s="44">
        <v>1</v>
      </c>
      <c r="BA526" s="46"/>
      <c r="BB526" s="34">
        <v>1</v>
      </c>
      <c r="BC526" s="34"/>
    </row>
    <row r="527" spans="1:55" customFormat="1" ht="21" customHeight="1" x14ac:dyDescent="0.25">
      <c r="A527" s="22"/>
      <c r="B527" s="42" t="s">
        <v>893</v>
      </c>
      <c r="C527" s="42" t="s">
        <v>254</v>
      </c>
      <c r="D527" s="42" t="s">
        <v>1001</v>
      </c>
      <c r="E527" s="34"/>
      <c r="F527" s="46"/>
      <c r="G527" s="46"/>
      <c r="H527" s="34"/>
      <c r="I527" s="46"/>
      <c r="J527" s="46"/>
      <c r="K527" s="46"/>
      <c r="L527" s="46"/>
      <c r="M527" s="46"/>
      <c r="N527" s="46"/>
      <c r="O527" s="46"/>
      <c r="P527" s="46"/>
      <c r="Q527" s="34">
        <v>1</v>
      </c>
      <c r="R527" s="46"/>
      <c r="S527" s="46"/>
      <c r="T527" s="46"/>
      <c r="U527" s="46"/>
      <c r="V527" s="46"/>
      <c r="W527" s="46"/>
      <c r="X527" s="46"/>
      <c r="Y527" s="46"/>
      <c r="Z527" s="46"/>
      <c r="AA527" s="34"/>
      <c r="AB527" s="34">
        <v>1</v>
      </c>
      <c r="AC527" s="46"/>
      <c r="AD527" s="46"/>
      <c r="AE527" s="46"/>
      <c r="AF527" s="46"/>
      <c r="AG527" s="46"/>
      <c r="AH527" s="46"/>
      <c r="AI527" s="46"/>
      <c r="AJ527" s="46"/>
      <c r="AK527" s="46"/>
      <c r="AL527" s="46"/>
      <c r="AM527" s="34"/>
      <c r="AN527" s="46"/>
      <c r="AO527" s="46"/>
      <c r="AP527" s="46"/>
      <c r="AQ527" s="46"/>
      <c r="AR527" s="46"/>
      <c r="AS527" s="46"/>
      <c r="AT527" s="46"/>
      <c r="AU527" s="46"/>
      <c r="AV527" s="46"/>
      <c r="AW527" s="46"/>
      <c r="AX527" s="44"/>
      <c r="AY527" s="44"/>
      <c r="AZ527" s="44">
        <v>1</v>
      </c>
      <c r="BA527" s="46"/>
      <c r="BB527" s="34"/>
      <c r="BC527" s="34"/>
    </row>
    <row r="528" spans="1:55" customFormat="1" ht="21" customHeight="1" x14ac:dyDescent="0.25">
      <c r="A528" s="22"/>
      <c r="B528" s="42" t="s">
        <v>893</v>
      </c>
      <c r="C528" s="42" t="s">
        <v>254</v>
      </c>
      <c r="D528" s="42" t="s">
        <v>1002</v>
      </c>
      <c r="E528" s="34"/>
      <c r="F528" s="46"/>
      <c r="G528" s="46"/>
      <c r="H528" s="34"/>
      <c r="I528" s="46"/>
      <c r="J528" s="46"/>
      <c r="K528" s="46"/>
      <c r="L528" s="46"/>
      <c r="M528" s="46"/>
      <c r="N528" s="46"/>
      <c r="O528" s="46"/>
      <c r="P528" s="46"/>
      <c r="Q528" s="34"/>
      <c r="R528" s="46"/>
      <c r="S528" s="46"/>
      <c r="T528" s="46"/>
      <c r="U528" s="46"/>
      <c r="V528" s="46"/>
      <c r="W528" s="46"/>
      <c r="X528" s="46"/>
      <c r="Y528" s="46"/>
      <c r="Z528" s="46"/>
      <c r="AA528" s="34"/>
      <c r="AB528" s="34">
        <v>1</v>
      </c>
      <c r="AC528" s="46"/>
      <c r="AD528" s="46"/>
      <c r="AE528" s="46"/>
      <c r="AF528" s="46"/>
      <c r="AG528" s="46"/>
      <c r="AH528" s="46"/>
      <c r="AI528" s="46"/>
      <c r="AJ528" s="46"/>
      <c r="AK528" s="46"/>
      <c r="AL528" s="46"/>
      <c r="AM528" s="34">
        <v>1</v>
      </c>
      <c r="AN528" s="46"/>
      <c r="AO528" s="46"/>
      <c r="AP528" s="46"/>
      <c r="AQ528" s="46"/>
      <c r="AR528" s="46"/>
      <c r="AS528" s="46"/>
      <c r="AT528" s="46"/>
      <c r="AU528" s="46"/>
      <c r="AV528" s="46"/>
      <c r="AW528" s="46"/>
      <c r="AX528" s="44">
        <v>1</v>
      </c>
      <c r="AY528" s="44"/>
      <c r="AZ528" s="44">
        <v>1</v>
      </c>
      <c r="BA528" s="46"/>
      <c r="BB528" s="34">
        <v>1</v>
      </c>
      <c r="BC528" s="34"/>
    </row>
    <row r="529" spans="1:55" customFormat="1" ht="21" customHeight="1" x14ac:dyDescent="0.25">
      <c r="A529" s="22"/>
      <c r="B529" s="42" t="s">
        <v>893</v>
      </c>
      <c r="C529" s="42" t="s">
        <v>254</v>
      </c>
      <c r="D529" s="42" t="s">
        <v>1003</v>
      </c>
      <c r="E529" s="34"/>
      <c r="F529" s="46"/>
      <c r="G529" s="46"/>
      <c r="H529" s="34"/>
      <c r="I529" s="46"/>
      <c r="J529" s="46"/>
      <c r="K529" s="46"/>
      <c r="L529" s="46"/>
      <c r="M529" s="46"/>
      <c r="N529" s="46"/>
      <c r="O529" s="46"/>
      <c r="P529" s="46"/>
      <c r="Q529" s="34"/>
      <c r="R529" s="46"/>
      <c r="S529" s="46"/>
      <c r="T529" s="46"/>
      <c r="U529" s="46"/>
      <c r="V529" s="46"/>
      <c r="W529" s="46"/>
      <c r="X529" s="46"/>
      <c r="Y529" s="46"/>
      <c r="Z529" s="46"/>
      <c r="AA529" s="34"/>
      <c r="AB529" s="34">
        <v>1</v>
      </c>
      <c r="AC529" s="46"/>
      <c r="AD529" s="46"/>
      <c r="AE529" s="46"/>
      <c r="AF529" s="46"/>
      <c r="AG529" s="46"/>
      <c r="AH529" s="46"/>
      <c r="AI529" s="46"/>
      <c r="AJ529" s="46"/>
      <c r="AK529" s="46"/>
      <c r="AL529" s="46"/>
      <c r="AM529" s="34">
        <v>1</v>
      </c>
      <c r="AN529" s="46"/>
      <c r="AO529" s="46"/>
      <c r="AP529" s="46"/>
      <c r="AQ529" s="46"/>
      <c r="AR529" s="46"/>
      <c r="AS529" s="46"/>
      <c r="AT529" s="46"/>
      <c r="AU529" s="46"/>
      <c r="AV529" s="46"/>
      <c r="AW529" s="46"/>
      <c r="AX529" s="44">
        <v>1</v>
      </c>
      <c r="AY529" s="44"/>
      <c r="AZ529" s="44">
        <v>1</v>
      </c>
      <c r="BA529" s="46"/>
      <c r="BB529" s="34"/>
      <c r="BC529" s="34"/>
    </row>
    <row r="530" spans="1:55" customFormat="1" ht="21" customHeight="1" x14ac:dyDescent="0.25">
      <c r="A530" s="22"/>
      <c r="B530" s="42" t="s">
        <v>893</v>
      </c>
      <c r="C530" s="42" t="s">
        <v>254</v>
      </c>
      <c r="D530" s="42" t="s">
        <v>1004</v>
      </c>
      <c r="E530" s="34"/>
      <c r="F530" s="46"/>
      <c r="G530" s="46"/>
      <c r="H530" s="34"/>
      <c r="I530" s="46"/>
      <c r="J530" s="46"/>
      <c r="K530" s="46"/>
      <c r="L530" s="46"/>
      <c r="M530" s="46"/>
      <c r="N530" s="46"/>
      <c r="O530" s="46"/>
      <c r="P530" s="46"/>
      <c r="Q530" s="34"/>
      <c r="R530" s="46"/>
      <c r="S530" s="46"/>
      <c r="T530" s="46"/>
      <c r="U530" s="46"/>
      <c r="V530" s="46"/>
      <c r="W530" s="46"/>
      <c r="X530" s="46"/>
      <c r="Y530" s="46"/>
      <c r="Z530" s="46"/>
      <c r="AA530" s="34"/>
      <c r="AB530" s="34">
        <v>1</v>
      </c>
      <c r="AC530" s="46"/>
      <c r="AD530" s="46"/>
      <c r="AE530" s="46"/>
      <c r="AF530" s="46"/>
      <c r="AG530" s="46"/>
      <c r="AH530" s="46"/>
      <c r="AI530" s="46"/>
      <c r="AJ530" s="46"/>
      <c r="AK530" s="46"/>
      <c r="AL530" s="46"/>
      <c r="AM530" s="34">
        <v>1</v>
      </c>
      <c r="AN530" s="46"/>
      <c r="AO530" s="46"/>
      <c r="AP530" s="46"/>
      <c r="AQ530" s="46"/>
      <c r="AR530" s="46"/>
      <c r="AS530" s="46"/>
      <c r="AT530" s="46"/>
      <c r="AU530" s="46"/>
      <c r="AV530" s="46"/>
      <c r="AW530" s="46"/>
      <c r="AX530" s="44">
        <v>1</v>
      </c>
      <c r="AY530" s="44"/>
      <c r="AZ530" s="44">
        <v>1</v>
      </c>
      <c r="BA530" s="46"/>
      <c r="BB530" s="34">
        <v>1</v>
      </c>
      <c r="BC530" s="34"/>
    </row>
    <row r="531" spans="1:55" customFormat="1" ht="21" customHeight="1" x14ac:dyDescent="0.25">
      <c r="A531" s="22"/>
      <c r="B531" s="42" t="s">
        <v>893</v>
      </c>
      <c r="C531" s="42" t="s">
        <v>250</v>
      </c>
      <c r="D531" s="42" t="s">
        <v>1005</v>
      </c>
      <c r="E531" s="34"/>
      <c r="F531" s="46"/>
      <c r="G531" s="46"/>
      <c r="H531" s="34"/>
      <c r="I531" s="46"/>
      <c r="J531" s="46"/>
      <c r="K531" s="46"/>
      <c r="L531" s="46"/>
      <c r="M531" s="46"/>
      <c r="N531" s="46"/>
      <c r="O531" s="46"/>
      <c r="P531" s="34">
        <v>1</v>
      </c>
      <c r="Q531" s="42">
        <v>1</v>
      </c>
      <c r="R531" s="46"/>
      <c r="S531" s="46"/>
      <c r="T531" s="46"/>
      <c r="U531" s="46"/>
      <c r="V531" s="46"/>
      <c r="W531" s="46"/>
      <c r="X531" s="46"/>
      <c r="Y531" s="46"/>
      <c r="Z531" s="46"/>
      <c r="AA531" s="34">
        <v>1</v>
      </c>
      <c r="AB531" s="42">
        <v>1</v>
      </c>
      <c r="AC531" s="46"/>
      <c r="AD531" s="46"/>
      <c r="AE531" s="46"/>
      <c r="AF531" s="46"/>
      <c r="AG531" s="46"/>
      <c r="AH531" s="46"/>
      <c r="AI531" s="46"/>
      <c r="AJ531" s="46"/>
      <c r="AK531" s="46"/>
      <c r="AL531" s="46"/>
      <c r="AM531" s="46"/>
      <c r="AN531" s="46"/>
      <c r="AO531" s="46"/>
      <c r="AP531" s="46"/>
      <c r="AQ531" s="46"/>
      <c r="AR531" s="46"/>
      <c r="AS531" s="46"/>
      <c r="AT531" s="46"/>
      <c r="AU531" s="46"/>
      <c r="AV531" s="46"/>
      <c r="AW531" s="46"/>
      <c r="AX531" s="44"/>
      <c r="AY531" s="44"/>
      <c r="AZ531" s="44"/>
      <c r="BA531" s="46"/>
      <c r="BB531" s="34"/>
      <c r="BC531" s="34"/>
    </row>
    <row r="532" spans="1:55" customFormat="1" ht="21" customHeight="1" x14ac:dyDescent="0.25">
      <c r="A532" s="22"/>
      <c r="B532" s="42" t="s">
        <v>893</v>
      </c>
      <c r="C532" s="42" t="s">
        <v>254</v>
      </c>
      <c r="D532" s="42" t="s">
        <v>1006</v>
      </c>
      <c r="E532" s="34"/>
      <c r="F532" s="46"/>
      <c r="G532" s="46"/>
      <c r="H532" s="34"/>
      <c r="I532" s="46"/>
      <c r="J532" s="46"/>
      <c r="K532" s="46"/>
      <c r="L532" s="46"/>
      <c r="M532" s="46"/>
      <c r="N532" s="46"/>
      <c r="O532" s="46"/>
      <c r="P532" s="46"/>
      <c r="Q532" s="34">
        <v>1</v>
      </c>
      <c r="R532" s="46"/>
      <c r="S532" s="46"/>
      <c r="T532" s="46"/>
      <c r="U532" s="46"/>
      <c r="V532" s="46"/>
      <c r="W532" s="46"/>
      <c r="X532" s="46"/>
      <c r="Y532" s="46"/>
      <c r="Z532" s="46"/>
      <c r="AA532" s="34"/>
      <c r="AB532" s="34">
        <v>1</v>
      </c>
      <c r="AC532" s="46"/>
      <c r="AD532" s="46"/>
      <c r="AE532" s="46"/>
      <c r="AF532" s="46"/>
      <c r="AG532" s="46"/>
      <c r="AH532" s="46"/>
      <c r="AI532" s="46"/>
      <c r="AJ532" s="46"/>
      <c r="AK532" s="46"/>
      <c r="AL532" s="46"/>
      <c r="AM532" s="34">
        <v>1</v>
      </c>
      <c r="AN532" s="46"/>
      <c r="AO532" s="46"/>
      <c r="AP532" s="46"/>
      <c r="AQ532" s="46"/>
      <c r="AR532" s="46"/>
      <c r="AS532" s="46"/>
      <c r="AT532" s="46"/>
      <c r="AU532" s="46"/>
      <c r="AV532" s="46"/>
      <c r="AW532" s="46"/>
      <c r="AX532" s="44">
        <v>1</v>
      </c>
      <c r="AY532" s="44"/>
      <c r="AZ532" s="44">
        <v>1</v>
      </c>
      <c r="BA532" s="46"/>
      <c r="BB532" s="34"/>
      <c r="BC532" s="34"/>
    </row>
    <row r="533" spans="1:55" customFormat="1" ht="21" customHeight="1" x14ac:dyDescent="0.25">
      <c r="A533" s="22"/>
      <c r="B533" s="42" t="s">
        <v>893</v>
      </c>
      <c r="C533" s="42" t="s">
        <v>254</v>
      </c>
      <c r="D533" s="42" t="s">
        <v>1007</v>
      </c>
      <c r="E533" s="34"/>
      <c r="F533" s="46"/>
      <c r="G533" s="46"/>
      <c r="H533" s="34"/>
      <c r="I533" s="46"/>
      <c r="J533" s="46"/>
      <c r="K533" s="46"/>
      <c r="L533" s="46"/>
      <c r="M533" s="46"/>
      <c r="N533" s="46"/>
      <c r="O533" s="46"/>
      <c r="P533" s="46"/>
      <c r="Q533" s="34">
        <v>1</v>
      </c>
      <c r="R533" s="46"/>
      <c r="S533" s="46"/>
      <c r="T533" s="46"/>
      <c r="U533" s="46"/>
      <c r="V533" s="46"/>
      <c r="W533" s="46"/>
      <c r="X533" s="46"/>
      <c r="Y533" s="46"/>
      <c r="Z533" s="46"/>
      <c r="AA533" s="34"/>
      <c r="AB533" s="34">
        <v>1</v>
      </c>
      <c r="AC533" s="46"/>
      <c r="AD533" s="46"/>
      <c r="AE533" s="46"/>
      <c r="AF533" s="46"/>
      <c r="AG533" s="46"/>
      <c r="AH533" s="46"/>
      <c r="AI533" s="46"/>
      <c r="AJ533" s="46"/>
      <c r="AK533" s="46"/>
      <c r="AL533" s="46"/>
      <c r="AM533" s="34">
        <v>1</v>
      </c>
      <c r="AN533" s="46"/>
      <c r="AO533" s="46"/>
      <c r="AP533" s="46"/>
      <c r="AQ533" s="46"/>
      <c r="AR533" s="46"/>
      <c r="AS533" s="46"/>
      <c r="AT533" s="46"/>
      <c r="AU533" s="46"/>
      <c r="AV533" s="46"/>
      <c r="AW533" s="46"/>
      <c r="AX533" s="44">
        <v>1</v>
      </c>
      <c r="AY533" s="44"/>
      <c r="AZ533" s="44">
        <v>1</v>
      </c>
      <c r="BA533" s="46"/>
      <c r="BB533" s="34">
        <v>1</v>
      </c>
      <c r="BC533" s="34"/>
    </row>
    <row r="534" spans="1:55" customFormat="1" ht="21" customHeight="1" x14ac:dyDescent="0.25">
      <c r="A534" s="22"/>
      <c r="B534" s="42" t="s">
        <v>893</v>
      </c>
      <c r="C534" s="42" t="s">
        <v>254</v>
      </c>
      <c r="D534" s="42" t="s">
        <v>1008</v>
      </c>
      <c r="E534" s="34"/>
      <c r="F534" s="46"/>
      <c r="G534" s="46"/>
      <c r="H534" s="34"/>
      <c r="I534" s="46"/>
      <c r="J534" s="46"/>
      <c r="K534" s="46"/>
      <c r="L534" s="46"/>
      <c r="M534" s="46"/>
      <c r="N534" s="46"/>
      <c r="O534" s="46"/>
      <c r="P534" s="46"/>
      <c r="Q534" s="34">
        <v>1</v>
      </c>
      <c r="R534" s="46"/>
      <c r="S534" s="46"/>
      <c r="T534" s="46"/>
      <c r="U534" s="46"/>
      <c r="V534" s="46"/>
      <c r="W534" s="46"/>
      <c r="X534" s="46"/>
      <c r="Y534" s="46"/>
      <c r="Z534" s="46"/>
      <c r="AA534" s="34"/>
      <c r="AB534" s="34">
        <v>1</v>
      </c>
      <c r="AC534" s="46"/>
      <c r="AD534" s="46"/>
      <c r="AE534" s="46"/>
      <c r="AF534" s="46"/>
      <c r="AG534" s="46"/>
      <c r="AH534" s="46"/>
      <c r="AI534" s="46"/>
      <c r="AJ534" s="46"/>
      <c r="AK534" s="46"/>
      <c r="AL534" s="46"/>
      <c r="AM534" s="34">
        <v>1</v>
      </c>
      <c r="AN534" s="46"/>
      <c r="AO534" s="46"/>
      <c r="AP534" s="46"/>
      <c r="AQ534" s="46"/>
      <c r="AR534" s="46"/>
      <c r="AS534" s="46"/>
      <c r="AT534" s="46"/>
      <c r="AU534" s="46"/>
      <c r="AV534" s="46"/>
      <c r="AW534" s="46"/>
      <c r="AX534" s="44">
        <v>1</v>
      </c>
      <c r="AY534" s="44"/>
      <c r="AZ534" s="44">
        <v>1</v>
      </c>
      <c r="BA534" s="46"/>
      <c r="BB534" s="34">
        <v>1</v>
      </c>
      <c r="BC534" s="34"/>
    </row>
    <row r="535" spans="1:55" customFormat="1" ht="21" customHeight="1" x14ac:dyDescent="0.25">
      <c r="A535" s="22"/>
      <c r="B535" s="42" t="s">
        <v>893</v>
      </c>
      <c r="C535" s="42" t="s">
        <v>254</v>
      </c>
      <c r="D535" s="42" t="s">
        <v>1009</v>
      </c>
      <c r="E535" s="34"/>
      <c r="F535" s="46"/>
      <c r="G535" s="46"/>
      <c r="H535" s="34"/>
      <c r="I535" s="46"/>
      <c r="J535" s="46"/>
      <c r="K535" s="46"/>
      <c r="L535" s="46"/>
      <c r="M535" s="46"/>
      <c r="N535" s="46"/>
      <c r="O535" s="46"/>
      <c r="P535" s="46"/>
      <c r="Q535" s="34">
        <v>1</v>
      </c>
      <c r="R535" s="46"/>
      <c r="S535" s="46"/>
      <c r="T535" s="46"/>
      <c r="U535" s="46"/>
      <c r="V535" s="46"/>
      <c r="W535" s="46"/>
      <c r="X535" s="46"/>
      <c r="Y535" s="46"/>
      <c r="Z535" s="46"/>
      <c r="AA535" s="34"/>
      <c r="AB535" s="34">
        <v>1</v>
      </c>
      <c r="AC535" s="46"/>
      <c r="AD535" s="46"/>
      <c r="AE535" s="46"/>
      <c r="AF535" s="46"/>
      <c r="AG535" s="46"/>
      <c r="AH535" s="46"/>
      <c r="AI535" s="46"/>
      <c r="AJ535" s="46"/>
      <c r="AK535" s="46"/>
      <c r="AL535" s="46"/>
      <c r="AM535" s="34">
        <v>1</v>
      </c>
      <c r="AN535" s="46"/>
      <c r="AO535" s="46"/>
      <c r="AP535" s="46"/>
      <c r="AQ535" s="46"/>
      <c r="AR535" s="46"/>
      <c r="AS535" s="46"/>
      <c r="AT535" s="46"/>
      <c r="AU535" s="46"/>
      <c r="AV535" s="46"/>
      <c r="AW535" s="46"/>
      <c r="AX535" s="44">
        <v>1</v>
      </c>
      <c r="AY535" s="44"/>
      <c r="AZ535" s="44">
        <v>1</v>
      </c>
      <c r="BA535" s="46"/>
      <c r="BB535" s="34"/>
      <c r="BC535" s="34"/>
    </row>
    <row r="536" spans="1:55" customFormat="1" ht="21" customHeight="1" x14ac:dyDescent="0.25">
      <c r="A536" s="22"/>
      <c r="B536" s="42" t="s">
        <v>893</v>
      </c>
      <c r="C536" s="42" t="s">
        <v>250</v>
      </c>
      <c r="D536" s="42" t="s">
        <v>1010</v>
      </c>
      <c r="E536" s="34"/>
      <c r="F536" s="46"/>
      <c r="G536" s="46"/>
      <c r="H536" s="34"/>
      <c r="I536" s="46"/>
      <c r="J536" s="46"/>
      <c r="K536" s="46"/>
      <c r="L536" s="46"/>
      <c r="M536" s="46"/>
      <c r="N536" s="46"/>
      <c r="O536" s="46"/>
      <c r="P536" s="34">
        <v>1</v>
      </c>
      <c r="Q536" s="42">
        <v>1</v>
      </c>
      <c r="R536" s="46"/>
      <c r="S536" s="46"/>
      <c r="T536" s="46"/>
      <c r="U536" s="46"/>
      <c r="V536" s="46"/>
      <c r="W536" s="46"/>
      <c r="X536" s="46"/>
      <c r="Y536" s="46"/>
      <c r="Z536" s="46"/>
      <c r="AA536" s="34">
        <v>1</v>
      </c>
      <c r="AB536" s="42">
        <v>1</v>
      </c>
      <c r="AC536" s="46"/>
      <c r="AD536" s="46"/>
      <c r="AE536" s="46"/>
      <c r="AF536" s="46"/>
      <c r="AG536" s="46"/>
      <c r="AH536" s="46"/>
      <c r="AI536" s="46"/>
      <c r="AJ536" s="46"/>
      <c r="AK536" s="46"/>
      <c r="AL536" s="46"/>
      <c r="AM536" s="46"/>
      <c r="AN536" s="46"/>
      <c r="AO536" s="46"/>
      <c r="AP536" s="46"/>
      <c r="AQ536" s="46"/>
      <c r="AR536" s="46"/>
      <c r="AS536" s="46"/>
      <c r="AT536" s="46"/>
      <c r="AU536" s="46"/>
      <c r="AV536" s="46"/>
      <c r="AW536" s="46"/>
      <c r="AX536" s="44"/>
      <c r="AY536" s="44"/>
      <c r="AZ536" s="44"/>
      <c r="BA536" s="46"/>
      <c r="BB536" s="34"/>
      <c r="BC536" s="34"/>
    </row>
    <row r="537" spans="1:55" customFormat="1" ht="21" customHeight="1" x14ac:dyDescent="0.25">
      <c r="A537" s="22"/>
      <c r="B537" s="42" t="s">
        <v>893</v>
      </c>
      <c r="C537" s="42" t="s">
        <v>254</v>
      </c>
      <c r="D537" s="42" t="s">
        <v>1011</v>
      </c>
      <c r="E537" s="34"/>
      <c r="F537" s="46"/>
      <c r="G537" s="46"/>
      <c r="H537" s="34"/>
      <c r="I537" s="46"/>
      <c r="J537" s="46"/>
      <c r="K537" s="46"/>
      <c r="L537" s="46"/>
      <c r="M537" s="46"/>
      <c r="N537" s="46"/>
      <c r="O537" s="46"/>
      <c r="P537" s="46"/>
      <c r="Q537" s="34">
        <v>1</v>
      </c>
      <c r="R537" s="46"/>
      <c r="S537" s="46"/>
      <c r="T537" s="46"/>
      <c r="U537" s="46"/>
      <c r="V537" s="46"/>
      <c r="W537" s="46"/>
      <c r="X537" s="46"/>
      <c r="Y537" s="46"/>
      <c r="Z537" s="46"/>
      <c r="AA537" s="34"/>
      <c r="AB537" s="34">
        <v>1</v>
      </c>
      <c r="AC537" s="46"/>
      <c r="AD537" s="46"/>
      <c r="AE537" s="46"/>
      <c r="AF537" s="46"/>
      <c r="AG537" s="46"/>
      <c r="AH537" s="46"/>
      <c r="AI537" s="46"/>
      <c r="AJ537" s="46"/>
      <c r="AK537" s="46"/>
      <c r="AL537" s="46"/>
      <c r="AM537" s="34">
        <v>1</v>
      </c>
      <c r="AN537" s="46"/>
      <c r="AO537" s="46"/>
      <c r="AP537" s="46"/>
      <c r="AQ537" s="46"/>
      <c r="AR537" s="46"/>
      <c r="AS537" s="46"/>
      <c r="AT537" s="46"/>
      <c r="AU537" s="46"/>
      <c r="AV537" s="46"/>
      <c r="AW537" s="46"/>
      <c r="AX537" s="44">
        <v>1</v>
      </c>
      <c r="AY537" s="44"/>
      <c r="AZ537" s="44">
        <v>1</v>
      </c>
      <c r="BA537" s="46"/>
      <c r="BB537" s="34">
        <v>1</v>
      </c>
      <c r="BC537" s="34"/>
    </row>
    <row r="538" spans="1:55" customFormat="1" ht="21" customHeight="1" x14ac:dyDescent="0.25">
      <c r="A538" s="22"/>
      <c r="B538" s="42" t="s">
        <v>893</v>
      </c>
      <c r="C538" s="42" t="s">
        <v>254</v>
      </c>
      <c r="D538" s="42" t="s">
        <v>1012</v>
      </c>
      <c r="E538" s="34"/>
      <c r="F538" s="46"/>
      <c r="G538" s="46"/>
      <c r="H538" s="34"/>
      <c r="I538" s="46"/>
      <c r="J538" s="46"/>
      <c r="K538" s="46"/>
      <c r="L538" s="46"/>
      <c r="M538" s="46"/>
      <c r="N538" s="46"/>
      <c r="O538" s="46"/>
      <c r="P538" s="46"/>
      <c r="Q538" s="34">
        <v>1</v>
      </c>
      <c r="R538" s="46"/>
      <c r="S538" s="46"/>
      <c r="T538" s="46"/>
      <c r="U538" s="46"/>
      <c r="V538" s="46"/>
      <c r="W538" s="46"/>
      <c r="X538" s="46"/>
      <c r="Y538" s="46"/>
      <c r="Z538" s="46"/>
      <c r="AA538" s="34"/>
      <c r="AB538" s="34">
        <v>1</v>
      </c>
      <c r="AC538" s="46"/>
      <c r="AD538" s="46"/>
      <c r="AE538" s="46"/>
      <c r="AF538" s="46"/>
      <c r="AG538" s="46"/>
      <c r="AH538" s="46"/>
      <c r="AI538" s="46"/>
      <c r="AJ538" s="46"/>
      <c r="AK538" s="46"/>
      <c r="AL538" s="46"/>
      <c r="AM538" s="34">
        <v>1</v>
      </c>
      <c r="AN538" s="46"/>
      <c r="AO538" s="46"/>
      <c r="AP538" s="46"/>
      <c r="AQ538" s="46"/>
      <c r="AR538" s="46"/>
      <c r="AS538" s="46"/>
      <c r="AT538" s="46"/>
      <c r="AU538" s="46"/>
      <c r="AV538" s="46"/>
      <c r="AW538" s="46"/>
      <c r="AX538" s="44">
        <v>1</v>
      </c>
      <c r="AY538" s="44"/>
      <c r="AZ538" s="44">
        <v>1</v>
      </c>
      <c r="BA538" s="46"/>
      <c r="BB538" s="34">
        <v>1</v>
      </c>
      <c r="BC538" s="34"/>
    </row>
    <row r="539" spans="1:55" customFormat="1" ht="21" customHeight="1" x14ac:dyDescent="0.25">
      <c r="A539" s="22"/>
      <c r="B539" s="42" t="s">
        <v>893</v>
      </c>
      <c r="C539" s="42" t="s">
        <v>250</v>
      </c>
      <c r="D539" s="42" t="s">
        <v>1013</v>
      </c>
      <c r="E539" s="34"/>
      <c r="F539" s="46"/>
      <c r="G539" s="46"/>
      <c r="H539" s="34"/>
      <c r="I539" s="46"/>
      <c r="J539" s="46"/>
      <c r="K539" s="46"/>
      <c r="L539" s="46"/>
      <c r="M539" s="46"/>
      <c r="N539" s="46"/>
      <c r="O539" s="46"/>
      <c r="P539" s="34"/>
      <c r="Q539" s="42">
        <v>1</v>
      </c>
      <c r="R539" s="46"/>
      <c r="S539" s="46"/>
      <c r="T539" s="46"/>
      <c r="U539" s="46"/>
      <c r="V539" s="46"/>
      <c r="W539" s="46"/>
      <c r="X539" s="46"/>
      <c r="Y539" s="46"/>
      <c r="Z539" s="46"/>
      <c r="AA539" s="34"/>
      <c r="AB539" s="42">
        <v>1</v>
      </c>
      <c r="AC539" s="46"/>
      <c r="AD539" s="46"/>
      <c r="AE539" s="46"/>
      <c r="AF539" s="46"/>
      <c r="AG539" s="46"/>
      <c r="AH539" s="46"/>
      <c r="AI539" s="46"/>
      <c r="AJ539" s="46"/>
      <c r="AK539" s="46"/>
      <c r="AL539" s="46"/>
      <c r="AM539" s="46"/>
      <c r="AN539" s="46"/>
      <c r="AO539" s="46"/>
      <c r="AP539" s="46"/>
      <c r="AQ539" s="46"/>
      <c r="AR539" s="46"/>
      <c r="AS539" s="46"/>
      <c r="AT539" s="46"/>
      <c r="AU539" s="46"/>
      <c r="AV539" s="46"/>
      <c r="AW539" s="46"/>
      <c r="AX539" s="44"/>
      <c r="AY539" s="44"/>
      <c r="AZ539" s="44"/>
      <c r="BA539" s="46"/>
      <c r="BB539" s="34"/>
      <c r="BC539" s="34"/>
    </row>
    <row r="540" spans="1:55" customFormat="1" ht="21" customHeight="1" x14ac:dyDescent="0.25">
      <c r="A540" s="22"/>
      <c r="B540" s="42" t="s">
        <v>893</v>
      </c>
      <c r="C540" s="42" t="s">
        <v>254</v>
      </c>
      <c r="D540" s="42" t="s">
        <v>1014</v>
      </c>
      <c r="E540" s="34"/>
      <c r="F540" s="46"/>
      <c r="G540" s="46"/>
      <c r="H540" s="34"/>
      <c r="I540" s="46"/>
      <c r="J540" s="46"/>
      <c r="K540" s="46"/>
      <c r="L540" s="46"/>
      <c r="M540" s="46"/>
      <c r="N540" s="46"/>
      <c r="O540" s="46"/>
      <c r="P540" s="46"/>
      <c r="Q540" s="34">
        <v>1</v>
      </c>
      <c r="R540" s="46"/>
      <c r="S540" s="46"/>
      <c r="T540" s="46"/>
      <c r="U540" s="46"/>
      <c r="V540" s="46"/>
      <c r="W540" s="46"/>
      <c r="X540" s="46"/>
      <c r="Y540" s="46"/>
      <c r="Z540" s="46"/>
      <c r="AA540" s="34"/>
      <c r="AB540" s="34">
        <v>1</v>
      </c>
      <c r="AC540" s="46"/>
      <c r="AD540" s="46"/>
      <c r="AE540" s="46"/>
      <c r="AF540" s="46"/>
      <c r="AG540" s="46"/>
      <c r="AH540" s="46"/>
      <c r="AI540" s="46"/>
      <c r="AJ540" s="46"/>
      <c r="AK540" s="46"/>
      <c r="AL540" s="46"/>
      <c r="AM540" s="34">
        <v>1</v>
      </c>
      <c r="AN540" s="46"/>
      <c r="AO540" s="46"/>
      <c r="AP540" s="46"/>
      <c r="AQ540" s="46"/>
      <c r="AR540" s="46"/>
      <c r="AS540" s="46"/>
      <c r="AT540" s="46"/>
      <c r="AU540" s="46"/>
      <c r="AV540" s="46"/>
      <c r="AW540" s="46"/>
      <c r="AX540" s="44">
        <v>1</v>
      </c>
      <c r="AY540" s="44"/>
      <c r="AZ540" s="44">
        <v>1</v>
      </c>
      <c r="BA540" s="46"/>
      <c r="BB540" s="34"/>
      <c r="BC540" s="34"/>
    </row>
    <row r="541" spans="1:55" customFormat="1" ht="21" customHeight="1" x14ac:dyDescent="0.25">
      <c r="A541" s="22"/>
      <c r="B541" s="42" t="s">
        <v>893</v>
      </c>
      <c r="C541" s="42" t="s">
        <v>254</v>
      </c>
      <c r="D541" s="42" t="s">
        <v>1015</v>
      </c>
      <c r="E541" s="34"/>
      <c r="F541" s="46"/>
      <c r="G541" s="46"/>
      <c r="H541" s="34"/>
      <c r="I541" s="46"/>
      <c r="J541" s="46"/>
      <c r="K541" s="46"/>
      <c r="L541" s="46"/>
      <c r="M541" s="46"/>
      <c r="N541" s="46"/>
      <c r="O541" s="46"/>
      <c r="P541" s="46"/>
      <c r="Q541" s="34">
        <v>1</v>
      </c>
      <c r="R541" s="46"/>
      <c r="S541" s="46"/>
      <c r="T541" s="46"/>
      <c r="U541" s="46"/>
      <c r="V541" s="46"/>
      <c r="W541" s="46"/>
      <c r="X541" s="46"/>
      <c r="Y541" s="46"/>
      <c r="Z541" s="46"/>
      <c r="AA541" s="34"/>
      <c r="AB541" s="34">
        <v>1</v>
      </c>
      <c r="AC541" s="46"/>
      <c r="AD541" s="46"/>
      <c r="AE541" s="46"/>
      <c r="AF541" s="46"/>
      <c r="AG541" s="46"/>
      <c r="AH541" s="46"/>
      <c r="AI541" s="46"/>
      <c r="AJ541" s="46"/>
      <c r="AK541" s="46"/>
      <c r="AL541" s="46"/>
      <c r="AM541" s="34">
        <v>1</v>
      </c>
      <c r="AN541" s="46"/>
      <c r="AO541" s="46"/>
      <c r="AP541" s="46"/>
      <c r="AQ541" s="46"/>
      <c r="AR541" s="46"/>
      <c r="AS541" s="46"/>
      <c r="AT541" s="46"/>
      <c r="AU541" s="46"/>
      <c r="AV541" s="46"/>
      <c r="AW541" s="46"/>
      <c r="AX541" s="44">
        <v>1</v>
      </c>
      <c r="AY541" s="44"/>
      <c r="AZ541" s="44">
        <v>1</v>
      </c>
      <c r="BA541" s="46"/>
      <c r="BB541" s="34">
        <v>1</v>
      </c>
      <c r="BC541" s="34"/>
    </row>
    <row r="542" spans="1:55" customFormat="1" ht="21" customHeight="1" x14ac:dyDescent="0.25">
      <c r="A542" s="22"/>
      <c r="B542" s="42" t="s">
        <v>893</v>
      </c>
      <c r="C542" s="42" t="s">
        <v>250</v>
      </c>
      <c r="D542" s="42" t="s">
        <v>1016</v>
      </c>
      <c r="E542" s="34"/>
      <c r="F542" s="46"/>
      <c r="G542" s="46"/>
      <c r="H542" s="34"/>
      <c r="I542" s="46"/>
      <c r="J542" s="46"/>
      <c r="K542" s="46"/>
      <c r="L542" s="46"/>
      <c r="M542" s="46"/>
      <c r="N542" s="46"/>
      <c r="O542" s="46"/>
      <c r="P542" s="34">
        <v>1</v>
      </c>
      <c r="Q542" s="42">
        <v>1</v>
      </c>
      <c r="R542" s="46"/>
      <c r="S542" s="46"/>
      <c r="T542" s="46"/>
      <c r="U542" s="46"/>
      <c r="V542" s="46"/>
      <c r="W542" s="46"/>
      <c r="X542" s="46"/>
      <c r="Y542" s="46"/>
      <c r="Z542" s="46"/>
      <c r="AA542" s="34">
        <v>1</v>
      </c>
      <c r="AB542" s="42">
        <v>1</v>
      </c>
      <c r="AC542" s="46"/>
      <c r="AD542" s="46"/>
      <c r="AE542" s="46"/>
      <c r="AF542" s="46"/>
      <c r="AG542" s="46"/>
      <c r="AH542" s="46"/>
      <c r="AI542" s="46"/>
      <c r="AJ542" s="46"/>
      <c r="AK542" s="46"/>
      <c r="AL542" s="46"/>
      <c r="AM542" s="46"/>
      <c r="AN542" s="46"/>
      <c r="AO542" s="46"/>
      <c r="AP542" s="46"/>
      <c r="AQ542" s="46"/>
      <c r="AR542" s="46"/>
      <c r="AS542" s="46"/>
      <c r="AT542" s="46"/>
      <c r="AU542" s="46"/>
      <c r="AV542" s="46"/>
      <c r="AW542" s="46"/>
      <c r="AX542" s="44"/>
      <c r="AY542" s="44"/>
      <c r="AZ542" s="44"/>
      <c r="BA542" s="46"/>
      <c r="BB542" s="34"/>
      <c r="BC542" s="34"/>
    </row>
    <row r="543" spans="1:55" customFormat="1" ht="21" customHeight="1" x14ac:dyDescent="0.25">
      <c r="A543" s="22"/>
      <c r="B543" s="42" t="s">
        <v>893</v>
      </c>
      <c r="C543" s="42" t="s">
        <v>254</v>
      </c>
      <c r="D543" s="42" t="s">
        <v>1017</v>
      </c>
      <c r="E543" s="34"/>
      <c r="F543" s="46"/>
      <c r="G543" s="46"/>
      <c r="H543" s="34"/>
      <c r="I543" s="46"/>
      <c r="J543" s="46"/>
      <c r="K543" s="46"/>
      <c r="L543" s="46"/>
      <c r="M543" s="46"/>
      <c r="N543" s="46"/>
      <c r="O543" s="46"/>
      <c r="P543" s="46"/>
      <c r="Q543" s="34">
        <v>1</v>
      </c>
      <c r="R543" s="46"/>
      <c r="S543" s="46"/>
      <c r="T543" s="46"/>
      <c r="U543" s="46"/>
      <c r="V543" s="46"/>
      <c r="W543" s="46"/>
      <c r="X543" s="46"/>
      <c r="Y543" s="46"/>
      <c r="Z543" s="46"/>
      <c r="AA543" s="34"/>
      <c r="AB543" s="34">
        <v>1</v>
      </c>
      <c r="AC543" s="46"/>
      <c r="AD543" s="46"/>
      <c r="AE543" s="46"/>
      <c r="AF543" s="46"/>
      <c r="AG543" s="46"/>
      <c r="AH543" s="46"/>
      <c r="AI543" s="46"/>
      <c r="AJ543" s="46"/>
      <c r="AK543" s="46"/>
      <c r="AL543" s="46"/>
      <c r="AM543" s="34">
        <v>1</v>
      </c>
      <c r="AN543" s="46"/>
      <c r="AO543" s="46"/>
      <c r="AP543" s="46"/>
      <c r="AQ543" s="46"/>
      <c r="AR543" s="46"/>
      <c r="AS543" s="46"/>
      <c r="AT543" s="46"/>
      <c r="AU543" s="46"/>
      <c r="AV543" s="46"/>
      <c r="AW543" s="46"/>
      <c r="AX543" s="44">
        <v>1</v>
      </c>
      <c r="AY543" s="44"/>
      <c r="AZ543" s="44">
        <v>1</v>
      </c>
      <c r="BA543" s="46"/>
      <c r="BB543" s="34">
        <v>1</v>
      </c>
      <c r="BC543" s="34"/>
    </row>
    <row r="544" spans="1:55" customFormat="1" ht="21" customHeight="1" x14ac:dyDescent="0.25">
      <c r="A544" s="22"/>
      <c r="B544" s="42" t="s">
        <v>893</v>
      </c>
      <c r="C544" s="42" t="s">
        <v>250</v>
      </c>
      <c r="D544" s="42" t="s">
        <v>1018</v>
      </c>
      <c r="E544" s="34"/>
      <c r="F544" s="46"/>
      <c r="G544" s="46"/>
      <c r="H544" s="34"/>
      <c r="I544" s="46"/>
      <c r="J544" s="46"/>
      <c r="K544" s="46"/>
      <c r="L544" s="46"/>
      <c r="M544" s="46"/>
      <c r="N544" s="46"/>
      <c r="O544" s="46"/>
      <c r="P544" s="34">
        <v>1</v>
      </c>
      <c r="Q544" s="42">
        <v>1</v>
      </c>
      <c r="R544" s="46"/>
      <c r="S544" s="46"/>
      <c r="T544" s="46"/>
      <c r="U544" s="46"/>
      <c r="V544" s="46"/>
      <c r="W544" s="46"/>
      <c r="X544" s="46"/>
      <c r="Y544" s="46"/>
      <c r="Z544" s="46"/>
      <c r="AA544" s="34">
        <v>1</v>
      </c>
      <c r="AB544" s="42">
        <v>1</v>
      </c>
      <c r="AC544" s="46"/>
      <c r="AD544" s="46"/>
      <c r="AE544" s="46"/>
      <c r="AF544" s="46"/>
      <c r="AG544" s="46"/>
      <c r="AH544" s="46"/>
      <c r="AI544" s="46"/>
      <c r="AJ544" s="46"/>
      <c r="AK544" s="46"/>
      <c r="AL544" s="46"/>
      <c r="AM544" s="46"/>
      <c r="AN544" s="46"/>
      <c r="AO544" s="46"/>
      <c r="AP544" s="46"/>
      <c r="AQ544" s="46"/>
      <c r="AR544" s="46"/>
      <c r="AS544" s="46"/>
      <c r="AT544" s="46"/>
      <c r="AU544" s="46"/>
      <c r="AV544" s="46"/>
      <c r="AW544" s="46"/>
      <c r="AX544" s="44"/>
      <c r="AY544" s="44"/>
      <c r="AZ544" s="44">
        <v>1</v>
      </c>
      <c r="BA544" s="46"/>
      <c r="BB544" s="34"/>
      <c r="BC544" s="34"/>
    </row>
    <row r="545" spans="1:55" customFormat="1" ht="21" customHeight="1" x14ac:dyDescent="0.25">
      <c r="A545" s="22"/>
      <c r="B545" s="42" t="s">
        <v>893</v>
      </c>
      <c r="C545" s="42" t="s">
        <v>254</v>
      </c>
      <c r="D545" s="42" t="s">
        <v>1019</v>
      </c>
      <c r="E545" s="34"/>
      <c r="F545" s="46"/>
      <c r="G545" s="46"/>
      <c r="H545" s="34"/>
      <c r="I545" s="46"/>
      <c r="J545" s="46"/>
      <c r="K545" s="46"/>
      <c r="L545" s="46"/>
      <c r="M545" s="46"/>
      <c r="N545" s="46"/>
      <c r="O545" s="46"/>
      <c r="P545" s="46"/>
      <c r="Q545" s="34"/>
      <c r="R545" s="46"/>
      <c r="S545" s="46"/>
      <c r="T545" s="46"/>
      <c r="U545" s="46"/>
      <c r="V545" s="46"/>
      <c r="W545" s="46"/>
      <c r="X545" s="46"/>
      <c r="Y545" s="46"/>
      <c r="Z545" s="46"/>
      <c r="AA545" s="34"/>
      <c r="AB545" s="34"/>
      <c r="AC545" s="46"/>
      <c r="AD545" s="46"/>
      <c r="AE545" s="46"/>
      <c r="AF545" s="46"/>
      <c r="AG545" s="46"/>
      <c r="AH545" s="46"/>
      <c r="AI545" s="46"/>
      <c r="AJ545" s="46"/>
      <c r="AK545" s="46"/>
      <c r="AL545" s="46"/>
      <c r="AM545" s="34"/>
      <c r="AN545" s="46"/>
      <c r="AO545" s="46"/>
      <c r="AP545" s="46"/>
      <c r="AQ545" s="46"/>
      <c r="AR545" s="46"/>
      <c r="AS545" s="46"/>
      <c r="AT545" s="46"/>
      <c r="AU545" s="46"/>
      <c r="AV545" s="46"/>
      <c r="AW545" s="46"/>
      <c r="AX545" s="44"/>
      <c r="AY545" s="44"/>
      <c r="AZ545" s="44"/>
      <c r="BA545" s="46"/>
      <c r="BB545" s="34"/>
      <c r="BC545" s="34"/>
    </row>
    <row r="546" spans="1:55" customFormat="1" ht="21" customHeight="1" x14ac:dyDescent="0.25">
      <c r="A546" s="22"/>
      <c r="B546" s="42" t="s">
        <v>893</v>
      </c>
      <c r="C546" s="42" t="s">
        <v>254</v>
      </c>
      <c r="D546" s="42" t="s">
        <v>1020</v>
      </c>
      <c r="E546" s="34"/>
      <c r="F546" s="46"/>
      <c r="G546" s="46"/>
      <c r="H546" s="34"/>
      <c r="I546" s="46"/>
      <c r="J546" s="46"/>
      <c r="K546" s="46"/>
      <c r="L546" s="46"/>
      <c r="M546" s="46"/>
      <c r="N546" s="46"/>
      <c r="O546" s="46"/>
      <c r="P546" s="46"/>
      <c r="Q546" s="34">
        <v>1</v>
      </c>
      <c r="R546" s="46"/>
      <c r="S546" s="46"/>
      <c r="T546" s="46"/>
      <c r="U546" s="46"/>
      <c r="V546" s="46"/>
      <c r="W546" s="46"/>
      <c r="X546" s="46"/>
      <c r="Y546" s="46"/>
      <c r="Z546" s="46"/>
      <c r="AA546" s="34"/>
      <c r="AB546" s="34">
        <v>1</v>
      </c>
      <c r="AC546" s="46"/>
      <c r="AD546" s="46"/>
      <c r="AE546" s="46"/>
      <c r="AF546" s="46"/>
      <c r="AG546" s="46"/>
      <c r="AH546" s="46"/>
      <c r="AI546" s="46"/>
      <c r="AJ546" s="46"/>
      <c r="AK546" s="46"/>
      <c r="AL546" s="46"/>
      <c r="AM546" s="34">
        <v>1</v>
      </c>
      <c r="AN546" s="46"/>
      <c r="AO546" s="46"/>
      <c r="AP546" s="46"/>
      <c r="AQ546" s="46"/>
      <c r="AR546" s="46"/>
      <c r="AS546" s="46"/>
      <c r="AT546" s="46"/>
      <c r="AU546" s="46"/>
      <c r="AV546" s="46"/>
      <c r="AW546" s="46"/>
      <c r="AX546" s="44">
        <v>1</v>
      </c>
      <c r="AY546" s="44"/>
      <c r="AZ546" s="44">
        <v>1</v>
      </c>
      <c r="BA546" s="46"/>
      <c r="BB546" s="34">
        <v>1</v>
      </c>
      <c r="BC546" s="34"/>
    </row>
    <row r="547" spans="1:55" customFormat="1" ht="21" customHeight="1" x14ac:dyDescent="0.25">
      <c r="A547" s="22"/>
      <c r="B547" s="42" t="s">
        <v>893</v>
      </c>
      <c r="C547" s="42" t="s">
        <v>250</v>
      </c>
      <c r="D547" s="42" t="s">
        <v>1021</v>
      </c>
      <c r="E547" s="34"/>
      <c r="F547" s="46"/>
      <c r="G547" s="46"/>
      <c r="H547" s="34"/>
      <c r="I547" s="46"/>
      <c r="J547" s="46"/>
      <c r="K547" s="46"/>
      <c r="L547" s="46"/>
      <c r="M547" s="46"/>
      <c r="N547" s="46"/>
      <c r="O547" s="46"/>
      <c r="P547" s="34">
        <v>1</v>
      </c>
      <c r="Q547" s="42">
        <v>1</v>
      </c>
      <c r="R547" s="46"/>
      <c r="S547" s="46"/>
      <c r="T547" s="46"/>
      <c r="U547" s="46"/>
      <c r="V547" s="46"/>
      <c r="W547" s="46"/>
      <c r="X547" s="46"/>
      <c r="Y547" s="46"/>
      <c r="Z547" s="46"/>
      <c r="AA547" s="34">
        <v>1</v>
      </c>
      <c r="AB547" s="42">
        <v>1</v>
      </c>
      <c r="AC547" s="46"/>
      <c r="AD547" s="46"/>
      <c r="AE547" s="46"/>
      <c r="AF547" s="46"/>
      <c r="AG547" s="46"/>
      <c r="AH547" s="46"/>
      <c r="AI547" s="46"/>
      <c r="AJ547" s="46"/>
      <c r="AK547" s="46"/>
      <c r="AL547" s="46"/>
      <c r="AM547" s="46"/>
      <c r="AN547" s="46"/>
      <c r="AO547" s="46"/>
      <c r="AP547" s="46"/>
      <c r="AQ547" s="46"/>
      <c r="AR547" s="46"/>
      <c r="AS547" s="46"/>
      <c r="AT547" s="46"/>
      <c r="AU547" s="46"/>
      <c r="AV547" s="46"/>
      <c r="AW547" s="46"/>
      <c r="AX547" s="44"/>
      <c r="AY547" s="44"/>
      <c r="AZ547" s="44"/>
      <c r="BA547" s="46"/>
      <c r="BB547" s="34"/>
      <c r="BC547" s="34"/>
    </row>
    <row r="548" spans="1:55" customFormat="1" ht="21" customHeight="1" x14ac:dyDescent="0.25">
      <c r="A548" s="22"/>
      <c r="B548" s="42" t="s">
        <v>893</v>
      </c>
      <c r="C548" s="42" t="s">
        <v>254</v>
      </c>
      <c r="D548" s="42" t="s">
        <v>1022</v>
      </c>
      <c r="E548" s="34"/>
      <c r="F548" s="46"/>
      <c r="G548" s="46"/>
      <c r="H548" s="34"/>
      <c r="I548" s="46"/>
      <c r="J548" s="46"/>
      <c r="K548" s="46"/>
      <c r="L548" s="46"/>
      <c r="M548" s="46"/>
      <c r="N548" s="46"/>
      <c r="O548" s="46"/>
      <c r="P548" s="46"/>
      <c r="Q548" s="34">
        <v>1</v>
      </c>
      <c r="R548" s="46"/>
      <c r="S548" s="46"/>
      <c r="T548" s="46"/>
      <c r="U548" s="46"/>
      <c r="V548" s="46"/>
      <c r="W548" s="46"/>
      <c r="X548" s="46"/>
      <c r="Y548" s="46"/>
      <c r="Z548" s="46"/>
      <c r="AA548" s="34"/>
      <c r="AB548" s="34">
        <v>1</v>
      </c>
      <c r="AC548" s="46"/>
      <c r="AD548" s="46"/>
      <c r="AE548" s="46"/>
      <c r="AF548" s="46"/>
      <c r="AG548" s="46"/>
      <c r="AH548" s="46"/>
      <c r="AI548" s="46"/>
      <c r="AJ548" s="46"/>
      <c r="AK548" s="46"/>
      <c r="AL548" s="46"/>
      <c r="AM548" s="34">
        <v>1</v>
      </c>
      <c r="AN548" s="46"/>
      <c r="AO548" s="46"/>
      <c r="AP548" s="46"/>
      <c r="AQ548" s="46"/>
      <c r="AR548" s="46"/>
      <c r="AS548" s="46"/>
      <c r="AT548" s="46"/>
      <c r="AU548" s="46"/>
      <c r="AV548" s="46"/>
      <c r="AW548" s="46"/>
      <c r="AX548" s="44">
        <v>1</v>
      </c>
      <c r="AY548" s="44"/>
      <c r="AZ548" s="44">
        <v>1</v>
      </c>
      <c r="BA548" s="46"/>
      <c r="BB548" s="34">
        <v>1</v>
      </c>
      <c r="BC548" s="34"/>
    </row>
    <row r="549" spans="1:55" customFormat="1" ht="21" customHeight="1" x14ac:dyDescent="0.25">
      <c r="A549" s="22"/>
      <c r="B549" s="42" t="s">
        <v>893</v>
      </c>
      <c r="C549" s="42" t="s">
        <v>250</v>
      </c>
      <c r="D549" s="42" t="s">
        <v>1023</v>
      </c>
      <c r="E549" s="34"/>
      <c r="F549" s="46"/>
      <c r="G549" s="46"/>
      <c r="H549" s="34"/>
      <c r="I549" s="46"/>
      <c r="J549" s="46"/>
      <c r="K549" s="46"/>
      <c r="L549" s="46"/>
      <c r="M549" s="46"/>
      <c r="N549" s="46"/>
      <c r="O549" s="46"/>
      <c r="P549" s="34"/>
      <c r="Q549" s="42">
        <v>1</v>
      </c>
      <c r="R549" s="46"/>
      <c r="S549" s="46"/>
      <c r="T549" s="46"/>
      <c r="U549" s="46"/>
      <c r="V549" s="46"/>
      <c r="W549" s="46"/>
      <c r="X549" s="46"/>
      <c r="Y549" s="46"/>
      <c r="Z549" s="46"/>
      <c r="AA549" s="34"/>
      <c r="AB549" s="42">
        <v>1</v>
      </c>
      <c r="AC549" s="46"/>
      <c r="AD549" s="46"/>
      <c r="AE549" s="46"/>
      <c r="AF549" s="46"/>
      <c r="AG549" s="46"/>
      <c r="AH549" s="46"/>
      <c r="AI549" s="46"/>
      <c r="AJ549" s="46"/>
      <c r="AK549" s="46"/>
      <c r="AL549" s="46"/>
      <c r="AM549" s="46"/>
      <c r="AN549" s="46"/>
      <c r="AO549" s="46"/>
      <c r="AP549" s="46"/>
      <c r="AQ549" s="46"/>
      <c r="AR549" s="46"/>
      <c r="AS549" s="46"/>
      <c r="AT549" s="46"/>
      <c r="AU549" s="46"/>
      <c r="AV549" s="46"/>
      <c r="AW549" s="46"/>
      <c r="AX549" s="44"/>
      <c r="AY549" s="44"/>
      <c r="AZ549" s="44"/>
      <c r="BA549" s="46"/>
      <c r="BB549" s="34"/>
      <c r="BC549" s="34"/>
    </row>
    <row r="550" spans="1:55" customFormat="1" ht="21" customHeight="1" x14ac:dyDescent="0.25">
      <c r="A550" s="22"/>
      <c r="B550" s="42" t="s">
        <v>893</v>
      </c>
      <c r="C550" s="42" t="s">
        <v>250</v>
      </c>
      <c r="D550" s="42" t="s">
        <v>1024</v>
      </c>
      <c r="E550" s="34"/>
      <c r="F550" s="46"/>
      <c r="G550" s="46"/>
      <c r="H550" s="34"/>
      <c r="I550" s="46"/>
      <c r="J550" s="46"/>
      <c r="K550" s="46"/>
      <c r="L550" s="46"/>
      <c r="M550" s="46"/>
      <c r="N550" s="46"/>
      <c r="O550" s="46"/>
      <c r="P550" s="34">
        <v>1</v>
      </c>
      <c r="Q550" s="42">
        <v>1</v>
      </c>
      <c r="R550" s="46"/>
      <c r="S550" s="46"/>
      <c r="T550" s="46"/>
      <c r="U550" s="46"/>
      <c r="V550" s="46"/>
      <c r="W550" s="46"/>
      <c r="X550" s="46"/>
      <c r="Y550" s="46"/>
      <c r="Z550" s="46"/>
      <c r="AA550" s="34">
        <v>1</v>
      </c>
      <c r="AB550" s="42">
        <v>1</v>
      </c>
      <c r="AC550" s="46"/>
      <c r="AD550" s="46"/>
      <c r="AE550" s="46"/>
      <c r="AF550" s="46"/>
      <c r="AG550" s="46"/>
      <c r="AH550" s="46"/>
      <c r="AI550" s="46"/>
      <c r="AJ550" s="46"/>
      <c r="AK550" s="46"/>
      <c r="AL550" s="46"/>
      <c r="AM550" s="46"/>
      <c r="AN550" s="46"/>
      <c r="AO550" s="46"/>
      <c r="AP550" s="46"/>
      <c r="AQ550" s="46"/>
      <c r="AR550" s="46"/>
      <c r="AS550" s="46"/>
      <c r="AT550" s="46"/>
      <c r="AU550" s="46"/>
      <c r="AV550" s="46"/>
      <c r="AW550" s="46"/>
      <c r="AX550" s="44"/>
      <c r="AY550" s="44"/>
      <c r="AZ550" s="44">
        <v>1</v>
      </c>
      <c r="BA550" s="46"/>
      <c r="BB550" s="34"/>
      <c r="BC550" s="34"/>
    </row>
    <row r="551" spans="1:55" customFormat="1" ht="21" customHeight="1" x14ac:dyDescent="0.25">
      <c r="A551" s="22"/>
      <c r="B551" s="42" t="s">
        <v>893</v>
      </c>
      <c r="C551" s="42" t="s">
        <v>250</v>
      </c>
      <c r="D551" s="42" t="s">
        <v>1025</v>
      </c>
      <c r="E551" s="34"/>
      <c r="F551" s="46"/>
      <c r="G551" s="46"/>
      <c r="H551" s="34"/>
      <c r="I551" s="46"/>
      <c r="J551" s="46"/>
      <c r="K551" s="46"/>
      <c r="L551" s="46"/>
      <c r="M551" s="46"/>
      <c r="N551" s="46"/>
      <c r="O551" s="46"/>
      <c r="P551" s="34">
        <v>1</v>
      </c>
      <c r="Q551" s="42">
        <v>1</v>
      </c>
      <c r="R551" s="46"/>
      <c r="S551" s="46"/>
      <c r="T551" s="46"/>
      <c r="U551" s="46"/>
      <c r="V551" s="46"/>
      <c r="W551" s="46"/>
      <c r="X551" s="46"/>
      <c r="Y551" s="46"/>
      <c r="Z551" s="46"/>
      <c r="AA551" s="34">
        <v>1</v>
      </c>
      <c r="AB551" s="42">
        <v>1</v>
      </c>
      <c r="AC551" s="46"/>
      <c r="AD551" s="46"/>
      <c r="AE551" s="46"/>
      <c r="AF551" s="46"/>
      <c r="AG551" s="46"/>
      <c r="AH551" s="46"/>
      <c r="AI551" s="46"/>
      <c r="AJ551" s="46"/>
      <c r="AK551" s="46"/>
      <c r="AL551" s="46"/>
      <c r="AM551" s="46"/>
      <c r="AN551" s="46"/>
      <c r="AO551" s="46"/>
      <c r="AP551" s="46"/>
      <c r="AQ551" s="46"/>
      <c r="AR551" s="46"/>
      <c r="AS551" s="46"/>
      <c r="AT551" s="46"/>
      <c r="AU551" s="46"/>
      <c r="AV551" s="46"/>
      <c r="AW551" s="46"/>
      <c r="AX551" s="44"/>
      <c r="AY551" s="44"/>
      <c r="AZ551" s="44"/>
      <c r="BA551" s="46"/>
      <c r="BB551" s="34"/>
      <c r="BC551" s="34"/>
    </row>
    <row r="552" spans="1:55" customFormat="1" ht="21" customHeight="1" x14ac:dyDescent="0.25">
      <c r="A552" s="22"/>
      <c r="B552" s="42" t="s">
        <v>893</v>
      </c>
      <c r="C552" s="42" t="s">
        <v>250</v>
      </c>
      <c r="D552" s="42" t="s">
        <v>1026</v>
      </c>
      <c r="E552" s="34"/>
      <c r="F552" s="46"/>
      <c r="G552" s="46"/>
      <c r="H552" s="34"/>
      <c r="I552" s="46"/>
      <c r="J552" s="46"/>
      <c r="K552" s="46"/>
      <c r="L552" s="46"/>
      <c r="M552" s="46"/>
      <c r="N552" s="46"/>
      <c r="O552" s="46"/>
      <c r="P552" s="34"/>
      <c r="Q552" s="42">
        <v>1</v>
      </c>
      <c r="R552" s="46"/>
      <c r="S552" s="46"/>
      <c r="T552" s="46"/>
      <c r="U552" s="46"/>
      <c r="V552" s="46"/>
      <c r="W552" s="46"/>
      <c r="X552" s="46"/>
      <c r="Y552" s="46"/>
      <c r="Z552" s="46"/>
      <c r="AA552" s="34"/>
      <c r="AB552" s="42">
        <v>1</v>
      </c>
      <c r="AC552" s="46"/>
      <c r="AD552" s="46"/>
      <c r="AE552" s="46"/>
      <c r="AF552" s="46"/>
      <c r="AG552" s="46"/>
      <c r="AH552" s="46"/>
      <c r="AI552" s="46"/>
      <c r="AJ552" s="46"/>
      <c r="AK552" s="46"/>
      <c r="AL552" s="46"/>
      <c r="AM552" s="46"/>
      <c r="AN552" s="46"/>
      <c r="AO552" s="46"/>
      <c r="AP552" s="46"/>
      <c r="AQ552" s="46"/>
      <c r="AR552" s="46"/>
      <c r="AS552" s="46"/>
      <c r="AT552" s="46"/>
      <c r="AU552" s="46"/>
      <c r="AV552" s="46"/>
      <c r="AW552" s="46"/>
      <c r="AX552" s="44"/>
      <c r="AY552" s="44"/>
      <c r="AZ552" s="44"/>
      <c r="BA552" s="46"/>
      <c r="BB552" s="34"/>
      <c r="BC552" s="34"/>
    </row>
    <row r="553" spans="1:55" customFormat="1" ht="21" customHeight="1" x14ac:dyDescent="0.25">
      <c r="A553" s="22"/>
      <c r="B553" s="42" t="s">
        <v>893</v>
      </c>
      <c r="C553" s="42" t="s">
        <v>250</v>
      </c>
      <c r="D553" s="42" t="s">
        <v>1027</v>
      </c>
      <c r="E553" s="34"/>
      <c r="F553" s="46"/>
      <c r="G553" s="46"/>
      <c r="H553" s="34"/>
      <c r="I553" s="46"/>
      <c r="J553" s="46"/>
      <c r="K553" s="46"/>
      <c r="L553" s="46"/>
      <c r="M553" s="46"/>
      <c r="N553" s="46"/>
      <c r="O553" s="46"/>
      <c r="P553" s="34">
        <v>1</v>
      </c>
      <c r="Q553" s="42">
        <v>1</v>
      </c>
      <c r="R553" s="46"/>
      <c r="S553" s="46"/>
      <c r="T553" s="46"/>
      <c r="U553" s="46"/>
      <c r="V553" s="46"/>
      <c r="W553" s="46"/>
      <c r="X553" s="46"/>
      <c r="Y553" s="46"/>
      <c r="Z553" s="46"/>
      <c r="AA553" s="34">
        <v>1</v>
      </c>
      <c r="AB553" s="42">
        <v>1</v>
      </c>
      <c r="AC553" s="46"/>
      <c r="AD553" s="46"/>
      <c r="AE553" s="46"/>
      <c r="AF553" s="46"/>
      <c r="AG553" s="46"/>
      <c r="AH553" s="46"/>
      <c r="AI553" s="46"/>
      <c r="AJ553" s="46"/>
      <c r="AK553" s="46"/>
      <c r="AL553" s="46"/>
      <c r="AM553" s="46"/>
      <c r="AN553" s="46"/>
      <c r="AO553" s="46"/>
      <c r="AP553" s="46"/>
      <c r="AQ553" s="46"/>
      <c r="AR553" s="46"/>
      <c r="AS553" s="46"/>
      <c r="AT553" s="46"/>
      <c r="AU553" s="46"/>
      <c r="AV553" s="46"/>
      <c r="AW553" s="46"/>
      <c r="AX553" s="44"/>
      <c r="AY553" s="44"/>
      <c r="AZ553" s="44"/>
      <c r="BA553" s="46"/>
      <c r="BB553" s="34"/>
      <c r="BC553" s="34"/>
    </row>
    <row r="554" spans="1:55" customFormat="1" ht="21" customHeight="1" x14ac:dyDescent="0.25">
      <c r="A554" s="22"/>
      <c r="B554" s="42" t="s">
        <v>893</v>
      </c>
      <c r="C554" s="42" t="s">
        <v>250</v>
      </c>
      <c r="D554" s="42" t="s">
        <v>1028</v>
      </c>
      <c r="E554" s="34"/>
      <c r="F554" s="46"/>
      <c r="G554" s="46"/>
      <c r="H554" s="34"/>
      <c r="I554" s="46"/>
      <c r="J554" s="46"/>
      <c r="K554" s="46"/>
      <c r="L554" s="46"/>
      <c r="M554" s="46"/>
      <c r="N554" s="46"/>
      <c r="O554" s="46"/>
      <c r="P554" s="34">
        <v>1</v>
      </c>
      <c r="Q554" s="42">
        <v>1</v>
      </c>
      <c r="R554" s="46"/>
      <c r="S554" s="46"/>
      <c r="T554" s="46"/>
      <c r="U554" s="46"/>
      <c r="V554" s="46"/>
      <c r="W554" s="46"/>
      <c r="X554" s="46"/>
      <c r="Y554" s="46"/>
      <c r="Z554" s="46"/>
      <c r="AA554" s="34">
        <v>1</v>
      </c>
      <c r="AB554" s="42">
        <v>1</v>
      </c>
      <c r="AC554" s="46"/>
      <c r="AD554" s="46"/>
      <c r="AE554" s="46"/>
      <c r="AF554" s="46"/>
      <c r="AG554" s="46"/>
      <c r="AH554" s="46"/>
      <c r="AI554" s="46"/>
      <c r="AJ554" s="46"/>
      <c r="AK554" s="46"/>
      <c r="AL554" s="46"/>
      <c r="AM554" s="46"/>
      <c r="AN554" s="46"/>
      <c r="AO554" s="46"/>
      <c r="AP554" s="46"/>
      <c r="AQ554" s="46"/>
      <c r="AR554" s="46"/>
      <c r="AS554" s="46"/>
      <c r="AT554" s="46"/>
      <c r="AU554" s="46"/>
      <c r="AV554" s="46"/>
      <c r="AW554" s="46"/>
      <c r="AX554" s="44"/>
      <c r="AY554" s="44"/>
      <c r="AZ554" s="44"/>
      <c r="BA554" s="46"/>
      <c r="BB554" s="34"/>
      <c r="BC554" s="34"/>
    </row>
    <row r="555" spans="1:55" customFormat="1" ht="21" customHeight="1" x14ac:dyDescent="0.25">
      <c r="A555" s="22"/>
      <c r="B555" s="42" t="s">
        <v>893</v>
      </c>
      <c r="C555" s="42" t="s">
        <v>254</v>
      </c>
      <c r="D555" s="42" t="s">
        <v>1029</v>
      </c>
      <c r="E555" s="34"/>
      <c r="F555" s="46"/>
      <c r="G555" s="46"/>
      <c r="H555" s="34"/>
      <c r="I555" s="46"/>
      <c r="J555" s="46"/>
      <c r="K555" s="46"/>
      <c r="L555" s="46"/>
      <c r="M555" s="46"/>
      <c r="N555" s="46"/>
      <c r="O555" s="46"/>
      <c r="P555" s="46"/>
      <c r="Q555" s="34"/>
      <c r="R555" s="46"/>
      <c r="S555" s="46"/>
      <c r="T555" s="46"/>
      <c r="U555" s="46"/>
      <c r="V555" s="46"/>
      <c r="W555" s="46"/>
      <c r="X555" s="46"/>
      <c r="Y555" s="46"/>
      <c r="Z555" s="46"/>
      <c r="AA555" s="34"/>
      <c r="AB555" s="34">
        <v>1</v>
      </c>
      <c r="AC555" s="46"/>
      <c r="AD555" s="46"/>
      <c r="AE555" s="46"/>
      <c r="AF555" s="46"/>
      <c r="AG555" s="46"/>
      <c r="AH555" s="46"/>
      <c r="AI555" s="46"/>
      <c r="AJ555" s="46"/>
      <c r="AK555" s="46"/>
      <c r="AL555" s="46"/>
      <c r="AM555" s="34"/>
      <c r="AN555" s="46"/>
      <c r="AO555" s="46"/>
      <c r="AP555" s="46"/>
      <c r="AQ555" s="46"/>
      <c r="AR555" s="46"/>
      <c r="AS555" s="46"/>
      <c r="AT555" s="46"/>
      <c r="AU555" s="46"/>
      <c r="AV555" s="46"/>
      <c r="AW555" s="46"/>
      <c r="AX555" s="44"/>
      <c r="AY555" s="44"/>
      <c r="AZ555" s="44"/>
      <c r="BA555" s="46"/>
      <c r="BB555" s="34">
        <v>1</v>
      </c>
      <c r="BC555" s="34"/>
    </row>
    <row r="556" spans="1:55" customFormat="1" ht="21" customHeight="1" x14ac:dyDescent="0.25">
      <c r="A556" s="22"/>
      <c r="B556" s="42" t="s">
        <v>893</v>
      </c>
      <c r="C556" s="42" t="s">
        <v>254</v>
      </c>
      <c r="D556" s="42" t="s">
        <v>1030</v>
      </c>
      <c r="E556" s="34"/>
      <c r="F556" s="46"/>
      <c r="G556" s="46"/>
      <c r="H556" s="34"/>
      <c r="I556" s="46"/>
      <c r="J556" s="46"/>
      <c r="K556" s="46"/>
      <c r="L556" s="46"/>
      <c r="M556" s="46"/>
      <c r="N556" s="46"/>
      <c r="O556" s="46"/>
      <c r="P556" s="46"/>
      <c r="Q556" s="34"/>
      <c r="R556" s="46"/>
      <c r="S556" s="46"/>
      <c r="T556" s="46"/>
      <c r="U556" s="46"/>
      <c r="V556" s="46"/>
      <c r="W556" s="46"/>
      <c r="X556" s="46"/>
      <c r="Y556" s="46"/>
      <c r="Z556" s="46"/>
      <c r="AA556" s="34"/>
      <c r="AB556" s="34"/>
      <c r="AC556" s="46"/>
      <c r="AD556" s="46"/>
      <c r="AE556" s="46"/>
      <c r="AF556" s="46"/>
      <c r="AG556" s="46"/>
      <c r="AH556" s="46"/>
      <c r="AI556" s="46"/>
      <c r="AJ556" s="46"/>
      <c r="AK556" s="46"/>
      <c r="AL556" s="46"/>
      <c r="AM556" s="34"/>
      <c r="AN556" s="46"/>
      <c r="AO556" s="46"/>
      <c r="AP556" s="46"/>
      <c r="AQ556" s="46"/>
      <c r="AR556" s="46"/>
      <c r="AS556" s="46"/>
      <c r="AT556" s="46"/>
      <c r="AU556" s="46"/>
      <c r="AV556" s="46"/>
      <c r="AW556" s="46"/>
      <c r="AX556" s="44"/>
      <c r="AY556" s="44"/>
      <c r="AZ556" s="44"/>
      <c r="BA556" s="46"/>
      <c r="BB556" s="34"/>
      <c r="BC556" s="34"/>
    </row>
    <row r="557" spans="1:55" customFormat="1" ht="21" customHeight="1" x14ac:dyDescent="0.25">
      <c r="A557" s="22"/>
      <c r="B557" s="42" t="s">
        <v>893</v>
      </c>
      <c r="C557" s="42" t="s">
        <v>254</v>
      </c>
      <c r="D557" s="42" t="s">
        <v>1031</v>
      </c>
      <c r="E557" s="34"/>
      <c r="F557" s="46"/>
      <c r="G557" s="46"/>
      <c r="H557" s="34"/>
      <c r="I557" s="46"/>
      <c r="J557" s="46"/>
      <c r="K557" s="46"/>
      <c r="L557" s="46"/>
      <c r="M557" s="46"/>
      <c r="N557" s="46"/>
      <c r="O557" s="46"/>
      <c r="P557" s="46"/>
      <c r="Q557" s="34">
        <v>1</v>
      </c>
      <c r="R557" s="46"/>
      <c r="S557" s="46"/>
      <c r="T557" s="46"/>
      <c r="U557" s="46"/>
      <c r="V557" s="46"/>
      <c r="W557" s="46"/>
      <c r="X557" s="46"/>
      <c r="Y557" s="46"/>
      <c r="Z557" s="46"/>
      <c r="AA557" s="34"/>
      <c r="AB557" s="34">
        <v>1</v>
      </c>
      <c r="AC557" s="46"/>
      <c r="AD557" s="46"/>
      <c r="AE557" s="46"/>
      <c r="AF557" s="46"/>
      <c r="AG557" s="46"/>
      <c r="AH557" s="46"/>
      <c r="AI557" s="46"/>
      <c r="AJ557" s="46"/>
      <c r="AK557" s="46"/>
      <c r="AL557" s="46"/>
      <c r="AM557" s="42">
        <v>1</v>
      </c>
      <c r="AN557" s="46"/>
      <c r="AO557" s="46"/>
      <c r="AP557" s="46"/>
      <c r="AQ557" s="46"/>
      <c r="AR557" s="46"/>
      <c r="AS557" s="46"/>
      <c r="AT557" s="46"/>
      <c r="AU557" s="46"/>
      <c r="AV557" s="46"/>
      <c r="AW557" s="46"/>
      <c r="AX557" s="44">
        <v>1</v>
      </c>
      <c r="AY557" s="44">
        <v>1</v>
      </c>
      <c r="AZ557" s="44">
        <v>1</v>
      </c>
      <c r="BA557" s="46"/>
      <c r="BB557" s="34">
        <v>1</v>
      </c>
      <c r="BC557" s="34">
        <v>1</v>
      </c>
    </row>
    <row r="558" spans="1:55" customFormat="1" ht="21" customHeight="1" x14ac:dyDescent="0.25">
      <c r="A558" s="22"/>
      <c r="B558" s="42" t="s">
        <v>893</v>
      </c>
      <c r="C558" s="42" t="s">
        <v>254</v>
      </c>
      <c r="D558" s="42" t="s">
        <v>1032</v>
      </c>
      <c r="E558" s="34"/>
      <c r="F558" s="46"/>
      <c r="G558" s="46"/>
      <c r="H558" s="34"/>
      <c r="I558" s="46"/>
      <c r="J558" s="46"/>
      <c r="K558" s="46"/>
      <c r="L558" s="46"/>
      <c r="M558" s="46"/>
      <c r="N558" s="46"/>
      <c r="O558" s="46"/>
      <c r="P558" s="46"/>
      <c r="Q558" s="34"/>
      <c r="R558" s="46"/>
      <c r="S558" s="46"/>
      <c r="T558" s="46"/>
      <c r="U558" s="46"/>
      <c r="V558" s="46"/>
      <c r="W558" s="46"/>
      <c r="X558" s="46"/>
      <c r="Y558" s="46"/>
      <c r="Z558" s="46"/>
      <c r="AA558" s="34"/>
      <c r="AB558" s="34">
        <v>1</v>
      </c>
      <c r="AC558" s="46"/>
      <c r="AD558" s="46"/>
      <c r="AE558" s="46"/>
      <c r="AF558" s="46"/>
      <c r="AG558" s="46"/>
      <c r="AH558" s="46"/>
      <c r="AI558" s="46"/>
      <c r="AJ558" s="46"/>
      <c r="AK558" s="46"/>
      <c r="AL558" s="46"/>
      <c r="AM558" s="34">
        <v>1</v>
      </c>
      <c r="AN558" s="46"/>
      <c r="AO558" s="46"/>
      <c r="AP558" s="46"/>
      <c r="AQ558" s="46"/>
      <c r="AR558" s="46"/>
      <c r="AS558" s="46"/>
      <c r="AT558" s="46"/>
      <c r="AU558" s="46"/>
      <c r="AV558" s="46"/>
      <c r="AW558" s="46"/>
      <c r="AX558" s="44">
        <v>1</v>
      </c>
      <c r="AY558" s="44">
        <v>1</v>
      </c>
      <c r="AZ558" s="44">
        <v>1</v>
      </c>
      <c r="BA558" s="46"/>
      <c r="BB558" s="34">
        <v>1</v>
      </c>
      <c r="BC558" s="34"/>
    </row>
    <row r="559" spans="1:55" customFormat="1" ht="21" customHeight="1" x14ac:dyDescent="0.25">
      <c r="A559" s="22"/>
      <c r="B559" s="42" t="s">
        <v>893</v>
      </c>
      <c r="C559" s="42" t="s">
        <v>254</v>
      </c>
      <c r="D559" s="42" t="s">
        <v>1033</v>
      </c>
      <c r="E559" s="34"/>
      <c r="F559" s="46"/>
      <c r="G559" s="46"/>
      <c r="H559" s="34"/>
      <c r="I559" s="46"/>
      <c r="J559" s="46"/>
      <c r="K559" s="46"/>
      <c r="L559" s="46"/>
      <c r="M559" s="46"/>
      <c r="N559" s="46"/>
      <c r="O559" s="46"/>
      <c r="P559" s="46"/>
      <c r="Q559" s="34">
        <v>1</v>
      </c>
      <c r="R559" s="46"/>
      <c r="S559" s="46"/>
      <c r="T559" s="46"/>
      <c r="U559" s="46"/>
      <c r="V559" s="46"/>
      <c r="W559" s="46"/>
      <c r="X559" s="46"/>
      <c r="Y559" s="46"/>
      <c r="Z559" s="46"/>
      <c r="AA559" s="34"/>
      <c r="AB559" s="34">
        <v>1</v>
      </c>
      <c r="AC559" s="46"/>
      <c r="AD559" s="46"/>
      <c r="AE559" s="46"/>
      <c r="AF559" s="46"/>
      <c r="AG559" s="46"/>
      <c r="AH559" s="46"/>
      <c r="AI559" s="46"/>
      <c r="AJ559" s="46"/>
      <c r="AK559" s="46"/>
      <c r="AL559" s="46"/>
      <c r="AM559" s="34">
        <v>1</v>
      </c>
      <c r="AN559" s="46"/>
      <c r="AO559" s="46"/>
      <c r="AP559" s="46"/>
      <c r="AQ559" s="46"/>
      <c r="AR559" s="46"/>
      <c r="AS559" s="46"/>
      <c r="AT559" s="46"/>
      <c r="AU559" s="46"/>
      <c r="AV559" s="46"/>
      <c r="AW559" s="46"/>
      <c r="AX559" s="44">
        <v>1</v>
      </c>
      <c r="AY559" s="44"/>
      <c r="AZ559" s="44">
        <v>1</v>
      </c>
      <c r="BA559" s="46"/>
      <c r="BB559" s="34">
        <v>1</v>
      </c>
      <c r="BC559" s="34"/>
    </row>
    <row r="560" spans="1:55" customFormat="1" ht="21" customHeight="1" x14ac:dyDescent="0.25">
      <c r="A560" s="22"/>
      <c r="B560" s="42" t="s">
        <v>893</v>
      </c>
      <c r="C560" s="42" t="s">
        <v>254</v>
      </c>
      <c r="D560" s="42" t="s">
        <v>1034</v>
      </c>
      <c r="E560" s="34"/>
      <c r="F560" s="46"/>
      <c r="G560" s="46"/>
      <c r="H560" s="34"/>
      <c r="I560" s="46"/>
      <c r="J560" s="46"/>
      <c r="K560" s="46"/>
      <c r="L560" s="46"/>
      <c r="M560" s="46"/>
      <c r="N560" s="46"/>
      <c r="O560" s="46"/>
      <c r="P560" s="46"/>
      <c r="Q560" s="34">
        <v>1</v>
      </c>
      <c r="R560" s="46"/>
      <c r="S560" s="46"/>
      <c r="T560" s="46"/>
      <c r="U560" s="46"/>
      <c r="V560" s="46"/>
      <c r="W560" s="46"/>
      <c r="X560" s="46"/>
      <c r="Y560" s="46"/>
      <c r="Z560" s="46"/>
      <c r="AA560" s="34"/>
      <c r="AB560" s="34">
        <v>1</v>
      </c>
      <c r="AC560" s="46"/>
      <c r="AD560" s="46"/>
      <c r="AE560" s="46"/>
      <c r="AF560" s="46"/>
      <c r="AG560" s="46"/>
      <c r="AH560" s="46"/>
      <c r="AI560" s="46"/>
      <c r="AJ560" s="46"/>
      <c r="AK560" s="46"/>
      <c r="AL560" s="46"/>
      <c r="AM560" s="34">
        <v>1</v>
      </c>
      <c r="AN560" s="46"/>
      <c r="AO560" s="46"/>
      <c r="AP560" s="46"/>
      <c r="AQ560" s="46"/>
      <c r="AR560" s="46"/>
      <c r="AS560" s="46"/>
      <c r="AT560" s="46"/>
      <c r="AU560" s="46"/>
      <c r="AV560" s="46"/>
      <c r="AW560" s="46"/>
      <c r="AX560" s="44">
        <v>1</v>
      </c>
      <c r="AY560" s="44">
        <v>1</v>
      </c>
      <c r="AZ560" s="44">
        <v>1</v>
      </c>
      <c r="BA560" s="46"/>
      <c r="BB560" s="34">
        <v>1</v>
      </c>
      <c r="BC560" s="34"/>
    </row>
    <row r="561" spans="1:55" customFormat="1" ht="21" customHeight="1" x14ac:dyDescent="0.25">
      <c r="A561" s="22"/>
      <c r="B561" s="42" t="s">
        <v>893</v>
      </c>
      <c r="C561" s="42" t="s">
        <v>254</v>
      </c>
      <c r="D561" s="42" t="s">
        <v>1035</v>
      </c>
      <c r="E561" s="34"/>
      <c r="F561" s="46"/>
      <c r="G561" s="46"/>
      <c r="H561" s="34"/>
      <c r="I561" s="46"/>
      <c r="J561" s="46"/>
      <c r="K561" s="46"/>
      <c r="L561" s="46"/>
      <c r="M561" s="46"/>
      <c r="N561" s="46"/>
      <c r="O561" s="46"/>
      <c r="P561" s="46"/>
      <c r="Q561" s="34">
        <v>1</v>
      </c>
      <c r="R561" s="46"/>
      <c r="S561" s="46"/>
      <c r="T561" s="46"/>
      <c r="U561" s="46"/>
      <c r="V561" s="46"/>
      <c r="W561" s="46"/>
      <c r="X561" s="46"/>
      <c r="Y561" s="46"/>
      <c r="Z561" s="46"/>
      <c r="AA561" s="34"/>
      <c r="AB561" s="34">
        <v>1</v>
      </c>
      <c r="AC561" s="46"/>
      <c r="AD561" s="46"/>
      <c r="AE561" s="46"/>
      <c r="AF561" s="46"/>
      <c r="AG561" s="46"/>
      <c r="AH561" s="46"/>
      <c r="AI561" s="46"/>
      <c r="AJ561" s="46"/>
      <c r="AK561" s="46"/>
      <c r="AL561" s="46"/>
      <c r="AM561" s="34">
        <v>1</v>
      </c>
      <c r="AN561" s="46"/>
      <c r="AO561" s="46"/>
      <c r="AP561" s="46"/>
      <c r="AQ561" s="46"/>
      <c r="AR561" s="46"/>
      <c r="AS561" s="46"/>
      <c r="AT561" s="46"/>
      <c r="AU561" s="46"/>
      <c r="AV561" s="46"/>
      <c r="AW561" s="46"/>
      <c r="AX561" s="44">
        <v>1</v>
      </c>
      <c r="AY561" s="44"/>
      <c r="AZ561" s="44">
        <v>1</v>
      </c>
      <c r="BA561" s="46"/>
      <c r="BB561" s="34">
        <v>1</v>
      </c>
      <c r="BC561" s="34"/>
    </row>
    <row r="562" spans="1:55" customFormat="1" ht="21" customHeight="1" x14ac:dyDescent="0.25">
      <c r="A562" s="22"/>
      <c r="B562" s="42" t="s">
        <v>893</v>
      </c>
      <c r="C562" s="42" t="s">
        <v>254</v>
      </c>
      <c r="D562" s="42" t="s">
        <v>1036</v>
      </c>
      <c r="E562" s="34"/>
      <c r="F562" s="46"/>
      <c r="G562" s="46"/>
      <c r="H562" s="34"/>
      <c r="I562" s="46"/>
      <c r="J562" s="46"/>
      <c r="K562" s="46"/>
      <c r="L562" s="46"/>
      <c r="M562" s="46"/>
      <c r="N562" s="46"/>
      <c r="O562" s="46"/>
      <c r="P562" s="46"/>
      <c r="Q562" s="34">
        <v>1</v>
      </c>
      <c r="R562" s="46"/>
      <c r="S562" s="46"/>
      <c r="T562" s="46"/>
      <c r="U562" s="46"/>
      <c r="V562" s="46"/>
      <c r="W562" s="46"/>
      <c r="X562" s="46"/>
      <c r="Y562" s="46"/>
      <c r="Z562" s="46"/>
      <c r="AA562" s="34"/>
      <c r="AB562" s="34">
        <v>1</v>
      </c>
      <c r="AC562" s="46"/>
      <c r="AD562" s="46"/>
      <c r="AE562" s="46"/>
      <c r="AF562" s="46"/>
      <c r="AG562" s="46"/>
      <c r="AH562" s="46"/>
      <c r="AI562" s="46"/>
      <c r="AJ562" s="46"/>
      <c r="AK562" s="46"/>
      <c r="AL562" s="46"/>
      <c r="AM562" s="34">
        <v>1</v>
      </c>
      <c r="AN562" s="46"/>
      <c r="AO562" s="46"/>
      <c r="AP562" s="46"/>
      <c r="AQ562" s="46"/>
      <c r="AR562" s="46"/>
      <c r="AS562" s="46"/>
      <c r="AT562" s="46"/>
      <c r="AU562" s="46"/>
      <c r="AV562" s="46"/>
      <c r="AW562" s="46"/>
      <c r="AX562" s="44">
        <v>1</v>
      </c>
      <c r="AY562" s="44"/>
      <c r="AZ562" s="44">
        <v>1</v>
      </c>
      <c r="BA562" s="46"/>
      <c r="BB562" s="34">
        <v>1</v>
      </c>
      <c r="BC562" s="34"/>
    </row>
    <row r="563" spans="1:55" customFormat="1" ht="21" customHeight="1" x14ac:dyDescent="0.25">
      <c r="A563" s="22"/>
      <c r="B563" s="42" t="s">
        <v>893</v>
      </c>
      <c r="C563" s="42" t="s">
        <v>254</v>
      </c>
      <c r="D563" s="42" t="s">
        <v>1037</v>
      </c>
      <c r="E563" s="34"/>
      <c r="F563" s="46"/>
      <c r="G563" s="46"/>
      <c r="H563" s="34"/>
      <c r="I563" s="46"/>
      <c r="J563" s="46"/>
      <c r="K563" s="46"/>
      <c r="L563" s="46"/>
      <c r="M563" s="46"/>
      <c r="N563" s="46"/>
      <c r="O563" s="46"/>
      <c r="P563" s="46"/>
      <c r="Q563" s="34">
        <v>1</v>
      </c>
      <c r="R563" s="46"/>
      <c r="S563" s="46"/>
      <c r="T563" s="46"/>
      <c r="U563" s="46"/>
      <c r="V563" s="46"/>
      <c r="W563" s="46"/>
      <c r="X563" s="46"/>
      <c r="Y563" s="46"/>
      <c r="Z563" s="46"/>
      <c r="AA563" s="34"/>
      <c r="AB563" s="34">
        <v>1</v>
      </c>
      <c r="AC563" s="46"/>
      <c r="AD563" s="46"/>
      <c r="AE563" s="46"/>
      <c r="AF563" s="46"/>
      <c r="AG563" s="46"/>
      <c r="AH563" s="46"/>
      <c r="AI563" s="46"/>
      <c r="AJ563" s="46"/>
      <c r="AK563" s="46"/>
      <c r="AL563" s="46"/>
      <c r="AM563" s="34">
        <v>1</v>
      </c>
      <c r="AN563" s="46"/>
      <c r="AO563" s="46"/>
      <c r="AP563" s="46"/>
      <c r="AQ563" s="46"/>
      <c r="AR563" s="46"/>
      <c r="AS563" s="46"/>
      <c r="AT563" s="46"/>
      <c r="AU563" s="46"/>
      <c r="AV563" s="46"/>
      <c r="AW563" s="46"/>
      <c r="AX563" s="44">
        <v>1</v>
      </c>
      <c r="AY563" s="44">
        <v>1</v>
      </c>
      <c r="AZ563" s="44">
        <v>1</v>
      </c>
      <c r="BA563" s="46"/>
      <c r="BB563" s="34">
        <v>1</v>
      </c>
      <c r="BC563" s="34"/>
    </row>
    <row r="564" spans="1:55" customFormat="1" ht="21" customHeight="1" x14ac:dyDescent="0.25">
      <c r="A564" s="22"/>
      <c r="B564" s="42" t="s">
        <v>893</v>
      </c>
      <c r="C564" s="42" t="s">
        <v>254</v>
      </c>
      <c r="D564" s="42" t="s">
        <v>1038</v>
      </c>
      <c r="E564" s="34"/>
      <c r="F564" s="46"/>
      <c r="G564" s="46"/>
      <c r="H564" s="34"/>
      <c r="I564" s="46"/>
      <c r="J564" s="46"/>
      <c r="K564" s="46"/>
      <c r="L564" s="46"/>
      <c r="M564" s="46"/>
      <c r="N564" s="46"/>
      <c r="O564" s="46"/>
      <c r="P564" s="46"/>
      <c r="Q564" s="34">
        <v>1</v>
      </c>
      <c r="R564" s="46"/>
      <c r="S564" s="46"/>
      <c r="T564" s="46"/>
      <c r="U564" s="46"/>
      <c r="V564" s="46"/>
      <c r="W564" s="46"/>
      <c r="X564" s="46"/>
      <c r="Y564" s="46"/>
      <c r="Z564" s="46"/>
      <c r="AA564" s="34"/>
      <c r="AB564" s="34">
        <v>1</v>
      </c>
      <c r="AC564" s="46"/>
      <c r="AD564" s="46"/>
      <c r="AE564" s="46"/>
      <c r="AF564" s="46"/>
      <c r="AG564" s="46"/>
      <c r="AH564" s="46"/>
      <c r="AI564" s="46"/>
      <c r="AJ564" s="46"/>
      <c r="AK564" s="46"/>
      <c r="AL564" s="46"/>
      <c r="AM564" s="34">
        <v>1</v>
      </c>
      <c r="AN564" s="46"/>
      <c r="AO564" s="46"/>
      <c r="AP564" s="46"/>
      <c r="AQ564" s="46"/>
      <c r="AR564" s="46"/>
      <c r="AS564" s="46"/>
      <c r="AT564" s="46"/>
      <c r="AU564" s="46"/>
      <c r="AV564" s="46"/>
      <c r="AW564" s="46"/>
      <c r="AX564" s="44">
        <v>1</v>
      </c>
      <c r="AY564" s="44"/>
      <c r="AZ564" s="44"/>
      <c r="BA564" s="46"/>
      <c r="BB564" s="34">
        <v>1</v>
      </c>
      <c r="BC564" s="34"/>
    </row>
    <row r="565" spans="1:55" customFormat="1" ht="21" customHeight="1" x14ac:dyDescent="0.25">
      <c r="A565" s="22"/>
      <c r="B565" s="42" t="s">
        <v>893</v>
      </c>
      <c r="C565" s="42" t="s">
        <v>254</v>
      </c>
      <c r="D565" s="42" t="s">
        <v>1039</v>
      </c>
      <c r="E565" s="34"/>
      <c r="F565" s="46"/>
      <c r="G565" s="46"/>
      <c r="H565" s="34"/>
      <c r="I565" s="46"/>
      <c r="J565" s="46"/>
      <c r="K565" s="46"/>
      <c r="L565" s="46"/>
      <c r="M565" s="46"/>
      <c r="N565" s="46"/>
      <c r="O565" s="46"/>
      <c r="P565" s="46"/>
      <c r="Q565" s="34">
        <v>1</v>
      </c>
      <c r="R565" s="46"/>
      <c r="S565" s="46"/>
      <c r="T565" s="46"/>
      <c r="U565" s="46"/>
      <c r="V565" s="46"/>
      <c r="W565" s="46"/>
      <c r="X565" s="46"/>
      <c r="Y565" s="46"/>
      <c r="Z565" s="46"/>
      <c r="AA565" s="34"/>
      <c r="AB565" s="34">
        <v>1</v>
      </c>
      <c r="AC565" s="46"/>
      <c r="AD565" s="46"/>
      <c r="AE565" s="46"/>
      <c r="AF565" s="46"/>
      <c r="AG565" s="46"/>
      <c r="AH565" s="46"/>
      <c r="AI565" s="46"/>
      <c r="AJ565" s="46"/>
      <c r="AK565" s="46"/>
      <c r="AL565" s="46"/>
      <c r="AM565" s="34">
        <v>1</v>
      </c>
      <c r="AN565" s="46"/>
      <c r="AO565" s="46"/>
      <c r="AP565" s="46"/>
      <c r="AQ565" s="46"/>
      <c r="AR565" s="46"/>
      <c r="AS565" s="46"/>
      <c r="AT565" s="46"/>
      <c r="AU565" s="46"/>
      <c r="AV565" s="46"/>
      <c r="AW565" s="46"/>
      <c r="AX565" s="44">
        <v>1</v>
      </c>
      <c r="AY565" s="44"/>
      <c r="AZ565" s="44">
        <v>1</v>
      </c>
      <c r="BA565" s="46"/>
      <c r="BB565" s="34">
        <v>1</v>
      </c>
      <c r="BC565" s="34"/>
    </row>
    <row r="566" spans="1:55" customFormat="1" ht="21" customHeight="1" x14ac:dyDescent="0.25">
      <c r="A566" s="22"/>
      <c r="B566" s="42" t="s">
        <v>893</v>
      </c>
      <c r="C566" s="42" t="s">
        <v>254</v>
      </c>
      <c r="D566" s="42" t="s">
        <v>1040</v>
      </c>
      <c r="E566" s="34"/>
      <c r="F566" s="46"/>
      <c r="G566" s="46"/>
      <c r="H566" s="34"/>
      <c r="I566" s="46"/>
      <c r="J566" s="46"/>
      <c r="K566" s="46"/>
      <c r="L566" s="46"/>
      <c r="M566" s="46"/>
      <c r="N566" s="46"/>
      <c r="O566" s="46"/>
      <c r="P566" s="46"/>
      <c r="Q566" s="34"/>
      <c r="R566" s="46"/>
      <c r="S566" s="46"/>
      <c r="T566" s="46"/>
      <c r="U566" s="46"/>
      <c r="V566" s="46"/>
      <c r="W566" s="46"/>
      <c r="X566" s="46"/>
      <c r="Y566" s="46"/>
      <c r="Z566" s="46"/>
      <c r="AA566" s="34"/>
      <c r="AB566" s="34"/>
      <c r="AC566" s="46"/>
      <c r="AD566" s="46"/>
      <c r="AE566" s="46"/>
      <c r="AF566" s="46"/>
      <c r="AG566" s="46"/>
      <c r="AH566" s="46"/>
      <c r="AI566" s="46"/>
      <c r="AJ566" s="46"/>
      <c r="AK566" s="46"/>
      <c r="AL566" s="46"/>
      <c r="AM566" s="34"/>
      <c r="AN566" s="46"/>
      <c r="AO566" s="46"/>
      <c r="AP566" s="46"/>
      <c r="AQ566" s="46"/>
      <c r="AR566" s="46"/>
      <c r="AS566" s="46"/>
      <c r="AT566" s="46"/>
      <c r="AU566" s="46"/>
      <c r="AV566" s="46"/>
      <c r="AW566" s="46"/>
      <c r="AX566" s="44"/>
      <c r="AY566" s="44"/>
      <c r="AZ566" s="44"/>
      <c r="BA566" s="46"/>
      <c r="BB566" s="34"/>
      <c r="BC566" s="34"/>
    </row>
    <row r="567" spans="1:55" customFormat="1" ht="21" customHeight="1" x14ac:dyDescent="0.25">
      <c r="A567" s="22"/>
      <c r="B567" s="42" t="s">
        <v>893</v>
      </c>
      <c r="C567" s="42" t="s">
        <v>249</v>
      </c>
      <c r="D567" s="42" t="s">
        <v>1041</v>
      </c>
      <c r="E567" s="34"/>
      <c r="F567" s="46"/>
      <c r="G567" s="46"/>
      <c r="H567" s="34"/>
      <c r="I567" s="46"/>
      <c r="J567" s="46"/>
      <c r="K567" s="46"/>
      <c r="L567" s="46"/>
      <c r="M567" s="46"/>
      <c r="N567" s="46"/>
      <c r="O567" s="46"/>
      <c r="P567" s="46"/>
      <c r="Q567" s="34">
        <v>1</v>
      </c>
      <c r="R567" s="46"/>
      <c r="S567" s="46"/>
      <c r="T567" s="46"/>
      <c r="U567" s="46"/>
      <c r="V567" s="46"/>
      <c r="W567" s="46"/>
      <c r="X567" s="46"/>
      <c r="Y567" s="46"/>
      <c r="Z567" s="46"/>
      <c r="AA567" s="34"/>
      <c r="AB567" s="34">
        <v>1</v>
      </c>
      <c r="AC567" s="46"/>
      <c r="AD567" s="46"/>
      <c r="AE567" s="46"/>
      <c r="AF567" s="46"/>
      <c r="AG567" s="46"/>
      <c r="AH567" s="46"/>
      <c r="AI567" s="46"/>
      <c r="AJ567" s="46"/>
      <c r="AK567" s="46"/>
      <c r="AL567" s="46"/>
      <c r="AM567" s="42">
        <v>1</v>
      </c>
      <c r="AN567" s="46"/>
      <c r="AO567" s="46"/>
      <c r="AP567" s="46"/>
      <c r="AQ567" s="46"/>
      <c r="AR567" s="46"/>
      <c r="AS567" s="46"/>
      <c r="AT567" s="46"/>
      <c r="AU567" s="46"/>
      <c r="AV567" s="46"/>
      <c r="AW567" s="46"/>
      <c r="AX567" s="44">
        <v>1</v>
      </c>
      <c r="AY567" s="44">
        <v>1</v>
      </c>
      <c r="AZ567" s="44">
        <v>1</v>
      </c>
      <c r="BA567" s="46"/>
      <c r="BB567" s="34"/>
      <c r="BC567" s="34"/>
    </row>
    <row r="568" spans="1:55" customFormat="1" ht="21" customHeight="1" x14ac:dyDescent="0.25">
      <c r="A568" s="22"/>
      <c r="B568" s="42" t="s">
        <v>893</v>
      </c>
      <c r="C568" s="42" t="s">
        <v>249</v>
      </c>
      <c r="D568" s="42" t="s">
        <v>1042</v>
      </c>
      <c r="E568" s="34"/>
      <c r="F568" s="46"/>
      <c r="G568" s="46"/>
      <c r="H568" s="34"/>
      <c r="I568" s="46"/>
      <c r="J568" s="46"/>
      <c r="K568" s="46"/>
      <c r="L568" s="46"/>
      <c r="M568" s="46"/>
      <c r="N568" s="46"/>
      <c r="O568" s="46"/>
      <c r="P568" s="46"/>
      <c r="Q568" s="34">
        <v>1</v>
      </c>
      <c r="R568" s="46"/>
      <c r="S568" s="46"/>
      <c r="T568" s="46"/>
      <c r="U568" s="46"/>
      <c r="V568" s="46"/>
      <c r="W568" s="46"/>
      <c r="X568" s="46"/>
      <c r="Y568" s="46"/>
      <c r="Z568" s="46"/>
      <c r="AA568" s="34"/>
      <c r="AB568" s="34">
        <v>1</v>
      </c>
      <c r="AC568" s="46"/>
      <c r="AD568" s="46"/>
      <c r="AE568" s="46"/>
      <c r="AF568" s="46"/>
      <c r="AG568" s="46"/>
      <c r="AH568" s="46"/>
      <c r="AI568" s="46"/>
      <c r="AJ568" s="46"/>
      <c r="AK568" s="46"/>
      <c r="AL568" s="46"/>
      <c r="AM568" s="34">
        <v>1</v>
      </c>
      <c r="AN568" s="46"/>
      <c r="AO568" s="46"/>
      <c r="AP568" s="46"/>
      <c r="AQ568" s="46"/>
      <c r="AR568" s="46"/>
      <c r="AS568" s="46"/>
      <c r="AT568" s="46"/>
      <c r="AU568" s="46"/>
      <c r="AV568" s="46"/>
      <c r="AW568" s="46"/>
      <c r="AX568" s="44">
        <v>1</v>
      </c>
      <c r="AY568" s="44"/>
      <c r="AZ568" s="44">
        <v>1</v>
      </c>
      <c r="BA568" s="46"/>
      <c r="BB568" s="34"/>
      <c r="BC568" s="34"/>
    </row>
    <row r="569" spans="1:55" customFormat="1" ht="21" customHeight="1" x14ac:dyDescent="0.25">
      <c r="A569" s="22"/>
      <c r="B569" s="42" t="s">
        <v>893</v>
      </c>
      <c r="C569" s="42" t="s">
        <v>249</v>
      </c>
      <c r="D569" s="42" t="s">
        <v>1043</v>
      </c>
      <c r="E569" s="34"/>
      <c r="F569" s="46"/>
      <c r="G569" s="46"/>
      <c r="H569" s="34"/>
      <c r="I569" s="46"/>
      <c r="J569" s="46"/>
      <c r="K569" s="46"/>
      <c r="L569" s="46"/>
      <c r="M569" s="46"/>
      <c r="N569" s="46"/>
      <c r="O569" s="46"/>
      <c r="P569" s="46"/>
      <c r="Q569" s="42">
        <v>1</v>
      </c>
      <c r="R569" s="46"/>
      <c r="S569" s="46"/>
      <c r="T569" s="46"/>
      <c r="U569" s="46"/>
      <c r="V569" s="46"/>
      <c r="W569" s="46"/>
      <c r="X569" s="46"/>
      <c r="Y569" s="46"/>
      <c r="Z569" s="46"/>
      <c r="AA569" s="34"/>
      <c r="AB569" s="34">
        <v>1</v>
      </c>
      <c r="AC569" s="46"/>
      <c r="AD569" s="46"/>
      <c r="AE569" s="46"/>
      <c r="AF569" s="46"/>
      <c r="AG569" s="46"/>
      <c r="AH569" s="46"/>
      <c r="AI569" s="46"/>
      <c r="AJ569" s="46"/>
      <c r="AK569" s="46"/>
      <c r="AL569" s="46"/>
      <c r="AM569" s="34">
        <v>1</v>
      </c>
      <c r="AN569" s="46"/>
      <c r="AO569" s="46"/>
      <c r="AP569" s="46"/>
      <c r="AQ569" s="46"/>
      <c r="AR569" s="46"/>
      <c r="AS569" s="46"/>
      <c r="AT569" s="46"/>
      <c r="AU569" s="46"/>
      <c r="AV569" s="46"/>
      <c r="AW569" s="46"/>
      <c r="AX569" s="44">
        <v>1</v>
      </c>
      <c r="AY569" s="44">
        <v>1</v>
      </c>
      <c r="AZ569" s="44">
        <v>1</v>
      </c>
      <c r="BA569" s="46"/>
      <c r="BB569" s="34">
        <v>1</v>
      </c>
      <c r="BC569" s="34"/>
    </row>
    <row r="570" spans="1:55" customFormat="1" ht="21" customHeight="1" x14ac:dyDescent="0.25">
      <c r="A570" s="22"/>
      <c r="B570" s="42" t="s">
        <v>893</v>
      </c>
      <c r="C570" s="42" t="s">
        <v>249</v>
      </c>
      <c r="D570" s="42" t="s">
        <v>1044</v>
      </c>
      <c r="E570" s="34"/>
      <c r="F570" s="46"/>
      <c r="G570" s="46"/>
      <c r="H570" s="34"/>
      <c r="I570" s="46"/>
      <c r="J570" s="46"/>
      <c r="K570" s="46"/>
      <c r="L570" s="46"/>
      <c r="M570" s="46"/>
      <c r="N570" s="46"/>
      <c r="O570" s="46"/>
      <c r="P570" s="46"/>
      <c r="Q570" s="34">
        <v>1</v>
      </c>
      <c r="R570" s="46"/>
      <c r="S570" s="46"/>
      <c r="T570" s="46"/>
      <c r="U570" s="46"/>
      <c r="V570" s="46"/>
      <c r="W570" s="46"/>
      <c r="X570" s="46"/>
      <c r="Y570" s="46"/>
      <c r="Z570" s="46"/>
      <c r="AA570" s="34"/>
      <c r="AB570" s="34">
        <v>1</v>
      </c>
      <c r="AC570" s="46"/>
      <c r="AD570" s="46"/>
      <c r="AE570" s="46"/>
      <c r="AF570" s="46"/>
      <c r="AG570" s="46"/>
      <c r="AH570" s="46"/>
      <c r="AI570" s="46"/>
      <c r="AJ570" s="46"/>
      <c r="AK570" s="46"/>
      <c r="AL570" s="46"/>
      <c r="AM570" s="34">
        <v>1</v>
      </c>
      <c r="AN570" s="46"/>
      <c r="AO570" s="46"/>
      <c r="AP570" s="46"/>
      <c r="AQ570" s="46"/>
      <c r="AR570" s="46"/>
      <c r="AS570" s="46"/>
      <c r="AT570" s="46"/>
      <c r="AU570" s="46"/>
      <c r="AV570" s="46"/>
      <c r="AW570" s="46"/>
      <c r="AX570" s="44">
        <v>1</v>
      </c>
      <c r="AY570" s="44"/>
      <c r="AZ570" s="44">
        <v>1</v>
      </c>
      <c r="BA570" s="46"/>
      <c r="BB570" s="34"/>
      <c r="BC570" s="34"/>
    </row>
    <row r="571" spans="1:55" customFormat="1" ht="21" customHeight="1" x14ac:dyDescent="0.25">
      <c r="A571" s="22"/>
      <c r="B571" s="42" t="s">
        <v>893</v>
      </c>
      <c r="C571" s="42" t="s">
        <v>249</v>
      </c>
      <c r="D571" s="42" t="s">
        <v>1045</v>
      </c>
      <c r="E571" s="34"/>
      <c r="F571" s="46"/>
      <c r="G571" s="46"/>
      <c r="H571" s="34"/>
      <c r="I571" s="46"/>
      <c r="J571" s="46"/>
      <c r="K571" s="46"/>
      <c r="L571" s="46"/>
      <c r="M571" s="46"/>
      <c r="N571" s="46"/>
      <c r="O571" s="46"/>
      <c r="P571" s="46"/>
      <c r="Q571" s="34">
        <v>1</v>
      </c>
      <c r="R571" s="46"/>
      <c r="S571" s="46"/>
      <c r="T571" s="46"/>
      <c r="U571" s="46"/>
      <c r="V571" s="46"/>
      <c r="W571" s="46"/>
      <c r="X571" s="46"/>
      <c r="Y571" s="46"/>
      <c r="Z571" s="46"/>
      <c r="AA571" s="34"/>
      <c r="AB571" s="34">
        <v>1</v>
      </c>
      <c r="AC571" s="46"/>
      <c r="AD571" s="46"/>
      <c r="AE571" s="46"/>
      <c r="AF571" s="46"/>
      <c r="AG571" s="46"/>
      <c r="AH571" s="46"/>
      <c r="AI571" s="46"/>
      <c r="AJ571" s="46"/>
      <c r="AK571" s="46"/>
      <c r="AL571" s="46"/>
      <c r="AM571" s="34">
        <v>1</v>
      </c>
      <c r="AN571" s="46"/>
      <c r="AO571" s="46"/>
      <c r="AP571" s="46"/>
      <c r="AQ571" s="46"/>
      <c r="AR571" s="46"/>
      <c r="AS571" s="46"/>
      <c r="AT571" s="46"/>
      <c r="AU571" s="46"/>
      <c r="AV571" s="46"/>
      <c r="AW571" s="46"/>
      <c r="AX571" s="44">
        <v>1</v>
      </c>
      <c r="AY571" s="44"/>
      <c r="AZ571" s="44">
        <v>1</v>
      </c>
      <c r="BA571" s="46"/>
      <c r="BB571" s="34">
        <v>1</v>
      </c>
      <c r="BC571" s="34"/>
    </row>
    <row r="572" spans="1:55" customFormat="1" ht="21" customHeight="1" x14ac:dyDescent="0.25">
      <c r="A572" s="22"/>
      <c r="B572" s="42" t="s">
        <v>893</v>
      </c>
      <c r="C572" s="42" t="s">
        <v>249</v>
      </c>
      <c r="D572" s="42" t="s">
        <v>1046</v>
      </c>
      <c r="E572" s="34"/>
      <c r="F572" s="46"/>
      <c r="G572" s="46"/>
      <c r="H572" s="34"/>
      <c r="I572" s="46"/>
      <c r="J572" s="46"/>
      <c r="K572" s="46"/>
      <c r="L572" s="46"/>
      <c r="M572" s="46"/>
      <c r="N572" s="46"/>
      <c r="O572" s="46"/>
      <c r="P572" s="46"/>
      <c r="Q572" s="34">
        <v>1</v>
      </c>
      <c r="R572" s="46"/>
      <c r="S572" s="46"/>
      <c r="T572" s="46"/>
      <c r="U572" s="46"/>
      <c r="V572" s="46"/>
      <c r="W572" s="46"/>
      <c r="X572" s="46"/>
      <c r="Y572" s="46"/>
      <c r="Z572" s="46"/>
      <c r="AA572" s="34"/>
      <c r="AB572" s="34">
        <v>1</v>
      </c>
      <c r="AC572" s="46"/>
      <c r="AD572" s="46"/>
      <c r="AE572" s="46"/>
      <c r="AF572" s="46"/>
      <c r="AG572" s="46"/>
      <c r="AH572" s="46"/>
      <c r="AI572" s="46"/>
      <c r="AJ572" s="46"/>
      <c r="AK572" s="46"/>
      <c r="AL572" s="46"/>
      <c r="AM572" s="34">
        <v>1</v>
      </c>
      <c r="AN572" s="46"/>
      <c r="AO572" s="46"/>
      <c r="AP572" s="46"/>
      <c r="AQ572" s="46"/>
      <c r="AR572" s="46"/>
      <c r="AS572" s="46"/>
      <c r="AT572" s="46"/>
      <c r="AU572" s="46"/>
      <c r="AV572" s="46"/>
      <c r="AW572" s="46"/>
      <c r="AX572" s="44">
        <v>1</v>
      </c>
      <c r="AY572" s="44"/>
      <c r="AZ572" s="44">
        <v>1</v>
      </c>
      <c r="BA572" s="46"/>
      <c r="BB572" s="34"/>
      <c r="BC572" s="34"/>
    </row>
    <row r="573" spans="1:55" customFormat="1" ht="21" customHeight="1" x14ac:dyDescent="0.25">
      <c r="A573" s="22"/>
      <c r="B573" s="42" t="s">
        <v>893</v>
      </c>
      <c r="C573" s="42" t="s">
        <v>249</v>
      </c>
      <c r="D573" s="42" t="s">
        <v>1047</v>
      </c>
      <c r="E573" s="34"/>
      <c r="F573" s="46"/>
      <c r="G573" s="46"/>
      <c r="H573" s="34"/>
      <c r="I573" s="46"/>
      <c r="J573" s="46"/>
      <c r="K573" s="46"/>
      <c r="L573" s="46"/>
      <c r="M573" s="46"/>
      <c r="N573" s="46"/>
      <c r="O573" s="46"/>
      <c r="P573" s="46"/>
      <c r="Q573" s="34">
        <v>1</v>
      </c>
      <c r="R573" s="46"/>
      <c r="S573" s="46"/>
      <c r="T573" s="46"/>
      <c r="U573" s="46"/>
      <c r="V573" s="46"/>
      <c r="W573" s="46"/>
      <c r="X573" s="46"/>
      <c r="Y573" s="46"/>
      <c r="Z573" s="46"/>
      <c r="AA573" s="34"/>
      <c r="AB573" s="34"/>
      <c r="AC573" s="46"/>
      <c r="AD573" s="46"/>
      <c r="AE573" s="46"/>
      <c r="AF573" s="46"/>
      <c r="AG573" s="46"/>
      <c r="AH573" s="46"/>
      <c r="AI573" s="46"/>
      <c r="AJ573" s="46"/>
      <c r="AK573" s="46"/>
      <c r="AL573" s="46"/>
      <c r="AM573" s="34">
        <v>1</v>
      </c>
      <c r="AN573" s="46"/>
      <c r="AO573" s="46"/>
      <c r="AP573" s="46"/>
      <c r="AQ573" s="46"/>
      <c r="AR573" s="46"/>
      <c r="AS573" s="46"/>
      <c r="AT573" s="46"/>
      <c r="AU573" s="46"/>
      <c r="AV573" s="46"/>
      <c r="AW573" s="46"/>
      <c r="AX573" s="44">
        <v>1</v>
      </c>
      <c r="AY573" s="44"/>
      <c r="AZ573" s="44">
        <v>1</v>
      </c>
      <c r="BA573" s="46"/>
      <c r="BB573" s="34">
        <v>1</v>
      </c>
      <c r="BC573" s="34"/>
    </row>
    <row r="574" spans="1:55" customFormat="1" ht="21" customHeight="1" x14ac:dyDescent="0.25">
      <c r="A574" s="22"/>
      <c r="B574" s="42" t="s">
        <v>893</v>
      </c>
      <c r="C574" s="42" t="s">
        <v>249</v>
      </c>
      <c r="D574" s="42" t="s">
        <v>1048</v>
      </c>
      <c r="E574" s="34"/>
      <c r="F574" s="46"/>
      <c r="G574" s="46"/>
      <c r="H574" s="34"/>
      <c r="I574" s="46"/>
      <c r="J574" s="46"/>
      <c r="K574" s="46"/>
      <c r="L574" s="46"/>
      <c r="M574" s="46"/>
      <c r="N574" s="46"/>
      <c r="O574" s="46"/>
      <c r="P574" s="46"/>
      <c r="Q574" s="34">
        <v>1</v>
      </c>
      <c r="R574" s="46"/>
      <c r="S574" s="46"/>
      <c r="T574" s="46"/>
      <c r="U574" s="46"/>
      <c r="V574" s="46"/>
      <c r="W574" s="46"/>
      <c r="X574" s="46"/>
      <c r="Y574" s="46"/>
      <c r="Z574" s="46"/>
      <c r="AA574" s="34"/>
      <c r="AB574" s="34">
        <v>1</v>
      </c>
      <c r="AC574" s="46"/>
      <c r="AD574" s="46"/>
      <c r="AE574" s="46"/>
      <c r="AF574" s="46"/>
      <c r="AG574" s="46"/>
      <c r="AH574" s="46"/>
      <c r="AI574" s="46"/>
      <c r="AJ574" s="46"/>
      <c r="AK574" s="46"/>
      <c r="AL574" s="46"/>
      <c r="AM574" s="34">
        <v>1</v>
      </c>
      <c r="AN574" s="46"/>
      <c r="AO574" s="46"/>
      <c r="AP574" s="46"/>
      <c r="AQ574" s="46"/>
      <c r="AR574" s="46"/>
      <c r="AS574" s="46"/>
      <c r="AT574" s="46"/>
      <c r="AU574" s="46"/>
      <c r="AV574" s="46"/>
      <c r="AW574" s="46"/>
      <c r="AX574" s="44">
        <v>1</v>
      </c>
      <c r="AY574" s="44"/>
      <c r="AZ574" s="44">
        <v>1</v>
      </c>
      <c r="BA574" s="46"/>
      <c r="BB574" s="34">
        <v>1</v>
      </c>
      <c r="BC574" s="34"/>
    </row>
    <row r="575" spans="1:55" customFormat="1" ht="21" customHeight="1" x14ac:dyDescent="0.25">
      <c r="A575" s="22"/>
      <c r="B575" s="42" t="s">
        <v>893</v>
      </c>
      <c r="C575" s="42" t="s">
        <v>246</v>
      </c>
      <c r="D575" s="42" t="s">
        <v>1049</v>
      </c>
      <c r="E575" s="34"/>
      <c r="F575" s="46"/>
      <c r="G575" s="46"/>
      <c r="H575" s="34"/>
      <c r="I575" s="46"/>
      <c r="J575" s="46"/>
      <c r="K575" s="46"/>
      <c r="L575" s="46"/>
      <c r="M575" s="46"/>
      <c r="N575" s="46"/>
      <c r="O575" s="46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  <c r="AA575" s="34"/>
      <c r="AB575" s="34"/>
      <c r="AC575" s="46"/>
      <c r="AD575" s="46"/>
      <c r="AE575" s="46"/>
      <c r="AF575" s="46"/>
      <c r="AG575" s="46"/>
      <c r="AH575" s="46"/>
      <c r="AI575" s="46"/>
      <c r="AJ575" s="46"/>
      <c r="AK575" s="46"/>
      <c r="AL575" s="46"/>
      <c r="AM575" s="46"/>
      <c r="AN575" s="46"/>
      <c r="AO575" s="46"/>
      <c r="AP575" s="46"/>
      <c r="AQ575" s="46"/>
      <c r="AR575" s="46"/>
      <c r="AS575" s="46"/>
      <c r="AT575" s="46"/>
      <c r="AU575" s="46"/>
      <c r="AV575" s="46"/>
      <c r="AW575" s="46"/>
      <c r="AX575" s="44"/>
      <c r="AY575" s="44"/>
      <c r="AZ575" s="44"/>
      <c r="BA575" s="46"/>
      <c r="BB575" s="34"/>
      <c r="BC575" s="34"/>
    </row>
    <row r="576" spans="1:55" customFormat="1" ht="21" customHeight="1" x14ac:dyDescent="0.25">
      <c r="A576" s="22"/>
      <c r="B576" s="42" t="s">
        <v>893</v>
      </c>
      <c r="C576" s="42" t="s">
        <v>249</v>
      </c>
      <c r="D576" s="42" t="s">
        <v>1050</v>
      </c>
      <c r="E576" s="34"/>
      <c r="F576" s="46"/>
      <c r="G576" s="46"/>
      <c r="H576" s="34"/>
      <c r="I576" s="46"/>
      <c r="J576" s="46"/>
      <c r="K576" s="46"/>
      <c r="L576" s="46"/>
      <c r="M576" s="46"/>
      <c r="N576" s="46"/>
      <c r="O576" s="46"/>
      <c r="P576" s="46"/>
      <c r="Q576" s="34">
        <v>1</v>
      </c>
      <c r="R576" s="46"/>
      <c r="S576" s="46"/>
      <c r="T576" s="46"/>
      <c r="U576" s="46"/>
      <c r="V576" s="46"/>
      <c r="W576" s="46"/>
      <c r="X576" s="46"/>
      <c r="Y576" s="46"/>
      <c r="Z576" s="46"/>
      <c r="AA576" s="34"/>
      <c r="AB576" s="34">
        <v>1</v>
      </c>
      <c r="AC576" s="46"/>
      <c r="AD576" s="46"/>
      <c r="AE576" s="46"/>
      <c r="AF576" s="46"/>
      <c r="AG576" s="46"/>
      <c r="AH576" s="46"/>
      <c r="AI576" s="46"/>
      <c r="AJ576" s="46"/>
      <c r="AK576" s="46"/>
      <c r="AL576" s="46"/>
      <c r="AM576" s="34">
        <v>1</v>
      </c>
      <c r="AN576" s="46"/>
      <c r="AO576" s="46"/>
      <c r="AP576" s="46"/>
      <c r="AQ576" s="46"/>
      <c r="AR576" s="46"/>
      <c r="AS576" s="46"/>
      <c r="AT576" s="46"/>
      <c r="AU576" s="46"/>
      <c r="AV576" s="46"/>
      <c r="AW576" s="46"/>
      <c r="AX576" s="44">
        <v>1</v>
      </c>
      <c r="AY576" s="44"/>
      <c r="AZ576" s="44">
        <v>1</v>
      </c>
      <c r="BA576" s="46"/>
      <c r="BB576" s="34">
        <v>1</v>
      </c>
      <c r="BC576" s="34"/>
    </row>
    <row r="577" spans="1:55" customFormat="1" ht="21" customHeight="1" x14ac:dyDescent="0.25">
      <c r="A577" s="22"/>
      <c r="B577" s="42" t="s">
        <v>893</v>
      </c>
      <c r="C577" s="42" t="s">
        <v>249</v>
      </c>
      <c r="D577" s="42" t="s">
        <v>1051</v>
      </c>
      <c r="E577" s="34"/>
      <c r="F577" s="46"/>
      <c r="G577" s="46"/>
      <c r="H577" s="34"/>
      <c r="I577" s="46"/>
      <c r="J577" s="46"/>
      <c r="K577" s="46"/>
      <c r="L577" s="46"/>
      <c r="M577" s="46"/>
      <c r="N577" s="46"/>
      <c r="O577" s="46"/>
      <c r="P577" s="46"/>
      <c r="Q577" s="34">
        <v>1</v>
      </c>
      <c r="R577" s="46"/>
      <c r="S577" s="46"/>
      <c r="T577" s="46"/>
      <c r="U577" s="46"/>
      <c r="V577" s="46"/>
      <c r="W577" s="46"/>
      <c r="X577" s="46"/>
      <c r="Y577" s="46"/>
      <c r="Z577" s="46"/>
      <c r="AA577" s="34"/>
      <c r="AB577" s="34">
        <v>1</v>
      </c>
      <c r="AC577" s="46"/>
      <c r="AD577" s="46"/>
      <c r="AE577" s="46"/>
      <c r="AF577" s="46"/>
      <c r="AG577" s="46"/>
      <c r="AH577" s="46"/>
      <c r="AI577" s="46"/>
      <c r="AJ577" s="46"/>
      <c r="AK577" s="46"/>
      <c r="AL577" s="46"/>
      <c r="AM577" s="34">
        <v>1</v>
      </c>
      <c r="AN577" s="46"/>
      <c r="AO577" s="46"/>
      <c r="AP577" s="46"/>
      <c r="AQ577" s="46"/>
      <c r="AR577" s="46"/>
      <c r="AS577" s="46"/>
      <c r="AT577" s="46"/>
      <c r="AU577" s="46"/>
      <c r="AV577" s="46"/>
      <c r="AW577" s="46"/>
      <c r="AX577" s="44">
        <v>1</v>
      </c>
      <c r="AY577" s="44"/>
      <c r="AZ577" s="44">
        <v>1</v>
      </c>
      <c r="BA577" s="46"/>
      <c r="BB577" s="34">
        <v>1</v>
      </c>
      <c r="BC577" s="34"/>
    </row>
    <row r="578" spans="1:55" customFormat="1" ht="21" customHeight="1" x14ac:dyDescent="0.25">
      <c r="A578" s="22"/>
      <c r="B578" s="42" t="s">
        <v>893</v>
      </c>
      <c r="C578" s="42" t="s">
        <v>249</v>
      </c>
      <c r="D578" s="42" t="s">
        <v>1052</v>
      </c>
      <c r="E578" s="34"/>
      <c r="F578" s="46"/>
      <c r="G578" s="46"/>
      <c r="H578" s="34"/>
      <c r="I578" s="46"/>
      <c r="J578" s="46"/>
      <c r="K578" s="46"/>
      <c r="L578" s="46"/>
      <c r="M578" s="46"/>
      <c r="N578" s="46"/>
      <c r="O578" s="46"/>
      <c r="P578" s="46"/>
      <c r="Q578" s="34">
        <v>1</v>
      </c>
      <c r="R578" s="46"/>
      <c r="S578" s="46"/>
      <c r="T578" s="46"/>
      <c r="U578" s="46"/>
      <c r="V578" s="46"/>
      <c r="W578" s="46"/>
      <c r="X578" s="46"/>
      <c r="Y578" s="46"/>
      <c r="Z578" s="46"/>
      <c r="AA578" s="34"/>
      <c r="AB578" s="34">
        <v>1</v>
      </c>
      <c r="AC578" s="46"/>
      <c r="AD578" s="46"/>
      <c r="AE578" s="46"/>
      <c r="AF578" s="46"/>
      <c r="AG578" s="46"/>
      <c r="AH578" s="46"/>
      <c r="AI578" s="46"/>
      <c r="AJ578" s="46"/>
      <c r="AK578" s="46"/>
      <c r="AL578" s="46"/>
      <c r="AM578" s="34">
        <v>1</v>
      </c>
      <c r="AN578" s="46"/>
      <c r="AO578" s="46"/>
      <c r="AP578" s="46"/>
      <c r="AQ578" s="46"/>
      <c r="AR578" s="46"/>
      <c r="AS578" s="46"/>
      <c r="AT578" s="46"/>
      <c r="AU578" s="46"/>
      <c r="AV578" s="46"/>
      <c r="AW578" s="46"/>
      <c r="AX578" s="44">
        <v>1</v>
      </c>
      <c r="AY578" s="44">
        <v>1</v>
      </c>
      <c r="AZ578" s="44">
        <v>1</v>
      </c>
      <c r="BA578" s="46"/>
      <c r="BB578" s="34">
        <v>1</v>
      </c>
      <c r="BC578" s="34"/>
    </row>
    <row r="579" spans="1:55" customFormat="1" ht="21" customHeight="1" x14ac:dyDescent="0.25">
      <c r="A579" s="22"/>
      <c r="B579" s="42" t="s">
        <v>893</v>
      </c>
      <c r="C579" s="42" t="s">
        <v>249</v>
      </c>
      <c r="D579" s="42" t="s">
        <v>1053</v>
      </c>
      <c r="E579" s="34"/>
      <c r="F579" s="46"/>
      <c r="G579" s="46"/>
      <c r="H579" s="34"/>
      <c r="I579" s="46"/>
      <c r="J579" s="46"/>
      <c r="K579" s="46"/>
      <c r="L579" s="46"/>
      <c r="M579" s="46"/>
      <c r="N579" s="46"/>
      <c r="O579" s="46"/>
      <c r="P579" s="34">
        <v>1</v>
      </c>
      <c r="Q579" s="42">
        <v>1</v>
      </c>
      <c r="R579" s="46"/>
      <c r="S579" s="46"/>
      <c r="T579" s="46"/>
      <c r="U579" s="46"/>
      <c r="V579" s="46"/>
      <c r="W579" s="46"/>
      <c r="X579" s="46"/>
      <c r="Y579" s="46"/>
      <c r="Z579" s="46"/>
      <c r="AA579" s="34"/>
      <c r="AB579" s="34">
        <v>1</v>
      </c>
      <c r="AC579" s="46"/>
      <c r="AD579" s="46"/>
      <c r="AE579" s="46"/>
      <c r="AF579" s="46"/>
      <c r="AG579" s="46"/>
      <c r="AH579" s="46"/>
      <c r="AI579" s="46"/>
      <c r="AJ579" s="46"/>
      <c r="AK579" s="46"/>
      <c r="AL579" s="46"/>
      <c r="AM579" s="34">
        <v>1</v>
      </c>
      <c r="AN579" s="46"/>
      <c r="AO579" s="46"/>
      <c r="AP579" s="46"/>
      <c r="AQ579" s="46"/>
      <c r="AR579" s="46"/>
      <c r="AS579" s="46"/>
      <c r="AT579" s="46"/>
      <c r="AU579" s="46"/>
      <c r="AV579" s="46"/>
      <c r="AW579" s="46"/>
      <c r="AX579" s="44">
        <v>1</v>
      </c>
      <c r="AY579" s="44"/>
      <c r="AZ579" s="44">
        <v>1</v>
      </c>
      <c r="BA579" s="46"/>
      <c r="BB579" s="34">
        <v>1</v>
      </c>
      <c r="BC579" s="34"/>
    </row>
    <row r="580" spans="1:55" customFormat="1" ht="21" customHeight="1" x14ac:dyDescent="0.25">
      <c r="A580" s="22"/>
      <c r="B580" s="42" t="s">
        <v>893</v>
      </c>
      <c r="C580" s="42" t="s">
        <v>249</v>
      </c>
      <c r="D580" s="42" t="s">
        <v>1054</v>
      </c>
      <c r="E580" s="34"/>
      <c r="F580" s="46"/>
      <c r="G580" s="46"/>
      <c r="H580" s="34"/>
      <c r="I580" s="46"/>
      <c r="J580" s="46"/>
      <c r="K580" s="46"/>
      <c r="L580" s="46"/>
      <c r="M580" s="46"/>
      <c r="N580" s="46"/>
      <c r="O580" s="46"/>
      <c r="P580" s="46"/>
      <c r="Q580" s="34"/>
      <c r="R580" s="46"/>
      <c r="S580" s="46"/>
      <c r="T580" s="46"/>
      <c r="U580" s="46"/>
      <c r="V580" s="46"/>
      <c r="W580" s="46"/>
      <c r="X580" s="46"/>
      <c r="Y580" s="46"/>
      <c r="Z580" s="46"/>
      <c r="AA580" s="34"/>
      <c r="AB580" s="34"/>
      <c r="AC580" s="46"/>
      <c r="AD580" s="46"/>
      <c r="AE580" s="46"/>
      <c r="AF580" s="46"/>
      <c r="AG580" s="46"/>
      <c r="AH580" s="46"/>
      <c r="AI580" s="46"/>
      <c r="AJ580" s="46"/>
      <c r="AK580" s="46"/>
      <c r="AL580" s="46"/>
      <c r="AM580" s="34"/>
      <c r="AN580" s="46"/>
      <c r="AO580" s="46"/>
      <c r="AP580" s="46"/>
      <c r="AQ580" s="46"/>
      <c r="AR580" s="46"/>
      <c r="AS580" s="46"/>
      <c r="AT580" s="46"/>
      <c r="AU580" s="46"/>
      <c r="AV580" s="46"/>
      <c r="AW580" s="46"/>
      <c r="AX580" s="44"/>
      <c r="AY580" s="44"/>
      <c r="AZ580" s="44"/>
      <c r="BA580" s="34">
        <v>1</v>
      </c>
      <c r="BB580" s="34"/>
      <c r="BC580" s="34"/>
    </row>
    <row r="581" spans="1:55" customFormat="1" ht="21" customHeight="1" x14ac:dyDescent="0.25">
      <c r="A581" s="22"/>
      <c r="B581" s="42" t="s">
        <v>893</v>
      </c>
      <c r="C581" s="42" t="s">
        <v>249</v>
      </c>
      <c r="D581" s="42" t="s">
        <v>1055</v>
      </c>
      <c r="E581" s="34"/>
      <c r="F581" s="46"/>
      <c r="G581" s="46"/>
      <c r="H581" s="34"/>
      <c r="I581" s="46"/>
      <c r="J581" s="46"/>
      <c r="K581" s="46"/>
      <c r="L581" s="46"/>
      <c r="M581" s="46"/>
      <c r="N581" s="46"/>
      <c r="O581" s="46"/>
      <c r="P581" s="46"/>
      <c r="Q581" s="34">
        <v>1</v>
      </c>
      <c r="R581" s="46"/>
      <c r="S581" s="46"/>
      <c r="T581" s="46"/>
      <c r="U581" s="46"/>
      <c r="V581" s="46"/>
      <c r="W581" s="46"/>
      <c r="X581" s="46"/>
      <c r="Y581" s="46"/>
      <c r="Z581" s="46"/>
      <c r="AA581" s="34"/>
      <c r="AB581" s="34">
        <v>1</v>
      </c>
      <c r="AC581" s="46"/>
      <c r="AD581" s="46"/>
      <c r="AE581" s="46"/>
      <c r="AF581" s="46"/>
      <c r="AG581" s="46"/>
      <c r="AH581" s="46"/>
      <c r="AI581" s="46"/>
      <c r="AJ581" s="46"/>
      <c r="AK581" s="46"/>
      <c r="AL581" s="46"/>
      <c r="AM581" s="34">
        <v>1</v>
      </c>
      <c r="AN581" s="46"/>
      <c r="AO581" s="46"/>
      <c r="AP581" s="46"/>
      <c r="AQ581" s="46"/>
      <c r="AR581" s="46"/>
      <c r="AS581" s="46"/>
      <c r="AT581" s="46"/>
      <c r="AU581" s="46"/>
      <c r="AV581" s="46"/>
      <c r="AW581" s="46"/>
      <c r="AX581" s="44">
        <v>1</v>
      </c>
      <c r="AY581" s="44"/>
      <c r="AZ581" s="44">
        <v>1</v>
      </c>
      <c r="BA581" s="46"/>
      <c r="BB581" s="34">
        <v>1</v>
      </c>
      <c r="BC581" s="34"/>
    </row>
    <row r="582" spans="1:55" customFormat="1" ht="21" customHeight="1" x14ac:dyDescent="0.25">
      <c r="A582" s="22"/>
      <c r="B582" s="42" t="s">
        <v>893</v>
      </c>
      <c r="C582" s="42" t="s">
        <v>249</v>
      </c>
      <c r="D582" s="42" t="s">
        <v>1056</v>
      </c>
      <c r="E582" s="34"/>
      <c r="F582" s="46"/>
      <c r="G582" s="46"/>
      <c r="H582" s="34"/>
      <c r="I582" s="46"/>
      <c r="J582" s="46"/>
      <c r="K582" s="46"/>
      <c r="L582" s="46"/>
      <c r="M582" s="46"/>
      <c r="N582" s="46"/>
      <c r="O582" s="46"/>
      <c r="P582" s="46"/>
      <c r="Q582" s="34">
        <v>1</v>
      </c>
      <c r="R582" s="46"/>
      <c r="S582" s="46"/>
      <c r="T582" s="46"/>
      <c r="U582" s="46"/>
      <c r="V582" s="46"/>
      <c r="W582" s="46"/>
      <c r="X582" s="46"/>
      <c r="Y582" s="46"/>
      <c r="Z582" s="46"/>
      <c r="AA582" s="34"/>
      <c r="AB582" s="34">
        <v>1</v>
      </c>
      <c r="AC582" s="46"/>
      <c r="AD582" s="46"/>
      <c r="AE582" s="46"/>
      <c r="AF582" s="46"/>
      <c r="AG582" s="46"/>
      <c r="AH582" s="46"/>
      <c r="AI582" s="46"/>
      <c r="AJ582" s="46"/>
      <c r="AK582" s="46"/>
      <c r="AL582" s="46"/>
      <c r="AM582" s="34">
        <v>1</v>
      </c>
      <c r="AN582" s="46"/>
      <c r="AO582" s="46"/>
      <c r="AP582" s="46"/>
      <c r="AQ582" s="46"/>
      <c r="AR582" s="46"/>
      <c r="AS582" s="46"/>
      <c r="AT582" s="46"/>
      <c r="AU582" s="46"/>
      <c r="AV582" s="46"/>
      <c r="AW582" s="46"/>
      <c r="AX582" s="44">
        <v>1</v>
      </c>
      <c r="AY582" s="44"/>
      <c r="AZ582" s="44">
        <v>1</v>
      </c>
      <c r="BA582" s="46"/>
      <c r="BB582" s="34">
        <v>1</v>
      </c>
      <c r="BC582" s="34"/>
    </row>
    <row r="583" spans="1:55" customFormat="1" ht="21" customHeight="1" x14ac:dyDescent="0.25">
      <c r="A583" s="22"/>
      <c r="B583" s="42" t="s">
        <v>893</v>
      </c>
      <c r="C583" s="42" t="s">
        <v>249</v>
      </c>
      <c r="D583" s="42" t="s">
        <v>1057</v>
      </c>
      <c r="E583" s="34"/>
      <c r="F583" s="46"/>
      <c r="G583" s="46"/>
      <c r="H583" s="34"/>
      <c r="I583" s="46"/>
      <c r="J583" s="46"/>
      <c r="K583" s="46"/>
      <c r="L583" s="46"/>
      <c r="M583" s="46"/>
      <c r="N583" s="46"/>
      <c r="O583" s="46"/>
      <c r="P583" s="34">
        <v>1</v>
      </c>
      <c r="Q583" s="34"/>
      <c r="R583" s="46"/>
      <c r="S583" s="46"/>
      <c r="T583" s="46"/>
      <c r="U583" s="46"/>
      <c r="V583" s="46"/>
      <c r="W583" s="46"/>
      <c r="X583" s="46"/>
      <c r="Y583" s="46"/>
      <c r="Z583" s="46"/>
      <c r="AA583" s="34"/>
      <c r="AB583" s="34">
        <v>1</v>
      </c>
      <c r="AC583" s="46"/>
      <c r="AD583" s="46"/>
      <c r="AE583" s="46"/>
      <c r="AF583" s="46"/>
      <c r="AG583" s="46"/>
      <c r="AH583" s="46"/>
      <c r="AI583" s="46"/>
      <c r="AJ583" s="46"/>
      <c r="AK583" s="46"/>
      <c r="AL583" s="46"/>
      <c r="AM583" s="34">
        <v>1</v>
      </c>
      <c r="AN583" s="46"/>
      <c r="AO583" s="46"/>
      <c r="AP583" s="46"/>
      <c r="AQ583" s="46"/>
      <c r="AR583" s="46"/>
      <c r="AS583" s="46"/>
      <c r="AT583" s="46"/>
      <c r="AU583" s="46"/>
      <c r="AV583" s="46"/>
      <c r="AW583" s="46"/>
      <c r="AX583" s="44">
        <v>1</v>
      </c>
      <c r="AY583" s="44"/>
      <c r="AZ583" s="44">
        <v>1</v>
      </c>
      <c r="BA583" s="46"/>
      <c r="BB583" s="34"/>
      <c r="BC583" s="34"/>
    </row>
    <row r="584" spans="1:55" customFormat="1" ht="21" customHeight="1" x14ac:dyDescent="0.25">
      <c r="A584" s="22"/>
      <c r="B584" s="42" t="s">
        <v>893</v>
      </c>
      <c r="C584" s="42" t="s">
        <v>249</v>
      </c>
      <c r="D584" s="42" t="s">
        <v>1058</v>
      </c>
      <c r="E584" s="34"/>
      <c r="F584" s="46"/>
      <c r="G584" s="46"/>
      <c r="H584" s="34"/>
      <c r="I584" s="46"/>
      <c r="J584" s="46"/>
      <c r="K584" s="46"/>
      <c r="L584" s="46"/>
      <c r="M584" s="46"/>
      <c r="N584" s="46"/>
      <c r="O584" s="46"/>
      <c r="P584" s="46"/>
      <c r="Q584" s="34">
        <v>1</v>
      </c>
      <c r="R584" s="46"/>
      <c r="S584" s="46"/>
      <c r="T584" s="46"/>
      <c r="U584" s="46"/>
      <c r="V584" s="46"/>
      <c r="W584" s="46"/>
      <c r="X584" s="46"/>
      <c r="Y584" s="46"/>
      <c r="Z584" s="46"/>
      <c r="AA584" s="34"/>
      <c r="AB584" s="34">
        <v>1</v>
      </c>
      <c r="AC584" s="46"/>
      <c r="AD584" s="46"/>
      <c r="AE584" s="46"/>
      <c r="AF584" s="46"/>
      <c r="AG584" s="46"/>
      <c r="AH584" s="46"/>
      <c r="AI584" s="46"/>
      <c r="AJ584" s="46"/>
      <c r="AK584" s="46"/>
      <c r="AL584" s="46"/>
      <c r="AM584" s="34">
        <v>1</v>
      </c>
      <c r="AN584" s="46"/>
      <c r="AO584" s="46"/>
      <c r="AP584" s="46"/>
      <c r="AQ584" s="46"/>
      <c r="AR584" s="46"/>
      <c r="AS584" s="46"/>
      <c r="AT584" s="46"/>
      <c r="AU584" s="46"/>
      <c r="AV584" s="46"/>
      <c r="AW584" s="46"/>
      <c r="AX584" s="44">
        <v>1</v>
      </c>
      <c r="AY584" s="44"/>
      <c r="AZ584" s="44"/>
      <c r="BA584" s="46"/>
      <c r="BB584" s="34">
        <v>1</v>
      </c>
      <c r="BC584" s="34"/>
    </row>
    <row r="585" spans="1:55" customFormat="1" ht="21" customHeight="1" x14ac:dyDescent="0.25">
      <c r="A585" s="22"/>
      <c r="B585" s="42" t="s">
        <v>893</v>
      </c>
      <c r="C585" s="42" t="s">
        <v>249</v>
      </c>
      <c r="D585" s="42" t="s">
        <v>1059</v>
      </c>
      <c r="E585" s="34"/>
      <c r="F585" s="46"/>
      <c r="G585" s="46"/>
      <c r="H585" s="34"/>
      <c r="I585" s="46"/>
      <c r="J585" s="46"/>
      <c r="K585" s="46"/>
      <c r="L585" s="46"/>
      <c r="M585" s="46"/>
      <c r="N585" s="46"/>
      <c r="O585" s="46"/>
      <c r="P585" s="46"/>
      <c r="Q585" s="34">
        <v>1</v>
      </c>
      <c r="R585" s="46"/>
      <c r="S585" s="46"/>
      <c r="T585" s="46"/>
      <c r="U585" s="46"/>
      <c r="V585" s="46"/>
      <c r="W585" s="46"/>
      <c r="X585" s="46"/>
      <c r="Y585" s="46"/>
      <c r="Z585" s="46"/>
      <c r="AA585" s="34"/>
      <c r="AB585" s="34">
        <v>1</v>
      </c>
      <c r="AC585" s="46"/>
      <c r="AD585" s="46"/>
      <c r="AE585" s="46"/>
      <c r="AF585" s="46"/>
      <c r="AG585" s="46"/>
      <c r="AH585" s="46"/>
      <c r="AI585" s="46"/>
      <c r="AJ585" s="46"/>
      <c r="AK585" s="46"/>
      <c r="AL585" s="46"/>
      <c r="AM585" s="34">
        <v>1</v>
      </c>
      <c r="AN585" s="46"/>
      <c r="AO585" s="46"/>
      <c r="AP585" s="46"/>
      <c r="AQ585" s="46"/>
      <c r="AR585" s="46"/>
      <c r="AS585" s="46"/>
      <c r="AT585" s="46"/>
      <c r="AU585" s="46"/>
      <c r="AV585" s="46"/>
      <c r="AW585" s="46"/>
      <c r="AX585" s="44">
        <v>1</v>
      </c>
      <c r="AY585" s="44"/>
      <c r="AZ585" s="44">
        <v>1</v>
      </c>
      <c r="BA585" s="46"/>
      <c r="BB585" s="34">
        <v>1</v>
      </c>
      <c r="BC585" s="34"/>
    </row>
    <row r="586" spans="1:55" customFormat="1" ht="21" customHeight="1" x14ac:dyDescent="0.25">
      <c r="A586" s="22"/>
      <c r="B586" s="42" t="s">
        <v>893</v>
      </c>
      <c r="C586" s="42" t="s">
        <v>249</v>
      </c>
      <c r="D586" s="42" t="s">
        <v>1060</v>
      </c>
      <c r="E586" s="34"/>
      <c r="F586" s="46"/>
      <c r="G586" s="46"/>
      <c r="H586" s="34"/>
      <c r="I586" s="46"/>
      <c r="J586" s="46"/>
      <c r="K586" s="46"/>
      <c r="L586" s="46"/>
      <c r="M586" s="46"/>
      <c r="N586" s="46"/>
      <c r="O586" s="46"/>
      <c r="P586" s="46"/>
      <c r="Q586" s="34">
        <v>1</v>
      </c>
      <c r="R586" s="46"/>
      <c r="S586" s="46"/>
      <c r="T586" s="46"/>
      <c r="U586" s="46"/>
      <c r="V586" s="46"/>
      <c r="W586" s="46"/>
      <c r="X586" s="46"/>
      <c r="Y586" s="46"/>
      <c r="Z586" s="46"/>
      <c r="AA586" s="34"/>
      <c r="AB586" s="34">
        <v>1</v>
      </c>
      <c r="AC586" s="46"/>
      <c r="AD586" s="46"/>
      <c r="AE586" s="46"/>
      <c r="AF586" s="46"/>
      <c r="AG586" s="46"/>
      <c r="AH586" s="46"/>
      <c r="AI586" s="46"/>
      <c r="AJ586" s="46"/>
      <c r="AK586" s="46"/>
      <c r="AL586" s="46"/>
      <c r="AM586" s="34">
        <v>1</v>
      </c>
      <c r="AN586" s="46"/>
      <c r="AO586" s="46"/>
      <c r="AP586" s="46"/>
      <c r="AQ586" s="46"/>
      <c r="AR586" s="46"/>
      <c r="AS586" s="46"/>
      <c r="AT586" s="46"/>
      <c r="AU586" s="46"/>
      <c r="AV586" s="46"/>
      <c r="AW586" s="46"/>
      <c r="AX586" s="44">
        <v>1</v>
      </c>
      <c r="AY586" s="44"/>
      <c r="AZ586" s="44">
        <v>1</v>
      </c>
      <c r="BA586" s="46"/>
      <c r="BB586" s="34">
        <v>1</v>
      </c>
      <c r="BC586" s="34"/>
    </row>
    <row r="587" spans="1:55" customFormat="1" ht="21" customHeight="1" x14ac:dyDescent="0.25">
      <c r="A587" s="22"/>
      <c r="B587" s="42" t="s">
        <v>893</v>
      </c>
      <c r="C587" s="42" t="s">
        <v>244</v>
      </c>
      <c r="D587" s="42" t="s">
        <v>1061</v>
      </c>
      <c r="E587" s="34"/>
      <c r="F587" s="46"/>
      <c r="G587" s="46"/>
      <c r="H587" s="34"/>
      <c r="I587" s="46"/>
      <c r="J587" s="46"/>
      <c r="K587" s="46"/>
      <c r="L587" s="46"/>
      <c r="M587" s="46"/>
      <c r="N587" s="46"/>
      <c r="O587" s="46"/>
      <c r="P587" s="34">
        <v>1</v>
      </c>
      <c r="Q587" s="42">
        <v>1</v>
      </c>
      <c r="R587" s="46"/>
      <c r="S587" s="46"/>
      <c r="T587" s="46"/>
      <c r="U587" s="46"/>
      <c r="V587" s="46"/>
      <c r="W587" s="46"/>
      <c r="X587" s="46"/>
      <c r="Y587" s="46"/>
      <c r="Z587" s="46"/>
      <c r="AA587" s="34">
        <v>1</v>
      </c>
      <c r="AB587" s="42">
        <v>1</v>
      </c>
      <c r="AC587" s="46"/>
      <c r="AD587" s="46"/>
      <c r="AE587" s="46"/>
      <c r="AF587" s="46"/>
      <c r="AG587" s="46"/>
      <c r="AH587" s="46"/>
      <c r="AI587" s="46"/>
      <c r="AJ587" s="46"/>
      <c r="AK587" s="46"/>
      <c r="AL587" s="46"/>
      <c r="AM587" s="46"/>
      <c r="AN587" s="46"/>
      <c r="AO587" s="46"/>
      <c r="AP587" s="46"/>
      <c r="AQ587" s="46"/>
      <c r="AR587" s="46"/>
      <c r="AS587" s="46"/>
      <c r="AT587" s="46"/>
      <c r="AU587" s="46"/>
      <c r="AV587" s="46"/>
      <c r="AW587" s="46"/>
      <c r="AX587" s="44"/>
      <c r="AY587" s="44">
        <v>1</v>
      </c>
      <c r="AZ587" s="44">
        <v>1</v>
      </c>
      <c r="BA587" s="34">
        <v>1</v>
      </c>
      <c r="BB587" s="34">
        <v>1</v>
      </c>
      <c r="BC587" s="34">
        <v>1</v>
      </c>
    </row>
    <row r="588" spans="1:55" customFormat="1" ht="21" customHeight="1" x14ac:dyDescent="0.25">
      <c r="A588" s="22"/>
      <c r="B588" s="42" t="s">
        <v>893</v>
      </c>
      <c r="C588" s="42" t="s">
        <v>255</v>
      </c>
      <c r="D588" s="42" t="s">
        <v>1062</v>
      </c>
      <c r="E588" s="34"/>
      <c r="F588" s="46"/>
      <c r="G588" s="46"/>
      <c r="H588" s="34"/>
      <c r="I588" s="46"/>
      <c r="J588" s="46"/>
      <c r="K588" s="46"/>
      <c r="L588" s="46"/>
      <c r="M588" s="46"/>
      <c r="N588" s="46"/>
      <c r="O588" s="46"/>
      <c r="P588" s="34">
        <v>1</v>
      </c>
      <c r="Q588" s="42">
        <v>1</v>
      </c>
      <c r="R588" s="46"/>
      <c r="S588" s="46"/>
      <c r="T588" s="46"/>
      <c r="U588" s="46"/>
      <c r="V588" s="46"/>
      <c r="W588" s="46"/>
      <c r="X588" s="46"/>
      <c r="Y588" s="46"/>
      <c r="Z588" s="46"/>
      <c r="AA588" s="34">
        <v>1</v>
      </c>
      <c r="AB588" s="42">
        <v>1</v>
      </c>
      <c r="AC588" s="46"/>
      <c r="AD588" s="46"/>
      <c r="AE588" s="46"/>
      <c r="AF588" s="46"/>
      <c r="AG588" s="46"/>
      <c r="AH588" s="46"/>
      <c r="AI588" s="46"/>
      <c r="AJ588" s="46"/>
      <c r="AK588" s="46"/>
      <c r="AL588" s="46"/>
      <c r="AM588" s="42">
        <v>1</v>
      </c>
      <c r="AN588" s="46"/>
      <c r="AO588" s="46"/>
      <c r="AP588" s="46"/>
      <c r="AQ588" s="46"/>
      <c r="AR588" s="46"/>
      <c r="AS588" s="46"/>
      <c r="AT588" s="46"/>
      <c r="AU588" s="46"/>
      <c r="AV588" s="46"/>
      <c r="AW588" s="46"/>
      <c r="AX588" s="44"/>
      <c r="AY588" s="44">
        <v>1</v>
      </c>
      <c r="AZ588" s="44">
        <v>1</v>
      </c>
      <c r="BA588" s="34">
        <v>1</v>
      </c>
      <c r="BB588" s="34">
        <v>1</v>
      </c>
      <c r="BC588" s="34">
        <v>1</v>
      </c>
    </row>
    <row r="589" spans="1:55" customFormat="1" ht="21" customHeight="1" x14ac:dyDescent="0.25">
      <c r="A589" s="22"/>
      <c r="B589" s="42" t="s">
        <v>893</v>
      </c>
      <c r="C589" s="42" t="s">
        <v>246</v>
      </c>
      <c r="D589" s="42" t="s">
        <v>1063</v>
      </c>
      <c r="E589" s="34"/>
      <c r="F589" s="46"/>
      <c r="G589" s="46"/>
      <c r="H589" s="34"/>
      <c r="I589" s="46"/>
      <c r="J589" s="46"/>
      <c r="K589" s="46"/>
      <c r="L589" s="46"/>
      <c r="M589" s="46"/>
      <c r="N589" s="46"/>
      <c r="O589" s="46"/>
      <c r="P589" s="34">
        <v>1</v>
      </c>
      <c r="Q589" s="42">
        <v>1</v>
      </c>
      <c r="R589" s="46"/>
      <c r="S589" s="46"/>
      <c r="T589" s="46"/>
      <c r="U589" s="46"/>
      <c r="V589" s="46"/>
      <c r="W589" s="46"/>
      <c r="X589" s="46"/>
      <c r="Y589" s="46"/>
      <c r="Z589" s="46"/>
      <c r="AA589" s="34">
        <v>1</v>
      </c>
      <c r="AB589" s="42">
        <v>1</v>
      </c>
      <c r="AC589" s="46"/>
      <c r="AD589" s="46"/>
      <c r="AE589" s="46"/>
      <c r="AF589" s="46"/>
      <c r="AG589" s="46"/>
      <c r="AH589" s="46"/>
      <c r="AI589" s="46"/>
      <c r="AJ589" s="46"/>
      <c r="AK589" s="46"/>
      <c r="AL589" s="46"/>
      <c r="AM589" s="42">
        <v>1</v>
      </c>
      <c r="AN589" s="46"/>
      <c r="AO589" s="46"/>
      <c r="AP589" s="46"/>
      <c r="AQ589" s="46"/>
      <c r="AR589" s="46"/>
      <c r="AS589" s="46"/>
      <c r="AT589" s="46"/>
      <c r="AU589" s="46"/>
      <c r="AV589" s="46"/>
      <c r="AW589" s="46"/>
      <c r="AX589" s="44"/>
      <c r="AY589" s="44">
        <v>1</v>
      </c>
      <c r="AZ589" s="44">
        <v>1</v>
      </c>
      <c r="BA589" s="34">
        <v>1</v>
      </c>
      <c r="BB589" s="34">
        <v>1</v>
      </c>
      <c r="BC589" s="34">
        <v>1</v>
      </c>
    </row>
    <row r="590" spans="1:55" customFormat="1" ht="21" customHeight="1" x14ac:dyDescent="0.25">
      <c r="A590" s="22"/>
      <c r="B590" s="42" t="s">
        <v>893</v>
      </c>
      <c r="C590" s="42" t="s">
        <v>246</v>
      </c>
      <c r="D590" s="42" t="s">
        <v>1064</v>
      </c>
      <c r="E590" s="34"/>
      <c r="F590" s="46"/>
      <c r="G590" s="46"/>
      <c r="H590" s="34"/>
      <c r="I590" s="46"/>
      <c r="J590" s="46"/>
      <c r="K590" s="46"/>
      <c r="L590" s="46"/>
      <c r="M590" s="46"/>
      <c r="N590" s="46"/>
      <c r="O590" s="46"/>
      <c r="P590" s="34">
        <v>1</v>
      </c>
      <c r="Q590" s="42">
        <v>1</v>
      </c>
      <c r="R590" s="46"/>
      <c r="S590" s="46"/>
      <c r="T590" s="46"/>
      <c r="U590" s="46"/>
      <c r="V590" s="46"/>
      <c r="W590" s="46"/>
      <c r="X590" s="46"/>
      <c r="Y590" s="46"/>
      <c r="Z590" s="46"/>
      <c r="AA590" s="34">
        <v>1</v>
      </c>
      <c r="AB590" s="42">
        <v>1</v>
      </c>
      <c r="AC590" s="46"/>
      <c r="AD590" s="46"/>
      <c r="AE590" s="46"/>
      <c r="AF590" s="46"/>
      <c r="AG590" s="46"/>
      <c r="AH590" s="46"/>
      <c r="AI590" s="46"/>
      <c r="AJ590" s="46"/>
      <c r="AK590" s="46"/>
      <c r="AL590" s="46"/>
      <c r="AM590" s="46"/>
      <c r="AN590" s="46"/>
      <c r="AO590" s="46"/>
      <c r="AP590" s="46"/>
      <c r="AQ590" s="46"/>
      <c r="AR590" s="46"/>
      <c r="AS590" s="46"/>
      <c r="AT590" s="46"/>
      <c r="AU590" s="46"/>
      <c r="AV590" s="46"/>
      <c r="AW590" s="46"/>
      <c r="AX590" s="44"/>
      <c r="AY590" s="44">
        <v>1</v>
      </c>
      <c r="AZ590" s="44">
        <v>1</v>
      </c>
      <c r="BA590" s="34">
        <v>1</v>
      </c>
      <c r="BB590" s="34">
        <v>1</v>
      </c>
      <c r="BC590" s="34">
        <v>1</v>
      </c>
    </row>
    <row r="591" spans="1:55" customFormat="1" ht="21" customHeight="1" x14ac:dyDescent="0.25">
      <c r="A591" s="22"/>
      <c r="B591" s="42" t="s">
        <v>893</v>
      </c>
      <c r="C591" s="42" t="s">
        <v>246</v>
      </c>
      <c r="D591" s="42" t="s">
        <v>1065</v>
      </c>
      <c r="E591" s="34"/>
      <c r="F591" s="46"/>
      <c r="G591" s="46"/>
      <c r="H591" s="34"/>
      <c r="I591" s="46"/>
      <c r="J591" s="46"/>
      <c r="K591" s="46"/>
      <c r="L591" s="46"/>
      <c r="M591" s="46"/>
      <c r="N591" s="46"/>
      <c r="O591" s="46"/>
      <c r="P591" s="34">
        <v>1</v>
      </c>
      <c r="Q591" s="42">
        <v>1</v>
      </c>
      <c r="R591" s="46"/>
      <c r="S591" s="46"/>
      <c r="T591" s="46"/>
      <c r="U591" s="46"/>
      <c r="V591" s="46"/>
      <c r="W591" s="46"/>
      <c r="X591" s="46"/>
      <c r="Y591" s="46"/>
      <c r="Z591" s="46"/>
      <c r="AA591" s="34">
        <v>1</v>
      </c>
      <c r="AB591" s="42">
        <v>1</v>
      </c>
      <c r="AC591" s="46"/>
      <c r="AD591" s="46"/>
      <c r="AE591" s="46"/>
      <c r="AF591" s="46"/>
      <c r="AG591" s="46"/>
      <c r="AH591" s="46"/>
      <c r="AI591" s="46"/>
      <c r="AJ591" s="46"/>
      <c r="AK591" s="46"/>
      <c r="AL591" s="46"/>
      <c r="AM591" s="42">
        <v>1</v>
      </c>
      <c r="AN591" s="46"/>
      <c r="AO591" s="46"/>
      <c r="AP591" s="46"/>
      <c r="AQ591" s="46"/>
      <c r="AR591" s="46"/>
      <c r="AS591" s="46"/>
      <c r="AT591" s="46"/>
      <c r="AU591" s="46"/>
      <c r="AV591" s="46"/>
      <c r="AW591" s="46"/>
      <c r="AX591" s="44"/>
      <c r="AY591" s="44">
        <v>1</v>
      </c>
      <c r="AZ591" s="44">
        <v>1</v>
      </c>
      <c r="BA591" s="34">
        <v>1</v>
      </c>
      <c r="BB591" s="34">
        <v>1</v>
      </c>
      <c r="BC591" s="34">
        <v>1</v>
      </c>
    </row>
    <row r="592" spans="1:55" customFormat="1" ht="21" customHeight="1" x14ac:dyDescent="0.25">
      <c r="A592" s="22"/>
      <c r="B592" s="42" t="s">
        <v>893</v>
      </c>
      <c r="C592" s="42" t="s">
        <v>244</v>
      </c>
      <c r="D592" s="42" t="s">
        <v>1066</v>
      </c>
      <c r="E592" s="34"/>
      <c r="F592" s="46"/>
      <c r="G592" s="46"/>
      <c r="H592" s="34"/>
      <c r="I592" s="46"/>
      <c r="J592" s="46"/>
      <c r="K592" s="46"/>
      <c r="L592" s="46"/>
      <c r="M592" s="46"/>
      <c r="N592" s="46"/>
      <c r="O592" s="46"/>
      <c r="P592" s="34">
        <v>1</v>
      </c>
      <c r="Q592" s="42">
        <v>1</v>
      </c>
      <c r="R592" s="46"/>
      <c r="S592" s="46"/>
      <c r="T592" s="46"/>
      <c r="U592" s="46"/>
      <c r="V592" s="46"/>
      <c r="W592" s="46"/>
      <c r="X592" s="46"/>
      <c r="Y592" s="46"/>
      <c r="Z592" s="46"/>
      <c r="AA592" s="34">
        <v>1</v>
      </c>
      <c r="AB592" s="42">
        <v>1</v>
      </c>
      <c r="AC592" s="46"/>
      <c r="AD592" s="46"/>
      <c r="AE592" s="46"/>
      <c r="AF592" s="46"/>
      <c r="AG592" s="46"/>
      <c r="AH592" s="46"/>
      <c r="AI592" s="46"/>
      <c r="AJ592" s="46"/>
      <c r="AK592" s="46"/>
      <c r="AL592" s="46"/>
      <c r="AM592" s="46"/>
      <c r="AN592" s="46"/>
      <c r="AO592" s="46"/>
      <c r="AP592" s="46"/>
      <c r="AQ592" s="46"/>
      <c r="AR592" s="46"/>
      <c r="AS592" s="46"/>
      <c r="AT592" s="46"/>
      <c r="AU592" s="46"/>
      <c r="AV592" s="46"/>
      <c r="AW592" s="46"/>
      <c r="AX592" s="44"/>
      <c r="AY592" s="44">
        <v>1</v>
      </c>
      <c r="AZ592" s="44">
        <v>1</v>
      </c>
      <c r="BA592" s="34">
        <v>1</v>
      </c>
      <c r="BB592" s="34">
        <v>1</v>
      </c>
      <c r="BC592" s="34">
        <v>1</v>
      </c>
    </row>
    <row r="593" spans="1:55" customFormat="1" ht="21" customHeight="1" x14ac:dyDescent="0.25">
      <c r="A593" s="22"/>
      <c r="B593" s="42" t="s">
        <v>893</v>
      </c>
      <c r="C593" s="42" t="s">
        <v>246</v>
      </c>
      <c r="D593" s="42" t="s">
        <v>1067</v>
      </c>
      <c r="E593" s="34"/>
      <c r="F593" s="46"/>
      <c r="G593" s="46"/>
      <c r="H593" s="34"/>
      <c r="I593" s="46"/>
      <c r="J593" s="46"/>
      <c r="K593" s="46"/>
      <c r="L593" s="46"/>
      <c r="M593" s="46"/>
      <c r="N593" s="46"/>
      <c r="O593" s="46"/>
      <c r="P593" s="34">
        <v>1</v>
      </c>
      <c r="Q593" s="42">
        <v>1</v>
      </c>
      <c r="R593" s="46"/>
      <c r="S593" s="46"/>
      <c r="T593" s="46"/>
      <c r="U593" s="46"/>
      <c r="V593" s="46"/>
      <c r="W593" s="46"/>
      <c r="X593" s="46"/>
      <c r="Y593" s="46"/>
      <c r="Z593" s="46"/>
      <c r="AA593" s="34">
        <v>1</v>
      </c>
      <c r="AB593" s="42">
        <v>1</v>
      </c>
      <c r="AC593" s="46"/>
      <c r="AD593" s="46"/>
      <c r="AE593" s="46"/>
      <c r="AF593" s="46"/>
      <c r="AG593" s="46"/>
      <c r="AH593" s="46"/>
      <c r="AI593" s="46"/>
      <c r="AJ593" s="46"/>
      <c r="AK593" s="46"/>
      <c r="AL593" s="46"/>
      <c r="AM593" s="42">
        <v>1</v>
      </c>
      <c r="AN593" s="46"/>
      <c r="AO593" s="46"/>
      <c r="AP593" s="46"/>
      <c r="AQ593" s="46"/>
      <c r="AR593" s="46"/>
      <c r="AS593" s="46"/>
      <c r="AT593" s="46"/>
      <c r="AU593" s="46"/>
      <c r="AV593" s="46"/>
      <c r="AW593" s="46"/>
      <c r="AX593" s="44"/>
      <c r="AY593" s="44">
        <v>1</v>
      </c>
      <c r="AZ593" s="44">
        <v>1</v>
      </c>
      <c r="BA593" s="34">
        <v>1</v>
      </c>
      <c r="BB593" s="34">
        <v>1</v>
      </c>
      <c r="BC593" s="34">
        <v>1</v>
      </c>
    </row>
    <row r="594" spans="1:55" customFormat="1" ht="21" customHeight="1" x14ac:dyDescent="0.25">
      <c r="A594" s="22"/>
      <c r="B594" s="42" t="s">
        <v>893</v>
      </c>
      <c r="C594" s="42" t="s">
        <v>246</v>
      </c>
      <c r="D594" s="42" t="s">
        <v>1068</v>
      </c>
      <c r="E594" s="34"/>
      <c r="F594" s="46"/>
      <c r="G594" s="46"/>
      <c r="H594" s="34"/>
      <c r="I594" s="46"/>
      <c r="J594" s="46"/>
      <c r="K594" s="46"/>
      <c r="L594" s="46"/>
      <c r="M594" s="46"/>
      <c r="N594" s="46"/>
      <c r="O594" s="46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  <c r="AA594" s="34"/>
      <c r="AB594" s="34"/>
      <c r="AC594" s="46"/>
      <c r="AD594" s="46"/>
      <c r="AE594" s="46"/>
      <c r="AF594" s="46"/>
      <c r="AG594" s="46"/>
      <c r="AH594" s="46"/>
      <c r="AI594" s="46"/>
      <c r="AJ594" s="46"/>
      <c r="AK594" s="46"/>
      <c r="AL594" s="46"/>
      <c r="AM594" s="46"/>
      <c r="AN594" s="46"/>
      <c r="AO594" s="46"/>
      <c r="AP594" s="46"/>
      <c r="AQ594" s="46"/>
      <c r="AR594" s="46"/>
      <c r="AS594" s="46"/>
      <c r="AT594" s="46"/>
      <c r="AU594" s="46"/>
      <c r="AV594" s="46"/>
      <c r="AW594" s="46"/>
      <c r="AX594" s="44"/>
      <c r="AY594" s="44"/>
      <c r="AZ594" s="44"/>
      <c r="BA594" s="46"/>
      <c r="BB594" s="34"/>
      <c r="BC594" s="34"/>
    </row>
    <row r="595" spans="1:55" customFormat="1" ht="21" customHeight="1" x14ac:dyDescent="0.25">
      <c r="A595" s="22"/>
      <c r="B595" s="42" t="s">
        <v>893</v>
      </c>
      <c r="C595" s="42" t="s">
        <v>255</v>
      </c>
      <c r="D595" s="42" t="s">
        <v>1069</v>
      </c>
      <c r="E595" s="34"/>
      <c r="F595" s="46"/>
      <c r="G595" s="46"/>
      <c r="H595" s="34"/>
      <c r="I595" s="46"/>
      <c r="J595" s="46"/>
      <c r="K595" s="46"/>
      <c r="L595" s="46"/>
      <c r="M595" s="46"/>
      <c r="N595" s="46"/>
      <c r="O595" s="46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  <c r="AA595" s="34"/>
      <c r="AB595" s="34"/>
      <c r="AC595" s="46"/>
      <c r="AD595" s="46"/>
      <c r="AE595" s="46"/>
      <c r="AF595" s="46"/>
      <c r="AG595" s="46"/>
      <c r="AH595" s="46"/>
      <c r="AI595" s="46"/>
      <c r="AJ595" s="46"/>
      <c r="AK595" s="46"/>
      <c r="AL595" s="46"/>
      <c r="AM595" s="46"/>
      <c r="AN595" s="46"/>
      <c r="AO595" s="46"/>
      <c r="AP595" s="46"/>
      <c r="AQ595" s="46"/>
      <c r="AR595" s="46"/>
      <c r="AS595" s="46"/>
      <c r="AT595" s="46"/>
      <c r="AU595" s="46"/>
      <c r="AV595" s="46"/>
      <c r="AW595" s="46"/>
      <c r="AX595" s="44"/>
      <c r="AY595" s="44"/>
      <c r="AZ595" s="44"/>
      <c r="BA595" s="46"/>
      <c r="BB595" s="34"/>
      <c r="BC595" s="34"/>
    </row>
    <row r="596" spans="1:55" customFormat="1" ht="21" customHeight="1" x14ac:dyDescent="0.25">
      <c r="A596" s="22"/>
      <c r="B596" s="42" t="s">
        <v>893</v>
      </c>
      <c r="C596" s="42" t="s">
        <v>246</v>
      </c>
      <c r="D596" s="42" t="s">
        <v>1070</v>
      </c>
      <c r="E596" s="34"/>
      <c r="F596" s="46"/>
      <c r="G596" s="46"/>
      <c r="H596" s="34"/>
      <c r="I596" s="46"/>
      <c r="J596" s="46"/>
      <c r="K596" s="46"/>
      <c r="L596" s="46"/>
      <c r="M596" s="46"/>
      <c r="N596" s="46"/>
      <c r="O596" s="46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  <c r="AA596" s="34"/>
      <c r="AB596" s="34"/>
      <c r="AC596" s="46"/>
      <c r="AD596" s="46"/>
      <c r="AE596" s="46"/>
      <c r="AF596" s="46"/>
      <c r="AG596" s="46"/>
      <c r="AH596" s="46"/>
      <c r="AI596" s="46"/>
      <c r="AJ596" s="46"/>
      <c r="AK596" s="46"/>
      <c r="AL596" s="46"/>
      <c r="AM596" s="46"/>
      <c r="AN596" s="46"/>
      <c r="AO596" s="46"/>
      <c r="AP596" s="46"/>
      <c r="AQ596" s="46"/>
      <c r="AR596" s="46"/>
      <c r="AS596" s="46"/>
      <c r="AT596" s="46"/>
      <c r="AU596" s="46"/>
      <c r="AV596" s="46"/>
      <c r="AW596" s="46"/>
      <c r="AX596" s="44"/>
      <c r="AY596" s="44"/>
      <c r="AZ596" s="44"/>
      <c r="BA596" s="46"/>
      <c r="BB596" s="34"/>
      <c r="BC596" s="34"/>
    </row>
    <row r="597" spans="1:55" customFormat="1" ht="21" customHeight="1" x14ac:dyDescent="0.25">
      <c r="A597" s="22"/>
      <c r="B597" s="42" t="s">
        <v>893</v>
      </c>
      <c r="C597" s="42" t="s">
        <v>246</v>
      </c>
      <c r="D597" s="42" t="s">
        <v>1071</v>
      </c>
      <c r="E597" s="34"/>
      <c r="F597" s="46"/>
      <c r="G597" s="46"/>
      <c r="H597" s="34"/>
      <c r="I597" s="46"/>
      <c r="J597" s="46"/>
      <c r="K597" s="46"/>
      <c r="L597" s="46"/>
      <c r="M597" s="46"/>
      <c r="N597" s="46"/>
      <c r="O597" s="46"/>
      <c r="P597" s="46">
        <v>1</v>
      </c>
      <c r="Q597" s="46"/>
      <c r="R597" s="46"/>
      <c r="S597" s="46"/>
      <c r="T597" s="46"/>
      <c r="U597" s="46"/>
      <c r="V597" s="46"/>
      <c r="W597" s="46"/>
      <c r="X597" s="46"/>
      <c r="Y597" s="46"/>
      <c r="Z597" s="46"/>
      <c r="AA597" s="34"/>
      <c r="AB597" s="34"/>
      <c r="AC597" s="46"/>
      <c r="AD597" s="46"/>
      <c r="AE597" s="46"/>
      <c r="AF597" s="46"/>
      <c r="AG597" s="46"/>
      <c r="AH597" s="46"/>
      <c r="AI597" s="46"/>
      <c r="AJ597" s="46"/>
      <c r="AK597" s="46"/>
      <c r="AL597" s="46"/>
      <c r="AM597" s="46"/>
      <c r="AN597" s="46"/>
      <c r="AO597" s="46"/>
      <c r="AP597" s="46"/>
      <c r="AQ597" s="46"/>
      <c r="AR597" s="46"/>
      <c r="AS597" s="46"/>
      <c r="AT597" s="46"/>
      <c r="AU597" s="46"/>
      <c r="AV597" s="46"/>
      <c r="AW597" s="46"/>
      <c r="AX597" s="44"/>
      <c r="AY597" s="44"/>
      <c r="AZ597" s="44"/>
      <c r="BA597" s="46"/>
      <c r="BB597" s="34"/>
      <c r="BC597" s="34">
        <v>1</v>
      </c>
    </row>
    <row r="598" spans="1:55" customFormat="1" ht="21" customHeight="1" x14ac:dyDescent="0.25">
      <c r="A598" s="22"/>
      <c r="B598" s="42" t="s">
        <v>893</v>
      </c>
      <c r="C598" s="42" t="s">
        <v>246</v>
      </c>
      <c r="D598" s="42" t="s">
        <v>1072</v>
      </c>
      <c r="E598" s="34"/>
      <c r="F598" s="46"/>
      <c r="G598" s="46"/>
      <c r="H598" s="34"/>
      <c r="I598" s="46"/>
      <c r="J598" s="46"/>
      <c r="K598" s="46"/>
      <c r="L598" s="46"/>
      <c r="M598" s="46"/>
      <c r="N598" s="46"/>
      <c r="O598" s="46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  <c r="AA598" s="34"/>
      <c r="AB598" s="34"/>
      <c r="AC598" s="46"/>
      <c r="AD598" s="46"/>
      <c r="AE598" s="46"/>
      <c r="AF598" s="46"/>
      <c r="AG598" s="46"/>
      <c r="AH598" s="46"/>
      <c r="AI598" s="46"/>
      <c r="AJ598" s="46"/>
      <c r="AK598" s="46"/>
      <c r="AL598" s="46"/>
      <c r="AM598" s="46"/>
      <c r="AN598" s="46"/>
      <c r="AO598" s="46"/>
      <c r="AP598" s="46"/>
      <c r="AQ598" s="46"/>
      <c r="AR598" s="46"/>
      <c r="AS598" s="46"/>
      <c r="AT598" s="46"/>
      <c r="AU598" s="46"/>
      <c r="AV598" s="46"/>
      <c r="AW598" s="46"/>
      <c r="AX598" s="44"/>
      <c r="AY598" s="44"/>
      <c r="AZ598" s="44">
        <v>1</v>
      </c>
      <c r="BA598" s="46"/>
      <c r="BB598" s="34"/>
      <c r="BC598" s="34"/>
    </row>
    <row r="599" spans="1:55" customFormat="1" ht="21" customHeight="1" x14ac:dyDescent="0.25">
      <c r="A599" s="22"/>
      <c r="B599" s="42" t="s">
        <v>893</v>
      </c>
      <c r="C599" s="42" t="s">
        <v>246</v>
      </c>
      <c r="D599" s="42" t="s">
        <v>1073</v>
      </c>
      <c r="E599" s="34"/>
      <c r="F599" s="46"/>
      <c r="G599" s="46"/>
      <c r="H599" s="34"/>
      <c r="I599" s="46"/>
      <c r="J599" s="46"/>
      <c r="K599" s="46"/>
      <c r="L599" s="46"/>
      <c r="M599" s="46"/>
      <c r="N599" s="46"/>
      <c r="O599" s="46"/>
      <c r="P599" s="46"/>
      <c r="Q599" s="42">
        <v>1</v>
      </c>
      <c r="R599" s="46"/>
      <c r="S599" s="46"/>
      <c r="T599" s="46"/>
      <c r="U599" s="46"/>
      <c r="V599" s="46"/>
      <c r="W599" s="46"/>
      <c r="X599" s="46"/>
      <c r="Y599" s="46"/>
      <c r="Z599" s="46"/>
      <c r="AA599" s="34"/>
      <c r="AB599" s="34"/>
      <c r="AC599" s="46"/>
      <c r="AD599" s="46"/>
      <c r="AE599" s="46"/>
      <c r="AF599" s="46"/>
      <c r="AG599" s="46"/>
      <c r="AH599" s="46"/>
      <c r="AI599" s="46"/>
      <c r="AJ599" s="46"/>
      <c r="AK599" s="46"/>
      <c r="AL599" s="46"/>
      <c r="AM599" s="46"/>
      <c r="AN599" s="46"/>
      <c r="AO599" s="46"/>
      <c r="AP599" s="46"/>
      <c r="AQ599" s="46"/>
      <c r="AR599" s="46"/>
      <c r="AS599" s="46"/>
      <c r="AT599" s="46"/>
      <c r="AU599" s="46"/>
      <c r="AV599" s="46"/>
      <c r="AW599" s="46"/>
      <c r="AX599" s="44"/>
      <c r="AY599" s="44"/>
      <c r="AZ599" s="44">
        <v>1</v>
      </c>
      <c r="BA599" s="46"/>
      <c r="BB599" s="34">
        <v>1</v>
      </c>
      <c r="BC599" s="34"/>
    </row>
    <row r="600" spans="1:55" customFormat="1" ht="21" customHeight="1" x14ac:dyDescent="0.25">
      <c r="A600" s="22"/>
      <c r="B600" s="42" t="s">
        <v>893</v>
      </c>
      <c r="C600" s="42" t="s">
        <v>255</v>
      </c>
      <c r="D600" s="42" t="s">
        <v>1074</v>
      </c>
      <c r="E600" s="34"/>
      <c r="F600" s="46"/>
      <c r="G600" s="46"/>
      <c r="H600" s="34"/>
      <c r="I600" s="46"/>
      <c r="J600" s="46"/>
      <c r="K600" s="46"/>
      <c r="L600" s="46"/>
      <c r="M600" s="46"/>
      <c r="N600" s="46"/>
      <c r="O600" s="46"/>
      <c r="P600" s="34">
        <v>1</v>
      </c>
      <c r="Q600" s="46"/>
      <c r="R600" s="46"/>
      <c r="S600" s="46"/>
      <c r="T600" s="46"/>
      <c r="U600" s="46"/>
      <c r="V600" s="46"/>
      <c r="W600" s="46"/>
      <c r="X600" s="46"/>
      <c r="Y600" s="46"/>
      <c r="Z600" s="46"/>
      <c r="AA600" s="34"/>
      <c r="AB600" s="34"/>
      <c r="AC600" s="46"/>
      <c r="AD600" s="46"/>
      <c r="AE600" s="46"/>
      <c r="AF600" s="46"/>
      <c r="AG600" s="46"/>
      <c r="AH600" s="46"/>
      <c r="AI600" s="46"/>
      <c r="AJ600" s="46"/>
      <c r="AK600" s="46"/>
      <c r="AL600" s="46"/>
      <c r="AM600" s="46"/>
      <c r="AN600" s="46"/>
      <c r="AO600" s="46"/>
      <c r="AP600" s="46"/>
      <c r="AQ600" s="46"/>
      <c r="AR600" s="46"/>
      <c r="AS600" s="46"/>
      <c r="AT600" s="46"/>
      <c r="AU600" s="46"/>
      <c r="AV600" s="46"/>
      <c r="AW600" s="46"/>
      <c r="AX600" s="44"/>
      <c r="AY600" s="44">
        <v>1</v>
      </c>
      <c r="AZ600" s="44">
        <v>1</v>
      </c>
      <c r="BA600" s="46"/>
      <c r="BB600" s="34"/>
      <c r="BC600" s="34"/>
    </row>
    <row r="601" spans="1:55" customFormat="1" ht="21" customHeight="1" x14ac:dyDescent="0.25">
      <c r="A601" s="22"/>
      <c r="B601" s="42" t="s">
        <v>893</v>
      </c>
      <c r="C601" s="42" t="s">
        <v>255</v>
      </c>
      <c r="D601" s="42" t="s">
        <v>1075</v>
      </c>
      <c r="E601" s="34"/>
      <c r="F601" s="46"/>
      <c r="G601" s="46"/>
      <c r="H601" s="34"/>
      <c r="I601" s="46"/>
      <c r="J601" s="46"/>
      <c r="K601" s="46"/>
      <c r="L601" s="46"/>
      <c r="M601" s="46"/>
      <c r="N601" s="46"/>
      <c r="O601" s="46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  <c r="AA601" s="34"/>
      <c r="AB601" s="34"/>
      <c r="AC601" s="46"/>
      <c r="AD601" s="46"/>
      <c r="AE601" s="46"/>
      <c r="AF601" s="46"/>
      <c r="AG601" s="46"/>
      <c r="AH601" s="46"/>
      <c r="AI601" s="46"/>
      <c r="AJ601" s="46"/>
      <c r="AK601" s="46"/>
      <c r="AL601" s="46"/>
      <c r="AM601" s="46"/>
      <c r="AN601" s="46"/>
      <c r="AO601" s="46"/>
      <c r="AP601" s="46"/>
      <c r="AQ601" s="46"/>
      <c r="AR601" s="46"/>
      <c r="AS601" s="46"/>
      <c r="AT601" s="46"/>
      <c r="AU601" s="46"/>
      <c r="AV601" s="46"/>
      <c r="AW601" s="46"/>
      <c r="AX601" s="44"/>
      <c r="AY601" s="44"/>
      <c r="AZ601" s="44"/>
      <c r="BA601" s="46"/>
      <c r="BB601" s="34"/>
      <c r="BC601" s="34"/>
    </row>
    <row r="602" spans="1:55" customFormat="1" ht="21" customHeight="1" x14ac:dyDescent="0.25">
      <c r="A602" s="22"/>
      <c r="B602" s="42" t="s">
        <v>893</v>
      </c>
      <c r="C602" s="42" t="s">
        <v>246</v>
      </c>
      <c r="D602" s="42" t="s">
        <v>1076</v>
      </c>
      <c r="E602" s="34"/>
      <c r="F602" s="46"/>
      <c r="G602" s="46"/>
      <c r="H602" s="34"/>
      <c r="I602" s="46"/>
      <c r="J602" s="46"/>
      <c r="K602" s="46"/>
      <c r="L602" s="46"/>
      <c r="M602" s="46"/>
      <c r="N602" s="46"/>
      <c r="O602" s="46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  <c r="AA602" s="34"/>
      <c r="AB602" s="34"/>
      <c r="AC602" s="46"/>
      <c r="AD602" s="46"/>
      <c r="AE602" s="46"/>
      <c r="AF602" s="46"/>
      <c r="AG602" s="46"/>
      <c r="AH602" s="46"/>
      <c r="AI602" s="46"/>
      <c r="AJ602" s="46"/>
      <c r="AK602" s="46"/>
      <c r="AL602" s="46"/>
      <c r="AM602" s="46"/>
      <c r="AN602" s="46"/>
      <c r="AO602" s="46"/>
      <c r="AP602" s="46"/>
      <c r="AQ602" s="46"/>
      <c r="AR602" s="46"/>
      <c r="AS602" s="46"/>
      <c r="AT602" s="46"/>
      <c r="AU602" s="46"/>
      <c r="AV602" s="46"/>
      <c r="AW602" s="46"/>
      <c r="AX602" s="44"/>
      <c r="AY602" s="44"/>
      <c r="AZ602" s="44">
        <v>1</v>
      </c>
      <c r="BA602" s="46"/>
      <c r="BB602" s="34"/>
      <c r="BC602" s="34"/>
    </row>
    <row r="603" spans="1:55" customFormat="1" ht="21" customHeight="1" x14ac:dyDescent="0.25">
      <c r="A603" s="22"/>
      <c r="B603" s="42" t="s">
        <v>893</v>
      </c>
      <c r="C603" s="42" t="s">
        <v>246</v>
      </c>
      <c r="D603" s="42" t="s">
        <v>1077</v>
      </c>
      <c r="E603" s="34"/>
      <c r="F603" s="46"/>
      <c r="G603" s="46"/>
      <c r="H603" s="34"/>
      <c r="I603" s="46"/>
      <c r="J603" s="46"/>
      <c r="K603" s="46"/>
      <c r="L603" s="46"/>
      <c r="M603" s="46"/>
      <c r="N603" s="46"/>
      <c r="O603" s="46"/>
      <c r="P603" s="34">
        <v>1</v>
      </c>
      <c r="Q603" s="46"/>
      <c r="R603" s="46"/>
      <c r="S603" s="46"/>
      <c r="T603" s="46"/>
      <c r="U603" s="46"/>
      <c r="V603" s="46"/>
      <c r="W603" s="46"/>
      <c r="X603" s="46"/>
      <c r="Y603" s="46"/>
      <c r="Z603" s="46"/>
      <c r="AA603" s="34"/>
      <c r="AB603" s="34"/>
      <c r="AC603" s="46"/>
      <c r="AD603" s="46"/>
      <c r="AE603" s="46"/>
      <c r="AF603" s="46"/>
      <c r="AG603" s="46"/>
      <c r="AH603" s="46"/>
      <c r="AI603" s="46"/>
      <c r="AJ603" s="46"/>
      <c r="AK603" s="46"/>
      <c r="AL603" s="46"/>
      <c r="AM603" s="46"/>
      <c r="AN603" s="46"/>
      <c r="AO603" s="46"/>
      <c r="AP603" s="46"/>
      <c r="AQ603" s="46"/>
      <c r="AR603" s="46"/>
      <c r="AS603" s="46"/>
      <c r="AT603" s="46"/>
      <c r="AU603" s="46"/>
      <c r="AV603" s="46"/>
      <c r="AW603" s="46"/>
      <c r="AX603" s="44"/>
      <c r="AY603" s="44">
        <v>1</v>
      </c>
      <c r="AZ603" s="44"/>
      <c r="BA603" s="46"/>
      <c r="BB603" s="34">
        <v>1</v>
      </c>
      <c r="BC603" s="34"/>
    </row>
    <row r="604" spans="1:55" customFormat="1" ht="21" customHeight="1" x14ac:dyDescent="0.25">
      <c r="A604" s="22"/>
      <c r="B604" s="42" t="s">
        <v>893</v>
      </c>
      <c r="C604" s="42" t="s">
        <v>246</v>
      </c>
      <c r="D604" s="42" t="s">
        <v>1078</v>
      </c>
      <c r="E604" s="34"/>
      <c r="F604" s="46"/>
      <c r="G604" s="46"/>
      <c r="H604" s="34"/>
      <c r="I604" s="46"/>
      <c r="J604" s="46"/>
      <c r="K604" s="46"/>
      <c r="L604" s="46"/>
      <c r="M604" s="46"/>
      <c r="N604" s="46"/>
      <c r="O604" s="46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  <c r="AA604" s="34"/>
      <c r="AB604" s="34"/>
      <c r="AC604" s="46"/>
      <c r="AD604" s="46"/>
      <c r="AE604" s="46"/>
      <c r="AF604" s="46"/>
      <c r="AG604" s="46"/>
      <c r="AH604" s="46"/>
      <c r="AI604" s="46"/>
      <c r="AJ604" s="46"/>
      <c r="AK604" s="46"/>
      <c r="AL604" s="46"/>
      <c r="AM604" s="46"/>
      <c r="AN604" s="46"/>
      <c r="AO604" s="46"/>
      <c r="AP604" s="46"/>
      <c r="AQ604" s="46"/>
      <c r="AR604" s="46"/>
      <c r="AS604" s="46"/>
      <c r="AT604" s="46"/>
      <c r="AU604" s="46"/>
      <c r="AV604" s="46"/>
      <c r="AW604" s="46"/>
      <c r="AX604" s="44"/>
      <c r="AY604" s="44"/>
      <c r="AZ604" s="44">
        <v>1</v>
      </c>
      <c r="BA604" s="46"/>
      <c r="BB604" s="34"/>
      <c r="BC604" s="34"/>
    </row>
    <row r="605" spans="1:55" customFormat="1" ht="21" customHeight="1" x14ac:dyDescent="0.25">
      <c r="A605" s="22"/>
      <c r="B605" s="42" t="s">
        <v>893</v>
      </c>
      <c r="C605" s="42" t="s">
        <v>246</v>
      </c>
      <c r="D605" s="42" t="s">
        <v>1079</v>
      </c>
      <c r="E605" s="34"/>
      <c r="F605" s="46"/>
      <c r="G605" s="46"/>
      <c r="H605" s="34"/>
      <c r="I605" s="46"/>
      <c r="J605" s="46"/>
      <c r="K605" s="46"/>
      <c r="L605" s="46"/>
      <c r="M605" s="46"/>
      <c r="N605" s="46"/>
      <c r="O605" s="46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  <c r="AA605" s="34"/>
      <c r="AB605" s="34"/>
      <c r="AC605" s="46"/>
      <c r="AD605" s="46"/>
      <c r="AE605" s="46"/>
      <c r="AF605" s="46"/>
      <c r="AG605" s="46"/>
      <c r="AH605" s="46"/>
      <c r="AI605" s="46"/>
      <c r="AJ605" s="46"/>
      <c r="AK605" s="46"/>
      <c r="AL605" s="46"/>
      <c r="AM605" s="46"/>
      <c r="AN605" s="46"/>
      <c r="AO605" s="46"/>
      <c r="AP605" s="46"/>
      <c r="AQ605" s="46"/>
      <c r="AR605" s="46"/>
      <c r="AS605" s="46"/>
      <c r="AT605" s="46"/>
      <c r="AU605" s="46"/>
      <c r="AV605" s="46"/>
      <c r="AW605" s="46"/>
      <c r="AX605" s="44"/>
      <c r="AY605" s="44"/>
      <c r="AZ605" s="44"/>
      <c r="BA605" s="46"/>
      <c r="BB605" s="34"/>
      <c r="BC605" s="34"/>
    </row>
    <row r="606" spans="1:55" customFormat="1" ht="21" customHeight="1" x14ac:dyDescent="0.25">
      <c r="A606" s="22"/>
      <c r="B606" s="42" t="s">
        <v>893</v>
      </c>
      <c r="C606" s="42" t="s">
        <v>255</v>
      </c>
      <c r="D606" s="42" t="s">
        <v>1080</v>
      </c>
      <c r="E606" s="34"/>
      <c r="F606" s="46"/>
      <c r="G606" s="46"/>
      <c r="H606" s="34"/>
      <c r="I606" s="46"/>
      <c r="J606" s="46"/>
      <c r="K606" s="46"/>
      <c r="L606" s="46"/>
      <c r="M606" s="46"/>
      <c r="N606" s="46"/>
      <c r="O606" s="46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  <c r="AA606" s="34"/>
      <c r="AB606" s="34"/>
      <c r="AC606" s="46"/>
      <c r="AD606" s="46"/>
      <c r="AE606" s="46"/>
      <c r="AF606" s="46"/>
      <c r="AG606" s="46"/>
      <c r="AH606" s="46"/>
      <c r="AI606" s="46"/>
      <c r="AJ606" s="46"/>
      <c r="AK606" s="46"/>
      <c r="AL606" s="46"/>
      <c r="AM606" s="46"/>
      <c r="AN606" s="46"/>
      <c r="AO606" s="46"/>
      <c r="AP606" s="46"/>
      <c r="AQ606" s="46"/>
      <c r="AR606" s="46"/>
      <c r="AS606" s="46"/>
      <c r="AT606" s="46"/>
      <c r="AU606" s="46"/>
      <c r="AV606" s="46"/>
      <c r="AW606" s="46"/>
      <c r="AX606" s="44"/>
      <c r="AY606" s="44"/>
      <c r="AZ606" s="44">
        <v>1</v>
      </c>
      <c r="BA606" s="46"/>
      <c r="BB606" s="34"/>
      <c r="BC606" s="34"/>
    </row>
    <row r="607" spans="1:55" customFormat="1" ht="21" customHeight="1" x14ac:dyDescent="0.25">
      <c r="A607" s="22"/>
      <c r="B607" s="42" t="s">
        <v>893</v>
      </c>
      <c r="C607" s="42" t="s">
        <v>248</v>
      </c>
      <c r="D607" s="42" t="s">
        <v>1081</v>
      </c>
      <c r="E607" s="34"/>
      <c r="F607" s="46"/>
      <c r="G607" s="46"/>
      <c r="H607" s="34"/>
      <c r="I607" s="46"/>
      <c r="J607" s="46"/>
      <c r="K607" s="46"/>
      <c r="L607" s="46"/>
      <c r="M607" s="46"/>
      <c r="N607" s="46"/>
      <c r="O607" s="46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  <c r="AA607" s="34"/>
      <c r="AB607" s="34"/>
      <c r="AC607" s="46"/>
      <c r="AD607" s="46"/>
      <c r="AE607" s="46"/>
      <c r="AF607" s="46"/>
      <c r="AG607" s="46"/>
      <c r="AH607" s="46"/>
      <c r="AI607" s="46"/>
      <c r="AJ607" s="46"/>
      <c r="AK607" s="46"/>
      <c r="AL607" s="46"/>
      <c r="AM607" s="46"/>
      <c r="AN607" s="46"/>
      <c r="AO607" s="46"/>
      <c r="AP607" s="46"/>
      <c r="AQ607" s="46"/>
      <c r="AR607" s="46"/>
      <c r="AS607" s="46"/>
      <c r="AT607" s="46"/>
      <c r="AU607" s="46"/>
      <c r="AV607" s="46"/>
      <c r="AW607" s="46"/>
      <c r="AX607" s="44"/>
      <c r="AY607" s="44"/>
      <c r="AZ607" s="44">
        <v>1</v>
      </c>
      <c r="BA607" s="46"/>
      <c r="BB607" s="34"/>
      <c r="BC607" s="34"/>
    </row>
    <row r="608" spans="1:55" customFormat="1" ht="21" customHeight="1" x14ac:dyDescent="0.25">
      <c r="A608" s="22"/>
      <c r="B608" s="42" t="s">
        <v>893</v>
      </c>
      <c r="C608" s="42" t="s">
        <v>246</v>
      </c>
      <c r="D608" s="42" t="s">
        <v>1082</v>
      </c>
      <c r="E608" s="34"/>
      <c r="F608" s="46"/>
      <c r="G608" s="46"/>
      <c r="H608" s="34"/>
      <c r="I608" s="46"/>
      <c r="J608" s="46"/>
      <c r="K608" s="46"/>
      <c r="L608" s="46"/>
      <c r="M608" s="46"/>
      <c r="N608" s="46"/>
      <c r="O608" s="46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  <c r="AA608" s="34"/>
      <c r="AB608" s="34"/>
      <c r="AC608" s="46"/>
      <c r="AD608" s="46"/>
      <c r="AE608" s="46"/>
      <c r="AF608" s="46"/>
      <c r="AG608" s="46"/>
      <c r="AH608" s="46"/>
      <c r="AI608" s="46"/>
      <c r="AJ608" s="46"/>
      <c r="AK608" s="46"/>
      <c r="AL608" s="46"/>
      <c r="AM608" s="46"/>
      <c r="AN608" s="46"/>
      <c r="AO608" s="46"/>
      <c r="AP608" s="46"/>
      <c r="AQ608" s="46"/>
      <c r="AR608" s="46"/>
      <c r="AS608" s="46"/>
      <c r="AT608" s="46"/>
      <c r="AU608" s="46"/>
      <c r="AV608" s="46"/>
      <c r="AW608" s="46"/>
      <c r="AX608" s="44"/>
      <c r="AY608" s="44"/>
      <c r="AZ608" s="44"/>
      <c r="BA608" s="46"/>
      <c r="BB608" s="34"/>
      <c r="BC608" s="34"/>
    </row>
    <row r="609" spans="1:55" customFormat="1" ht="21" customHeight="1" x14ac:dyDescent="0.25">
      <c r="A609" s="22"/>
      <c r="B609" s="42" t="s">
        <v>893</v>
      </c>
      <c r="C609" s="42" t="s">
        <v>246</v>
      </c>
      <c r="D609" s="42" t="s">
        <v>1083</v>
      </c>
      <c r="E609" s="34"/>
      <c r="F609" s="46"/>
      <c r="G609" s="46"/>
      <c r="H609" s="34"/>
      <c r="I609" s="46"/>
      <c r="J609" s="46"/>
      <c r="K609" s="46"/>
      <c r="L609" s="46"/>
      <c r="M609" s="46"/>
      <c r="N609" s="46"/>
      <c r="O609" s="46"/>
      <c r="P609" s="46"/>
      <c r="Q609" s="42">
        <v>1</v>
      </c>
      <c r="R609" s="46"/>
      <c r="S609" s="46"/>
      <c r="T609" s="46"/>
      <c r="U609" s="46"/>
      <c r="V609" s="46"/>
      <c r="W609" s="46"/>
      <c r="X609" s="46"/>
      <c r="Y609" s="46"/>
      <c r="Z609" s="46"/>
      <c r="AA609" s="34"/>
      <c r="AB609" s="34"/>
      <c r="AC609" s="46"/>
      <c r="AD609" s="46"/>
      <c r="AE609" s="46"/>
      <c r="AF609" s="46"/>
      <c r="AG609" s="46"/>
      <c r="AH609" s="46"/>
      <c r="AI609" s="46"/>
      <c r="AJ609" s="46"/>
      <c r="AK609" s="46"/>
      <c r="AL609" s="46"/>
      <c r="AM609" s="46"/>
      <c r="AN609" s="46"/>
      <c r="AO609" s="46"/>
      <c r="AP609" s="46"/>
      <c r="AQ609" s="46"/>
      <c r="AR609" s="46"/>
      <c r="AS609" s="46"/>
      <c r="AT609" s="46"/>
      <c r="AU609" s="46"/>
      <c r="AV609" s="46"/>
      <c r="AW609" s="46"/>
      <c r="AX609" s="44"/>
      <c r="AY609" s="44"/>
      <c r="AZ609" s="44"/>
      <c r="BA609" s="46"/>
      <c r="BB609" s="34"/>
      <c r="BC609" s="34"/>
    </row>
    <row r="610" spans="1:55" customFormat="1" ht="21" customHeight="1" x14ac:dyDescent="0.25">
      <c r="A610" s="22"/>
      <c r="B610" s="42" t="s">
        <v>893</v>
      </c>
      <c r="C610" s="42" t="s">
        <v>246</v>
      </c>
      <c r="D610" s="42" t="s">
        <v>1084</v>
      </c>
      <c r="E610" s="34"/>
      <c r="F610" s="46"/>
      <c r="G610" s="46"/>
      <c r="H610" s="34"/>
      <c r="I610" s="46"/>
      <c r="J610" s="46"/>
      <c r="K610" s="46"/>
      <c r="L610" s="46"/>
      <c r="M610" s="46"/>
      <c r="N610" s="46"/>
      <c r="O610" s="46"/>
      <c r="P610" s="46"/>
      <c r="Q610" s="42">
        <v>1</v>
      </c>
      <c r="R610" s="46"/>
      <c r="S610" s="46"/>
      <c r="T610" s="46"/>
      <c r="U610" s="46"/>
      <c r="V610" s="46"/>
      <c r="W610" s="46"/>
      <c r="X610" s="46"/>
      <c r="Y610" s="46"/>
      <c r="Z610" s="46"/>
      <c r="AA610" s="34"/>
      <c r="AB610" s="34"/>
      <c r="AC610" s="46"/>
      <c r="AD610" s="46"/>
      <c r="AE610" s="46"/>
      <c r="AF610" s="46"/>
      <c r="AG610" s="46"/>
      <c r="AH610" s="46"/>
      <c r="AI610" s="46"/>
      <c r="AJ610" s="46"/>
      <c r="AK610" s="46"/>
      <c r="AL610" s="46"/>
      <c r="AM610" s="46"/>
      <c r="AN610" s="46"/>
      <c r="AO610" s="46"/>
      <c r="AP610" s="46"/>
      <c r="AQ610" s="46"/>
      <c r="AR610" s="46"/>
      <c r="AS610" s="46"/>
      <c r="AT610" s="46"/>
      <c r="AU610" s="46"/>
      <c r="AV610" s="46"/>
      <c r="AW610" s="46"/>
      <c r="AX610" s="44"/>
      <c r="AY610" s="44"/>
      <c r="AZ610" s="44">
        <v>1</v>
      </c>
      <c r="BA610" s="46"/>
      <c r="BB610" s="34"/>
      <c r="BC610" s="34"/>
    </row>
    <row r="611" spans="1:55" customFormat="1" ht="21" customHeight="1" x14ac:dyDescent="0.25">
      <c r="A611" s="22"/>
      <c r="B611" s="42" t="s">
        <v>893</v>
      </c>
      <c r="C611" s="42" t="s">
        <v>246</v>
      </c>
      <c r="D611" s="42" t="s">
        <v>1085</v>
      </c>
      <c r="E611" s="34"/>
      <c r="F611" s="46"/>
      <c r="G611" s="46"/>
      <c r="H611" s="34"/>
      <c r="I611" s="46"/>
      <c r="J611" s="46"/>
      <c r="K611" s="46"/>
      <c r="L611" s="46"/>
      <c r="M611" s="46"/>
      <c r="N611" s="46"/>
      <c r="O611" s="46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  <c r="AA611" s="34"/>
      <c r="AB611" s="34"/>
      <c r="AC611" s="46"/>
      <c r="AD611" s="46"/>
      <c r="AE611" s="46"/>
      <c r="AF611" s="46"/>
      <c r="AG611" s="46"/>
      <c r="AH611" s="46"/>
      <c r="AI611" s="46"/>
      <c r="AJ611" s="46"/>
      <c r="AK611" s="46"/>
      <c r="AL611" s="46"/>
      <c r="AM611" s="46"/>
      <c r="AN611" s="46"/>
      <c r="AO611" s="46"/>
      <c r="AP611" s="46"/>
      <c r="AQ611" s="46"/>
      <c r="AR611" s="46"/>
      <c r="AS611" s="46"/>
      <c r="AT611" s="46"/>
      <c r="AU611" s="46"/>
      <c r="AV611" s="46"/>
      <c r="AW611" s="46"/>
      <c r="AX611" s="44"/>
      <c r="AY611" s="44"/>
      <c r="AZ611" s="44"/>
      <c r="BA611" s="46"/>
      <c r="BB611" s="34"/>
      <c r="BC611" s="34"/>
    </row>
    <row r="612" spans="1:55" customFormat="1" ht="21" customHeight="1" x14ac:dyDescent="0.25">
      <c r="A612" s="22"/>
      <c r="B612" s="42" t="s">
        <v>893</v>
      </c>
      <c r="C612" s="42" t="s">
        <v>248</v>
      </c>
      <c r="D612" s="42" t="s">
        <v>1086</v>
      </c>
      <c r="E612" s="34"/>
      <c r="F612" s="46"/>
      <c r="G612" s="46"/>
      <c r="H612" s="34"/>
      <c r="I612" s="46"/>
      <c r="J612" s="46"/>
      <c r="K612" s="46"/>
      <c r="L612" s="46"/>
      <c r="M612" s="46"/>
      <c r="N612" s="46"/>
      <c r="O612" s="46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  <c r="AA612" s="34"/>
      <c r="AB612" s="34"/>
      <c r="AC612" s="46"/>
      <c r="AD612" s="46"/>
      <c r="AE612" s="46"/>
      <c r="AF612" s="46"/>
      <c r="AG612" s="46"/>
      <c r="AH612" s="46"/>
      <c r="AI612" s="46"/>
      <c r="AJ612" s="46"/>
      <c r="AK612" s="46"/>
      <c r="AL612" s="46"/>
      <c r="AM612" s="46"/>
      <c r="AN612" s="46"/>
      <c r="AO612" s="46"/>
      <c r="AP612" s="46"/>
      <c r="AQ612" s="46"/>
      <c r="AR612" s="46"/>
      <c r="AS612" s="46"/>
      <c r="AT612" s="46"/>
      <c r="AU612" s="46"/>
      <c r="AV612" s="46"/>
      <c r="AW612" s="46"/>
      <c r="AX612" s="44"/>
      <c r="AY612" s="44"/>
      <c r="AZ612" s="44"/>
      <c r="BA612" s="46"/>
      <c r="BB612" s="34"/>
      <c r="BC612" s="34"/>
    </row>
    <row r="613" spans="1:55" customFormat="1" ht="21" customHeight="1" x14ac:dyDescent="0.25">
      <c r="A613" s="22"/>
      <c r="B613" s="42" t="s">
        <v>893</v>
      </c>
      <c r="C613" s="42" t="s">
        <v>247</v>
      </c>
      <c r="D613" s="42" t="s">
        <v>1087</v>
      </c>
      <c r="E613" s="34"/>
      <c r="F613" s="46"/>
      <c r="G613" s="46"/>
      <c r="H613" s="34"/>
      <c r="I613" s="46"/>
      <c r="J613" s="46"/>
      <c r="K613" s="46"/>
      <c r="L613" s="46"/>
      <c r="M613" s="46"/>
      <c r="N613" s="46"/>
      <c r="O613" s="46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  <c r="AA613" s="34"/>
      <c r="AB613" s="34"/>
      <c r="AC613" s="46"/>
      <c r="AD613" s="46"/>
      <c r="AE613" s="46"/>
      <c r="AF613" s="46"/>
      <c r="AG613" s="46"/>
      <c r="AH613" s="46"/>
      <c r="AI613" s="46"/>
      <c r="AJ613" s="46"/>
      <c r="AK613" s="46"/>
      <c r="AL613" s="46"/>
      <c r="AM613" s="46"/>
      <c r="AN613" s="46"/>
      <c r="AO613" s="46"/>
      <c r="AP613" s="46"/>
      <c r="AQ613" s="46"/>
      <c r="AR613" s="46"/>
      <c r="AS613" s="46"/>
      <c r="AT613" s="46"/>
      <c r="AU613" s="46"/>
      <c r="AV613" s="46"/>
      <c r="AW613" s="46"/>
      <c r="AX613" s="44"/>
      <c r="AY613" s="44"/>
      <c r="AZ613" s="44">
        <v>1</v>
      </c>
      <c r="BA613" s="46"/>
      <c r="BB613" s="34"/>
      <c r="BC613" s="34"/>
    </row>
    <row r="614" spans="1:55" customFormat="1" ht="21" customHeight="1" x14ac:dyDescent="0.25">
      <c r="A614" s="22"/>
      <c r="B614" s="42" t="s">
        <v>893</v>
      </c>
      <c r="C614" s="42" t="s">
        <v>246</v>
      </c>
      <c r="D614" s="42" t="s">
        <v>1088</v>
      </c>
      <c r="E614" s="34"/>
      <c r="F614" s="46"/>
      <c r="G614" s="46"/>
      <c r="H614" s="34"/>
      <c r="I614" s="46"/>
      <c r="J614" s="46"/>
      <c r="K614" s="46"/>
      <c r="L614" s="46"/>
      <c r="M614" s="46"/>
      <c r="N614" s="46"/>
      <c r="O614" s="46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  <c r="AA614" s="34"/>
      <c r="AB614" s="34"/>
      <c r="AC614" s="46"/>
      <c r="AD614" s="46"/>
      <c r="AE614" s="46"/>
      <c r="AF614" s="46"/>
      <c r="AG614" s="46"/>
      <c r="AH614" s="46"/>
      <c r="AI614" s="46"/>
      <c r="AJ614" s="46"/>
      <c r="AK614" s="46"/>
      <c r="AL614" s="46"/>
      <c r="AM614" s="46"/>
      <c r="AN614" s="46"/>
      <c r="AO614" s="46"/>
      <c r="AP614" s="46"/>
      <c r="AQ614" s="46"/>
      <c r="AR614" s="46"/>
      <c r="AS614" s="46"/>
      <c r="AT614" s="46"/>
      <c r="AU614" s="46"/>
      <c r="AV614" s="46"/>
      <c r="AW614" s="46"/>
      <c r="AX614" s="44"/>
      <c r="AY614" s="44">
        <v>1</v>
      </c>
      <c r="AZ614" s="44"/>
      <c r="BA614" s="46"/>
      <c r="BB614" s="34"/>
      <c r="BC614" s="34"/>
    </row>
    <row r="615" spans="1:55" customFormat="1" ht="21" customHeight="1" x14ac:dyDescent="0.25">
      <c r="A615" s="22"/>
      <c r="B615" s="42" t="s">
        <v>893</v>
      </c>
      <c r="C615" s="42" t="s">
        <v>255</v>
      </c>
      <c r="D615" s="42" t="s">
        <v>1089</v>
      </c>
      <c r="E615" s="34"/>
      <c r="F615" s="46"/>
      <c r="G615" s="46"/>
      <c r="H615" s="34"/>
      <c r="I615" s="46"/>
      <c r="J615" s="46"/>
      <c r="K615" s="46"/>
      <c r="L615" s="46"/>
      <c r="M615" s="46"/>
      <c r="N615" s="46"/>
      <c r="O615" s="46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  <c r="AA615" s="34"/>
      <c r="AB615" s="34"/>
      <c r="AC615" s="46"/>
      <c r="AD615" s="46"/>
      <c r="AE615" s="46"/>
      <c r="AF615" s="46"/>
      <c r="AG615" s="46"/>
      <c r="AH615" s="46"/>
      <c r="AI615" s="46"/>
      <c r="AJ615" s="46"/>
      <c r="AK615" s="46"/>
      <c r="AL615" s="46"/>
      <c r="AM615" s="46"/>
      <c r="AN615" s="46"/>
      <c r="AO615" s="46"/>
      <c r="AP615" s="46"/>
      <c r="AQ615" s="46"/>
      <c r="AR615" s="46"/>
      <c r="AS615" s="46"/>
      <c r="AT615" s="46"/>
      <c r="AU615" s="46"/>
      <c r="AV615" s="46"/>
      <c r="AW615" s="46"/>
      <c r="AX615" s="44"/>
      <c r="AY615" s="44"/>
      <c r="AZ615" s="44"/>
      <c r="BA615" s="46"/>
      <c r="BB615" s="34"/>
      <c r="BC615" s="34"/>
    </row>
    <row r="616" spans="1:55" customFormat="1" ht="21" customHeight="1" x14ac:dyDescent="0.25">
      <c r="A616" s="22"/>
      <c r="B616" s="42" t="s">
        <v>893</v>
      </c>
      <c r="C616" s="42" t="s">
        <v>249</v>
      </c>
      <c r="D616" s="42" t="s">
        <v>1090</v>
      </c>
      <c r="E616" s="34"/>
      <c r="F616" s="46"/>
      <c r="G616" s="46"/>
      <c r="H616" s="34"/>
      <c r="I616" s="46"/>
      <c r="J616" s="46"/>
      <c r="K616" s="46"/>
      <c r="L616" s="46"/>
      <c r="M616" s="46"/>
      <c r="N616" s="46"/>
      <c r="O616" s="46"/>
      <c r="P616" s="46"/>
      <c r="Q616" s="34"/>
      <c r="R616" s="46"/>
      <c r="S616" s="46"/>
      <c r="T616" s="46"/>
      <c r="U616" s="46"/>
      <c r="V616" s="46"/>
      <c r="W616" s="46"/>
      <c r="X616" s="46"/>
      <c r="Y616" s="46"/>
      <c r="Z616" s="46"/>
      <c r="AA616" s="34"/>
      <c r="AB616" s="34"/>
      <c r="AC616" s="46"/>
      <c r="AD616" s="46"/>
      <c r="AE616" s="46"/>
      <c r="AF616" s="46"/>
      <c r="AG616" s="46"/>
      <c r="AH616" s="46"/>
      <c r="AI616" s="46"/>
      <c r="AJ616" s="46"/>
      <c r="AK616" s="46"/>
      <c r="AL616" s="46"/>
      <c r="AM616" s="34"/>
      <c r="AN616" s="46"/>
      <c r="AO616" s="46"/>
      <c r="AP616" s="46"/>
      <c r="AQ616" s="46"/>
      <c r="AR616" s="46"/>
      <c r="AS616" s="46"/>
      <c r="AT616" s="46"/>
      <c r="AU616" s="46"/>
      <c r="AV616" s="46"/>
      <c r="AW616" s="46"/>
      <c r="AX616" s="44"/>
      <c r="AY616" s="44"/>
      <c r="AZ616" s="44"/>
      <c r="BA616" s="34">
        <v>1</v>
      </c>
      <c r="BB616" s="34"/>
      <c r="BC616" s="34"/>
    </row>
    <row r="617" spans="1:55" customFormat="1" ht="21" customHeight="1" x14ac:dyDescent="0.25">
      <c r="A617" s="22"/>
      <c r="B617" s="42" t="s">
        <v>893</v>
      </c>
      <c r="C617" s="42" t="s">
        <v>246</v>
      </c>
      <c r="D617" s="42" t="s">
        <v>1091</v>
      </c>
      <c r="E617" s="34"/>
      <c r="F617" s="46"/>
      <c r="G617" s="46"/>
      <c r="H617" s="34"/>
      <c r="I617" s="46"/>
      <c r="J617" s="46"/>
      <c r="K617" s="46"/>
      <c r="L617" s="46"/>
      <c r="M617" s="46"/>
      <c r="N617" s="46"/>
      <c r="O617" s="46"/>
      <c r="P617" s="34">
        <v>1</v>
      </c>
      <c r="Q617" s="46"/>
      <c r="R617" s="46"/>
      <c r="S617" s="46"/>
      <c r="T617" s="46"/>
      <c r="U617" s="46"/>
      <c r="V617" s="46"/>
      <c r="W617" s="46"/>
      <c r="X617" s="46"/>
      <c r="Y617" s="46"/>
      <c r="Z617" s="46"/>
      <c r="AA617" s="34"/>
      <c r="AB617" s="34"/>
      <c r="AC617" s="46"/>
      <c r="AD617" s="46"/>
      <c r="AE617" s="46"/>
      <c r="AF617" s="46"/>
      <c r="AG617" s="46"/>
      <c r="AH617" s="46"/>
      <c r="AI617" s="46"/>
      <c r="AJ617" s="46"/>
      <c r="AK617" s="46"/>
      <c r="AL617" s="46"/>
      <c r="AM617" s="46"/>
      <c r="AN617" s="46"/>
      <c r="AO617" s="46"/>
      <c r="AP617" s="46"/>
      <c r="AQ617" s="46"/>
      <c r="AR617" s="46"/>
      <c r="AS617" s="46"/>
      <c r="AT617" s="46"/>
      <c r="AU617" s="46"/>
      <c r="AV617" s="46"/>
      <c r="AW617" s="46"/>
      <c r="AX617" s="44"/>
      <c r="AY617" s="44"/>
      <c r="AZ617" s="44">
        <v>1</v>
      </c>
      <c r="BA617" s="34">
        <v>1</v>
      </c>
      <c r="BB617" s="34"/>
      <c r="BC617" s="34"/>
    </row>
    <row r="618" spans="1:55" customFormat="1" ht="21" customHeight="1" x14ac:dyDescent="0.25">
      <c r="A618" s="22"/>
      <c r="B618" s="42" t="s">
        <v>893</v>
      </c>
      <c r="C618" s="42" t="s">
        <v>246</v>
      </c>
      <c r="D618" s="42" t="s">
        <v>1092</v>
      </c>
      <c r="E618" s="34"/>
      <c r="F618" s="46"/>
      <c r="G618" s="46"/>
      <c r="H618" s="34"/>
      <c r="I618" s="46"/>
      <c r="J618" s="46"/>
      <c r="K618" s="46"/>
      <c r="L618" s="46"/>
      <c r="M618" s="46"/>
      <c r="N618" s="46"/>
      <c r="O618" s="46"/>
      <c r="P618" s="34">
        <v>1</v>
      </c>
      <c r="Q618" s="42">
        <v>1</v>
      </c>
      <c r="R618" s="46"/>
      <c r="S618" s="46"/>
      <c r="T618" s="46"/>
      <c r="U618" s="46"/>
      <c r="V618" s="46"/>
      <c r="W618" s="46"/>
      <c r="X618" s="46"/>
      <c r="Y618" s="46"/>
      <c r="Z618" s="46"/>
      <c r="AA618" s="34">
        <v>1</v>
      </c>
      <c r="AB618" s="42">
        <v>1</v>
      </c>
      <c r="AC618" s="46"/>
      <c r="AD618" s="46"/>
      <c r="AE618" s="46"/>
      <c r="AF618" s="46"/>
      <c r="AG618" s="46"/>
      <c r="AH618" s="46"/>
      <c r="AI618" s="46"/>
      <c r="AJ618" s="46"/>
      <c r="AK618" s="46"/>
      <c r="AL618" s="46"/>
      <c r="AM618" s="42">
        <v>1</v>
      </c>
      <c r="AN618" s="46"/>
      <c r="AO618" s="46"/>
      <c r="AP618" s="46"/>
      <c r="AQ618" s="46"/>
      <c r="AR618" s="46"/>
      <c r="AS618" s="46"/>
      <c r="AT618" s="46"/>
      <c r="AU618" s="46"/>
      <c r="AV618" s="46"/>
      <c r="AW618" s="46"/>
      <c r="AX618" s="44"/>
      <c r="AY618" s="44"/>
      <c r="AZ618" s="44"/>
      <c r="BA618" s="34">
        <v>1</v>
      </c>
      <c r="BB618" s="34">
        <v>1</v>
      </c>
      <c r="BC618" s="34"/>
    </row>
    <row r="619" spans="1:55" customFormat="1" ht="21" customHeight="1" x14ac:dyDescent="0.25">
      <c r="A619" s="22"/>
      <c r="B619" s="42" t="s">
        <v>893</v>
      </c>
      <c r="C619" s="42" t="s">
        <v>246</v>
      </c>
      <c r="D619" s="42" t="s">
        <v>1093</v>
      </c>
      <c r="E619" s="34"/>
      <c r="F619" s="46"/>
      <c r="G619" s="46"/>
      <c r="H619" s="34"/>
      <c r="I619" s="46"/>
      <c r="J619" s="46"/>
      <c r="K619" s="46"/>
      <c r="L619" s="46"/>
      <c r="M619" s="46"/>
      <c r="N619" s="46"/>
      <c r="O619" s="46"/>
      <c r="P619" s="34">
        <v>1</v>
      </c>
      <c r="Q619" s="42">
        <v>1</v>
      </c>
      <c r="R619" s="46"/>
      <c r="S619" s="46"/>
      <c r="T619" s="46"/>
      <c r="U619" s="46"/>
      <c r="V619" s="46"/>
      <c r="W619" s="46"/>
      <c r="X619" s="46"/>
      <c r="Y619" s="46"/>
      <c r="Z619" s="46"/>
      <c r="AA619" s="34">
        <v>1</v>
      </c>
      <c r="AB619" s="42">
        <v>1</v>
      </c>
      <c r="AC619" s="46"/>
      <c r="AD619" s="46"/>
      <c r="AE619" s="46"/>
      <c r="AF619" s="46"/>
      <c r="AG619" s="46"/>
      <c r="AH619" s="46"/>
      <c r="AI619" s="46"/>
      <c r="AJ619" s="46"/>
      <c r="AK619" s="46"/>
      <c r="AL619" s="46"/>
      <c r="AM619" s="46"/>
      <c r="AN619" s="46"/>
      <c r="AO619" s="46"/>
      <c r="AP619" s="46"/>
      <c r="AQ619" s="46"/>
      <c r="AR619" s="46"/>
      <c r="AS619" s="46"/>
      <c r="AT619" s="46"/>
      <c r="AU619" s="46"/>
      <c r="AV619" s="46"/>
      <c r="AW619" s="46"/>
      <c r="AX619" s="44"/>
      <c r="AY619" s="44">
        <v>1</v>
      </c>
      <c r="AZ619" s="44">
        <v>1</v>
      </c>
      <c r="BA619" s="34">
        <v>1</v>
      </c>
      <c r="BB619" s="34">
        <v>1</v>
      </c>
      <c r="BC619" s="34">
        <v>1</v>
      </c>
    </row>
    <row r="620" spans="1:55" customFormat="1" ht="21" customHeight="1" x14ac:dyDescent="0.25">
      <c r="A620" s="22"/>
      <c r="B620" s="42" t="s">
        <v>893</v>
      </c>
      <c r="C620" s="42" t="s">
        <v>244</v>
      </c>
      <c r="D620" s="42" t="s">
        <v>1094</v>
      </c>
      <c r="E620" s="34"/>
      <c r="F620" s="46"/>
      <c r="G620" s="46"/>
      <c r="H620" s="34"/>
      <c r="I620" s="46"/>
      <c r="J620" s="46"/>
      <c r="K620" s="46"/>
      <c r="L620" s="46"/>
      <c r="M620" s="46"/>
      <c r="N620" s="46"/>
      <c r="O620" s="46"/>
      <c r="P620" s="46">
        <v>1</v>
      </c>
      <c r="Q620" s="46">
        <v>1</v>
      </c>
      <c r="R620" s="46"/>
      <c r="S620" s="46"/>
      <c r="T620" s="46"/>
      <c r="U620" s="46"/>
      <c r="V620" s="46"/>
      <c r="W620" s="46"/>
      <c r="X620" s="46"/>
      <c r="Y620" s="46"/>
      <c r="Z620" s="46"/>
      <c r="AA620" s="34"/>
      <c r="AB620" s="34"/>
      <c r="AC620" s="46"/>
      <c r="AD620" s="46"/>
      <c r="AE620" s="46"/>
      <c r="AF620" s="46"/>
      <c r="AG620" s="46"/>
      <c r="AH620" s="46"/>
      <c r="AI620" s="46"/>
      <c r="AJ620" s="46"/>
      <c r="AK620" s="46"/>
      <c r="AL620" s="46">
        <v>1</v>
      </c>
      <c r="AM620" s="46">
        <v>1</v>
      </c>
      <c r="AN620" s="46"/>
      <c r="AO620" s="46"/>
      <c r="AP620" s="46"/>
      <c r="AQ620" s="46"/>
      <c r="AR620" s="46"/>
      <c r="AS620" s="46"/>
      <c r="AT620" s="46"/>
      <c r="AU620" s="46"/>
      <c r="AV620" s="46"/>
      <c r="AW620" s="46"/>
      <c r="AX620" s="44"/>
      <c r="AY620" s="44"/>
      <c r="AZ620" s="44"/>
      <c r="BA620" s="34">
        <v>1</v>
      </c>
      <c r="BB620" s="34">
        <v>1</v>
      </c>
      <c r="BC620" s="34"/>
    </row>
    <row r="621" spans="1:55" customFormat="1" ht="21" customHeight="1" x14ac:dyDescent="0.25">
      <c r="A621" s="22"/>
      <c r="B621" s="42" t="s">
        <v>893</v>
      </c>
      <c r="C621" s="42" t="s">
        <v>255</v>
      </c>
      <c r="D621" s="42" t="s">
        <v>1095</v>
      </c>
      <c r="E621" s="34"/>
      <c r="F621" s="46"/>
      <c r="G621" s="46"/>
      <c r="H621" s="34"/>
      <c r="I621" s="46"/>
      <c r="J621" s="46"/>
      <c r="K621" s="46"/>
      <c r="L621" s="46"/>
      <c r="M621" s="46"/>
      <c r="N621" s="46"/>
      <c r="O621" s="46"/>
      <c r="P621" s="34">
        <v>1</v>
      </c>
      <c r="Q621" s="42">
        <v>1</v>
      </c>
      <c r="R621" s="46"/>
      <c r="S621" s="46"/>
      <c r="T621" s="46"/>
      <c r="U621" s="46"/>
      <c r="V621" s="46"/>
      <c r="W621" s="46"/>
      <c r="X621" s="46"/>
      <c r="Y621" s="46"/>
      <c r="Z621" s="46"/>
      <c r="AA621" s="34">
        <v>1</v>
      </c>
      <c r="AB621" s="42">
        <v>1</v>
      </c>
      <c r="AC621" s="46"/>
      <c r="AD621" s="46"/>
      <c r="AE621" s="46"/>
      <c r="AF621" s="46"/>
      <c r="AG621" s="46"/>
      <c r="AH621" s="46"/>
      <c r="AI621" s="46"/>
      <c r="AJ621" s="46"/>
      <c r="AK621" s="46"/>
      <c r="AL621" s="46"/>
      <c r="AM621" s="42">
        <v>1</v>
      </c>
      <c r="AN621" s="46"/>
      <c r="AO621" s="46"/>
      <c r="AP621" s="46"/>
      <c r="AQ621" s="46"/>
      <c r="AR621" s="46"/>
      <c r="AS621" s="46"/>
      <c r="AT621" s="46"/>
      <c r="AU621" s="46"/>
      <c r="AV621" s="46"/>
      <c r="AW621" s="46"/>
      <c r="AX621" s="44"/>
      <c r="AY621" s="44">
        <v>1</v>
      </c>
      <c r="AZ621" s="44">
        <v>1</v>
      </c>
      <c r="BA621" s="34">
        <v>1</v>
      </c>
      <c r="BB621" s="34">
        <v>1</v>
      </c>
      <c r="BC621" s="34">
        <v>1</v>
      </c>
    </row>
    <row r="622" spans="1:55" customFormat="1" ht="21" customHeight="1" x14ac:dyDescent="0.25">
      <c r="A622" s="22"/>
      <c r="B622" s="42" t="s">
        <v>893</v>
      </c>
      <c r="C622" s="42" t="s">
        <v>1096</v>
      </c>
      <c r="D622" s="42" t="s">
        <v>1097</v>
      </c>
      <c r="E622" s="34"/>
      <c r="F622" s="46"/>
      <c r="G622" s="46"/>
      <c r="H622" s="34"/>
      <c r="I622" s="46"/>
      <c r="J622" s="46"/>
      <c r="K622" s="46"/>
      <c r="L622" s="46"/>
      <c r="M622" s="46"/>
      <c r="N622" s="46"/>
      <c r="O622" s="46"/>
      <c r="P622" s="34">
        <v>1</v>
      </c>
      <c r="Q622" s="42">
        <v>1</v>
      </c>
      <c r="R622" s="46"/>
      <c r="S622" s="46"/>
      <c r="T622" s="46"/>
      <c r="U622" s="46"/>
      <c r="V622" s="46"/>
      <c r="W622" s="46"/>
      <c r="X622" s="46"/>
      <c r="Y622" s="46"/>
      <c r="Z622" s="46"/>
      <c r="AA622" s="34">
        <v>1</v>
      </c>
      <c r="AB622" s="42">
        <v>1</v>
      </c>
      <c r="AC622" s="46"/>
      <c r="AD622" s="46"/>
      <c r="AE622" s="46"/>
      <c r="AF622" s="46"/>
      <c r="AG622" s="46"/>
      <c r="AH622" s="46"/>
      <c r="AI622" s="46"/>
      <c r="AJ622" s="46"/>
      <c r="AK622" s="46"/>
      <c r="AL622" s="46"/>
      <c r="AM622" s="42">
        <v>1</v>
      </c>
      <c r="AN622" s="46"/>
      <c r="AO622" s="46"/>
      <c r="AP622" s="46"/>
      <c r="AQ622" s="46"/>
      <c r="AR622" s="46"/>
      <c r="AS622" s="46"/>
      <c r="AT622" s="46"/>
      <c r="AU622" s="46"/>
      <c r="AV622" s="46"/>
      <c r="AW622" s="46"/>
      <c r="AX622" s="44"/>
      <c r="AY622" s="44">
        <v>1</v>
      </c>
      <c r="AZ622" s="44">
        <v>1</v>
      </c>
      <c r="BA622" s="46"/>
      <c r="BB622" s="34">
        <v>1</v>
      </c>
      <c r="BC622" s="34">
        <v>1</v>
      </c>
    </row>
    <row r="623" spans="1:55" customFormat="1" ht="21" customHeight="1" x14ac:dyDescent="0.25">
      <c r="A623" s="22"/>
      <c r="B623" s="42" t="s">
        <v>893</v>
      </c>
      <c r="C623" s="42" t="s">
        <v>249</v>
      </c>
      <c r="D623" s="42" t="s">
        <v>1098</v>
      </c>
      <c r="E623" s="34"/>
      <c r="F623" s="46"/>
      <c r="G623" s="46"/>
      <c r="H623" s="34"/>
      <c r="I623" s="46"/>
      <c r="J623" s="46"/>
      <c r="K623" s="46"/>
      <c r="L623" s="46"/>
      <c r="M623" s="46"/>
      <c r="N623" s="46"/>
      <c r="O623" s="46"/>
      <c r="P623" s="46"/>
      <c r="Q623" s="34">
        <v>1</v>
      </c>
      <c r="R623" s="46"/>
      <c r="S623" s="46"/>
      <c r="T623" s="46"/>
      <c r="U623" s="46"/>
      <c r="V623" s="46"/>
      <c r="W623" s="46"/>
      <c r="X623" s="46"/>
      <c r="Y623" s="46"/>
      <c r="Z623" s="46"/>
      <c r="AA623" s="34"/>
      <c r="AB623" s="34">
        <v>1</v>
      </c>
      <c r="AC623" s="46"/>
      <c r="AD623" s="46"/>
      <c r="AE623" s="46"/>
      <c r="AF623" s="46"/>
      <c r="AG623" s="46"/>
      <c r="AH623" s="46"/>
      <c r="AI623" s="46"/>
      <c r="AJ623" s="46"/>
      <c r="AK623" s="46"/>
      <c r="AL623" s="46"/>
      <c r="AM623" s="34">
        <v>1</v>
      </c>
      <c r="AN623" s="46"/>
      <c r="AO623" s="46"/>
      <c r="AP623" s="46"/>
      <c r="AQ623" s="46"/>
      <c r="AR623" s="46"/>
      <c r="AS623" s="46"/>
      <c r="AT623" s="46"/>
      <c r="AU623" s="46"/>
      <c r="AV623" s="46"/>
      <c r="AW623" s="46"/>
      <c r="AX623" s="44">
        <v>1</v>
      </c>
      <c r="AY623" s="44"/>
      <c r="AZ623" s="44">
        <v>1</v>
      </c>
      <c r="BA623" s="46"/>
      <c r="BB623" s="34">
        <v>1</v>
      </c>
      <c r="BC623" s="34"/>
    </row>
    <row r="624" spans="1:55" customFormat="1" ht="21" customHeight="1" x14ac:dyDescent="0.25">
      <c r="A624" s="22"/>
      <c r="B624" s="42" t="s">
        <v>893</v>
      </c>
      <c r="C624" s="42" t="s">
        <v>255</v>
      </c>
      <c r="D624" s="42" t="s">
        <v>1099</v>
      </c>
      <c r="E624" s="34"/>
      <c r="F624" s="46"/>
      <c r="G624" s="46"/>
      <c r="H624" s="34"/>
      <c r="I624" s="46"/>
      <c r="J624" s="46"/>
      <c r="K624" s="46"/>
      <c r="L624" s="46"/>
      <c r="M624" s="46"/>
      <c r="N624" s="46"/>
      <c r="O624" s="46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  <c r="AA624" s="34"/>
      <c r="AB624" s="34"/>
      <c r="AC624" s="46"/>
      <c r="AD624" s="46"/>
      <c r="AE624" s="46"/>
      <c r="AF624" s="46"/>
      <c r="AG624" s="46"/>
      <c r="AH624" s="46"/>
      <c r="AI624" s="46"/>
      <c r="AJ624" s="46"/>
      <c r="AK624" s="46"/>
      <c r="AL624" s="46"/>
      <c r="AM624" s="46"/>
      <c r="AN624" s="46"/>
      <c r="AO624" s="46"/>
      <c r="AP624" s="46"/>
      <c r="AQ624" s="46"/>
      <c r="AR624" s="46"/>
      <c r="AS624" s="46"/>
      <c r="AT624" s="46"/>
      <c r="AU624" s="46"/>
      <c r="AV624" s="46"/>
      <c r="AW624" s="46"/>
      <c r="AX624" s="44"/>
      <c r="AY624" s="44"/>
      <c r="AZ624" s="44"/>
      <c r="BA624" s="46"/>
      <c r="BB624" s="34"/>
      <c r="BC624" s="34"/>
    </row>
    <row r="625" spans="1:55" customFormat="1" ht="21" customHeight="1" x14ac:dyDescent="0.25">
      <c r="A625" s="22"/>
      <c r="B625" s="42" t="s">
        <v>893</v>
      </c>
      <c r="C625" s="42" t="s">
        <v>248</v>
      </c>
      <c r="D625" s="42" t="s">
        <v>1100</v>
      </c>
      <c r="E625" s="34"/>
      <c r="F625" s="46"/>
      <c r="G625" s="46"/>
      <c r="H625" s="34"/>
      <c r="I625" s="46"/>
      <c r="J625" s="46"/>
      <c r="K625" s="46"/>
      <c r="L625" s="46"/>
      <c r="M625" s="46"/>
      <c r="N625" s="46"/>
      <c r="O625" s="46"/>
      <c r="P625" s="34">
        <v>1</v>
      </c>
      <c r="Q625" s="42">
        <v>1</v>
      </c>
      <c r="R625" s="46"/>
      <c r="S625" s="46"/>
      <c r="T625" s="46"/>
      <c r="U625" s="46"/>
      <c r="V625" s="46"/>
      <c r="W625" s="46"/>
      <c r="X625" s="46"/>
      <c r="Y625" s="46"/>
      <c r="Z625" s="46"/>
      <c r="AA625" s="34">
        <v>1</v>
      </c>
      <c r="AB625" s="42">
        <v>1</v>
      </c>
      <c r="AC625" s="46"/>
      <c r="AD625" s="46"/>
      <c r="AE625" s="46"/>
      <c r="AF625" s="46"/>
      <c r="AG625" s="46"/>
      <c r="AH625" s="46"/>
      <c r="AI625" s="46"/>
      <c r="AJ625" s="46"/>
      <c r="AK625" s="46"/>
      <c r="AL625" s="42">
        <v>1</v>
      </c>
      <c r="AM625" s="42">
        <v>1</v>
      </c>
      <c r="AN625" s="46"/>
      <c r="AO625" s="46"/>
      <c r="AP625" s="46"/>
      <c r="AQ625" s="46"/>
      <c r="AR625" s="46"/>
      <c r="AS625" s="46"/>
      <c r="AT625" s="46"/>
      <c r="AU625" s="46"/>
      <c r="AV625" s="46"/>
      <c r="AW625" s="46"/>
      <c r="AX625" s="44"/>
      <c r="AY625" s="44">
        <v>1</v>
      </c>
      <c r="AZ625" s="44">
        <v>1</v>
      </c>
      <c r="BA625" s="34">
        <v>1</v>
      </c>
      <c r="BB625" s="34">
        <v>1</v>
      </c>
      <c r="BC625" s="34">
        <v>1</v>
      </c>
    </row>
    <row r="626" spans="1:55" customFormat="1" ht="21" customHeight="1" x14ac:dyDescent="0.25">
      <c r="A626" s="22"/>
      <c r="B626" s="42" t="s">
        <v>893</v>
      </c>
      <c r="C626" s="42" t="s">
        <v>255</v>
      </c>
      <c r="D626" s="42" t="s">
        <v>1101</v>
      </c>
      <c r="E626" s="34"/>
      <c r="F626" s="46"/>
      <c r="G626" s="46"/>
      <c r="H626" s="34"/>
      <c r="I626" s="46"/>
      <c r="J626" s="46"/>
      <c r="K626" s="46"/>
      <c r="L626" s="46"/>
      <c r="M626" s="46"/>
      <c r="N626" s="46"/>
      <c r="O626" s="46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  <c r="AA626" s="34"/>
      <c r="AB626" s="34"/>
      <c r="AC626" s="46"/>
      <c r="AD626" s="46"/>
      <c r="AE626" s="46"/>
      <c r="AF626" s="46"/>
      <c r="AG626" s="46"/>
      <c r="AH626" s="46"/>
      <c r="AI626" s="46"/>
      <c r="AJ626" s="46"/>
      <c r="AK626" s="46"/>
      <c r="AL626" s="46"/>
      <c r="AM626" s="46"/>
      <c r="AN626" s="46"/>
      <c r="AO626" s="46"/>
      <c r="AP626" s="46"/>
      <c r="AQ626" s="46"/>
      <c r="AR626" s="46"/>
      <c r="AS626" s="46"/>
      <c r="AT626" s="46"/>
      <c r="AU626" s="46"/>
      <c r="AV626" s="46"/>
      <c r="AW626" s="46"/>
      <c r="AX626" s="44"/>
      <c r="AY626" s="44"/>
      <c r="AZ626" s="44"/>
      <c r="BA626" s="46"/>
      <c r="BB626" s="34"/>
      <c r="BC626" s="34"/>
    </row>
    <row r="627" spans="1:55" customFormat="1" ht="21" customHeight="1" x14ac:dyDescent="0.25">
      <c r="A627" s="22"/>
      <c r="B627" s="42" t="s">
        <v>893</v>
      </c>
      <c r="C627" s="42" t="s">
        <v>248</v>
      </c>
      <c r="D627" s="42" t="s">
        <v>1102</v>
      </c>
      <c r="E627" s="34"/>
      <c r="F627" s="46"/>
      <c r="G627" s="46"/>
      <c r="H627" s="34"/>
      <c r="I627" s="46"/>
      <c r="J627" s="46"/>
      <c r="K627" s="46"/>
      <c r="L627" s="46"/>
      <c r="M627" s="46"/>
      <c r="N627" s="46"/>
      <c r="O627" s="46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  <c r="AA627" s="34"/>
      <c r="AB627" s="34"/>
      <c r="AC627" s="46"/>
      <c r="AD627" s="46"/>
      <c r="AE627" s="46"/>
      <c r="AF627" s="46"/>
      <c r="AG627" s="46"/>
      <c r="AH627" s="46"/>
      <c r="AI627" s="46"/>
      <c r="AJ627" s="46"/>
      <c r="AK627" s="46"/>
      <c r="AL627" s="46"/>
      <c r="AM627" s="46"/>
      <c r="AN627" s="46"/>
      <c r="AO627" s="46"/>
      <c r="AP627" s="46"/>
      <c r="AQ627" s="46"/>
      <c r="AR627" s="46"/>
      <c r="AS627" s="46"/>
      <c r="AT627" s="46"/>
      <c r="AU627" s="46"/>
      <c r="AV627" s="46"/>
      <c r="AW627" s="46"/>
      <c r="AX627" s="44"/>
      <c r="AY627" s="44">
        <v>1</v>
      </c>
      <c r="AZ627" s="44"/>
      <c r="BA627" s="46"/>
      <c r="BB627" s="34"/>
      <c r="BC627" s="34"/>
    </row>
    <row r="628" spans="1:55" customFormat="1" ht="21" customHeight="1" x14ac:dyDescent="0.25">
      <c r="A628" s="22"/>
      <c r="B628" s="42" t="s">
        <v>893</v>
      </c>
      <c r="C628" s="42" t="s">
        <v>248</v>
      </c>
      <c r="D628" s="42" t="s">
        <v>1103</v>
      </c>
      <c r="E628" s="34"/>
      <c r="F628" s="46"/>
      <c r="G628" s="46"/>
      <c r="H628" s="34"/>
      <c r="I628" s="46"/>
      <c r="J628" s="46"/>
      <c r="K628" s="46"/>
      <c r="L628" s="46"/>
      <c r="M628" s="46"/>
      <c r="N628" s="46"/>
      <c r="O628" s="46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  <c r="AA628" s="34"/>
      <c r="AB628" s="34"/>
      <c r="AC628" s="46"/>
      <c r="AD628" s="46"/>
      <c r="AE628" s="46"/>
      <c r="AF628" s="46"/>
      <c r="AG628" s="46"/>
      <c r="AH628" s="46"/>
      <c r="AI628" s="46"/>
      <c r="AJ628" s="46"/>
      <c r="AK628" s="46"/>
      <c r="AL628" s="46">
        <v>1</v>
      </c>
      <c r="AM628" s="46">
        <v>1</v>
      </c>
      <c r="AN628" s="46"/>
      <c r="AO628" s="46"/>
      <c r="AP628" s="46"/>
      <c r="AQ628" s="46"/>
      <c r="AR628" s="46"/>
      <c r="AS628" s="46"/>
      <c r="AT628" s="46"/>
      <c r="AU628" s="46"/>
      <c r="AV628" s="46"/>
      <c r="AW628" s="46"/>
      <c r="AX628" s="44"/>
      <c r="AY628" s="44">
        <v>1</v>
      </c>
      <c r="AZ628" s="44">
        <v>1</v>
      </c>
      <c r="BA628" s="46"/>
      <c r="BB628" s="34"/>
      <c r="BC628" s="34"/>
    </row>
    <row r="629" spans="1:55" customFormat="1" ht="21" customHeight="1" x14ac:dyDescent="0.25">
      <c r="A629" s="22"/>
      <c r="B629" s="42" t="s">
        <v>893</v>
      </c>
      <c r="C629" s="42" t="s">
        <v>248</v>
      </c>
      <c r="D629" s="42" t="s">
        <v>1104</v>
      </c>
      <c r="E629" s="34"/>
      <c r="F629" s="46"/>
      <c r="G629" s="46"/>
      <c r="H629" s="34"/>
      <c r="I629" s="46"/>
      <c r="J629" s="46"/>
      <c r="K629" s="46"/>
      <c r="L629" s="46"/>
      <c r="M629" s="46"/>
      <c r="N629" s="46"/>
      <c r="O629" s="46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  <c r="AA629" s="34"/>
      <c r="AB629" s="34"/>
      <c r="AC629" s="46"/>
      <c r="AD629" s="46"/>
      <c r="AE629" s="46"/>
      <c r="AF629" s="46"/>
      <c r="AG629" s="46"/>
      <c r="AH629" s="46"/>
      <c r="AI629" s="46"/>
      <c r="AJ629" s="46"/>
      <c r="AK629" s="46"/>
      <c r="AL629" s="46"/>
      <c r="AM629" s="46"/>
      <c r="AN629" s="46"/>
      <c r="AO629" s="46"/>
      <c r="AP629" s="46"/>
      <c r="AQ629" s="46"/>
      <c r="AR629" s="46"/>
      <c r="AS629" s="46"/>
      <c r="AT629" s="46"/>
      <c r="AU629" s="46"/>
      <c r="AV629" s="46"/>
      <c r="AW629" s="46"/>
      <c r="AX629" s="44"/>
      <c r="AY629" s="44"/>
      <c r="AZ629" s="44"/>
      <c r="BA629" s="46"/>
      <c r="BB629" s="34"/>
      <c r="BC629" s="34"/>
    </row>
    <row r="630" spans="1:55" customFormat="1" ht="21" customHeight="1" x14ac:dyDescent="0.25">
      <c r="A630" s="22"/>
      <c r="B630" s="42" t="s">
        <v>893</v>
      </c>
      <c r="C630" s="42" t="s">
        <v>248</v>
      </c>
      <c r="D630" s="42" t="s">
        <v>1105</v>
      </c>
      <c r="E630" s="34"/>
      <c r="F630" s="46"/>
      <c r="G630" s="46"/>
      <c r="H630" s="34"/>
      <c r="I630" s="46"/>
      <c r="J630" s="46"/>
      <c r="K630" s="46"/>
      <c r="L630" s="46"/>
      <c r="M630" s="46"/>
      <c r="N630" s="46"/>
      <c r="O630" s="46"/>
      <c r="P630" s="46"/>
      <c r="Q630" s="46">
        <v>1</v>
      </c>
      <c r="R630" s="46"/>
      <c r="S630" s="46"/>
      <c r="T630" s="46"/>
      <c r="U630" s="46"/>
      <c r="V630" s="46"/>
      <c r="W630" s="46"/>
      <c r="X630" s="46"/>
      <c r="Y630" s="46"/>
      <c r="Z630" s="46"/>
      <c r="AA630" s="34">
        <v>1</v>
      </c>
      <c r="AB630" s="34"/>
      <c r="AC630" s="46"/>
      <c r="AD630" s="46"/>
      <c r="AE630" s="46"/>
      <c r="AF630" s="46"/>
      <c r="AG630" s="46"/>
      <c r="AH630" s="46"/>
      <c r="AI630" s="46"/>
      <c r="AJ630" s="46"/>
      <c r="AK630" s="46"/>
      <c r="AL630" s="46">
        <v>1</v>
      </c>
      <c r="AM630" s="46">
        <v>1</v>
      </c>
      <c r="AN630" s="46"/>
      <c r="AO630" s="46"/>
      <c r="AP630" s="46"/>
      <c r="AQ630" s="46"/>
      <c r="AR630" s="46"/>
      <c r="AS630" s="46"/>
      <c r="AT630" s="46"/>
      <c r="AU630" s="46"/>
      <c r="AV630" s="46"/>
      <c r="AW630" s="46"/>
      <c r="AX630" s="44"/>
      <c r="AY630" s="44">
        <v>1</v>
      </c>
      <c r="AZ630" s="44">
        <v>1</v>
      </c>
      <c r="BA630" s="46">
        <v>1</v>
      </c>
      <c r="BB630" s="34">
        <v>1</v>
      </c>
      <c r="BC630" s="34"/>
    </row>
    <row r="631" spans="1:55" customFormat="1" ht="21" customHeight="1" x14ac:dyDescent="0.25">
      <c r="A631" s="22"/>
      <c r="B631" s="42" t="s">
        <v>893</v>
      </c>
      <c r="C631" s="42" t="s">
        <v>248</v>
      </c>
      <c r="D631" s="42" t="s">
        <v>1106</v>
      </c>
      <c r="E631" s="34"/>
      <c r="F631" s="46"/>
      <c r="G631" s="46"/>
      <c r="H631" s="34"/>
      <c r="I631" s="46"/>
      <c r="J631" s="46"/>
      <c r="K631" s="46"/>
      <c r="L631" s="46"/>
      <c r="M631" s="46"/>
      <c r="N631" s="46"/>
      <c r="O631" s="46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  <c r="AA631" s="34"/>
      <c r="AB631" s="34"/>
      <c r="AC631" s="46"/>
      <c r="AD631" s="46"/>
      <c r="AE631" s="46"/>
      <c r="AF631" s="46"/>
      <c r="AG631" s="46"/>
      <c r="AH631" s="46"/>
      <c r="AI631" s="46"/>
      <c r="AJ631" s="46"/>
      <c r="AK631" s="46"/>
      <c r="AL631" s="46"/>
      <c r="AM631" s="46"/>
      <c r="AN631" s="46"/>
      <c r="AO631" s="46"/>
      <c r="AP631" s="46"/>
      <c r="AQ631" s="46"/>
      <c r="AR631" s="46"/>
      <c r="AS631" s="46"/>
      <c r="AT631" s="46"/>
      <c r="AU631" s="46"/>
      <c r="AV631" s="46"/>
      <c r="AW631" s="46"/>
      <c r="AX631" s="44"/>
      <c r="AY631" s="44">
        <v>1</v>
      </c>
      <c r="AZ631" s="44"/>
      <c r="BA631" s="46"/>
      <c r="BB631" s="34"/>
      <c r="BC631" s="34"/>
    </row>
    <row r="632" spans="1:55" customFormat="1" ht="21" customHeight="1" x14ac:dyDescent="0.25">
      <c r="A632" s="22"/>
      <c r="B632" s="42" t="s">
        <v>893</v>
      </c>
      <c r="C632" s="42" t="s">
        <v>255</v>
      </c>
      <c r="D632" s="42" t="s">
        <v>1107</v>
      </c>
      <c r="E632" s="34"/>
      <c r="F632" s="46"/>
      <c r="G632" s="46"/>
      <c r="H632" s="34"/>
      <c r="I632" s="46"/>
      <c r="J632" s="46"/>
      <c r="K632" s="46"/>
      <c r="L632" s="46"/>
      <c r="M632" s="46"/>
      <c r="N632" s="46"/>
      <c r="O632" s="46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  <c r="AA632" s="34"/>
      <c r="AB632" s="34"/>
      <c r="AC632" s="46"/>
      <c r="AD632" s="46"/>
      <c r="AE632" s="46"/>
      <c r="AF632" s="46"/>
      <c r="AG632" s="46"/>
      <c r="AH632" s="46"/>
      <c r="AI632" s="46"/>
      <c r="AJ632" s="46"/>
      <c r="AK632" s="46"/>
      <c r="AL632" s="46"/>
      <c r="AM632" s="46"/>
      <c r="AN632" s="46"/>
      <c r="AO632" s="46"/>
      <c r="AP632" s="46"/>
      <c r="AQ632" s="46"/>
      <c r="AR632" s="46"/>
      <c r="AS632" s="46"/>
      <c r="AT632" s="46"/>
      <c r="AU632" s="46"/>
      <c r="AV632" s="46"/>
      <c r="AW632" s="46"/>
      <c r="AX632" s="44"/>
      <c r="AY632" s="44"/>
      <c r="AZ632" s="44"/>
      <c r="BA632" s="46"/>
      <c r="BB632" s="34"/>
      <c r="BC632" s="34"/>
    </row>
    <row r="633" spans="1:55" customFormat="1" ht="21" customHeight="1" x14ac:dyDescent="0.25">
      <c r="A633" s="22"/>
      <c r="B633" s="42" t="s">
        <v>893</v>
      </c>
      <c r="C633" s="42" t="s">
        <v>253</v>
      </c>
      <c r="D633" s="42" t="s">
        <v>1108</v>
      </c>
      <c r="E633" s="34"/>
      <c r="F633" s="46"/>
      <c r="G633" s="46"/>
      <c r="H633" s="34"/>
      <c r="I633" s="46"/>
      <c r="J633" s="46"/>
      <c r="K633" s="46"/>
      <c r="L633" s="46"/>
      <c r="M633" s="46"/>
      <c r="N633" s="46"/>
      <c r="O633" s="46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  <c r="AA633" s="34"/>
      <c r="AB633" s="34"/>
      <c r="AC633" s="46"/>
      <c r="AD633" s="46"/>
      <c r="AE633" s="46"/>
      <c r="AF633" s="46"/>
      <c r="AG633" s="46"/>
      <c r="AH633" s="46"/>
      <c r="AI633" s="46"/>
      <c r="AJ633" s="46"/>
      <c r="AK633" s="46"/>
      <c r="AL633" s="46"/>
      <c r="AM633" s="46"/>
      <c r="AN633" s="46"/>
      <c r="AO633" s="46"/>
      <c r="AP633" s="46"/>
      <c r="AQ633" s="46"/>
      <c r="AR633" s="46"/>
      <c r="AS633" s="46"/>
      <c r="AT633" s="46"/>
      <c r="AU633" s="46"/>
      <c r="AV633" s="46"/>
      <c r="AW633" s="46"/>
      <c r="AX633" s="44"/>
      <c r="AY633" s="44"/>
      <c r="AZ633" s="44"/>
      <c r="BA633" s="46"/>
      <c r="BB633" s="34"/>
      <c r="BC633" s="34"/>
    </row>
    <row r="634" spans="1:55" customFormat="1" ht="21" customHeight="1" x14ac:dyDescent="0.25">
      <c r="A634" s="22"/>
      <c r="B634" s="42" t="s">
        <v>893</v>
      </c>
      <c r="C634" s="42" t="s">
        <v>255</v>
      </c>
      <c r="D634" s="42" t="s">
        <v>1109</v>
      </c>
      <c r="E634" s="34"/>
      <c r="F634" s="46"/>
      <c r="G634" s="46"/>
      <c r="H634" s="34"/>
      <c r="I634" s="46"/>
      <c r="J634" s="46"/>
      <c r="K634" s="46"/>
      <c r="L634" s="46"/>
      <c r="M634" s="46"/>
      <c r="N634" s="46"/>
      <c r="O634" s="46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  <c r="AA634" s="34"/>
      <c r="AB634" s="34"/>
      <c r="AC634" s="46"/>
      <c r="AD634" s="46"/>
      <c r="AE634" s="46"/>
      <c r="AF634" s="46"/>
      <c r="AG634" s="46"/>
      <c r="AH634" s="46"/>
      <c r="AI634" s="46"/>
      <c r="AJ634" s="46"/>
      <c r="AK634" s="46"/>
      <c r="AL634" s="46"/>
      <c r="AM634" s="46"/>
      <c r="AN634" s="46"/>
      <c r="AO634" s="46"/>
      <c r="AP634" s="46"/>
      <c r="AQ634" s="46"/>
      <c r="AR634" s="46"/>
      <c r="AS634" s="46"/>
      <c r="AT634" s="46"/>
      <c r="AU634" s="46"/>
      <c r="AV634" s="46"/>
      <c r="AW634" s="46"/>
      <c r="AX634" s="44"/>
      <c r="AY634" s="44"/>
      <c r="AZ634" s="44"/>
      <c r="BA634" s="46"/>
      <c r="BB634" s="34"/>
      <c r="BC634" s="34"/>
    </row>
    <row r="635" spans="1:55" customFormat="1" ht="21" customHeight="1" x14ac:dyDescent="0.25">
      <c r="A635" s="22"/>
      <c r="B635" s="42" t="s">
        <v>893</v>
      </c>
      <c r="C635" s="42" t="s">
        <v>255</v>
      </c>
      <c r="D635" s="42" t="s">
        <v>1110</v>
      </c>
      <c r="E635" s="34"/>
      <c r="F635" s="46"/>
      <c r="G635" s="46"/>
      <c r="H635" s="34"/>
      <c r="I635" s="46"/>
      <c r="J635" s="46"/>
      <c r="K635" s="46"/>
      <c r="L635" s="46"/>
      <c r="M635" s="46"/>
      <c r="N635" s="46"/>
      <c r="O635" s="46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  <c r="AA635" s="34"/>
      <c r="AB635" s="34"/>
      <c r="AC635" s="46"/>
      <c r="AD635" s="46"/>
      <c r="AE635" s="46"/>
      <c r="AF635" s="46"/>
      <c r="AG635" s="46"/>
      <c r="AH635" s="46"/>
      <c r="AI635" s="46"/>
      <c r="AJ635" s="46"/>
      <c r="AK635" s="46"/>
      <c r="AL635" s="46">
        <v>1</v>
      </c>
      <c r="AM635" s="46">
        <v>1</v>
      </c>
      <c r="AN635" s="46"/>
      <c r="AO635" s="46"/>
      <c r="AP635" s="46"/>
      <c r="AQ635" s="46"/>
      <c r="AR635" s="46"/>
      <c r="AS635" s="46"/>
      <c r="AT635" s="46"/>
      <c r="AU635" s="46"/>
      <c r="AV635" s="46"/>
      <c r="AW635" s="46"/>
      <c r="AX635" s="44"/>
      <c r="AY635" s="44">
        <v>1</v>
      </c>
      <c r="AZ635" s="44">
        <v>1</v>
      </c>
      <c r="BA635" s="46"/>
      <c r="BB635" s="34"/>
      <c r="BC635" s="34"/>
    </row>
    <row r="636" spans="1:55" customFormat="1" ht="21" customHeight="1" x14ac:dyDescent="0.25">
      <c r="A636" s="22"/>
      <c r="B636" s="42" t="s">
        <v>893</v>
      </c>
      <c r="C636" s="42" t="s">
        <v>246</v>
      </c>
      <c r="D636" s="42" t="s">
        <v>1111</v>
      </c>
      <c r="E636" s="34"/>
      <c r="F636" s="46"/>
      <c r="G636" s="46"/>
      <c r="H636" s="34"/>
      <c r="I636" s="46"/>
      <c r="J636" s="46"/>
      <c r="K636" s="46"/>
      <c r="L636" s="46"/>
      <c r="M636" s="46"/>
      <c r="N636" s="46"/>
      <c r="O636" s="46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  <c r="AA636" s="34"/>
      <c r="AB636" s="34"/>
      <c r="AC636" s="46"/>
      <c r="AD636" s="46"/>
      <c r="AE636" s="46"/>
      <c r="AF636" s="46"/>
      <c r="AG636" s="46"/>
      <c r="AH636" s="46"/>
      <c r="AI636" s="46"/>
      <c r="AJ636" s="46"/>
      <c r="AK636" s="46"/>
      <c r="AL636" s="46"/>
      <c r="AM636" s="46"/>
      <c r="AN636" s="46"/>
      <c r="AO636" s="46"/>
      <c r="AP636" s="46"/>
      <c r="AQ636" s="46"/>
      <c r="AR636" s="46"/>
      <c r="AS636" s="46"/>
      <c r="AT636" s="46"/>
      <c r="AU636" s="46"/>
      <c r="AV636" s="46"/>
      <c r="AW636" s="46"/>
      <c r="AX636" s="44"/>
      <c r="AY636" s="44"/>
      <c r="AZ636" s="44"/>
      <c r="BA636" s="46"/>
      <c r="BB636" s="34"/>
      <c r="BC636" s="34"/>
    </row>
    <row r="637" spans="1:55" customFormat="1" ht="21" customHeight="1" x14ac:dyDescent="0.25">
      <c r="A637" s="22"/>
      <c r="B637" s="42" t="s">
        <v>893</v>
      </c>
      <c r="C637" s="42" t="s">
        <v>248</v>
      </c>
      <c r="D637" s="42" t="s">
        <v>1112</v>
      </c>
      <c r="E637" s="34"/>
      <c r="F637" s="46"/>
      <c r="G637" s="46"/>
      <c r="H637" s="34"/>
      <c r="I637" s="46"/>
      <c r="J637" s="46"/>
      <c r="K637" s="46"/>
      <c r="L637" s="46"/>
      <c r="M637" s="46"/>
      <c r="N637" s="46"/>
      <c r="O637" s="46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  <c r="AA637" s="34"/>
      <c r="AB637" s="34"/>
      <c r="AC637" s="46"/>
      <c r="AD637" s="46"/>
      <c r="AE637" s="46"/>
      <c r="AF637" s="46"/>
      <c r="AG637" s="46"/>
      <c r="AH637" s="46"/>
      <c r="AI637" s="46"/>
      <c r="AJ637" s="46"/>
      <c r="AK637" s="46"/>
      <c r="AL637" s="46"/>
      <c r="AM637" s="46"/>
      <c r="AN637" s="46"/>
      <c r="AO637" s="46"/>
      <c r="AP637" s="46"/>
      <c r="AQ637" s="46"/>
      <c r="AR637" s="46"/>
      <c r="AS637" s="46"/>
      <c r="AT637" s="46"/>
      <c r="AU637" s="46"/>
      <c r="AV637" s="46"/>
      <c r="AW637" s="46"/>
      <c r="AX637" s="44"/>
      <c r="AY637" s="44">
        <v>1</v>
      </c>
      <c r="AZ637" s="44">
        <v>1</v>
      </c>
      <c r="BA637" s="46"/>
      <c r="BB637" s="34"/>
      <c r="BC637" s="34"/>
    </row>
    <row r="638" spans="1:55" customFormat="1" ht="21" customHeight="1" x14ac:dyDescent="0.25">
      <c r="A638" s="22"/>
      <c r="B638" s="42" t="s">
        <v>893</v>
      </c>
      <c r="C638" s="42" t="s">
        <v>248</v>
      </c>
      <c r="D638" s="42" t="s">
        <v>1113</v>
      </c>
      <c r="E638" s="34"/>
      <c r="F638" s="46"/>
      <c r="G638" s="46"/>
      <c r="H638" s="34"/>
      <c r="I638" s="46"/>
      <c r="J638" s="46"/>
      <c r="K638" s="46"/>
      <c r="L638" s="46"/>
      <c r="M638" s="46"/>
      <c r="N638" s="46"/>
      <c r="O638" s="46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  <c r="AA638" s="34"/>
      <c r="AB638" s="34"/>
      <c r="AC638" s="46"/>
      <c r="AD638" s="46"/>
      <c r="AE638" s="46"/>
      <c r="AF638" s="46"/>
      <c r="AG638" s="46"/>
      <c r="AH638" s="46"/>
      <c r="AI638" s="46"/>
      <c r="AJ638" s="46"/>
      <c r="AK638" s="46"/>
      <c r="AL638" s="46"/>
      <c r="AM638" s="46"/>
      <c r="AN638" s="46"/>
      <c r="AO638" s="46"/>
      <c r="AP638" s="46"/>
      <c r="AQ638" s="46"/>
      <c r="AR638" s="46"/>
      <c r="AS638" s="46"/>
      <c r="AT638" s="46"/>
      <c r="AU638" s="46"/>
      <c r="AV638" s="46"/>
      <c r="AW638" s="46"/>
      <c r="AX638" s="44"/>
      <c r="AY638" s="44"/>
      <c r="AZ638" s="44">
        <v>1</v>
      </c>
      <c r="BA638" s="46"/>
      <c r="BB638" s="34"/>
      <c r="BC638" s="34"/>
    </row>
    <row r="639" spans="1:55" customFormat="1" ht="21" customHeight="1" x14ac:dyDescent="0.25">
      <c r="A639" s="22"/>
      <c r="B639" s="42" t="s">
        <v>893</v>
      </c>
      <c r="C639" s="42" t="s">
        <v>253</v>
      </c>
      <c r="D639" s="42" t="s">
        <v>1114</v>
      </c>
      <c r="E639" s="34"/>
      <c r="F639" s="46"/>
      <c r="G639" s="46"/>
      <c r="H639" s="34"/>
      <c r="I639" s="46"/>
      <c r="J639" s="46"/>
      <c r="K639" s="46"/>
      <c r="L639" s="46"/>
      <c r="M639" s="46"/>
      <c r="N639" s="46"/>
      <c r="O639" s="46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  <c r="AA639" s="34"/>
      <c r="AB639" s="34"/>
      <c r="AC639" s="46"/>
      <c r="AD639" s="46"/>
      <c r="AE639" s="46"/>
      <c r="AF639" s="46"/>
      <c r="AG639" s="46"/>
      <c r="AH639" s="46"/>
      <c r="AI639" s="46"/>
      <c r="AJ639" s="46"/>
      <c r="AK639" s="46"/>
      <c r="AL639" s="46"/>
      <c r="AM639" s="46"/>
      <c r="AN639" s="46"/>
      <c r="AO639" s="46"/>
      <c r="AP639" s="46"/>
      <c r="AQ639" s="46"/>
      <c r="AR639" s="46"/>
      <c r="AS639" s="46"/>
      <c r="AT639" s="46"/>
      <c r="AU639" s="46"/>
      <c r="AV639" s="46"/>
      <c r="AW639" s="46"/>
      <c r="AX639" s="44"/>
      <c r="AY639" s="44"/>
      <c r="AZ639" s="44"/>
      <c r="BA639" s="46"/>
      <c r="BB639" s="34"/>
      <c r="BC639" s="34"/>
    </row>
    <row r="640" spans="1:55" customFormat="1" ht="21" customHeight="1" x14ac:dyDescent="0.25">
      <c r="A640" s="22"/>
      <c r="B640" s="42" t="s">
        <v>893</v>
      </c>
      <c r="C640" s="42" t="s">
        <v>248</v>
      </c>
      <c r="D640" s="42" t="s">
        <v>1115</v>
      </c>
      <c r="E640" s="34"/>
      <c r="F640" s="46"/>
      <c r="G640" s="46"/>
      <c r="H640" s="34"/>
      <c r="I640" s="46"/>
      <c r="J640" s="46"/>
      <c r="K640" s="46"/>
      <c r="L640" s="46"/>
      <c r="M640" s="46"/>
      <c r="N640" s="46"/>
      <c r="O640" s="46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  <c r="AA640" s="34"/>
      <c r="AB640" s="34"/>
      <c r="AC640" s="46"/>
      <c r="AD640" s="46"/>
      <c r="AE640" s="46"/>
      <c r="AF640" s="46"/>
      <c r="AG640" s="46"/>
      <c r="AH640" s="46"/>
      <c r="AI640" s="46"/>
      <c r="AJ640" s="46"/>
      <c r="AK640" s="46"/>
      <c r="AL640" s="46"/>
      <c r="AM640" s="46"/>
      <c r="AN640" s="46"/>
      <c r="AO640" s="46"/>
      <c r="AP640" s="46"/>
      <c r="AQ640" s="46"/>
      <c r="AR640" s="46"/>
      <c r="AS640" s="46"/>
      <c r="AT640" s="46"/>
      <c r="AU640" s="46"/>
      <c r="AV640" s="46"/>
      <c r="AW640" s="46"/>
      <c r="AX640" s="44"/>
      <c r="AY640" s="44">
        <v>1</v>
      </c>
      <c r="AZ640" s="44"/>
      <c r="BA640" s="46"/>
      <c r="BB640" s="34"/>
      <c r="BC640" s="34"/>
    </row>
    <row r="641" spans="1:55" customFormat="1" ht="21" customHeight="1" x14ac:dyDescent="0.25">
      <c r="A641" s="22"/>
      <c r="B641" s="42" t="s">
        <v>893</v>
      </c>
      <c r="C641" s="42" t="s">
        <v>247</v>
      </c>
      <c r="D641" s="42" t="s">
        <v>1116</v>
      </c>
      <c r="E641" s="34"/>
      <c r="F641" s="46"/>
      <c r="G641" s="46"/>
      <c r="H641" s="34"/>
      <c r="I641" s="46"/>
      <c r="J641" s="46"/>
      <c r="K641" s="46"/>
      <c r="L641" s="46"/>
      <c r="M641" s="46"/>
      <c r="N641" s="46"/>
      <c r="O641" s="46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  <c r="AA641" s="34"/>
      <c r="AB641" s="34"/>
      <c r="AC641" s="46"/>
      <c r="AD641" s="46"/>
      <c r="AE641" s="46"/>
      <c r="AF641" s="46"/>
      <c r="AG641" s="46"/>
      <c r="AH641" s="46"/>
      <c r="AI641" s="46"/>
      <c r="AJ641" s="46"/>
      <c r="AK641" s="46"/>
      <c r="AL641" s="46"/>
      <c r="AM641" s="46"/>
      <c r="AN641" s="46"/>
      <c r="AO641" s="46"/>
      <c r="AP641" s="46"/>
      <c r="AQ641" s="46"/>
      <c r="AR641" s="46"/>
      <c r="AS641" s="46"/>
      <c r="AT641" s="46"/>
      <c r="AU641" s="46"/>
      <c r="AV641" s="46"/>
      <c r="AW641" s="46"/>
      <c r="AX641" s="44"/>
      <c r="AY641" s="44"/>
      <c r="AZ641" s="44"/>
      <c r="BA641" s="46"/>
      <c r="BB641" s="34"/>
      <c r="BC641" s="34"/>
    </row>
    <row r="642" spans="1:55" customFormat="1" ht="21" customHeight="1" x14ac:dyDescent="0.25">
      <c r="A642" s="22"/>
      <c r="B642" s="42" t="s">
        <v>893</v>
      </c>
      <c r="C642" s="42" t="s">
        <v>253</v>
      </c>
      <c r="D642" s="42" t="s">
        <v>1117</v>
      </c>
      <c r="E642" s="34"/>
      <c r="F642" s="46"/>
      <c r="G642" s="46"/>
      <c r="H642" s="34"/>
      <c r="I642" s="46"/>
      <c r="J642" s="46"/>
      <c r="K642" s="46"/>
      <c r="L642" s="46"/>
      <c r="M642" s="46"/>
      <c r="N642" s="46"/>
      <c r="O642" s="46"/>
      <c r="P642" s="46"/>
      <c r="Q642" s="42">
        <v>1</v>
      </c>
      <c r="R642" s="46"/>
      <c r="S642" s="46"/>
      <c r="T642" s="46"/>
      <c r="U642" s="46"/>
      <c r="V642" s="46"/>
      <c r="W642" s="46"/>
      <c r="X642" s="46"/>
      <c r="Y642" s="46"/>
      <c r="Z642" s="46"/>
      <c r="AA642" s="34"/>
      <c r="AB642" s="34"/>
      <c r="AC642" s="46"/>
      <c r="AD642" s="46"/>
      <c r="AE642" s="46"/>
      <c r="AF642" s="46"/>
      <c r="AG642" s="46"/>
      <c r="AH642" s="46"/>
      <c r="AI642" s="46"/>
      <c r="AJ642" s="46"/>
      <c r="AK642" s="46"/>
      <c r="AL642" s="42">
        <v>1</v>
      </c>
      <c r="AM642" s="46">
        <v>1</v>
      </c>
      <c r="AN642" s="46"/>
      <c r="AO642" s="46"/>
      <c r="AP642" s="46"/>
      <c r="AQ642" s="46"/>
      <c r="AR642" s="46"/>
      <c r="AS642" s="46"/>
      <c r="AT642" s="46"/>
      <c r="AU642" s="46"/>
      <c r="AV642" s="46"/>
      <c r="AW642" s="46"/>
      <c r="AX642" s="44"/>
      <c r="AY642" s="44"/>
      <c r="AZ642" s="44"/>
      <c r="BA642" s="46"/>
      <c r="BB642" s="34"/>
      <c r="BC642" s="34"/>
    </row>
    <row r="643" spans="1:55" customFormat="1" ht="21" customHeight="1" x14ac:dyDescent="0.25">
      <c r="A643" s="22"/>
      <c r="B643" s="42" t="s">
        <v>893</v>
      </c>
      <c r="C643" s="42" t="s">
        <v>255</v>
      </c>
      <c r="D643" s="42" t="s">
        <v>1118</v>
      </c>
      <c r="E643" s="34"/>
      <c r="F643" s="46"/>
      <c r="G643" s="46"/>
      <c r="H643" s="34"/>
      <c r="I643" s="46"/>
      <c r="J643" s="46"/>
      <c r="K643" s="46"/>
      <c r="L643" s="46"/>
      <c r="M643" s="46"/>
      <c r="N643" s="46"/>
      <c r="O643" s="46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  <c r="AA643" s="34"/>
      <c r="AB643" s="34"/>
      <c r="AC643" s="46"/>
      <c r="AD643" s="46"/>
      <c r="AE643" s="46"/>
      <c r="AF643" s="46"/>
      <c r="AG643" s="46"/>
      <c r="AH643" s="46"/>
      <c r="AI643" s="46"/>
      <c r="AJ643" s="46"/>
      <c r="AK643" s="46"/>
      <c r="AL643" s="46"/>
      <c r="AM643" s="46"/>
      <c r="AN643" s="46"/>
      <c r="AO643" s="46"/>
      <c r="AP643" s="46"/>
      <c r="AQ643" s="46"/>
      <c r="AR643" s="46"/>
      <c r="AS643" s="46"/>
      <c r="AT643" s="46"/>
      <c r="AU643" s="46"/>
      <c r="AV643" s="46"/>
      <c r="AW643" s="46"/>
      <c r="AX643" s="44"/>
      <c r="AY643" s="44"/>
      <c r="AZ643" s="44">
        <v>1</v>
      </c>
      <c r="BA643" s="46"/>
      <c r="BB643" s="34"/>
      <c r="BC643" s="34"/>
    </row>
    <row r="644" spans="1:55" customFormat="1" ht="21" customHeight="1" x14ac:dyDescent="0.25">
      <c r="A644" s="22"/>
      <c r="B644" s="42" t="s">
        <v>893</v>
      </c>
      <c r="C644" s="42" t="s">
        <v>246</v>
      </c>
      <c r="D644" s="42" t="s">
        <v>1119</v>
      </c>
      <c r="E644" s="34"/>
      <c r="F644" s="46"/>
      <c r="G644" s="46"/>
      <c r="H644" s="34"/>
      <c r="I644" s="46"/>
      <c r="J644" s="46"/>
      <c r="K644" s="46"/>
      <c r="L644" s="46"/>
      <c r="M644" s="46"/>
      <c r="N644" s="46"/>
      <c r="O644" s="46"/>
      <c r="P644" s="46"/>
      <c r="Q644" s="42">
        <v>1</v>
      </c>
      <c r="R644" s="46"/>
      <c r="S644" s="46"/>
      <c r="T644" s="46"/>
      <c r="U644" s="46"/>
      <c r="V644" s="46"/>
      <c r="W644" s="46"/>
      <c r="X644" s="46"/>
      <c r="Y644" s="46"/>
      <c r="Z644" s="46"/>
      <c r="AA644" s="34"/>
      <c r="AB644" s="42">
        <v>1</v>
      </c>
      <c r="AC644" s="46"/>
      <c r="AD644" s="46"/>
      <c r="AE644" s="46"/>
      <c r="AF644" s="46"/>
      <c r="AG644" s="46"/>
      <c r="AH644" s="46"/>
      <c r="AI644" s="46"/>
      <c r="AJ644" s="46"/>
      <c r="AK644" s="46"/>
      <c r="AL644" s="42">
        <v>1</v>
      </c>
      <c r="AM644" s="46">
        <v>1</v>
      </c>
      <c r="AN644" s="46"/>
      <c r="AO644" s="46"/>
      <c r="AP644" s="46"/>
      <c r="AQ644" s="46"/>
      <c r="AR644" s="46"/>
      <c r="AS644" s="46"/>
      <c r="AT644" s="46"/>
      <c r="AU644" s="46"/>
      <c r="AV644" s="46"/>
      <c r="AW644" s="46"/>
      <c r="AX644" s="44"/>
      <c r="AY644" s="44">
        <v>1</v>
      </c>
      <c r="AZ644" s="44">
        <v>1</v>
      </c>
      <c r="BA644" s="34">
        <v>1</v>
      </c>
      <c r="BB644" s="34">
        <v>1</v>
      </c>
      <c r="BC644" s="34"/>
    </row>
    <row r="645" spans="1:55" customFormat="1" ht="21" customHeight="1" x14ac:dyDescent="0.25">
      <c r="A645" s="22"/>
      <c r="B645" s="42" t="s">
        <v>893</v>
      </c>
      <c r="C645" s="42" t="s">
        <v>255</v>
      </c>
      <c r="D645" s="42" t="s">
        <v>1120</v>
      </c>
      <c r="E645" s="34"/>
      <c r="F645" s="46"/>
      <c r="G645" s="46"/>
      <c r="H645" s="34"/>
      <c r="I645" s="46"/>
      <c r="J645" s="46"/>
      <c r="K645" s="46"/>
      <c r="L645" s="46"/>
      <c r="M645" s="46"/>
      <c r="N645" s="46"/>
      <c r="O645" s="46"/>
      <c r="P645" s="34">
        <v>1</v>
      </c>
      <c r="Q645" s="42">
        <v>1</v>
      </c>
      <c r="R645" s="46"/>
      <c r="S645" s="46"/>
      <c r="T645" s="46"/>
      <c r="U645" s="46"/>
      <c r="V645" s="46"/>
      <c r="W645" s="46"/>
      <c r="X645" s="46"/>
      <c r="Y645" s="46"/>
      <c r="Z645" s="46"/>
      <c r="AA645" s="34">
        <v>1</v>
      </c>
      <c r="AB645" s="42">
        <v>1</v>
      </c>
      <c r="AC645" s="46"/>
      <c r="AD645" s="46"/>
      <c r="AE645" s="46"/>
      <c r="AF645" s="46"/>
      <c r="AG645" s="46"/>
      <c r="AH645" s="46"/>
      <c r="AI645" s="46"/>
      <c r="AJ645" s="46"/>
      <c r="AK645" s="46"/>
      <c r="AL645" s="42">
        <v>1</v>
      </c>
      <c r="AM645" s="42">
        <v>1</v>
      </c>
      <c r="AN645" s="46"/>
      <c r="AO645" s="46"/>
      <c r="AP645" s="46"/>
      <c r="AQ645" s="46"/>
      <c r="AR645" s="46"/>
      <c r="AS645" s="46"/>
      <c r="AT645" s="46"/>
      <c r="AU645" s="46"/>
      <c r="AV645" s="46"/>
      <c r="AW645" s="46"/>
      <c r="AX645" s="44"/>
      <c r="AY645" s="44">
        <v>1</v>
      </c>
      <c r="AZ645" s="44"/>
      <c r="BA645" s="34">
        <v>1</v>
      </c>
      <c r="BB645" s="34">
        <v>1</v>
      </c>
      <c r="BC645" s="34"/>
    </row>
    <row r="646" spans="1:55" customFormat="1" ht="21" customHeight="1" x14ac:dyDescent="0.25">
      <c r="A646" s="22"/>
      <c r="B646" s="42" t="s">
        <v>893</v>
      </c>
      <c r="C646" s="42" t="s">
        <v>255</v>
      </c>
      <c r="D646" s="42" t="s">
        <v>1121</v>
      </c>
      <c r="E646" s="34"/>
      <c r="F646" s="46"/>
      <c r="G646" s="46"/>
      <c r="H646" s="34"/>
      <c r="I646" s="46"/>
      <c r="J646" s="46"/>
      <c r="K646" s="46"/>
      <c r="L646" s="46"/>
      <c r="M646" s="46"/>
      <c r="N646" s="46"/>
      <c r="O646" s="46"/>
      <c r="P646" s="34">
        <v>1</v>
      </c>
      <c r="Q646" s="42">
        <v>1</v>
      </c>
      <c r="R646" s="46"/>
      <c r="S646" s="46"/>
      <c r="T646" s="46"/>
      <c r="U646" s="46"/>
      <c r="V646" s="46"/>
      <c r="W646" s="46"/>
      <c r="X646" s="46"/>
      <c r="Y646" s="46"/>
      <c r="Z646" s="46"/>
      <c r="AA646" s="34">
        <v>1</v>
      </c>
      <c r="AB646" s="42">
        <v>1</v>
      </c>
      <c r="AC646" s="46"/>
      <c r="AD646" s="46"/>
      <c r="AE646" s="46"/>
      <c r="AF646" s="46"/>
      <c r="AG646" s="46"/>
      <c r="AH646" s="46"/>
      <c r="AI646" s="46"/>
      <c r="AJ646" s="46"/>
      <c r="AK646" s="46"/>
      <c r="AL646" s="42">
        <v>1</v>
      </c>
      <c r="AM646" s="42">
        <v>1</v>
      </c>
      <c r="AN646" s="46"/>
      <c r="AO646" s="46"/>
      <c r="AP646" s="46"/>
      <c r="AQ646" s="46"/>
      <c r="AR646" s="46"/>
      <c r="AS646" s="46"/>
      <c r="AT646" s="46"/>
      <c r="AU646" s="46"/>
      <c r="AV646" s="46"/>
      <c r="AW646" s="46"/>
      <c r="AX646" s="44"/>
      <c r="AY646" s="44">
        <v>1</v>
      </c>
      <c r="AZ646" s="44">
        <v>1</v>
      </c>
      <c r="BA646" s="34">
        <v>1</v>
      </c>
      <c r="BB646" s="34">
        <v>1</v>
      </c>
      <c r="BC646" s="34">
        <v>1</v>
      </c>
    </row>
    <row r="647" spans="1:55" customFormat="1" ht="21" customHeight="1" x14ac:dyDescent="0.25">
      <c r="A647" s="22"/>
      <c r="B647" s="42" t="s">
        <v>893</v>
      </c>
      <c r="C647" s="42" t="s">
        <v>255</v>
      </c>
      <c r="D647" s="42" t="s">
        <v>1122</v>
      </c>
      <c r="E647" s="34"/>
      <c r="F647" s="46"/>
      <c r="G647" s="46"/>
      <c r="H647" s="34"/>
      <c r="I647" s="46"/>
      <c r="J647" s="46"/>
      <c r="K647" s="46"/>
      <c r="L647" s="46"/>
      <c r="M647" s="46"/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  <c r="AA647" s="34"/>
      <c r="AB647" s="34"/>
      <c r="AC647" s="46"/>
      <c r="AD647" s="46"/>
      <c r="AE647" s="46"/>
      <c r="AF647" s="46"/>
      <c r="AG647" s="46"/>
      <c r="AH647" s="46"/>
      <c r="AI647" s="46"/>
      <c r="AJ647" s="46"/>
      <c r="AK647" s="46"/>
      <c r="AL647" s="46"/>
      <c r="AM647" s="46"/>
      <c r="AN647" s="46"/>
      <c r="AO647" s="46"/>
      <c r="AP647" s="46"/>
      <c r="AQ647" s="46"/>
      <c r="AR647" s="46"/>
      <c r="AS647" s="46"/>
      <c r="AT647" s="46"/>
      <c r="AU647" s="46"/>
      <c r="AV647" s="46"/>
      <c r="AW647" s="46"/>
      <c r="AX647" s="44"/>
      <c r="AY647" s="44"/>
      <c r="AZ647" s="44"/>
      <c r="BA647" s="46"/>
      <c r="BB647" s="34"/>
      <c r="BC647" s="34"/>
    </row>
    <row r="648" spans="1:55" customFormat="1" ht="21" customHeight="1" x14ac:dyDescent="0.25">
      <c r="A648" s="22"/>
      <c r="B648" s="42" t="s">
        <v>893</v>
      </c>
      <c r="C648" s="42" t="s">
        <v>246</v>
      </c>
      <c r="D648" s="42" t="s">
        <v>1123</v>
      </c>
      <c r="E648" s="34"/>
      <c r="F648" s="46"/>
      <c r="G648" s="46"/>
      <c r="H648" s="34"/>
      <c r="I648" s="46"/>
      <c r="J648" s="46"/>
      <c r="K648" s="46"/>
      <c r="L648" s="46"/>
      <c r="M648" s="46"/>
      <c r="N648" s="46"/>
      <c r="O648" s="46"/>
      <c r="P648" s="34">
        <v>1</v>
      </c>
      <c r="Q648" s="42">
        <v>1</v>
      </c>
      <c r="R648" s="46"/>
      <c r="S648" s="46"/>
      <c r="T648" s="46"/>
      <c r="U648" s="46"/>
      <c r="V648" s="46"/>
      <c r="W648" s="46"/>
      <c r="X648" s="46"/>
      <c r="Y648" s="46"/>
      <c r="Z648" s="46"/>
      <c r="AA648" s="34">
        <v>1</v>
      </c>
      <c r="AB648" s="42">
        <v>1</v>
      </c>
      <c r="AC648" s="46"/>
      <c r="AD648" s="46"/>
      <c r="AE648" s="46"/>
      <c r="AF648" s="46"/>
      <c r="AG648" s="46"/>
      <c r="AH648" s="46"/>
      <c r="AI648" s="46"/>
      <c r="AJ648" s="46"/>
      <c r="AK648" s="46"/>
      <c r="AL648" s="42">
        <v>1</v>
      </c>
      <c r="AM648" s="42">
        <v>1</v>
      </c>
      <c r="AN648" s="46"/>
      <c r="AO648" s="46"/>
      <c r="AP648" s="46"/>
      <c r="AQ648" s="46"/>
      <c r="AR648" s="46"/>
      <c r="AS648" s="46"/>
      <c r="AT648" s="46"/>
      <c r="AU648" s="46"/>
      <c r="AV648" s="46"/>
      <c r="AW648" s="46"/>
      <c r="AX648" s="44"/>
      <c r="AY648" s="44">
        <v>1</v>
      </c>
      <c r="AZ648" s="44">
        <v>1</v>
      </c>
      <c r="BA648" s="34">
        <v>1</v>
      </c>
      <c r="BB648" s="34">
        <v>1</v>
      </c>
      <c r="BC648" s="34"/>
    </row>
    <row r="649" spans="1:55" customFormat="1" ht="21" customHeight="1" x14ac:dyDescent="0.25">
      <c r="A649" s="22"/>
      <c r="B649" s="42" t="s">
        <v>893</v>
      </c>
      <c r="C649" s="42" t="s">
        <v>249</v>
      </c>
      <c r="D649" s="42" t="s">
        <v>1124</v>
      </c>
      <c r="E649" s="34"/>
      <c r="F649" s="46"/>
      <c r="G649" s="46"/>
      <c r="H649" s="34"/>
      <c r="I649" s="46"/>
      <c r="J649" s="46"/>
      <c r="K649" s="46"/>
      <c r="L649" s="46"/>
      <c r="M649" s="46"/>
      <c r="N649" s="46"/>
      <c r="O649" s="46"/>
      <c r="P649" s="34">
        <v>1</v>
      </c>
      <c r="Q649" s="42">
        <v>1</v>
      </c>
      <c r="R649" s="46"/>
      <c r="S649" s="46"/>
      <c r="T649" s="46"/>
      <c r="U649" s="46"/>
      <c r="V649" s="46"/>
      <c r="W649" s="46"/>
      <c r="X649" s="46"/>
      <c r="Y649" s="46"/>
      <c r="Z649" s="46"/>
      <c r="AA649" s="34">
        <v>1</v>
      </c>
      <c r="AB649" s="42"/>
      <c r="AC649" s="46"/>
      <c r="AD649" s="46"/>
      <c r="AE649" s="46"/>
      <c r="AF649" s="46"/>
      <c r="AG649" s="46"/>
      <c r="AH649" s="46"/>
      <c r="AI649" s="46"/>
      <c r="AJ649" s="46"/>
      <c r="AK649" s="46"/>
      <c r="AL649" s="42">
        <v>1</v>
      </c>
      <c r="AM649" s="42"/>
      <c r="AN649" s="46"/>
      <c r="AO649" s="46"/>
      <c r="AP649" s="46"/>
      <c r="AQ649" s="46"/>
      <c r="AR649" s="46"/>
      <c r="AS649" s="46"/>
      <c r="AT649" s="46"/>
      <c r="AU649" s="46"/>
      <c r="AV649" s="46"/>
      <c r="AW649" s="46"/>
      <c r="AX649" s="44"/>
      <c r="AY649" s="44">
        <v>1</v>
      </c>
      <c r="AZ649" s="44"/>
      <c r="BA649" s="34">
        <v>1</v>
      </c>
      <c r="BB649" s="34"/>
      <c r="BC649" s="34">
        <v>1</v>
      </c>
    </row>
    <row r="650" spans="1:55" customFormat="1" ht="21" customHeight="1" x14ac:dyDescent="0.25">
      <c r="A650" s="22"/>
      <c r="B650" s="42" t="s">
        <v>893</v>
      </c>
      <c r="C650" s="42" t="s">
        <v>252</v>
      </c>
      <c r="D650" s="42" t="s">
        <v>1125</v>
      </c>
      <c r="E650" s="34"/>
      <c r="F650" s="46"/>
      <c r="G650" s="46"/>
      <c r="H650" s="34"/>
      <c r="I650" s="46"/>
      <c r="J650" s="46"/>
      <c r="K650" s="46"/>
      <c r="L650" s="46"/>
      <c r="M650" s="46"/>
      <c r="N650" s="46"/>
      <c r="O650" s="46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  <c r="AA650" s="34"/>
      <c r="AB650" s="34"/>
      <c r="AC650" s="46"/>
      <c r="AD650" s="46"/>
      <c r="AE650" s="46"/>
      <c r="AF650" s="46"/>
      <c r="AG650" s="46"/>
      <c r="AH650" s="46"/>
      <c r="AI650" s="46"/>
      <c r="AJ650" s="46"/>
      <c r="AK650" s="46"/>
      <c r="AL650" s="46"/>
      <c r="AM650" s="46"/>
      <c r="AN650" s="46"/>
      <c r="AO650" s="46"/>
      <c r="AP650" s="46"/>
      <c r="AQ650" s="46"/>
      <c r="AR650" s="46"/>
      <c r="AS650" s="46"/>
      <c r="AT650" s="46"/>
      <c r="AU650" s="46"/>
      <c r="AV650" s="46"/>
      <c r="AW650" s="46"/>
      <c r="AX650" s="44"/>
      <c r="AY650" s="44"/>
      <c r="AZ650" s="44"/>
      <c r="BA650" s="34">
        <v>1</v>
      </c>
      <c r="BB650" s="34"/>
      <c r="BC650" s="34"/>
    </row>
    <row r="651" spans="1:55" customFormat="1" ht="21" customHeight="1" x14ac:dyDescent="0.25">
      <c r="A651" s="22"/>
      <c r="B651" s="42" t="s">
        <v>893</v>
      </c>
      <c r="C651" s="42" t="s">
        <v>246</v>
      </c>
      <c r="D651" s="42" t="s">
        <v>1126</v>
      </c>
      <c r="E651" s="34"/>
      <c r="F651" s="46"/>
      <c r="G651" s="46"/>
      <c r="H651" s="34"/>
      <c r="I651" s="46"/>
      <c r="J651" s="46"/>
      <c r="K651" s="46"/>
      <c r="L651" s="46"/>
      <c r="M651" s="46"/>
      <c r="N651" s="46"/>
      <c r="O651" s="46"/>
      <c r="P651" s="34">
        <v>1</v>
      </c>
      <c r="Q651" s="42">
        <v>1</v>
      </c>
      <c r="R651" s="46"/>
      <c r="S651" s="46"/>
      <c r="T651" s="46"/>
      <c r="U651" s="46"/>
      <c r="V651" s="46"/>
      <c r="W651" s="46"/>
      <c r="X651" s="46"/>
      <c r="Y651" s="46"/>
      <c r="Z651" s="46"/>
      <c r="AA651" s="34">
        <v>1</v>
      </c>
      <c r="AB651" s="42">
        <v>1</v>
      </c>
      <c r="AC651" s="46"/>
      <c r="AD651" s="46"/>
      <c r="AE651" s="46"/>
      <c r="AF651" s="46"/>
      <c r="AG651" s="46"/>
      <c r="AH651" s="46"/>
      <c r="AI651" s="46"/>
      <c r="AJ651" s="46"/>
      <c r="AK651" s="46"/>
      <c r="AL651" s="42">
        <v>1</v>
      </c>
      <c r="AM651" s="42">
        <v>1</v>
      </c>
      <c r="AN651" s="46"/>
      <c r="AO651" s="46"/>
      <c r="AP651" s="46"/>
      <c r="AQ651" s="46"/>
      <c r="AR651" s="46"/>
      <c r="AS651" s="46"/>
      <c r="AT651" s="46"/>
      <c r="AU651" s="46"/>
      <c r="AV651" s="46"/>
      <c r="AW651" s="46"/>
      <c r="AX651" s="44"/>
      <c r="AY651" s="44">
        <v>1</v>
      </c>
      <c r="AZ651" s="44">
        <v>1</v>
      </c>
      <c r="BA651" s="46"/>
      <c r="BB651" s="34"/>
      <c r="BC651" s="34">
        <v>1</v>
      </c>
    </row>
    <row r="652" spans="1:55" customFormat="1" ht="21" customHeight="1" x14ac:dyDescent="0.25">
      <c r="A652" s="22"/>
      <c r="B652" s="42" t="s">
        <v>893</v>
      </c>
      <c r="C652" s="42" t="s">
        <v>246</v>
      </c>
      <c r="D652" s="42" t="s">
        <v>1127</v>
      </c>
      <c r="E652" s="34"/>
      <c r="F652" s="46"/>
      <c r="G652" s="46"/>
      <c r="H652" s="34"/>
      <c r="I652" s="46"/>
      <c r="J652" s="46"/>
      <c r="K652" s="46"/>
      <c r="L652" s="46"/>
      <c r="M652" s="46"/>
      <c r="N652" s="46"/>
      <c r="O652" s="46"/>
      <c r="P652" s="34">
        <v>1</v>
      </c>
      <c r="Q652" s="42">
        <v>1</v>
      </c>
      <c r="R652" s="46"/>
      <c r="S652" s="46"/>
      <c r="T652" s="46"/>
      <c r="U652" s="46"/>
      <c r="V652" s="46"/>
      <c r="W652" s="46"/>
      <c r="X652" s="46"/>
      <c r="Y652" s="46"/>
      <c r="Z652" s="46"/>
      <c r="AA652" s="34">
        <v>1</v>
      </c>
      <c r="AB652" s="42">
        <v>1</v>
      </c>
      <c r="AC652" s="46"/>
      <c r="AD652" s="46"/>
      <c r="AE652" s="46"/>
      <c r="AF652" s="46"/>
      <c r="AG652" s="46"/>
      <c r="AH652" s="46"/>
      <c r="AI652" s="46"/>
      <c r="AJ652" s="46"/>
      <c r="AK652" s="46"/>
      <c r="AL652" s="42">
        <v>1</v>
      </c>
      <c r="AM652" s="42">
        <v>1</v>
      </c>
      <c r="AN652" s="46"/>
      <c r="AO652" s="46"/>
      <c r="AP652" s="46"/>
      <c r="AQ652" s="46"/>
      <c r="AR652" s="46"/>
      <c r="AS652" s="46"/>
      <c r="AT652" s="46"/>
      <c r="AU652" s="46"/>
      <c r="AV652" s="46"/>
      <c r="AW652" s="46"/>
      <c r="AX652" s="44"/>
      <c r="AY652" s="44">
        <v>1</v>
      </c>
      <c r="AZ652" s="44">
        <v>1</v>
      </c>
      <c r="BA652" s="34">
        <v>1</v>
      </c>
      <c r="BB652" s="34">
        <v>1</v>
      </c>
      <c r="BC652" s="34">
        <v>1</v>
      </c>
    </row>
    <row r="653" spans="1:55" customFormat="1" ht="21" customHeight="1" x14ac:dyDescent="0.25">
      <c r="A653" s="22"/>
      <c r="B653" s="42" t="s">
        <v>893</v>
      </c>
      <c r="C653" s="42" t="s">
        <v>247</v>
      </c>
      <c r="D653" s="42" t="s">
        <v>1128</v>
      </c>
      <c r="E653" s="34"/>
      <c r="F653" s="46"/>
      <c r="G653" s="46"/>
      <c r="H653" s="34"/>
      <c r="I653" s="46"/>
      <c r="J653" s="46"/>
      <c r="K653" s="46"/>
      <c r="L653" s="46"/>
      <c r="M653" s="46"/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  <c r="AA653" s="34"/>
      <c r="AB653" s="34"/>
      <c r="AC653" s="46"/>
      <c r="AD653" s="46"/>
      <c r="AE653" s="46"/>
      <c r="AF653" s="46"/>
      <c r="AG653" s="46"/>
      <c r="AH653" s="46"/>
      <c r="AI653" s="46"/>
      <c r="AJ653" s="46"/>
      <c r="AK653" s="46"/>
      <c r="AL653" s="46"/>
      <c r="AM653" s="46"/>
      <c r="AN653" s="46"/>
      <c r="AO653" s="46"/>
      <c r="AP653" s="46"/>
      <c r="AQ653" s="46"/>
      <c r="AR653" s="46"/>
      <c r="AS653" s="46"/>
      <c r="AT653" s="46"/>
      <c r="AU653" s="46"/>
      <c r="AV653" s="46"/>
      <c r="AW653" s="46"/>
      <c r="AX653" s="44"/>
      <c r="AY653" s="44"/>
      <c r="AZ653" s="44">
        <v>1</v>
      </c>
      <c r="BA653" s="46"/>
      <c r="BB653" s="34"/>
      <c r="BC653" s="34"/>
    </row>
    <row r="654" spans="1:55" customFormat="1" ht="21" customHeight="1" x14ac:dyDescent="0.25">
      <c r="A654" s="22"/>
      <c r="B654" s="42" t="s">
        <v>893</v>
      </c>
      <c r="C654" s="42" t="s">
        <v>255</v>
      </c>
      <c r="D654" s="42" t="s">
        <v>1129</v>
      </c>
      <c r="E654" s="34"/>
      <c r="F654" s="46"/>
      <c r="G654" s="46"/>
      <c r="H654" s="34"/>
      <c r="I654" s="46"/>
      <c r="J654" s="46"/>
      <c r="K654" s="46"/>
      <c r="L654" s="46"/>
      <c r="M654" s="46"/>
      <c r="N654" s="46"/>
      <c r="O654" s="46"/>
      <c r="P654" s="46"/>
      <c r="Q654" s="42">
        <v>1</v>
      </c>
      <c r="R654" s="46"/>
      <c r="S654" s="46"/>
      <c r="T654" s="46"/>
      <c r="U654" s="46"/>
      <c r="V654" s="46"/>
      <c r="W654" s="46"/>
      <c r="X654" s="46"/>
      <c r="Y654" s="46"/>
      <c r="Z654" s="46"/>
      <c r="AA654" s="34"/>
      <c r="AB654" s="34"/>
      <c r="AC654" s="46"/>
      <c r="AD654" s="46"/>
      <c r="AE654" s="46"/>
      <c r="AF654" s="46"/>
      <c r="AG654" s="46"/>
      <c r="AH654" s="46"/>
      <c r="AI654" s="46"/>
      <c r="AJ654" s="46"/>
      <c r="AK654" s="46"/>
      <c r="AL654" s="46">
        <v>1</v>
      </c>
      <c r="AM654" s="46">
        <v>1</v>
      </c>
      <c r="AN654" s="46"/>
      <c r="AO654" s="46"/>
      <c r="AP654" s="46"/>
      <c r="AQ654" s="46"/>
      <c r="AR654" s="46"/>
      <c r="AS654" s="46"/>
      <c r="AT654" s="46"/>
      <c r="AU654" s="46"/>
      <c r="AV654" s="46"/>
      <c r="AW654" s="46"/>
      <c r="AX654" s="44"/>
      <c r="AY654" s="44"/>
      <c r="AZ654" s="44">
        <v>1</v>
      </c>
      <c r="BA654" s="46"/>
      <c r="BB654" s="34"/>
      <c r="BC654" s="34"/>
    </row>
    <row r="655" spans="1:55" customFormat="1" ht="21" customHeight="1" x14ac:dyDescent="0.25">
      <c r="A655" s="22"/>
      <c r="B655" s="42" t="s">
        <v>893</v>
      </c>
      <c r="C655" s="42" t="s">
        <v>255</v>
      </c>
      <c r="D655" s="42" t="s">
        <v>1130</v>
      </c>
      <c r="E655" s="34"/>
      <c r="F655" s="46"/>
      <c r="G655" s="46"/>
      <c r="H655" s="34"/>
      <c r="I655" s="46"/>
      <c r="J655" s="46"/>
      <c r="K655" s="46"/>
      <c r="L655" s="46"/>
      <c r="M655" s="46"/>
      <c r="N655" s="46"/>
      <c r="O655" s="46"/>
      <c r="P655" s="34">
        <v>1</v>
      </c>
      <c r="Q655" s="42">
        <v>1</v>
      </c>
      <c r="R655" s="46"/>
      <c r="S655" s="46"/>
      <c r="T655" s="46"/>
      <c r="U655" s="46"/>
      <c r="V655" s="46"/>
      <c r="W655" s="46"/>
      <c r="X655" s="46"/>
      <c r="Y655" s="46"/>
      <c r="Z655" s="46"/>
      <c r="AA655" s="34">
        <v>1</v>
      </c>
      <c r="AB655" s="42">
        <v>1</v>
      </c>
      <c r="AC655" s="46"/>
      <c r="AD655" s="46"/>
      <c r="AE655" s="46"/>
      <c r="AF655" s="46"/>
      <c r="AG655" s="46"/>
      <c r="AH655" s="46"/>
      <c r="AI655" s="46"/>
      <c r="AJ655" s="46"/>
      <c r="AK655" s="46"/>
      <c r="AL655" s="42">
        <v>1</v>
      </c>
      <c r="AM655" s="42">
        <v>1</v>
      </c>
      <c r="AN655" s="46"/>
      <c r="AO655" s="46"/>
      <c r="AP655" s="46"/>
      <c r="AQ655" s="46"/>
      <c r="AR655" s="46"/>
      <c r="AS655" s="46"/>
      <c r="AT655" s="46"/>
      <c r="AU655" s="46"/>
      <c r="AV655" s="46"/>
      <c r="AW655" s="46"/>
      <c r="AX655" s="44"/>
      <c r="AY655" s="44">
        <v>1</v>
      </c>
      <c r="AZ655" s="44"/>
      <c r="BA655" s="34">
        <v>1</v>
      </c>
      <c r="BB655" s="34">
        <v>1</v>
      </c>
      <c r="BC655" s="34"/>
    </row>
    <row r="656" spans="1:55" customFormat="1" ht="21" customHeight="1" x14ac:dyDescent="0.25">
      <c r="A656" s="22"/>
      <c r="B656" s="42" t="s">
        <v>893</v>
      </c>
      <c r="C656" s="42" t="s">
        <v>255</v>
      </c>
      <c r="D656" s="42" t="s">
        <v>1131</v>
      </c>
      <c r="E656" s="34"/>
      <c r="F656" s="46"/>
      <c r="G656" s="46"/>
      <c r="H656" s="34"/>
      <c r="I656" s="46"/>
      <c r="J656" s="46"/>
      <c r="K656" s="46"/>
      <c r="L656" s="46"/>
      <c r="M656" s="46"/>
      <c r="N656" s="46"/>
      <c r="O656" s="46"/>
      <c r="P656" s="46"/>
      <c r="Q656" s="42">
        <v>1</v>
      </c>
      <c r="R656" s="46"/>
      <c r="S656" s="46"/>
      <c r="T656" s="46"/>
      <c r="U656" s="46"/>
      <c r="V656" s="46"/>
      <c r="W656" s="46"/>
      <c r="X656" s="46"/>
      <c r="Y656" s="46"/>
      <c r="Z656" s="46"/>
      <c r="AA656" s="34"/>
      <c r="AB656" s="34">
        <v>1</v>
      </c>
      <c r="AC656" s="46"/>
      <c r="AD656" s="46"/>
      <c r="AE656" s="46"/>
      <c r="AF656" s="46"/>
      <c r="AG656" s="46"/>
      <c r="AH656" s="46"/>
      <c r="AI656" s="46"/>
      <c r="AJ656" s="46"/>
      <c r="AK656" s="46"/>
      <c r="AL656" s="42">
        <v>1</v>
      </c>
      <c r="AM656" s="42">
        <v>1</v>
      </c>
      <c r="AN656" s="46"/>
      <c r="AO656" s="46"/>
      <c r="AP656" s="46"/>
      <c r="AQ656" s="46"/>
      <c r="AR656" s="46"/>
      <c r="AS656" s="46"/>
      <c r="AT656" s="46"/>
      <c r="AU656" s="46"/>
      <c r="AV656" s="46"/>
      <c r="AW656" s="46"/>
      <c r="AX656" s="44"/>
      <c r="AY656" s="44">
        <v>1</v>
      </c>
      <c r="AZ656" s="44">
        <v>1</v>
      </c>
      <c r="BA656" s="46"/>
      <c r="BB656" s="34"/>
      <c r="BC656" s="34"/>
    </row>
    <row r="657" spans="1:55" customFormat="1" ht="21" customHeight="1" x14ac:dyDescent="0.25">
      <c r="A657" s="22"/>
      <c r="B657" s="42" t="s">
        <v>893</v>
      </c>
      <c r="C657" s="42" t="s">
        <v>255</v>
      </c>
      <c r="D657" s="42" t="s">
        <v>1132</v>
      </c>
      <c r="E657" s="34"/>
      <c r="F657" s="46"/>
      <c r="G657" s="46"/>
      <c r="H657" s="34"/>
      <c r="I657" s="46"/>
      <c r="J657" s="46"/>
      <c r="K657" s="46"/>
      <c r="L657" s="46"/>
      <c r="M657" s="46"/>
      <c r="N657" s="46"/>
      <c r="O657" s="46"/>
      <c r="P657" s="34">
        <v>1</v>
      </c>
      <c r="Q657" s="42">
        <v>1</v>
      </c>
      <c r="R657" s="46"/>
      <c r="S657" s="46"/>
      <c r="T657" s="46"/>
      <c r="U657" s="46"/>
      <c r="V657" s="46"/>
      <c r="W657" s="46"/>
      <c r="X657" s="46"/>
      <c r="Y657" s="46"/>
      <c r="Z657" s="46"/>
      <c r="AA657" s="34"/>
      <c r="AB657" s="34"/>
      <c r="AC657" s="46"/>
      <c r="AD657" s="46"/>
      <c r="AE657" s="46"/>
      <c r="AF657" s="46"/>
      <c r="AG657" s="46"/>
      <c r="AH657" s="46"/>
      <c r="AI657" s="46"/>
      <c r="AJ657" s="46"/>
      <c r="AK657" s="46"/>
      <c r="AL657" s="42">
        <v>1</v>
      </c>
      <c r="AM657" s="42">
        <v>1</v>
      </c>
      <c r="AN657" s="46"/>
      <c r="AO657" s="46"/>
      <c r="AP657" s="46"/>
      <c r="AQ657" s="46"/>
      <c r="AR657" s="46"/>
      <c r="AS657" s="46"/>
      <c r="AT657" s="46"/>
      <c r="AU657" s="46"/>
      <c r="AV657" s="46"/>
      <c r="AW657" s="46"/>
      <c r="AX657" s="44"/>
      <c r="AY657" s="44">
        <v>1</v>
      </c>
      <c r="AZ657" s="44">
        <v>1</v>
      </c>
      <c r="BA657" s="46"/>
      <c r="BB657" s="34"/>
      <c r="BC657" s="34">
        <v>1</v>
      </c>
    </row>
    <row r="658" spans="1:55" customFormat="1" ht="21" customHeight="1" x14ac:dyDescent="0.25">
      <c r="A658" s="22"/>
      <c r="B658" s="42" t="s">
        <v>893</v>
      </c>
      <c r="C658" s="42" t="s">
        <v>255</v>
      </c>
      <c r="D658" s="42" t="s">
        <v>1133</v>
      </c>
      <c r="E658" s="34"/>
      <c r="F658" s="46"/>
      <c r="G658" s="46"/>
      <c r="H658" s="34"/>
      <c r="I658" s="46"/>
      <c r="J658" s="46"/>
      <c r="K658" s="46"/>
      <c r="L658" s="46"/>
      <c r="M658" s="46"/>
      <c r="N658" s="46"/>
      <c r="O658" s="46"/>
      <c r="P658" s="46"/>
      <c r="Q658" s="42">
        <v>1</v>
      </c>
      <c r="R658" s="46"/>
      <c r="S658" s="46"/>
      <c r="T658" s="46"/>
      <c r="U658" s="46"/>
      <c r="V658" s="46"/>
      <c r="W658" s="46"/>
      <c r="X658" s="46"/>
      <c r="Y658" s="46"/>
      <c r="Z658" s="46"/>
      <c r="AA658" s="34"/>
      <c r="AB658" s="34">
        <v>1</v>
      </c>
      <c r="AC658" s="46"/>
      <c r="AD658" s="46"/>
      <c r="AE658" s="46"/>
      <c r="AF658" s="46"/>
      <c r="AG658" s="46"/>
      <c r="AH658" s="46"/>
      <c r="AI658" s="46"/>
      <c r="AJ658" s="46"/>
      <c r="AK658" s="46"/>
      <c r="AL658" s="42">
        <v>1</v>
      </c>
      <c r="AM658" s="42">
        <v>1</v>
      </c>
      <c r="AN658" s="46"/>
      <c r="AO658" s="46"/>
      <c r="AP658" s="46"/>
      <c r="AQ658" s="46"/>
      <c r="AR658" s="46"/>
      <c r="AS658" s="46"/>
      <c r="AT658" s="46"/>
      <c r="AU658" s="46"/>
      <c r="AV658" s="46"/>
      <c r="AW658" s="46"/>
      <c r="AX658" s="44"/>
      <c r="AY658" s="44"/>
      <c r="AZ658" s="44"/>
      <c r="BA658" s="46"/>
      <c r="BB658" s="34">
        <v>1</v>
      </c>
      <c r="BC658" s="34"/>
    </row>
    <row r="659" spans="1:55" customFormat="1" ht="21" customHeight="1" x14ac:dyDescent="0.25">
      <c r="A659" s="22"/>
      <c r="B659" s="42" t="s">
        <v>893</v>
      </c>
      <c r="C659" s="42" t="s">
        <v>246</v>
      </c>
      <c r="D659" s="42" t="s">
        <v>1134</v>
      </c>
      <c r="E659" s="34"/>
      <c r="F659" s="46"/>
      <c r="G659" s="46"/>
      <c r="H659" s="34"/>
      <c r="I659" s="46"/>
      <c r="J659" s="46"/>
      <c r="K659" s="46"/>
      <c r="L659" s="46"/>
      <c r="M659" s="46"/>
      <c r="N659" s="46"/>
      <c r="O659" s="46"/>
      <c r="P659" s="34">
        <v>1</v>
      </c>
      <c r="Q659" s="42">
        <v>1</v>
      </c>
      <c r="R659" s="46"/>
      <c r="S659" s="46"/>
      <c r="T659" s="46"/>
      <c r="U659" s="46"/>
      <c r="V659" s="46"/>
      <c r="W659" s="46"/>
      <c r="X659" s="46"/>
      <c r="Y659" s="46"/>
      <c r="Z659" s="46"/>
      <c r="AA659" s="34">
        <v>1</v>
      </c>
      <c r="AB659" s="42">
        <v>1</v>
      </c>
      <c r="AC659" s="46"/>
      <c r="AD659" s="46"/>
      <c r="AE659" s="46"/>
      <c r="AF659" s="46"/>
      <c r="AG659" s="46"/>
      <c r="AH659" s="46"/>
      <c r="AI659" s="46"/>
      <c r="AJ659" s="46"/>
      <c r="AK659" s="46"/>
      <c r="AL659" s="42">
        <v>1</v>
      </c>
      <c r="AM659" s="42">
        <v>1</v>
      </c>
      <c r="AN659" s="46"/>
      <c r="AO659" s="46"/>
      <c r="AP659" s="46"/>
      <c r="AQ659" s="46"/>
      <c r="AR659" s="46"/>
      <c r="AS659" s="46"/>
      <c r="AT659" s="46"/>
      <c r="AU659" s="46"/>
      <c r="AV659" s="46"/>
      <c r="AW659" s="46"/>
      <c r="AX659" s="44"/>
      <c r="AY659" s="44">
        <v>1</v>
      </c>
      <c r="AZ659" s="44">
        <v>1</v>
      </c>
      <c r="BA659" s="34">
        <v>1</v>
      </c>
      <c r="BB659" s="34">
        <v>1</v>
      </c>
      <c r="BC659" s="34">
        <v>1</v>
      </c>
    </row>
    <row r="660" spans="1:55" customFormat="1" ht="21" customHeight="1" x14ac:dyDescent="0.25">
      <c r="A660" s="22"/>
      <c r="B660" s="42" t="s">
        <v>893</v>
      </c>
      <c r="C660" s="42" t="s">
        <v>246</v>
      </c>
      <c r="D660" s="42" t="s">
        <v>1135</v>
      </c>
      <c r="E660" s="34"/>
      <c r="F660" s="46"/>
      <c r="G660" s="46"/>
      <c r="H660" s="34"/>
      <c r="I660" s="46"/>
      <c r="J660" s="46"/>
      <c r="K660" s="46"/>
      <c r="L660" s="46"/>
      <c r="M660" s="46"/>
      <c r="N660" s="46"/>
      <c r="O660" s="46"/>
      <c r="P660" s="34">
        <v>1</v>
      </c>
      <c r="Q660" s="42">
        <v>1</v>
      </c>
      <c r="R660" s="46"/>
      <c r="S660" s="46"/>
      <c r="T660" s="46"/>
      <c r="U660" s="46"/>
      <c r="V660" s="46"/>
      <c r="W660" s="46"/>
      <c r="X660" s="46"/>
      <c r="Y660" s="46"/>
      <c r="Z660" s="46"/>
      <c r="AA660" s="34"/>
      <c r="AB660" s="34"/>
      <c r="AC660" s="46"/>
      <c r="AD660" s="46"/>
      <c r="AE660" s="46"/>
      <c r="AF660" s="46"/>
      <c r="AG660" s="46"/>
      <c r="AH660" s="46"/>
      <c r="AI660" s="46"/>
      <c r="AJ660" s="46"/>
      <c r="AK660" s="46"/>
      <c r="AL660" s="42">
        <v>1</v>
      </c>
      <c r="AM660" s="42">
        <v>1</v>
      </c>
      <c r="AN660" s="46"/>
      <c r="AO660" s="46"/>
      <c r="AP660" s="46"/>
      <c r="AQ660" s="46"/>
      <c r="AR660" s="46"/>
      <c r="AS660" s="46"/>
      <c r="AT660" s="46"/>
      <c r="AU660" s="46"/>
      <c r="AV660" s="46"/>
      <c r="AW660" s="46"/>
      <c r="AX660" s="44"/>
      <c r="AY660" s="44">
        <v>1</v>
      </c>
      <c r="AZ660" s="44">
        <v>1</v>
      </c>
      <c r="BA660" s="46"/>
      <c r="BB660" s="34">
        <v>1</v>
      </c>
      <c r="BC660" s="34">
        <v>1</v>
      </c>
    </row>
    <row r="661" spans="1:55" customFormat="1" ht="21" customHeight="1" x14ac:dyDescent="0.25">
      <c r="A661" s="22"/>
      <c r="B661" s="42" t="s">
        <v>893</v>
      </c>
      <c r="C661" s="42" t="s">
        <v>244</v>
      </c>
      <c r="D661" s="42" t="s">
        <v>1136</v>
      </c>
      <c r="E661" s="34"/>
      <c r="F661" s="46"/>
      <c r="G661" s="46"/>
      <c r="H661" s="34"/>
      <c r="I661" s="46"/>
      <c r="J661" s="46"/>
      <c r="K661" s="46"/>
      <c r="L661" s="46"/>
      <c r="M661" s="46"/>
      <c r="N661" s="46"/>
      <c r="O661" s="46"/>
      <c r="P661" s="34">
        <v>1</v>
      </c>
      <c r="Q661" s="42">
        <v>1</v>
      </c>
      <c r="R661" s="46"/>
      <c r="S661" s="46"/>
      <c r="T661" s="46"/>
      <c r="U661" s="46"/>
      <c r="V661" s="46"/>
      <c r="W661" s="46"/>
      <c r="X661" s="46"/>
      <c r="Y661" s="46"/>
      <c r="Z661" s="46"/>
      <c r="AA661" s="34">
        <v>1</v>
      </c>
      <c r="AB661" s="42">
        <v>1</v>
      </c>
      <c r="AC661" s="46"/>
      <c r="AD661" s="46"/>
      <c r="AE661" s="46"/>
      <c r="AF661" s="46"/>
      <c r="AG661" s="46"/>
      <c r="AH661" s="46"/>
      <c r="AI661" s="46"/>
      <c r="AJ661" s="46"/>
      <c r="AK661" s="46"/>
      <c r="AL661" s="42">
        <v>1</v>
      </c>
      <c r="AM661" s="46">
        <v>1</v>
      </c>
      <c r="AN661" s="46"/>
      <c r="AO661" s="46"/>
      <c r="AP661" s="46"/>
      <c r="AQ661" s="46"/>
      <c r="AR661" s="46"/>
      <c r="AS661" s="46"/>
      <c r="AT661" s="46"/>
      <c r="AU661" s="46"/>
      <c r="AV661" s="46"/>
      <c r="AW661" s="46"/>
      <c r="AX661" s="46"/>
      <c r="AY661" s="46"/>
      <c r="AZ661" s="34"/>
      <c r="BA661" s="34">
        <v>1</v>
      </c>
      <c r="BB661" s="34">
        <v>1</v>
      </c>
      <c r="BC661" s="46"/>
    </row>
    <row r="662" spans="1:55" customFormat="1" ht="21" customHeight="1" x14ac:dyDescent="0.25">
      <c r="A662" s="22"/>
      <c r="B662" s="42" t="s">
        <v>893</v>
      </c>
      <c r="C662" s="42" t="s">
        <v>252</v>
      </c>
      <c r="D662" s="42" t="s">
        <v>1137</v>
      </c>
      <c r="E662" s="34"/>
      <c r="F662" s="46"/>
      <c r="G662" s="46"/>
      <c r="H662" s="34"/>
      <c r="I662" s="46"/>
      <c r="J662" s="46"/>
      <c r="K662" s="46"/>
      <c r="L662" s="46"/>
      <c r="M662" s="46"/>
      <c r="N662" s="46"/>
      <c r="O662" s="46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  <c r="AA662" s="34"/>
      <c r="AB662" s="34"/>
      <c r="AC662" s="46"/>
      <c r="AD662" s="46"/>
      <c r="AE662" s="46"/>
      <c r="AF662" s="46"/>
      <c r="AG662" s="46"/>
      <c r="AH662" s="46"/>
      <c r="AI662" s="46"/>
      <c r="AJ662" s="46"/>
      <c r="AK662" s="46"/>
      <c r="AL662" s="46"/>
      <c r="AM662" s="46"/>
      <c r="AN662" s="46"/>
      <c r="AO662" s="46"/>
      <c r="AP662" s="46"/>
      <c r="AQ662" s="46"/>
      <c r="AR662" s="46"/>
      <c r="AS662" s="46"/>
      <c r="AT662" s="46"/>
      <c r="AU662" s="46"/>
      <c r="AV662" s="46"/>
      <c r="AW662" s="46"/>
      <c r="AX662" s="46"/>
      <c r="AY662" s="46"/>
      <c r="AZ662" s="46"/>
      <c r="BA662" s="46"/>
      <c r="BB662" s="34"/>
      <c r="BC662" s="46"/>
    </row>
    <row r="663" spans="1:55" customFormat="1" ht="21" customHeight="1" x14ac:dyDescent="0.25">
      <c r="A663" s="22"/>
      <c r="B663" s="42" t="s">
        <v>893</v>
      </c>
      <c r="C663" s="42" t="s">
        <v>255</v>
      </c>
      <c r="D663" s="42" t="s">
        <v>1138</v>
      </c>
      <c r="E663" s="34"/>
      <c r="F663" s="46"/>
      <c r="G663" s="46"/>
      <c r="H663" s="34"/>
      <c r="I663" s="46"/>
      <c r="J663" s="46"/>
      <c r="K663" s="46"/>
      <c r="L663" s="46"/>
      <c r="M663" s="46"/>
      <c r="N663" s="46"/>
      <c r="O663" s="46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  <c r="AA663" s="34"/>
      <c r="AB663" s="34"/>
      <c r="AC663" s="46"/>
      <c r="AD663" s="46"/>
      <c r="AE663" s="46"/>
      <c r="AF663" s="46"/>
      <c r="AG663" s="46"/>
      <c r="AH663" s="46"/>
      <c r="AI663" s="46"/>
      <c r="AJ663" s="46"/>
      <c r="AK663" s="46"/>
      <c r="AL663" s="46"/>
      <c r="AM663" s="46"/>
      <c r="AN663" s="46"/>
      <c r="AO663" s="46"/>
      <c r="AP663" s="46"/>
      <c r="AQ663" s="46"/>
      <c r="AR663" s="46"/>
      <c r="AS663" s="46"/>
      <c r="AT663" s="46"/>
      <c r="AU663" s="46"/>
      <c r="AV663" s="46"/>
      <c r="AW663" s="46"/>
      <c r="AX663" s="46"/>
      <c r="AY663" s="46"/>
      <c r="AZ663" s="46"/>
      <c r="BA663" s="46"/>
      <c r="BB663" s="34"/>
      <c r="BC663" s="46"/>
    </row>
    <row r="664" spans="1:55" customFormat="1" ht="21" customHeight="1" x14ac:dyDescent="0.25">
      <c r="A664" s="22"/>
      <c r="B664" s="42" t="s">
        <v>893</v>
      </c>
      <c r="C664" s="42" t="s">
        <v>255</v>
      </c>
      <c r="D664" s="42" t="s">
        <v>1139</v>
      </c>
      <c r="E664" s="34"/>
      <c r="F664" s="46"/>
      <c r="G664" s="46"/>
      <c r="H664" s="34"/>
      <c r="I664" s="46"/>
      <c r="J664" s="46"/>
      <c r="K664" s="46"/>
      <c r="L664" s="46"/>
      <c r="M664" s="46"/>
      <c r="N664" s="46"/>
      <c r="O664" s="46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  <c r="AA664" s="34"/>
      <c r="AB664" s="34"/>
      <c r="AC664" s="46"/>
      <c r="AD664" s="46"/>
      <c r="AE664" s="46"/>
      <c r="AF664" s="46"/>
      <c r="AG664" s="46"/>
      <c r="AH664" s="46"/>
      <c r="AI664" s="46"/>
      <c r="AJ664" s="46"/>
      <c r="AK664" s="46"/>
      <c r="AL664" s="46"/>
      <c r="AM664" s="46"/>
      <c r="AN664" s="46"/>
      <c r="AO664" s="46"/>
      <c r="AP664" s="46"/>
      <c r="AQ664" s="46"/>
      <c r="AR664" s="46"/>
      <c r="AS664" s="46"/>
      <c r="AT664" s="46"/>
      <c r="AU664" s="46"/>
      <c r="AV664" s="46"/>
      <c r="AW664" s="46"/>
      <c r="AX664" s="46"/>
      <c r="AY664" s="46"/>
      <c r="AZ664" s="46"/>
      <c r="BA664" s="46"/>
      <c r="BB664" s="34"/>
      <c r="BC664" s="46"/>
    </row>
    <row r="665" spans="1:55" customFormat="1" ht="21" customHeight="1" x14ac:dyDescent="0.25">
      <c r="A665" s="22"/>
      <c r="B665" s="42" t="s">
        <v>893</v>
      </c>
      <c r="C665" s="42" t="s">
        <v>252</v>
      </c>
      <c r="D665" s="42" t="s">
        <v>1140</v>
      </c>
      <c r="E665" s="34"/>
      <c r="F665" s="46"/>
      <c r="G665" s="46"/>
      <c r="H665" s="34"/>
      <c r="I665" s="46"/>
      <c r="J665" s="46"/>
      <c r="K665" s="46"/>
      <c r="L665" s="46"/>
      <c r="M665" s="46"/>
      <c r="N665" s="46"/>
      <c r="O665" s="46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  <c r="AA665" s="34"/>
      <c r="AB665" s="42">
        <v>1</v>
      </c>
      <c r="AC665" s="46"/>
      <c r="AD665" s="46"/>
      <c r="AE665" s="46"/>
      <c r="AF665" s="46"/>
      <c r="AG665" s="46"/>
      <c r="AH665" s="46"/>
      <c r="AI665" s="46"/>
      <c r="AJ665" s="46"/>
      <c r="AK665" s="46"/>
      <c r="AL665" s="46"/>
      <c r="AM665" s="46"/>
      <c r="AN665" s="46"/>
      <c r="AO665" s="46"/>
      <c r="AP665" s="46"/>
      <c r="AQ665" s="46"/>
      <c r="AR665" s="46"/>
      <c r="AS665" s="46"/>
      <c r="AT665" s="46"/>
      <c r="AU665" s="46"/>
      <c r="AV665" s="46"/>
      <c r="AW665" s="46"/>
      <c r="AX665" s="46"/>
      <c r="AY665" s="46"/>
      <c r="AZ665" s="34"/>
      <c r="BA665" s="34">
        <v>1</v>
      </c>
      <c r="BB665" s="34"/>
      <c r="BC665" s="46"/>
    </row>
    <row r="666" spans="1:55" customFormat="1" ht="21" customHeight="1" x14ac:dyDescent="0.25">
      <c r="A666" s="22"/>
      <c r="B666" s="42" t="s">
        <v>893</v>
      </c>
      <c r="C666" s="42" t="s">
        <v>255</v>
      </c>
      <c r="D666" s="42" t="s">
        <v>1141</v>
      </c>
      <c r="E666" s="34"/>
      <c r="F666" s="46"/>
      <c r="G666" s="46"/>
      <c r="H666" s="34"/>
      <c r="I666" s="46"/>
      <c r="J666" s="46"/>
      <c r="K666" s="46"/>
      <c r="L666" s="46"/>
      <c r="M666" s="46"/>
      <c r="N666" s="46"/>
      <c r="O666" s="46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  <c r="AA666" s="34"/>
      <c r="AB666" s="42">
        <v>1</v>
      </c>
      <c r="AC666" s="46"/>
      <c r="AD666" s="46"/>
      <c r="AE666" s="46"/>
      <c r="AF666" s="46"/>
      <c r="AG666" s="46"/>
      <c r="AH666" s="46"/>
      <c r="AI666" s="46"/>
      <c r="AJ666" s="46"/>
      <c r="AK666" s="46"/>
      <c r="AL666" s="46"/>
      <c r="AM666" s="46"/>
      <c r="AN666" s="46"/>
      <c r="AO666" s="46"/>
      <c r="AP666" s="46"/>
      <c r="AQ666" s="46"/>
      <c r="AR666" s="46"/>
      <c r="AS666" s="46"/>
      <c r="AT666" s="46"/>
      <c r="AU666" s="46"/>
      <c r="AV666" s="46"/>
      <c r="AW666" s="46"/>
      <c r="AX666" s="46"/>
      <c r="AY666" s="46"/>
      <c r="AZ666" s="34"/>
      <c r="BA666" s="34">
        <v>1</v>
      </c>
      <c r="BB666" s="34"/>
      <c r="BC666" s="46"/>
    </row>
    <row r="667" spans="1:55" customFormat="1" ht="21" customHeight="1" x14ac:dyDescent="0.25">
      <c r="A667" s="22"/>
      <c r="B667" s="42" t="s">
        <v>893</v>
      </c>
      <c r="C667" s="42" t="s">
        <v>255</v>
      </c>
      <c r="D667" s="42" t="s">
        <v>1142</v>
      </c>
      <c r="E667" s="34"/>
      <c r="F667" s="46"/>
      <c r="G667" s="46"/>
      <c r="H667" s="34"/>
      <c r="I667" s="46"/>
      <c r="J667" s="46"/>
      <c r="K667" s="46"/>
      <c r="L667" s="46"/>
      <c r="M667" s="46"/>
      <c r="N667" s="46"/>
      <c r="O667" s="46"/>
      <c r="P667" s="34">
        <v>1</v>
      </c>
      <c r="Q667" s="42">
        <v>1</v>
      </c>
      <c r="R667" s="46"/>
      <c r="S667" s="46"/>
      <c r="T667" s="46"/>
      <c r="U667" s="46"/>
      <c r="V667" s="46"/>
      <c r="W667" s="46"/>
      <c r="X667" s="46"/>
      <c r="Y667" s="46"/>
      <c r="Z667" s="46"/>
      <c r="AA667" s="34">
        <v>1</v>
      </c>
      <c r="AB667" s="42">
        <v>1</v>
      </c>
      <c r="AC667" s="46"/>
      <c r="AD667" s="46"/>
      <c r="AE667" s="46"/>
      <c r="AF667" s="46"/>
      <c r="AG667" s="46"/>
      <c r="AH667" s="46"/>
      <c r="AI667" s="46"/>
      <c r="AJ667" s="46"/>
      <c r="AK667" s="46"/>
      <c r="AL667" s="46"/>
      <c r="AM667" s="46"/>
      <c r="AN667" s="46"/>
      <c r="AO667" s="46"/>
      <c r="AP667" s="46"/>
      <c r="AQ667" s="46"/>
      <c r="AR667" s="46"/>
      <c r="AS667" s="46"/>
      <c r="AT667" s="46"/>
      <c r="AU667" s="46"/>
      <c r="AV667" s="46"/>
      <c r="AW667" s="46"/>
      <c r="AX667" s="46"/>
      <c r="AY667" s="46"/>
      <c r="AZ667" s="34"/>
      <c r="BA667" s="34">
        <v>1</v>
      </c>
      <c r="BB667" s="34">
        <v>1</v>
      </c>
      <c r="BC667" s="46"/>
    </row>
    <row r="668" spans="1:55" customFormat="1" ht="21" customHeight="1" x14ac:dyDescent="0.25">
      <c r="A668" s="22"/>
      <c r="B668" s="42" t="s">
        <v>893</v>
      </c>
      <c r="C668" s="42" t="s">
        <v>252</v>
      </c>
      <c r="D668" s="42" t="s">
        <v>1143</v>
      </c>
      <c r="E668" s="34"/>
      <c r="F668" s="46"/>
      <c r="G668" s="46"/>
      <c r="H668" s="34"/>
      <c r="I668" s="46"/>
      <c r="J668" s="46"/>
      <c r="K668" s="46"/>
      <c r="L668" s="46"/>
      <c r="M668" s="46"/>
      <c r="N668" s="46"/>
      <c r="O668" s="46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  <c r="AA668" s="34"/>
      <c r="AB668" s="34"/>
      <c r="AC668" s="46"/>
      <c r="AD668" s="46"/>
      <c r="AE668" s="46"/>
      <c r="AF668" s="46"/>
      <c r="AG668" s="46"/>
      <c r="AH668" s="46"/>
      <c r="AI668" s="46"/>
      <c r="AJ668" s="46"/>
      <c r="AK668" s="46"/>
      <c r="AL668" s="46"/>
      <c r="AM668" s="46"/>
      <c r="AN668" s="46"/>
      <c r="AO668" s="46"/>
      <c r="AP668" s="46"/>
      <c r="AQ668" s="46"/>
      <c r="AR668" s="46"/>
      <c r="AS668" s="46"/>
      <c r="AT668" s="46"/>
      <c r="AU668" s="46"/>
      <c r="AV668" s="46"/>
      <c r="AW668" s="46"/>
      <c r="AX668" s="46"/>
      <c r="AY668" s="46"/>
      <c r="AZ668" s="47"/>
      <c r="BA668" s="47"/>
      <c r="BB668" s="47"/>
      <c r="BC668" s="46"/>
    </row>
    <row r="669" spans="1:55" customFormat="1" ht="21" customHeight="1" x14ac:dyDescent="0.25">
      <c r="A669" s="22"/>
      <c r="B669" s="22"/>
      <c r="C669" s="22"/>
      <c r="D669" s="22"/>
      <c r="E669" s="23"/>
      <c r="F669" s="22"/>
      <c r="G669" s="22"/>
      <c r="H669" s="23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3"/>
      <c r="AB669" s="23"/>
      <c r="AC669" s="22"/>
      <c r="AD669" s="22"/>
      <c r="AE669" s="22"/>
      <c r="AF669" s="22"/>
      <c r="AG669" s="22"/>
      <c r="AH669" s="22"/>
      <c r="AI669" s="22"/>
      <c r="AJ669" s="22"/>
      <c r="AK669" s="22"/>
      <c r="AL669" s="22"/>
      <c r="AM669" s="22"/>
      <c r="AN669" s="22"/>
      <c r="AO669" s="22"/>
      <c r="AP669" s="22"/>
      <c r="AQ669" s="22"/>
      <c r="AR669" s="22"/>
      <c r="AS669" s="22"/>
      <c r="AT669" s="22"/>
      <c r="AU669" s="22"/>
      <c r="AV669" s="22"/>
      <c r="AW669" s="22"/>
      <c r="AX669" s="22"/>
      <c r="AY669" s="22"/>
      <c r="AZ669" s="22"/>
      <c r="BA669" s="22"/>
      <c r="BB669" s="22"/>
      <c r="BC669" s="22"/>
    </row>
    <row r="670" spans="1:55" customFormat="1" ht="21" customHeight="1" x14ac:dyDescent="0.25">
      <c r="A670" s="22"/>
      <c r="B670" s="22"/>
      <c r="C670" s="22"/>
      <c r="D670" s="22"/>
      <c r="E670" s="23"/>
      <c r="F670" s="22"/>
      <c r="G670" s="22"/>
      <c r="H670" s="23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3"/>
      <c r="AB670" s="23"/>
      <c r="AC670" s="22"/>
      <c r="AD670" s="22"/>
      <c r="AE670" s="22"/>
      <c r="AF670" s="22"/>
      <c r="AG670" s="22"/>
      <c r="AH670" s="22"/>
      <c r="AI670" s="22"/>
      <c r="AJ670" s="22"/>
      <c r="AK670" s="22"/>
      <c r="AL670" s="22"/>
      <c r="AM670" s="22"/>
      <c r="AN670" s="22"/>
      <c r="AO670" s="22"/>
      <c r="AP670" s="22"/>
      <c r="AQ670" s="22"/>
      <c r="AR670" s="22"/>
      <c r="AS670" s="22"/>
      <c r="AT670" s="22"/>
      <c r="AU670" s="22"/>
      <c r="AV670" s="22"/>
      <c r="AW670" s="22"/>
      <c r="AX670" s="22"/>
      <c r="AY670" s="22"/>
      <c r="AZ670" s="22"/>
      <c r="BA670" s="22"/>
      <c r="BB670" s="22"/>
      <c r="BC670" s="22"/>
    </row>
    <row r="671" spans="1:55" customFormat="1" ht="21" customHeight="1" x14ac:dyDescent="0.25">
      <c r="A671" s="22"/>
      <c r="B671" s="22"/>
      <c r="C671" s="22"/>
      <c r="D671" s="217" t="s">
        <v>1392</v>
      </c>
      <c r="E671" s="23"/>
      <c r="F671" s="22"/>
      <c r="G671" s="22"/>
      <c r="H671" s="23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3"/>
      <c r="AB671" s="23"/>
      <c r="AC671" s="22"/>
      <c r="AD671" s="22"/>
      <c r="AE671" s="22"/>
      <c r="AF671" s="22"/>
      <c r="AG671" s="22"/>
      <c r="AH671" s="22"/>
      <c r="AI671" s="22"/>
      <c r="AJ671" s="22"/>
      <c r="AK671" s="22"/>
      <c r="AL671" s="22"/>
      <c r="AM671" s="22"/>
      <c r="AN671" s="22"/>
      <c r="AO671" s="22"/>
      <c r="AP671" s="22"/>
      <c r="AQ671" s="22"/>
      <c r="AR671" s="22"/>
      <c r="AS671" s="22"/>
      <c r="AT671" s="22"/>
      <c r="AU671" s="22"/>
      <c r="AV671" s="22"/>
      <c r="AW671" s="22"/>
      <c r="AX671" s="22"/>
      <c r="AY671" s="22"/>
      <c r="AZ671" s="22"/>
      <c r="BA671" s="22"/>
      <c r="BB671" s="22"/>
      <c r="BC671" s="22"/>
    </row>
    <row r="672" spans="1:55" customFormat="1" ht="21" customHeight="1" x14ac:dyDescent="0.25">
      <c r="A672" s="22"/>
      <c r="B672" s="22"/>
      <c r="C672" s="22"/>
      <c r="D672" s="22"/>
      <c r="E672" s="23"/>
      <c r="F672" s="22"/>
      <c r="G672" s="22"/>
      <c r="H672" s="23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3"/>
      <c r="AB672" s="23"/>
      <c r="AC672" s="22"/>
      <c r="AD672" s="22"/>
      <c r="AE672" s="22"/>
      <c r="AF672" s="22"/>
      <c r="AG672" s="22"/>
      <c r="AH672" s="22"/>
      <c r="AI672" s="22"/>
      <c r="AJ672" s="22"/>
      <c r="AK672" s="22"/>
      <c r="AL672" s="22"/>
      <c r="AM672" s="22"/>
      <c r="AN672" s="22"/>
      <c r="AO672" s="22"/>
      <c r="AP672" s="22"/>
      <c r="AQ672" s="22"/>
      <c r="AR672" s="22"/>
      <c r="AS672" s="22"/>
      <c r="AT672" s="22"/>
      <c r="AU672" s="22"/>
      <c r="AV672" s="22"/>
      <c r="AW672" s="22"/>
      <c r="AX672" s="22"/>
      <c r="AY672" s="22"/>
      <c r="AZ672" s="22"/>
      <c r="BA672" s="22"/>
      <c r="BB672" s="22"/>
      <c r="BC672" s="22"/>
    </row>
    <row r="673" spans="1:55" customFormat="1" ht="21" customHeight="1" x14ac:dyDescent="0.25">
      <c r="A673" s="22"/>
      <c r="B673" s="22"/>
      <c r="C673" s="22"/>
      <c r="D673" s="22"/>
      <c r="E673" s="23"/>
      <c r="F673" s="22"/>
      <c r="G673" s="22"/>
      <c r="H673" s="23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3"/>
      <c r="AB673" s="23"/>
      <c r="AC673" s="22"/>
      <c r="AD673" s="22"/>
      <c r="AE673" s="22"/>
      <c r="AF673" s="22"/>
      <c r="AG673" s="22"/>
      <c r="AH673" s="22"/>
      <c r="AI673" s="22"/>
      <c r="AJ673" s="22"/>
      <c r="AK673" s="22"/>
      <c r="AL673" s="22"/>
      <c r="AM673" s="22"/>
      <c r="AN673" s="22"/>
      <c r="AO673" s="22"/>
      <c r="AP673" s="22"/>
      <c r="AQ673" s="22"/>
      <c r="AR673" s="22"/>
      <c r="AS673" s="22"/>
      <c r="AT673" s="22"/>
      <c r="AU673" s="22"/>
      <c r="AV673" s="22"/>
      <c r="AW673" s="22"/>
      <c r="AX673" s="22"/>
      <c r="AY673" s="22"/>
      <c r="AZ673" s="22"/>
      <c r="BA673" s="22"/>
      <c r="BB673" s="22"/>
      <c r="BC673" s="22"/>
    </row>
    <row r="674" spans="1:55" customFormat="1" ht="21" customHeight="1" x14ac:dyDescent="0.25">
      <c r="A674" s="22"/>
      <c r="B674" s="22"/>
      <c r="C674" s="22"/>
      <c r="D674" s="22"/>
      <c r="E674" s="23"/>
      <c r="F674" s="22"/>
      <c r="G674" s="22"/>
      <c r="H674" s="23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3"/>
      <c r="AB674" s="23"/>
      <c r="AC674" s="22"/>
      <c r="AD674" s="22"/>
      <c r="AE674" s="22"/>
      <c r="AF674" s="22"/>
      <c r="AG674" s="22"/>
      <c r="AH674" s="22"/>
      <c r="AI674" s="22"/>
      <c r="AJ674" s="22"/>
      <c r="AK674" s="22"/>
      <c r="AL674" s="22"/>
      <c r="AM674" s="22"/>
      <c r="AN674" s="22"/>
      <c r="AO674" s="22"/>
      <c r="AP674" s="22"/>
      <c r="AQ674" s="22"/>
      <c r="AR674" s="22"/>
      <c r="AS674" s="22"/>
      <c r="AT674" s="22"/>
      <c r="AU674" s="22"/>
      <c r="AV674" s="22"/>
      <c r="AW674" s="22"/>
      <c r="AX674" s="22"/>
      <c r="AY674" s="22"/>
      <c r="AZ674" s="22"/>
      <c r="BA674" s="22"/>
      <c r="BB674" s="22"/>
      <c r="BC674" s="22"/>
    </row>
    <row r="675" spans="1:55" customFormat="1" ht="21" customHeight="1" x14ac:dyDescent="0.25">
      <c r="A675" s="22"/>
      <c r="B675" s="22"/>
      <c r="C675" s="22"/>
      <c r="D675" s="22"/>
      <c r="E675" s="23"/>
      <c r="F675" s="22"/>
      <c r="G675" s="22"/>
      <c r="H675" s="23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3"/>
      <c r="AB675" s="23"/>
      <c r="AC675" s="22"/>
      <c r="AD675" s="22"/>
      <c r="AE675" s="22"/>
      <c r="AF675" s="22"/>
      <c r="AG675" s="22"/>
      <c r="AH675" s="22"/>
      <c r="AI675" s="22"/>
      <c r="AJ675" s="22"/>
      <c r="AK675" s="22"/>
      <c r="AL675" s="22"/>
      <c r="AM675" s="22"/>
      <c r="AN675" s="22"/>
      <c r="AO675" s="22"/>
      <c r="AP675" s="22"/>
      <c r="AQ675" s="22"/>
      <c r="AR675" s="22"/>
      <c r="AS675" s="22"/>
      <c r="AT675" s="22"/>
      <c r="AU675" s="22"/>
      <c r="AV675" s="22"/>
      <c r="AW675" s="22"/>
      <c r="AX675" s="22"/>
      <c r="AY675" s="22"/>
      <c r="AZ675" s="22"/>
      <c r="BA675" s="22"/>
      <c r="BB675" s="22"/>
      <c r="BC675" s="22"/>
    </row>
    <row r="676" spans="1:55" customFormat="1" ht="21" customHeight="1" x14ac:dyDescent="0.25">
      <c r="A676" s="22"/>
      <c r="B676" s="22"/>
      <c r="C676" s="22"/>
      <c r="D676" s="22"/>
      <c r="E676" s="23"/>
      <c r="F676" s="22"/>
      <c r="G676" s="22"/>
      <c r="H676" s="23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3"/>
      <c r="AB676" s="23"/>
      <c r="AC676" s="22"/>
      <c r="AD676" s="22"/>
      <c r="AE676" s="22"/>
      <c r="AF676" s="22"/>
      <c r="AG676" s="22"/>
      <c r="AH676" s="22"/>
      <c r="AI676" s="22"/>
      <c r="AJ676" s="22"/>
      <c r="AK676" s="22"/>
      <c r="AL676" s="22"/>
      <c r="AM676" s="22"/>
      <c r="AN676" s="22"/>
      <c r="AO676" s="22"/>
      <c r="AP676" s="22"/>
      <c r="AQ676" s="22"/>
      <c r="AR676" s="22"/>
      <c r="AS676" s="22"/>
      <c r="AT676" s="22"/>
      <c r="AU676" s="22"/>
      <c r="AV676" s="22"/>
      <c r="AW676" s="22"/>
      <c r="AX676" s="22"/>
      <c r="AY676" s="22"/>
      <c r="AZ676" s="22"/>
      <c r="BA676" s="22"/>
      <c r="BB676" s="22"/>
      <c r="BC676" s="22"/>
    </row>
    <row r="677" spans="1:55" customFormat="1" ht="21" customHeight="1" x14ac:dyDescent="0.25">
      <c r="A677" s="22"/>
      <c r="B677" s="22"/>
      <c r="C677" s="22"/>
      <c r="D677" s="22"/>
      <c r="E677" s="23"/>
      <c r="F677" s="22"/>
      <c r="G677" s="22"/>
      <c r="H677" s="23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3"/>
      <c r="AB677" s="23"/>
      <c r="AC677" s="22"/>
      <c r="AD677" s="22"/>
      <c r="AE677" s="22"/>
      <c r="AF677" s="22"/>
      <c r="AG677" s="22"/>
      <c r="AH677" s="22"/>
      <c r="AI677" s="22"/>
      <c r="AJ677" s="22"/>
      <c r="AK677" s="22"/>
      <c r="AL677" s="22"/>
      <c r="AM677" s="22"/>
      <c r="AN677" s="22"/>
      <c r="AO677" s="22"/>
      <c r="AP677" s="22"/>
      <c r="AQ677" s="22"/>
      <c r="AR677" s="22"/>
      <c r="AS677" s="22"/>
      <c r="AT677" s="22"/>
      <c r="AU677" s="22"/>
      <c r="AV677" s="22"/>
      <c r="AW677" s="22"/>
      <c r="AX677" s="22"/>
      <c r="AY677" s="22"/>
      <c r="AZ677" s="22"/>
      <c r="BA677" s="22"/>
      <c r="BB677" s="22"/>
      <c r="BC677" s="22"/>
    </row>
    <row r="678" spans="1:55" customFormat="1" ht="21" customHeight="1" x14ac:dyDescent="0.25">
      <c r="A678" s="22"/>
      <c r="B678" s="22"/>
      <c r="C678" s="22"/>
      <c r="D678" s="22"/>
      <c r="E678" s="23"/>
      <c r="F678" s="22"/>
      <c r="G678" s="22"/>
      <c r="H678" s="23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3"/>
      <c r="AB678" s="23"/>
      <c r="AC678" s="22"/>
      <c r="AD678" s="22"/>
      <c r="AE678" s="22"/>
      <c r="AF678" s="22"/>
      <c r="AG678" s="22"/>
      <c r="AH678" s="22"/>
      <c r="AI678" s="22"/>
      <c r="AJ678" s="22"/>
      <c r="AK678" s="22"/>
      <c r="AL678" s="22"/>
      <c r="AM678" s="22"/>
      <c r="AN678" s="22"/>
      <c r="AO678" s="22"/>
      <c r="AP678" s="22"/>
      <c r="AQ678" s="22"/>
      <c r="AR678" s="22"/>
      <c r="AS678" s="22"/>
      <c r="AT678" s="22"/>
      <c r="AU678" s="22"/>
      <c r="AV678" s="22"/>
      <c r="AW678" s="22"/>
      <c r="AX678" s="22"/>
      <c r="AY678" s="22"/>
      <c r="AZ678" s="22"/>
      <c r="BA678" s="22"/>
      <c r="BB678" s="22"/>
      <c r="BC678" s="22"/>
    </row>
    <row r="679" spans="1:55" customFormat="1" ht="21" customHeight="1" x14ac:dyDescent="0.25">
      <c r="A679" s="22"/>
      <c r="B679" s="22"/>
      <c r="C679" s="22"/>
      <c r="D679" s="22"/>
      <c r="E679" s="23"/>
      <c r="F679" s="22"/>
      <c r="G679" s="22"/>
      <c r="H679" s="23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3"/>
      <c r="AB679" s="23"/>
      <c r="AC679" s="22"/>
      <c r="AD679" s="22"/>
      <c r="AE679" s="22"/>
      <c r="AF679" s="22"/>
      <c r="AG679" s="22"/>
      <c r="AH679" s="22"/>
      <c r="AI679" s="22"/>
      <c r="AJ679" s="22"/>
      <c r="AK679" s="22"/>
      <c r="AL679" s="22"/>
      <c r="AM679" s="22"/>
      <c r="AN679" s="22"/>
      <c r="AO679" s="22"/>
      <c r="AP679" s="22"/>
      <c r="AQ679" s="22"/>
      <c r="AR679" s="22"/>
      <c r="AS679" s="22"/>
      <c r="AT679" s="22"/>
      <c r="AU679" s="22"/>
      <c r="AV679" s="22"/>
      <c r="AW679" s="22"/>
      <c r="AX679" s="22"/>
      <c r="AY679" s="22"/>
      <c r="AZ679" s="22"/>
      <c r="BA679" s="22"/>
      <c r="BB679" s="22"/>
      <c r="BC679" s="22"/>
    </row>
    <row r="680" spans="1:55" customFormat="1" ht="21" customHeight="1" x14ac:dyDescent="0.25">
      <c r="A680" s="22"/>
      <c r="B680" s="22"/>
      <c r="C680" s="22"/>
      <c r="D680" s="22"/>
      <c r="E680" s="23"/>
      <c r="F680" s="22"/>
      <c r="G680" s="22"/>
      <c r="H680" s="23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  <c r="AA680" s="23"/>
      <c r="AB680" s="23"/>
      <c r="AC680" s="22"/>
      <c r="AD680" s="22"/>
      <c r="AE680" s="22"/>
      <c r="AF680" s="22"/>
      <c r="AG680" s="22"/>
      <c r="AH680" s="22"/>
      <c r="AI680" s="22"/>
      <c r="AJ680" s="22"/>
      <c r="AK680" s="22"/>
      <c r="AL680" s="22"/>
      <c r="AM680" s="22"/>
      <c r="AN680" s="22"/>
      <c r="AO680" s="22"/>
      <c r="AP680" s="22"/>
      <c r="AQ680" s="22"/>
      <c r="AR680" s="22"/>
      <c r="AS680" s="22"/>
      <c r="AT680" s="22"/>
      <c r="AU680" s="22"/>
      <c r="AV680" s="22"/>
      <c r="AW680" s="22"/>
      <c r="AX680" s="22"/>
      <c r="AY680" s="22"/>
      <c r="AZ680" s="22"/>
      <c r="BA680" s="22"/>
      <c r="BB680" s="22"/>
      <c r="BC680" s="22"/>
    </row>
    <row r="681" spans="1:55" customFormat="1" ht="21" customHeight="1" x14ac:dyDescent="0.25">
      <c r="A681" s="22"/>
      <c r="B681" s="22"/>
      <c r="C681" s="22"/>
      <c r="D681" s="22"/>
      <c r="E681" s="23"/>
      <c r="F681" s="22"/>
      <c r="G681" s="22"/>
      <c r="H681" s="23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A681" s="23"/>
      <c r="AB681" s="23"/>
      <c r="AC681" s="22"/>
      <c r="AD681" s="22"/>
      <c r="AE681" s="22"/>
      <c r="AF681" s="22"/>
      <c r="AG681" s="22"/>
      <c r="AH681" s="22"/>
      <c r="AI681" s="22"/>
      <c r="AJ681" s="22"/>
      <c r="AK681" s="22"/>
      <c r="AL681" s="22"/>
      <c r="AM681" s="22"/>
      <c r="AN681" s="22"/>
      <c r="AO681" s="22"/>
      <c r="AP681" s="22"/>
      <c r="AQ681" s="22"/>
      <c r="AR681" s="22"/>
      <c r="AS681" s="22"/>
      <c r="AT681" s="22"/>
      <c r="AU681" s="22"/>
      <c r="AV681" s="22"/>
      <c r="AW681" s="22"/>
      <c r="AX681" s="22"/>
      <c r="AY681" s="22"/>
      <c r="AZ681" s="22"/>
      <c r="BA681" s="22"/>
      <c r="BB681" s="22"/>
      <c r="BC681" s="22"/>
    </row>
    <row r="682" spans="1:55" customFormat="1" ht="21" customHeight="1" x14ac:dyDescent="0.25">
      <c r="A682" s="22"/>
      <c r="B682" s="22"/>
      <c r="C682" s="22"/>
      <c r="D682" s="22"/>
      <c r="E682" s="23"/>
      <c r="F682" s="22"/>
      <c r="G682" s="22"/>
      <c r="H682" s="23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3"/>
      <c r="AB682" s="23"/>
      <c r="AC682" s="22"/>
      <c r="AD682" s="22"/>
      <c r="AE682" s="22"/>
      <c r="AF682" s="22"/>
      <c r="AG682" s="22"/>
      <c r="AH682" s="22"/>
      <c r="AI682" s="22"/>
      <c r="AJ682" s="22"/>
      <c r="AK682" s="22"/>
      <c r="AL682" s="22"/>
      <c r="AM682" s="22"/>
      <c r="AN682" s="22"/>
      <c r="AO682" s="22"/>
      <c r="AP682" s="22"/>
      <c r="AQ682" s="22"/>
      <c r="AR682" s="22"/>
      <c r="AS682" s="22"/>
      <c r="AT682" s="22"/>
      <c r="AU682" s="22"/>
      <c r="AV682" s="22"/>
      <c r="AW682" s="22"/>
      <c r="AX682" s="22"/>
      <c r="AY682" s="22"/>
      <c r="AZ682" s="22"/>
      <c r="BA682" s="22"/>
      <c r="BB682" s="22"/>
      <c r="BC682" s="22"/>
    </row>
    <row r="683" spans="1:55" customFormat="1" ht="21" customHeight="1" x14ac:dyDescent="0.25">
      <c r="A683" s="22"/>
      <c r="B683" s="22"/>
      <c r="C683" s="22"/>
      <c r="D683" s="22"/>
      <c r="E683" s="23"/>
      <c r="F683" s="22"/>
      <c r="G683" s="22"/>
      <c r="H683" s="23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  <c r="AA683" s="23"/>
      <c r="AB683" s="23"/>
      <c r="AC683" s="22"/>
      <c r="AD683" s="22"/>
      <c r="AE683" s="22"/>
      <c r="AF683" s="22"/>
      <c r="AG683" s="22"/>
      <c r="AH683" s="22"/>
      <c r="AI683" s="22"/>
      <c r="AJ683" s="22"/>
      <c r="AK683" s="22"/>
      <c r="AL683" s="22"/>
      <c r="AM683" s="22"/>
      <c r="AN683" s="22"/>
      <c r="AO683" s="22"/>
      <c r="AP683" s="22"/>
      <c r="AQ683" s="22"/>
      <c r="AR683" s="22"/>
      <c r="AS683" s="22"/>
      <c r="AT683" s="22"/>
      <c r="AU683" s="22"/>
      <c r="AV683" s="22"/>
      <c r="AW683" s="22"/>
      <c r="AX683" s="22"/>
      <c r="AY683" s="22"/>
      <c r="AZ683" s="22"/>
      <c r="BA683" s="22"/>
      <c r="BB683" s="22"/>
      <c r="BC683" s="22"/>
    </row>
    <row r="684" spans="1:55" customFormat="1" ht="21" customHeight="1" x14ac:dyDescent="0.25">
      <c r="A684" s="22"/>
      <c r="B684" s="22"/>
      <c r="C684" s="22"/>
      <c r="D684" s="22"/>
      <c r="E684" s="23"/>
      <c r="F684" s="22"/>
      <c r="G684" s="22"/>
      <c r="H684" s="23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A684" s="23"/>
      <c r="AB684" s="23"/>
      <c r="AC684" s="22"/>
      <c r="AD684" s="22"/>
      <c r="AE684" s="22"/>
      <c r="AF684" s="22"/>
      <c r="AG684" s="22"/>
      <c r="AH684" s="22"/>
      <c r="AI684" s="22"/>
      <c r="AJ684" s="22"/>
      <c r="AK684" s="22"/>
      <c r="AL684" s="22"/>
      <c r="AM684" s="22"/>
      <c r="AN684" s="22"/>
      <c r="AO684" s="22"/>
      <c r="AP684" s="22"/>
      <c r="AQ684" s="22"/>
      <c r="AR684" s="22"/>
      <c r="AS684" s="22"/>
      <c r="AT684" s="22"/>
      <c r="AU684" s="22"/>
      <c r="AV684" s="22"/>
      <c r="AW684" s="22"/>
      <c r="AX684" s="22"/>
      <c r="AY684" s="22"/>
      <c r="AZ684" s="22"/>
      <c r="BA684" s="22"/>
      <c r="BB684" s="22"/>
      <c r="BC684" s="22"/>
    </row>
    <row r="685" spans="1:55" customFormat="1" ht="21" customHeight="1" x14ac:dyDescent="0.25">
      <c r="A685" s="22"/>
      <c r="B685" s="22"/>
      <c r="C685" s="22"/>
      <c r="D685" s="22"/>
      <c r="E685" s="23"/>
      <c r="F685" s="22"/>
      <c r="G685" s="22"/>
      <c r="H685" s="23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23"/>
      <c r="AB685" s="23"/>
      <c r="AC685" s="22"/>
      <c r="AD685" s="22"/>
      <c r="AE685" s="22"/>
      <c r="AF685" s="22"/>
      <c r="AG685" s="22"/>
      <c r="AH685" s="22"/>
      <c r="AI685" s="22"/>
      <c r="AJ685" s="22"/>
      <c r="AK685" s="22"/>
      <c r="AL685" s="22"/>
      <c r="AM685" s="22"/>
      <c r="AN685" s="22"/>
      <c r="AO685" s="22"/>
      <c r="AP685" s="22"/>
      <c r="AQ685" s="22"/>
      <c r="AR685" s="22"/>
      <c r="AS685" s="22"/>
      <c r="AT685" s="22"/>
      <c r="AU685" s="22"/>
      <c r="AV685" s="22"/>
      <c r="AW685" s="22"/>
      <c r="AX685" s="22"/>
      <c r="AY685" s="22"/>
      <c r="AZ685" s="22"/>
      <c r="BA685" s="22"/>
      <c r="BB685" s="22"/>
      <c r="BC685" s="22"/>
    </row>
    <row r="686" spans="1:55" customFormat="1" ht="21" customHeight="1" x14ac:dyDescent="0.25">
      <c r="A686" s="22"/>
      <c r="B686" s="22"/>
      <c r="C686" s="22"/>
      <c r="D686" s="22"/>
      <c r="E686" s="23"/>
      <c r="F686" s="22"/>
      <c r="G686" s="22"/>
      <c r="H686" s="23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3"/>
      <c r="AB686" s="23"/>
      <c r="AC686" s="22"/>
      <c r="AD686" s="22"/>
      <c r="AE686" s="22"/>
      <c r="AF686" s="22"/>
      <c r="AG686" s="22"/>
      <c r="AH686" s="22"/>
      <c r="AI686" s="22"/>
      <c r="AJ686" s="22"/>
      <c r="AK686" s="22"/>
      <c r="AL686" s="22"/>
      <c r="AM686" s="22"/>
      <c r="AN686" s="22"/>
      <c r="AO686" s="22"/>
      <c r="AP686" s="22"/>
      <c r="AQ686" s="22"/>
      <c r="AR686" s="22"/>
      <c r="AS686" s="22"/>
      <c r="AT686" s="22"/>
      <c r="AU686" s="22"/>
      <c r="AV686" s="22"/>
      <c r="AW686" s="22"/>
      <c r="AX686" s="22"/>
      <c r="AY686" s="22"/>
      <c r="AZ686" s="22"/>
      <c r="BA686" s="22"/>
      <c r="BB686" s="22"/>
      <c r="BC686" s="22"/>
    </row>
    <row r="687" spans="1:55" customFormat="1" ht="21" customHeight="1" x14ac:dyDescent="0.25">
      <c r="A687" s="22"/>
      <c r="B687" s="22"/>
      <c r="C687" s="22"/>
      <c r="D687" s="22"/>
      <c r="E687" s="23"/>
      <c r="F687" s="22"/>
      <c r="G687" s="22"/>
      <c r="H687" s="23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  <c r="AA687" s="23"/>
      <c r="AB687" s="23"/>
      <c r="AC687" s="22"/>
      <c r="AD687" s="22"/>
      <c r="AE687" s="22"/>
      <c r="AF687" s="22"/>
      <c r="AG687" s="22"/>
      <c r="AH687" s="22"/>
      <c r="AI687" s="22"/>
      <c r="AJ687" s="22"/>
      <c r="AK687" s="22"/>
      <c r="AL687" s="22"/>
      <c r="AM687" s="22"/>
      <c r="AN687" s="22"/>
      <c r="AO687" s="22"/>
      <c r="AP687" s="22"/>
      <c r="AQ687" s="22"/>
      <c r="AR687" s="22"/>
      <c r="AS687" s="22"/>
      <c r="AT687" s="22"/>
      <c r="AU687" s="22"/>
      <c r="AV687" s="22"/>
      <c r="AW687" s="22"/>
      <c r="AX687" s="22"/>
      <c r="AY687" s="22"/>
      <c r="AZ687" s="22"/>
      <c r="BA687" s="22"/>
      <c r="BB687" s="22"/>
      <c r="BC687" s="22"/>
    </row>
    <row r="688" spans="1:55" customFormat="1" ht="21" customHeight="1" x14ac:dyDescent="0.25">
      <c r="A688" s="22"/>
      <c r="B688" s="22"/>
      <c r="C688" s="22"/>
      <c r="D688" s="22"/>
      <c r="E688" s="23"/>
      <c r="F688" s="22"/>
      <c r="G688" s="22"/>
      <c r="H688" s="23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3"/>
      <c r="AB688" s="23"/>
      <c r="AC688" s="22"/>
      <c r="AD688" s="22"/>
      <c r="AE688" s="22"/>
      <c r="AF688" s="22"/>
      <c r="AG688" s="22"/>
      <c r="AH688" s="22"/>
      <c r="AI688" s="22"/>
      <c r="AJ688" s="22"/>
      <c r="AK688" s="22"/>
      <c r="AL688" s="22"/>
      <c r="AM688" s="22"/>
      <c r="AN688" s="22"/>
      <c r="AO688" s="22"/>
      <c r="AP688" s="22"/>
      <c r="AQ688" s="22"/>
      <c r="AR688" s="22"/>
      <c r="AS688" s="22"/>
      <c r="AT688" s="22"/>
      <c r="AU688" s="22"/>
      <c r="AV688" s="22"/>
      <c r="AW688" s="22"/>
      <c r="AX688" s="22"/>
      <c r="AY688" s="22"/>
      <c r="AZ688" s="22"/>
      <c r="BA688" s="22"/>
      <c r="BB688" s="22"/>
      <c r="BC688" s="22"/>
    </row>
    <row r="689" spans="1:55" customFormat="1" ht="21" customHeight="1" x14ac:dyDescent="0.25">
      <c r="A689" s="22"/>
      <c r="B689" s="22"/>
      <c r="C689" s="22"/>
      <c r="D689" s="22"/>
      <c r="E689" s="23"/>
      <c r="F689" s="22"/>
      <c r="G689" s="22"/>
      <c r="H689" s="23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3"/>
      <c r="AB689" s="23"/>
      <c r="AC689" s="22"/>
      <c r="AD689" s="22"/>
      <c r="AE689" s="22"/>
      <c r="AF689" s="22"/>
      <c r="AG689" s="22"/>
      <c r="AH689" s="22"/>
      <c r="AI689" s="22"/>
      <c r="AJ689" s="22"/>
      <c r="AK689" s="22"/>
      <c r="AL689" s="22"/>
      <c r="AM689" s="22"/>
      <c r="AN689" s="22"/>
      <c r="AO689" s="22"/>
      <c r="AP689" s="22"/>
      <c r="AQ689" s="22"/>
      <c r="AR689" s="22"/>
      <c r="AS689" s="22"/>
      <c r="AT689" s="22"/>
      <c r="AU689" s="22"/>
      <c r="AV689" s="22"/>
      <c r="AW689" s="22"/>
      <c r="AX689" s="22"/>
      <c r="AY689" s="22"/>
      <c r="AZ689" s="22"/>
      <c r="BA689" s="22"/>
      <c r="BB689" s="22"/>
      <c r="BC689" s="22"/>
    </row>
    <row r="690" spans="1:55" customFormat="1" ht="21" customHeight="1" x14ac:dyDescent="0.25">
      <c r="A690" s="22"/>
      <c r="B690" s="22"/>
      <c r="C690" s="22"/>
      <c r="D690" s="22"/>
      <c r="E690" s="23"/>
      <c r="F690" s="22"/>
      <c r="G690" s="22"/>
      <c r="H690" s="23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3"/>
      <c r="AB690" s="23"/>
      <c r="AC690" s="22"/>
      <c r="AD690" s="22"/>
      <c r="AE690" s="22"/>
      <c r="AF690" s="22"/>
      <c r="AG690" s="22"/>
      <c r="AH690" s="22"/>
      <c r="AI690" s="22"/>
      <c r="AJ690" s="22"/>
      <c r="AK690" s="22"/>
      <c r="AL690" s="22"/>
      <c r="AM690" s="22"/>
      <c r="AN690" s="22"/>
      <c r="AO690" s="22"/>
      <c r="AP690" s="22"/>
      <c r="AQ690" s="22"/>
      <c r="AR690" s="22"/>
      <c r="AS690" s="22"/>
      <c r="AT690" s="22"/>
      <c r="AU690" s="22"/>
      <c r="AV690" s="22"/>
      <c r="AW690" s="22"/>
      <c r="AX690" s="22"/>
      <c r="AY690" s="22"/>
      <c r="AZ690" s="22"/>
      <c r="BA690" s="22"/>
      <c r="BB690" s="22"/>
      <c r="BC690" s="22"/>
    </row>
    <row r="691" spans="1:55" customFormat="1" ht="21" customHeight="1" x14ac:dyDescent="0.25">
      <c r="A691" s="22"/>
      <c r="B691" s="22"/>
      <c r="C691" s="22"/>
      <c r="D691" s="22"/>
      <c r="E691" s="23"/>
      <c r="F691" s="22"/>
      <c r="G691" s="22"/>
      <c r="H691" s="23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3"/>
      <c r="AB691" s="23"/>
      <c r="AC691" s="22"/>
      <c r="AD691" s="22"/>
      <c r="AE691" s="22"/>
      <c r="AF691" s="22"/>
      <c r="AG691" s="22"/>
      <c r="AH691" s="22"/>
      <c r="AI691" s="22"/>
      <c r="AJ691" s="22"/>
      <c r="AK691" s="22"/>
      <c r="AL691" s="22"/>
      <c r="AM691" s="22"/>
      <c r="AN691" s="22"/>
      <c r="AO691" s="22"/>
      <c r="AP691" s="22"/>
      <c r="AQ691" s="22"/>
      <c r="AR691" s="22"/>
      <c r="AS691" s="22"/>
      <c r="AT691" s="22"/>
      <c r="AU691" s="22"/>
      <c r="AV691" s="22"/>
      <c r="AW691" s="22"/>
      <c r="AX691" s="22"/>
      <c r="AY691" s="22"/>
      <c r="AZ691" s="22"/>
      <c r="BA691" s="22"/>
      <c r="BB691" s="22"/>
      <c r="BC691" s="22"/>
    </row>
    <row r="692" spans="1:55" customFormat="1" ht="21" customHeight="1" x14ac:dyDescent="0.25">
      <c r="A692" s="22"/>
      <c r="B692" s="22"/>
      <c r="C692" s="22"/>
      <c r="D692" s="22"/>
      <c r="E692" s="23"/>
      <c r="F692" s="22"/>
      <c r="G692" s="22"/>
      <c r="H692" s="23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3"/>
      <c r="AB692" s="23"/>
      <c r="AC692" s="22"/>
      <c r="AD692" s="22"/>
      <c r="AE692" s="22"/>
      <c r="AF692" s="22"/>
      <c r="AG692" s="22"/>
      <c r="AH692" s="22"/>
      <c r="AI692" s="22"/>
      <c r="AJ692" s="22"/>
      <c r="AK692" s="22"/>
      <c r="AL692" s="22"/>
      <c r="AM692" s="22"/>
      <c r="AN692" s="22"/>
      <c r="AO692" s="22"/>
      <c r="AP692" s="22"/>
      <c r="AQ692" s="22"/>
      <c r="AR692" s="22"/>
      <c r="AS692" s="22"/>
      <c r="AT692" s="22"/>
      <c r="AU692" s="22"/>
      <c r="AV692" s="22"/>
      <c r="AW692" s="22"/>
      <c r="AX692" s="22"/>
      <c r="AY692" s="22"/>
      <c r="AZ692" s="22"/>
      <c r="BA692" s="22"/>
      <c r="BB692" s="22"/>
      <c r="BC692" s="22"/>
    </row>
    <row r="693" spans="1:55" customFormat="1" ht="21" customHeight="1" x14ac:dyDescent="0.25">
      <c r="A693" s="22"/>
      <c r="B693" s="22"/>
      <c r="C693" s="22"/>
      <c r="D693" s="22"/>
      <c r="E693" s="23"/>
      <c r="F693" s="22"/>
      <c r="G693" s="22"/>
      <c r="H693" s="23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3"/>
      <c r="AB693" s="23"/>
      <c r="AC693" s="22"/>
      <c r="AD693" s="22"/>
      <c r="AE693" s="22"/>
      <c r="AF693" s="22"/>
      <c r="AG693" s="22"/>
      <c r="AH693" s="22"/>
      <c r="AI693" s="22"/>
      <c r="AJ693" s="22"/>
      <c r="AK693" s="22"/>
      <c r="AL693" s="22"/>
      <c r="AM693" s="22"/>
      <c r="AN693" s="22"/>
      <c r="AO693" s="22"/>
      <c r="AP693" s="22"/>
      <c r="AQ693" s="22"/>
      <c r="AR693" s="22"/>
      <c r="AS693" s="22"/>
      <c r="AT693" s="22"/>
      <c r="AU693" s="22"/>
      <c r="AV693" s="22"/>
      <c r="AW693" s="22"/>
      <c r="AX693" s="22"/>
      <c r="AY693" s="22"/>
      <c r="AZ693" s="22"/>
      <c r="BA693" s="22"/>
      <c r="BB693" s="22"/>
      <c r="BC693" s="22"/>
    </row>
    <row r="694" spans="1:55" customFormat="1" ht="21" customHeight="1" x14ac:dyDescent="0.25">
      <c r="A694" s="22"/>
      <c r="B694" s="22"/>
      <c r="C694" s="22"/>
      <c r="D694" s="22"/>
      <c r="E694" s="23"/>
      <c r="F694" s="22"/>
      <c r="G694" s="22"/>
      <c r="H694" s="23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3"/>
      <c r="AB694" s="23"/>
      <c r="AC694" s="22"/>
      <c r="AD694" s="22"/>
      <c r="AE694" s="22"/>
      <c r="AF694" s="22"/>
      <c r="AG694" s="22"/>
      <c r="AH694" s="22"/>
      <c r="AI694" s="22"/>
      <c r="AJ694" s="22"/>
      <c r="AK694" s="22"/>
      <c r="AL694" s="22"/>
      <c r="AM694" s="22"/>
      <c r="AN694" s="22"/>
      <c r="AO694" s="22"/>
      <c r="AP694" s="22"/>
      <c r="AQ694" s="22"/>
      <c r="AR694" s="22"/>
      <c r="AS694" s="22"/>
      <c r="AT694" s="22"/>
      <c r="AU694" s="22"/>
      <c r="AV694" s="22"/>
      <c r="AW694" s="22"/>
      <c r="AX694" s="22"/>
      <c r="AY694" s="22"/>
      <c r="AZ694" s="22"/>
      <c r="BA694" s="22"/>
      <c r="BB694" s="22"/>
      <c r="BC694" s="22"/>
    </row>
    <row r="695" spans="1:55" customFormat="1" ht="21" customHeight="1" x14ac:dyDescent="0.25">
      <c r="A695" s="22"/>
      <c r="B695" s="22"/>
      <c r="C695" s="22"/>
      <c r="D695" s="22"/>
      <c r="E695" s="23"/>
      <c r="F695" s="22"/>
      <c r="G695" s="22"/>
      <c r="H695" s="23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3"/>
      <c r="AB695" s="23"/>
      <c r="AC695" s="22"/>
      <c r="AD695" s="22"/>
      <c r="AE695" s="22"/>
      <c r="AF695" s="22"/>
      <c r="AG695" s="22"/>
      <c r="AH695" s="22"/>
      <c r="AI695" s="22"/>
      <c r="AJ695" s="22"/>
      <c r="AK695" s="22"/>
      <c r="AL695" s="22"/>
      <c r="AM695" s="22"/>
      <c r="AN695" s="22"/>
      <c r="AO695" s="22"/>
      <c r="AP695" s="22"/>
      <c r="AQ695" s="22"/>
      <c r="AR695" s="22"/>
      <c r="AS695" s="22"/>
      <c r="AT695" s="22"/>
      <c r="AU695" s="22"/>
      <c r="AV695" s="22"/>
      <c r="AW695" s="22"/>
      <c r="AX695" s="22"/>
      <c r="AY695" s="22"/>
      <c r="AZ695" s="22"/>
      <c r="BA695" s="22"/>
      <c r="BB695" s="22"/>
      <c r="BC695" s="22"/>
    </row>
    <row r="696" spans="1:55" customFormat="1" ht="21" customHeight="1" x14ac:dyDescent="0.25">
      <c r="A696" s="22"/>
      <c r="B696" s="22"/>
      <c r="C696" s="22"/>
      <c r="D696" s="22"/>
      <c r="E696" s="23"/>
      <c r="F696" s="22"/>
      <c r="G696" s="22"/>
      <c r="H696" s="23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3"/>
      <c r="AB696" s="23"/>
      <c r="AC696" s="22"/>
      <c r="AD696" s="22"/>
      <c r="AE696" s="22"/>
      <c r="AF696" s="22"/>
      <c r="AG696" s="22"/>
      <c r="AH696" s="22"/>
      <c r="AI696" s="22"/>
      <c r="AJ696" s="22"/>
      <c r="AK696" s="22"/>
      <c r="AL696" s="22"/>
      <c r="AM696" s="22"/>
      <c r="AN696" s="22"/>
      <c r="AO696" s="22"/>
      <c r="AP696" s="22"/>
      <c r="AQ696" s="22"/>
      <c r="AR696" s="22"/>
      <c r="AS696" s="22"/>
      <c r="AT696" s="22"/>
      <c r="AU696" s="22"/>
      <c r="AV696" s="22"/>
      <c r="AW696" s="22"/>
      <c r="AX696" s="22"/>
      <c r="AY696" s="22"/>
      <c r="AZ696" s="22"/>
      <c r="BA696" s="22"/>
      <c r="BB696" s="22"/>
      <c r="BC696" s="22"/>
    </row>
    <row r="697" spans="1:55" customFormat="1" ht="21" customHeight="1" x14ac:dyDescent="0.25">
      <c r="A697" s="22"/>
      <c r="B697" s="22"/>
      <c r="C697" s="22"/>
      <c r="D697" s="22"/>
      <c r="E697" s="23"/>
      <c r="F697" s="22"/>
      <c r="G697" s="22"/>
      <c r="H697" s="23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A697" s="23"/>
      <c r="AB697" s="23"/>
      <c r="AC697" s="22"/>
      <c r="AD697" s="22"/>
      <c r="AE697" s="22"/>
      <c r="AF697" s="22"/>
      <c r="AG697" s="22"/>
      <c r="AH697" s="22"/>
      <c r="AI697" s="22"/>
      <c r="AJ697" s="22"/>
      <c r="AK697" s="22"/>
      <c r="AL697" s="22"/>
      <c r="AM697" s="22"/>
      <c r="AN697" s="22"/>
      <c r="AO697" s="22"/>
      <c r="AP697" s="22"/>
      <c r="AQ697" s="22"/>
      <c r="AR697" s="22"/>
      <c r="AS697" s="22"/>
      <c r="AT697" s="22"/>
      <c r="AU697" s="22"/>
      <c r="AV697" s="22"/>
      <c r="AW697" s="22"/>
      <c r="AX697" s="22"/>
      <c r="AY697" s="22"/>
      <c r="AZ697" s="22"/>
      <c r="BA697" s="22"/>
      <c r="BB697" s="22"/>
      <c r="BC697" s="22"/>
    </row>
    <row r="698" spans="1:55" customFormat="1" ht="21" customHeight="1" x14ac:dyDescent="0.25">
      <c r="A698" s="22"/>
      <c r="B698" s="22"/>
      <c r="C698" s="22"/>
      <c r="D698" s="22"/>
      <c r="E698" s="23"/>
      <c r="F698" s="22"/>
      <c r="G698" s="22"/>
      <c r="H698" s="23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3"/>
      <c r="AB698" s="23"/>
      <c r="AC698" s="22"/>
      <c r="AD698" s="22"/>
      <c r="AE698" s="22"/>
      <c r="AF698" s="22"/>
      <c r="AG698" s="22"/>
      <c r="AH698" s="22"/>
      <c r="AI698" s="22"/>
      <c r="AJ698" s="22"/>
      <c r="AK698" s="22"/>
      <c r="AL698" s="22"/>
      <c r="AM698" s="22"/>
      <c r="AN698" s="22"/>
      <c r="AO698" s="22"/>
      <c r="AP698" s="22"/>
      <c r="AQ698" s="22"/>
      <c r="AR698" s="22"/>
      <c r="AS698" s="22"/>
      <c r="AT698" s="22"/>
      <c r="AU698" s="22"/>
      <c r="AV698" s="22"/>
      <c r="AW698" s="22"/>
      <c r="AX698" s="22"/>
      <c r="AY698" s="22"/>
      <c r="AZ698" s="22"/>
      <c r="BA698" s="22"/>
      <c r="BB698" s="22"/>
      <c r="BC698" s="22"/>
    </row>
    <row r="699" spans="1:55" customFormat="1" ht="21" customHeight="1" x14ac:dyDescent="0.25">
      <c r="A699" s="22"/>
      <c r="B699" s="22"/>
      <c r="C699" s="22"/>
      <c r="D699" s="22"/>
      <c r="E699" s="23"/>
      <c r="F699" s="22"/>
      <c r="G699" s="22"/>
      <c r="H699" s="23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3"/>
      <c r="AB699" s="23"/>
      <c r="AC699" s="22"/>
      <c r="AD699" s="22"/>
      <c r="AE699" s="22"/>
      <c r="AF699" s="22"/>
      <c r="AG699" s="22"/>
      <c r="AH699" s="22"/>
      <c r="AI699" s="22"/>
      <c r="AJ699" s="22"/>
      <c r="AK699" s="22"/>
      <c r="AL699" s="22"/>
      <c r="AM699" s="22"/>
      <c r="AN699" s="22"/>
      <c r="AO699" s="22"/>
      <c r="AP699" s="22"/>
      <c r="AQ699" s="22"/>
      <c r="AR699" s="22"/>
      <c r="AS699" s="22"/>
      <c r="AT699" s="22"/>
      <c r="AU699" s="22"/>
      <c r="AV699" s="22"/>
      <c r="AW699" s="22"/>
      <c r="AX699" s="22"/>
      <c r="AY699" s="22"/>
      <c r="AZ699" s="22"/>
      <c r="BA699" s="22"/>
      <c r="BB699" s="22"/>
      <c r="BC699" s="22"/>
    </row>
    <row r="700" spans="1:55" customFormat="1" ht="21" customHeight="1" x14ac:dyDescent="0.25">
      <c r="A700" s="22"/>
      <c r="B700" s="22"/>
      <c r="C700" s="22"/>
      <c r="D700" s="22"/>
      <c r="E700" s="23"/>
      <c r="F700" s="22"/>
      <c r="G700" s="22"/>
      <c r="H700" s="23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3"/>
      <c r="AB700" s="23"/>
      <c r="AC700" s="22"/>
      <c r="AD700" s="22"/>
      <c r="AE700" s="22"/>
      <c r="AF700" s="22"/>
      <c r="AG700" s="22"/>
      <c r="AH700" s="22"/>
      <c r="AI700" s="22"/>
      <c r="AJ700" s="22"/>
      <c r="AK700" s="22"/>
      <c r="AL700" s="22"/>
      <c r="AM700" s="22"/>
      <c r="AN700" s="22"/>
      <c r="AO700" s="22"/>
      <c r="AP700" s="22"/>
      <c r="AQ700" s="22"/>
      <c r="AR700" s="22"/>
      <c r="AS700" s="22"/>
      <c r="AT700" s="22"/>
      <c r="AU700" s="22"/>
      <c r="AV700" s="22"/>
      <c r="AW700" s="22"/>
      <c r="AX700" s="22"/>
      <c r="AY700" s="22"/>
      <c r="AZ700" s="22"/>
      <c r="BA700" s="22"/>
      <c r="BB700" s="22"/>
      <c r="BC700" s="22"/>
    </row>
    <row r="701" spans="1:55" customFormat="1" ht="21" customHeight="1" x14ac:dyDescent="0.25">
      <c r="A701" s="22"/>
      <c r="B701" s="22"/>
      <c r="C701" s="22"/>
      <c r="D701" s="22"/>
      <c r="E701" s="23"/>
      <c r="F701" s="22"/>
      <c r="G701" s="22"/>
      <c r="H701" s="23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3"/>
      <c r="AB701" s="23"/>
      <c r="AC701" s="22"/>
      <c r="AD701" s="22"/>
      <c r="AE701" s="22"/>
      <c r="AF701" s="22"/>
      <c r="AG701" s="22"/>
      <c r="AH701" s="22"/>
      <c r="AI701" s="22"/>
      <c r="AJ701" s="22"/>
      <c r="AK701" s="22"/>
      <c r="AL701" s="22"/>
      <c r="AM701" s="22"/>
      <c r="AN701" s="22"/>
      <c r="AO701" s="22"/>
      <c r="AP701" s="22"/>
      <c r="AQ701" s="22"/>
      <c r="AR701" s="22"/>
      <c r="AS701" s="22"/>
      <c r="AT701" s="22"/>
      <c r="AU701" s="22"/>
      <c r="AV701" s="22"/>
      <c r="AW701" s="22"/>
      <c r="AX701" s="22"/>
      <c r="AY701" s="22"/>
      <c r="AZ701" s="22"/>
      <c r="BA701" s="22"/>
      <c r="BB701" s="22"/>
      <c r="BC701" s="22"/>
    </row>
    <row r="702" spans="1:55" customFormat="1" ht="21" customHeight="1" x14ac:dyDescent="0.25">
      <c r="A702" s="22"/>
      <c r="B702" s="22"/>
      <c r="C702" s="22"/>
      <c r="D702" s="22"/>
      <c r="E702" s="23"/>
      <c r="F702" s="22"/>
      <c r="G702" s="22"/>
      <c r="H702" s="23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3"/>
      <c r="AB702" s="23"/>
      <c r="AC702" s="22"/>
      <c r="AD702" s="22"/>
      <c r="AE702" s="22"/>
      <c r="AF702" s="22"/>
      <c r="AG702" s="22"/>
      <c r="AH702" s="22"/>
      <c r="AI702" s="22"/>
      <c r="AJ702" s="22"/>
      <c r="AK702" s="22"/>
      <c r="AL702" s="22"/>
      <c r="AM702" s="22"/>
      <c r="AN702" s="22"/>
      <c r="AO702" s="22"/>
      <c r="AP702" s="22"/>
      <c r="AQ702" s="22"/>
      <c r="AR702" s="22"/>
      <c r="AS702" s="22"/>
      <c r="AT702" s="22"/>
      <c r="AU702" s="22"/>
      <c r="AV702" s="22"/>
      <c r="AW702" s="22"/>
      <c r="AX702" s="22"/>
      <c r="AY702" s="22"/>
      <c r="AZ702" s="22"/>
      <c r="BA702" s="22"/>
      <c r="BB702" s="22"/>
      <c r="BC702" s="22"/>
    </row>
    <row r="703" spans="1:55" customFormat="1" ht="21" customHeight="1" x14ac:dyDescent="0.25">
      <c r="A703" s="22"/>
      <c r="B703" s="22"/>
      <c r="C703" s="22"/>
      <c r="D703" s="22"/>
      <c r="E703" s="23"/>
      <c r="F703" s="22"/>
      <c r="G703" s="22"/>
      <c r="H703" s="23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3"/>
      <c r="AB703" s="23"/>
      <c r="AC703" s="22"/>
      <c r="AD703" s="22"/>
      <c r="AE703" s="22"/>
      <c r="AF703" s="22"/>
      <c r="AG703" s="22"/>
      <c r="AH703" s="22"/>
      <c r="AI703" s="22"/>
      <c r="AJ703" s="22"/>
      <c r="AK703" s="22"/>
      <c r="AL703" s="22"/>
      <c r="AM703" s="22"/>
      <c r="AN703" s="22"/>
      <c r="AO703" s="22"/>
      <c r="AP703" s="22"/>
      <c r="AQ703" s="22"/>
      <c r="AR703" s="22"/>
      <c r="AS703" s="22"/>
      <c r="AT703" s="22"/>
      <c r="AU703" s="22"/>
      <c r="AV703" s="22"/>
      <c r="AW703" s="22"/>
      <c r="AX703" s="22"/>
      <c r="AY703" s="22"/>
      <c r="AZ703" s="22"/>
      <c r="BA703" s="22"/>
      <c r="BB703" s="22"/>
      <c r="BC703" s="22"/>
    </row>
    <row r="704" spans="1:55" customFormat="1" ht="21" customHeight="1" x14ac:dyDescent="0.25">
      <c r="A704" s="22"/>
      <c r="B704" s="22"/>
      <c r="C704" s="22"/>
      <c r="D704" s="22"/>
      <c r="E704" s="23"/>
      <c r="F704" s="22"/>
      <c r="G704" s="22"/>
      <c r="H704" s="23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3"/>
      <c r="AB704" s="23"/>
      <c r="AC704" s="22"/>
      <c r="AD704" s="22"/>
      <c r="AE704" s="22"/>
      <c r="AF704" s="22"/>
      <c r="AG704" s="22"/>
      <c r="AH704" s="22"/>
      <c r="AI704" s="22"/>
      <c r="AJ704" s="22"/>
      <c r="AK704" s="22"/>
      <c r="AL704" s="22"/>
      <c r="AM704" s="22"/>
      <c r="AN704" s="22"/>
      <c r="AO704" s="22"/>
      <c r="AP704" s="22"/>
      <c r="AQ704" s="22"/>
      <c r="AR704" s="22"/>
      <c r="AS704" s="22"/>
      <c r="AT704" s="22"/>
      <c r="AU704" s="22"/>
      <c r="AV704" s="22"/>
      <c r="AW704" s="22"/>
      <c r="AX704" s="22"/>
      <c r="AY704" s="22"/>
      <c r="AZ704" s="22"/>
      <c r="BA704" s="22"/>
      <c r="BB704" s="22"/>
      <c r="BC704" s="22"/>
    </row>
    <row r="705" spans="1:55" customFormat="1" ht="21" customHeight="1" x14ac:dyDescent="0.25">
      <c r="A705" s="22"/>
      <c r="B705" s="22"/>
      <c r="C705" s="22"/>
      <c r="D705" s="22"/>
      <c r="E705" s="23"/>
      <c r="F705" s="22"/>
      <c r="G705" s="22"/>
      <c r="H705" s="23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3"/>
      <c r="AB705" s="23"/>
      <c r="AC705" s="22"/>
      <c r="AD705" s="22"/>
      <c r="AE705" s="22"/>
      <c r="AF705" s="22"/>
      <c r="AG705" s="22"/>
      <c r="AH705" s="22"/>
      <c r="AI705" s="22"/>
      <c r="AJ705" s="22"/>
      <c r="AK705" s="22"/>
      <c r="AL705" s="22"/>
      <c r="AM705" s="22"/>
      <c r="AN705" s="22"/>
      <c r="AO705" s="22"/>
      <c r="AP705" s="22"/>
      <c r="AQ705" s="22"/>
      <c r="AR705" s="22"/>
      <c r="AS705" s="22"/>
      <c r="AT705" s="22"/>
      <c r="AU705" s="22"/>
      <c r="AV705" s="22"/>
      <c r="AW705" s="22"/>
      <c r="AX705" s="22"/>
      <c r="AY705" s="22"/>
      <c r="AZ705" s="22"/>
      <c r="BA705" s="22"/>
      <c r="BB705" s="22"/>
      <c r="BC705" s="22"/>
    </row>
    <row r="706" spans="1:55" customFormat="1" ht="21" customHeight="1" x14ac:dyDescent="0.25">
      <c r="A706" s="22"/>
      <c r="B706" s="22"/>
      <c r="C706" s="22"/>
      <c r="D706" s="22"/>
      <c r="E706" s="23"/>
      <c r="F706" s="22"/>
      <c r="G706" s="22"/>
      <c r="H706" s="23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3"/>
      <c r="AB706" s="23"/>
      <c r="AC706" s="22"/>
      <c r="AD706" s="22"/>
      <c r="AE706" s="22"/>
      <c r="AF706" s="22"/>
      <c r="AG706" s="22"/>
      <c r="AH706" s="22"/>
      <c r="AI706" s="22"/>
      <c r="AJ706" s="22"/>
      <c r="AK706" s="22"/>
      <c r="AL706" s="22"/>
      <c r="AM706" s="22"/>
      <c r="AN706" s="22"/>
      <c r="AO706" s="22"/>
      <c r="AP706" s="22"/>
      <c r="AQ706" s="22"/>
      <c r="AR706" s="22"/>
      <c r="AS706" s="22"/>
      <c r="AT706" s="22"/>
      <c r="AU706" s="22"/>
      <c r="AV706" s="22"/>
      <c r="AW706" s="22"/>
      <c r="AX706" s="22"/>
      <c r="AY706" s="22"/>
      <c r="AZ706" s="22"/>
      <c r="BA706" s="22"/>
      <c r="BB706" s="22"/>
      <c r="BC706" s="22"/>
    </row>
    <row r="707" spans="1:55" customFormat="1" ht="21" customHeight="1" x14ac:dyDescent="0.25">
      <c r="A707" s="22"/>
      <c r="B707" s="22"/>
      <c r="C707" s="22"/>
      <c r="D707" s="22"/>
      <c r="E707" s="23"/>
      <c r="F707" s="22"/>
      <c r="G707" s="22"/>
      <c r="H707" s="23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3"/>
      <c r="AB707" s="23"/>
      <c r="AC707" s="22"/>
      <c r="AD707" s="22"/>
      <c r="AE707" s="22"/>
      <c r="AF707" s="22"/>
      <c r="AG707" s="22"/>
      <c r="AH707" s="22"/>
      <c r="AI707" s="22"/>
      <c r="AJ707" s="22"/>
      <c r="AK707" s="22"/>
      <c r="AL707" s="22"/>
      <c r="AM707" s="22"/>
      <c r="AN707" s="22"/>
      <c r="AO707" s="22"/>
      <c r="AP707" s="22"/>
      <c r="AQ707" s="22"/>
      <c r="AR707" s="22"/>
      <c r="AS707" s="22"/>
      <c r="AT707" s="22"/>
      <c r="AU707" s="22"/>
      <c r="AV707" s="22"/>
      <c r="AW707" s="22"/>
      <c r="AX707" s="22"/>
      <c r="AY707" s="22"/>
      <c r="AZ707" s="22"/>
      <c r="BA707" s="22"/>
      <c r="BB707" s="22"/>
      <c r="BC707" s="22"/>
    </row>
    <row r="708" spans="1:55" customFormat="1" ht="21" customHeight="1" x14ac:dyDescent="0.25">
      <c r="A708" s="22"/>
      <c r="B708" s="22"/>
      <c r="C708" s="22"/>
      <c r="D708" s="22"/>
      <c r="E708" s="23"/>
      <c r="F708" s="22"/>
      <c r="G708" s="22"/>
      <c r="H708" s="23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3"/>
      <c r="AB708" s="23"/>
      <c r="AC708" s="22"/>
      <c r="AD708" s="22"/>
      <c r="AE708" s="22"/>
      <c r="AF708" s="22"/>
      <c r="AG708" s="22"/>
      <c r="AH708" s="22"/>
      <c r="AI708" s="22"/>
      <c r="AJ708" s="22"/>
      <c r="AK708" s="22"/>
      <c r="AL708" s="22"/>
      <c r="AM708" s="22"/>
      <c r="AN708" s="22"/>
      <c r="AO708" s="22"/>
      <c r="AP708" s="22"/>
      <c r="AQ708" s="22"/>
      <c r="AR708" s="22"/>
      <c r="AS708" s="22"/>
      <c r="AT708" s="22"/>
      <c r="AU708" s="22"/>
      <c r="AV708" s="22"/>
      <c r="AW708" s="22"/>
      <c r="AX708" s="22"/>
      <c r="AY708" s="22"/>
      <c r="AZ708" s="22"/>
      <c r="BA708" s="22"/>
      <c r="BB708" s="22"/>
      <c r="BC708" s="22"/>
    </row>
    <row r="709" spans="1:55" customFormat="1" ht="21" customHeight="1" x14ac:dyDescent="0.25">
      <c r="A709" s="22"/>
      <c r="B709" s="22"/>
      <c r="C709" s="22"/>
      <c r="D709" s="22"/>
      <c r="E709" s="23"/>
      <c r="F709" s="22"/>
      <c r="G709" s="22"/>
      <c r="H709" s="23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3"/>
      <c r="AB709" s="23"/>
      <c r="AC709" s="22"/>
      <c r="AD709" s="22"/>
      <c r="AE709" s="22"/>
      <c r="AF709" s="22"/>
      <c r="AG709" s="22"/>
      <c r="AH709" s="22"/>
      <c r="AI709" s="22"/>
      <c r="AJ709" s="22"/>
      <c r="AK709" s="22"/>
      <c r="AL709" s="22"/>
      <c r="AM709" s="22"/>
      <c r="AN709" s="22"/>
      <c r="AO709" s="22"/>
      <c r="AP709" s="22"/>
      <c r="AQ709" s="22"/>
      <c r="AR709" s="22"/>
      <c r="AS709" s="22"/>
      <c r="AT709" s="22"/>
      <c r="AU709" s="22"/>
      <c r="AV709" s="22"/>
      <c r="AW709" s="22"/>
      <c r="AX709" s="22"/>
      <c r="AY709" s="22"/>
      <c r="AZ709" s="22"/>
      <c r="BA709" s="22"/>
      <c r="BB709" s="22"/>
      <c r="BC709" s="22"/>
    </row>
    <row r="710" spans="1:55" customFormat="1" ht="21" customHeight="1" x14ac:dyDescent="0.25">
      <c r="A710" s="22"/>
      <c r="B710" s="22"/>
      <c r="C710" s="22"/>
      <c r="D710" s="22"/>
      <c r="E710" s="23"/>
      <c r="F710" s="22"/>
      <c r="G710" s="22"/>
      <c r="H710" s="23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3"/>
      <c r="AB710" s="23"/>
      <c r="AC710" s="22"/>
      <c r="AD710" s="22"/>
      <c r="AE710" s="22"/>
      <c r="AF710" s="22"/>
      <c r="AG710" s="22"/>
      <c r="AH710" s="22"/>
      <c r="AI710" s="22"/>
      <c r="AJ710" s="22"/>
      <c r="AK710" s="22"/>
      <c r="AL710" s="22"/>
      <c r="AM710" s="22"/>
      <c r="AN710" s="22"/>
      <c r="AO710" s="22"/>
      <c r="AP710" s="22"/>
      <c r="AQ710" s="22"/>
      <c r="AR710" s="22"/>
      <c r="AS710" s="22"/>
      <c r="AT710" s="22"/>
      <c r="AU710" s="22"/>
      <c r="AV710" s="22"/>
      <c r="AW710" s="22"/>
      <c r="AX710" s="22"/>
      <c r="AY710" s="22"/>
      <c r="AZ710" s="22"/>
      <c r="BA710" s="22"/>
      <c r="BB710" s="22"/>
      <c r="BC710" s="22"/>
    </row>
    <row r="711" spans="1:55" customFormat="1" ht="21" customHeight="1" x14ac:dyDescent="0.25">
      <c r="A711" s="22"/>
      <c r="B711" s="22"/>
      <c r="C711" s="22"/>
      <c r="D711" s="22"/>
      <c r="E711" s="23"/>
      <c r="F711" s="22"/>
      <c r="G711" s="22"/>
      <c r="H711" s="23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23"/>
      <c r="AB711" s="23"/>
      <c r="AC711" s="22"/>
      <c r="AD711" s="22"/>
      <c r="AE711" s="22"/>
      <c r="AF711" s="22"/>
      <c r="AG711" s="22"/>
      <c r="AH711" s="22"/>
      <c r="AI711" s="22"/>
      <c r="AJ711" s="22"/>
      <c r="AK711" s="22"/>
      <c r="AL711" s="22"/>
      <c r="AM711" s="22"/>
      <c r="AN711" s="22"/>
      <c r="AO711" s="22"/>
      <c r="AP711" s="22"/>
      <c r="AQ711" s="22"/>
      <c r="AR711" s="22"/>
      <c r="AS711" s="22"/>
      <c r="AT711" s="22"/>
      <c r="AU711" s="22"/>
      <c r="AV711" s="22"/>
      <c r="AW711" s="22"/>
      <c r="AX711" s="22"/>
      <c r="AY711" s="22"/>
      <c r="AZ711" s="22"/>
      <c r="BA711" s="22"/>
      <c r="BB711" s="22"/>
      <c r="BC711" s="22"/>
    </row>
    <row r="712" spans="1:55" customFormat="1" ht="21" customHeight="1" x14ac:dyDescent="0.25">
      <c r="A712" s="22"/>
      <c r="B712" s="22"/>
      <c r="C712" s="22"/>
      <c r="D712" s="22"/>
      <c r="E712" s="23"/>
      <c r="F712" s="22"/>
      <c r="G712" s="22"/>
      <c r="H712" s="23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3"/>
      <c r="AB712" s="23"/>
      <c r="AC712" s="22"/>
      <c r="AD712" s="22"/>
      <c r="AE712" s="22"/>
      <c r="AF712" s="22"/>
      <c r="AG712" s="22"/>
      <c r="AH712" s="22"/>
      <c r="AI712" s="22"/>
      <c r="AJ712" s="22"/>
      <c r="AK712" s="22"/>
      <c r="AL712" s="22"/>
      <c r="AM712" s="22"/>
      <c r="AN712" s="22"/>
      <c r="AO712" s="22"/>
      <c r="AP712" s="22"/>
      <c r="AQ712" s="22"/>
      <c r="AR712" s="22"/>
      <c r="AS712" s="22"/>
      <c r="AT712" s="22"/>
      <c r="AU712" s="22"/>
      <c r="AV712" s="22"/>
      <c r="AW712" s="22"/>
      <c r="AX712" s="22"/>
      <c r="AY712" s="22"/>
      <c r="AZ712" s="22"/>
      <c r="BA712" s="22"/>
      <c r="BB712" s="22"/>
      <c r="BC712" s="22"/>
    </row>
    <row r="713" spans="1:55" customFormat="1" ht="21" customHeight="1" x14ac:dyDescent="0.25">
      <c r="A713" s="22"/>
      <c r="B713" s="22"/>
      <c r="C713" s="22"/>
      <c r="D713" s="22"/>
      <c r="E713" s="23"/>
      <c r="F713" s="22"/>
      <c r="G713" s="22"/>
      <c r="H713" s="23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3"/>
      <c r="AB713" s="23"/>
      <c r="AC713" s="22"/>
      <c r="AD713" s="22"/>
      <c r="AE713" s="22"/>
      <c r="AF713" s="22"/>
      <c r="AG713" s="22"/>
      <c r="AH713" s="22"/>
      <c r="AI713" s="22"/>
      <c r="AJ713" s="22"/>
      <c r="AK713" s="22"/>
      <c r="AL713" s="22"/>
      <c r="AM713" s="22"/>
      <c r="AN713" s="22"/>
      <c r="AO713" s="22"/>
      <c r="AP713" s="22"/>
      <c r="AQ713" s="22"/>
      <c r="AR713" s="22"/>
      <c r="AS713" s="22"/>
      <c r="AT713" s="22"/>
      <c r="AU713" s="22"/>
      <c r="AV713" s="22"/>
      <c r="AW713" s="22"/>
      <c r="AX713" s="22"/>
      <c r="AY713" s="22"/>
      <c r="AZ713" s="22"/>
      <c r="BA713" s="22"/>
      <c r="BB713" s="22"/>
      <c r="BC713" s="22"/>
    </row>
    <row r="714" spans="1:55" customFormat="1" ht="21" customHeight="1" x14ac:dyDescent="0.25">
      <c r="A714" s="22"/>
      <c r="B714" s="22"/>
      <c r="C714" s="22"/>
      <c r="D714" s="22"/>
      <c r="E714" s="23"/>
      <c r="F714" s="22"/>
      <c r="G714" s="22"/>
      <c r="H714" s="23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3"/>
      <c r="AB714" s="23"/>
      <c r="AC714" s="22"/>
      <c r="AD714" s="22"/>
      <c r="AE714" s="22"/>
      <c r="AF714" s="22"/>
      <c r="AG714" s="22"/>
      <c r="AH714" s="22"/>
      <c r="AI714" s="22"/>
      <c r="AJ714" s="22"/>
      <c r="AK714" s="22"/>
      <c r="AL714" s="22"/>
      <c r="AM714" s="22"/>
      <c r="AN714" s="22"/>
      <c r="AO714" s="22"/>
      <c r="AP714" s="22"/>
      <c r="AQ714" s="22"/>
      <c r="AR714" s="22"/>
      <c r="AS714" s="22"/>
      <c r="AT714" s="22"/>
      <c r="AU714" s="22"/>
      <c r="AV714" s="22"/>
      <c r="AW714" s="22"/>
      <c r="AX714" s="22"/>
      <c r="AY714" s="22"/>
      <c r="AZ714" s="22"/>
      <c r="BA714" s="22"/>
      <c r="BB714" s="22"/>
      <c r="BC714" s="22"/>
    </row>
    <row r="715" spans="1:55" customFormat="1" ht="21" customHeight="1" x14ac:dyDescent="0.25">
      <c r="A715" s="22"/>
      <c r="B715" s="22"/>
      <c r="C715" s="22"/>
      <c r="D715" s="22"/>
      <c r="E715" s="23"/>
      <c r="F715" s="22"/>
      <c r="G715" s="22"/>
      <c r="H715" s="23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3"/>
      <c r="AB715" s="23"/>
      <c r="AC715" s="22"/>
      <c r="AD715" s="22"/>
      <c r="AE715" s="22"/>
      <c r="AF715" s="22"/>
      <c r="AG715" s="22"/>
      <c r="AH715" s="22"/>
      <c r="AI715" s="22"/>
      <c r="AJ715" s="22"/>
      <c r="AK715" s="22"/>
      <c r="AL715" s="22"/>
      <c r="AM715" s="22"/>
      <c r="AN715" s="22"/>
      <c r="AO715" s="22"/>
      <c r="AP715" s="22"/>
      <c r="AQ715" s="22"/>
      <c r="AR715" s="22"/>
      <c r="AS715" s="22"/>
      <c r="AT715" s="22"/>
      <c r="AU715" s="22"/>
      <c r="AV715" s="22"/>
      <c r="AW715" s="22"/>
      <c r="AX715" s="22"/>
      <c r="AY715" s="22"/>
      <c r="AZ715" s="22"/>
      <c r="BA715" s="22"/>
      <c r="BB715" s="22"/>
      <c r="BC715" s="22"/>
    </row>
    <row r="716" spans="1:55" customFormat="1" ht="21" customHeight="1" x14ac:dyDescent="0.25">
      <c r="A716" s="22"/>
      <c r="B716" s="22"/>
      <c r="C716" s="22"/>
      <c r="D716" s="22"/>
      <c r="E716" s="23"/>
      <c r="F716" s="22"/>
      <c r="G716" s="22"/>
      <c r="H716" s="23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3"/>
      <c r="AB716" s="23"/>
      <c r="AC716" s="22"/>
      <c r="AD716" s="22"/>
      <c r="AE716" s="22"/>
      <c r="AF716" s="22"/>
      <c r="AG716" s="22"/>
      <c r="AH716" s="22"/>
      <c r="AI716" s="22"/>
      <c r="AJ716" s="22"/>
      <c r="AK716" s="22"/>
      <c r="AL716" s="22"/>
      <c r="AM716" s="22"/>
      <c r="AN716" s="22"/>
      <c r="AO716" s="22"/>
      <c r="AP716" s="22"/>
      <c r="AQ716" s="22"/>
      <c r="AR716" s="22"/>
      <c r="AS716" s="22"/>
      <c r="AT716" s="22"/>
      <c r="AU716" s="22"/>
      <c r="AV716" s="22"/>
      <c r="AW716" s="22"/>
      <c r="AX716" s="22"/>
      <c r="AY716" s="22"/>
      <c r="AZ716" s="22"/>
      <c r="BA716" s="22"/>
      <c r="BB716" s="22"/>
      <c r="BC716" s="22"/>
    </row>
    <row r="717" spans="1:55" customFormat="1" ht="21" customHeight="1" x14ac:dyDescent="0.25">
      <c r="A717" s="22"/>
      <c r="B717" s="22"/>
      <c r="C717" s="22"/>
      <c r="D717" s="22"/>
      <c r="E717" s="23"/>
      <c r="F717" s="22"/>
      <c r="G717" s="22"/>
      <c r="H717" s="23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3"/>
      <c r="AB717" s="23"/>
      <c r="AC717" s="22"/>
      <c r="AD717" s="22"/>
      <c r="AE717" s="22"/>
      <c r="AF717" s="22"/>
      <c r="AG717" s="22"/>
      <c r="AH717" s="22"/>
      <c r="AI717" s="22"/>
      <c r="AJ717" s="22"/>
      <c r="AK717" s="22"/>
      <c r="AL717" s="22"/>
      <c r="AM717" s="22"/>
      <c r="AN717" s="22"/>
      <c r="AO717" s="22"/>
      <c r="AP717" s="22"/>
      <c r="AQ717" s="22"/>
      <c r="AR717" s="22"/>
      <c r="AS717" s="22"/>
      <c r="AT717" s="22"/>
      <c r="AU717" s="22"/>
      <c r="AV717" s="22"/>
      <c r="AW717" s="22"/>
      <c r="AX717" s="22"/>
      <c r="AY717" s="22"/>
      <c r="AZ717" s="22"/>
      <c r="BA717" s="22"/>
      <c r="BB717" s="22"/>
      <c r="BC717" s="22"/>
    </row>
    <row r="718" spans="1:55" customFormat="1" ht="21" customHeight="1" x14ac:dyDescent="0.25">
      <c r="A718" s="22"/>
      <c r="B718" s="22"/>
      <c r="C718" s="22"/>
      <c r="D718" s="22"/>
      <c r="E718" s="23"/>
      <c r="F718" s="22"/>
      <c r="G718" s="22"/>
      <c r="H718" s="23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3"/>
      <c r="AB718" s="23"/>
      <c r="AC718" s="22"/>
      <c r="AD718" s="22"/>
      <c r="AE718" s="22"/>
      <c r="AF718" s="22"/>
      <c r="AG718" s="22"/>
      <c r="AH718" s="22"/>
      <c r="AI718" s="22"/>
      <c r="AJ718" s="22"/>
      <c r="AK718" s="22"/>
      <c r="AL718" s="22"/>
      <c r="AM718" s="22"/>
      <c r="AN718" s="22"/>
      <c r="AO718" s="22"/>
      <c r="AP718" s="22"/>
      <c r="AQ718" s="22"/>
      <c r="AR718" s="22"/>
      <c r="AS718" s="22"/>
      <c r="AT718" s="22"/>
      <c r="AU718" s="22"/>
      <c r="AV718" s="22"/>
      <c r="AW718" s="22"/>
      <c r="AX718" s="22"/>
      <c r="AY718" s="22"/>
      <c r="AZ718" s="22"/>
      <c r="BA718" s="22"/>
      <c r="BB718" s="22"/>
      <c r="BC718" s="22"/>
    </row>
    <row r="719" spans="1:55" customFormat="1" ht="21" customHeight="1" x14ac:dyDescent="0.25">
      <c r="A719" s="22"/>
      <c r="B719" s="22"/>
      <c r="C719" s="22"/>
      <c r="D719" s="22"/>
      <c r="E719" s="23"/>
      <c r="F719" s="22"/>
      <c r="G719" s="22"/>
      <c r="H719" s="23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3"/>
      <c r="AB719" s="23"/>
      <c r="AC719" s="22"/>
      <c r="AD719" s="22"/>
      <c r="AE719" s="22"/>
      <c r="AF719" s="22"/>
      <c r="AG719" s="22"/>
      <c r="AH719" s="22"/>
      <c r="AI719" s="22"/>
      <c r="AJ719" s="22"/>
      <c r="AK719" s="22"/>
      <c r="AL719" s="22"/>
      <c r="AM719" s="22"/>
      <c r="AN719" s="22"/>
      <c r="AO719" s="22"/>
      <c r="AP719" s="22"/>
      <c r="AQ719" s="22"/>
      <c r="AR719" s="22"/>
      <c r="AS719" s="22"/>
      <c r="AT719" s="22"/>
      <c r="AU719" s="22"/>
      <c r="AV719" s="22"/>
      <c r="AW719" s="22"/>
      <c r="AX719" s="22"/>
      <c r="AY719" s="22"/>
      <c r="AZ719" s="22"/>
      <c r="BA719" s="22"/>
      <c r="BB719" s="22"/>
      <c r="BC719" s="22"/>
    </row>
    <row r="720" spans="1:55" customFormat="1" ht="21" customHeight="1" x14ac:dyDescent="0.25">
      <c r="A720" s="22"/>
      <c r="B720" s="22"/>
      <c r="C720" s="22"/>
      <c r="D720" s="22"/>
      <c r="E720" s="23"/>
      <c r="F720" s="22"/>
      <c r="G720" s="22"/>
      <c r="H720" s="23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3"/>
      <c r="AB720" s="23"/>
      <c r="AC720" s="22"/>
      <c r="AD720" s="22"/>
      <c r="AE720" s="22"/>
      <c r="AF720" s="22"/>
      <c r="AG720" s="22"/>
      <c r="AH720" s="22"/>
      <c r="AI720" s="22"/>
      <c r="AJ720" s="22"/>
      <c r="AK720" s="22"/>
      <c r="AL720" s="22"/>
      <c r="AM720" s="22"/>
      <c r="AN720" s="22"/>
      <c r="AO720" s="22"/>
      <c r="AP720" s="22"/>
      <c r="AQ720" s="22"/>
      <c r="AR720" s="22"/>
      <c r="AS720" s="22"/>
      <c r="AT720" s="22"/>
      <c r="AU720" s="22"/>
      <c r="AV720" s="22"/>
      <c r="AW720" s="22"/>
      <c r="AX720" s="22"/>
      <c r="AY720" s="22"/>
      <c r="AZ720" s="22"/>
      <c r="BA720" s="22"/>
      <c r="BB720" s="22"/>
      <c r="BC720" s="22"/>
    </row>
    <row r="721" spans="1:55" customFormat="1" ht="21" customHeight="1" x14ac:dyDescent="0.25">
      <c r="A721" s="22"/>
      <c r="B721" s="22"/>
      <c r="C721" s="22"/>
      <c r="D721" s="22"/>
      <c r="E721" s="23"/>
      <c r="F721" s="22"/>
      <c r="G721" s="22"/>
      <c r="H721" s="23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23"/>
      <c r="AB721" s="23"/>
      <c r="AC721" s="22"/>
      <c r="AD721" s="22"/>
      <c r="AE721" s="22"/>
      <c r="AF721" s="22"/>
      <c r="AG721" s="22"/>
      <c r="AH721" s="22"/>
      <c r="AI721" s="22"/>
      <c r="AJ721" s="22"/>
      <c r="AK721" s="22"/>
      <c r="AL721" s="22"/>
      <c r="AM721" s="22"/>
      <c r="AN721" s="22"/>
      <c r="AO721" s="22"/>
      <c r="AP721" s="22"/>
      <c r="AQ721" s="22"/>
      <c r="AR721" s="22"/>
      <c r="AS721" s="22"/>
      <c r="AT721" s="22"/>
      <c r="AU721" s="22"/>
      <c r="AV721" s="22"/>
      <c r="AW721" s="22"/>
      <c r="AX721" s="22"/>
      <c r="AY721" s="22"/>
      <c r="AZ721" s="22"/>
      <c r="BA721" s="22"/>
      <c r="BB721" s="22"/>
      <c r="BC721" s="22"/>
    </row>
    <row r="722" spans="1:55" customFormat="1" ht="21" customHeight="1" x14ac:dyDescent="0.25">
      <c r="A722" s="22"/>
      <c r="B722" s="22"/>
      <c r="C722" s="22"/>
      <c r="D722" s="22"/>
      <c r="E722" s="23"/>
      <c r="F722" s="22"/>
      <c r="G722" s="22"/>
      <c r="H722" s="23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3"/>
      <c r="AB722" s="23"/>
      <c r="AC722" s="22"/>
      <c r="AD722" s="22"/>
      <c r="AE722" s="22"/>
      <c r="AF722" s="22"/>
      <c r="AG722" s="22"/>
      <c r="AH722" s="22"/>
      <c r="AI722" s="22"/>
      <c r="AJ722" s="22"/>
      <c r="AK722" s="22"/>
      <c r="AL722" s="22"/>
      <c r="AM722" s="22"/>
      <c r="AN722" s="22"/>
      <c r="AO722" s="22"/>
      <c r="AP722" s="22"/>
      <c r="AQ722" s="22"/>
      <c r="AR722" s="22"/>
      <c r="AS722" s="22"/>
      <c r="AT722" s="22"/>
      <c r="AU722" s="22"/>
      <c r="AV722" s="22"/>
      <c r="AW722" s="22"/>
      <c r="AX722" s="22"/>
      <c r="AY722" s="22"/>
      <c r="AZ722" s="22"/>
      <c r="BA722" s="22"/>
      <c r="BB722" s="22"/>
      <c r="BC722" s="22"/>
    </row>
    <row r="723" spans="1:55" customFormat="1" ht="21" customHeight="1" x14ac:dyDescent="0.25">
      <c r="A723" s="22"/>
      <c r="B723" s="22"/>
      <c r="C723" s="22"/>
      <c r="D723" s="22"/>
      <c r="E723" s="23"/>
      <c r="F723" s="22"/>
      <c r="G723" s="22"/>
      <c r="H723" s="23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3"/>
      <c r="AB723" s="23"/>
      <c r="AC723" s="22"/>
      <c r="AD723" s="22"/>
      <c r="AE723" s="22"/>
      <c r="AF723" s="22"/>
      <c r="AG723" s="22"/>
      <c r="AH723" s="22"/>
      <c r="AI723" s="22"/>
      <c r="AJ723" s="22"/>
      <c r="AK723" s="22"/>
      <c r="AL723" s="22"/>
      <c r="AM723" s="22"/>
      <c r="AN723" s="22"/>
      <c r="AO723" s="22"/>
      <c r="AP723" s="22"/>
      <c r="AQ723" s="22"/>
      <c r="AR723" s="22"/>
      <c r="AS723" s="22"/>
      <c r="AT723" s="22"/>
      <c r="AU723" s="22"/>
      <c r="AV723" s="22"/>
      <c r="AW723" s="22"/>
      <c r="AX723" s="22"/>
      <c r="AY723" s="22"/>
      <c r="AZ723" s="22"/>
      <c r="BA723" s="22"/>
      <c r="BB723" s="22"/>
      <c r="BC723" s="22"/>
    </row>
    <row r="724" spans="1:55" customFormat="1" ht="21" customHeight="1" x14ac:dyDescent="0.25">
      <c r="A724" s="22"/>
      <c r="B724" s="22"/>
      <c r="C724" s="22"/>
      <c r="D724" s="22"/>
      <c r="E724" s="23"/>
      <c r="F724" s="22"/>
      <c r="G724" s="22"/>
      <c r="H724" s="23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3"/>
      <c r="AB724" s="23"/>
      <c r="AC724" s="22"/>
      <c r="AD724" s="22"/>
      <c r="AE724" s="22"/>
      <c r="AF724" s="22"/>
      <c r="AG724" s="22"/>
      <c r="AH724" s="22"/>
      <c r="AI724" s="22"/>
      <c r="AJ724" s="22"/>
      <c r="AK724" s="22"/>
      <c r="AL724" s="22"/>
      <c r="AM724" s="22"/>
      <c r="AN724" s="22"/>
      <c r="AO724" s="22"/>
      <c r="AP724" s="22"/>
      <c r="AQ724" s="22"/>
      <c r="AR724" s="22"/>
      <c r="AS724" s="22"/>
      <c r="AT724" s="22"/>
      <c r="AU724" s="22"/>
      <c r="AV724" s="22"/>
      <c r="AW724" s="22"/>
      <c r="AX724" s="22"/>
      <c r="AY724" s="22"/>
      <c r="AZ724" s="22"/>
      <c r="BA724" s="22"/>
      <c r="BB724" s="22"/>
      <c r="BC724" s="22"/>
    </row>
    <row r="725" spans="1:55" customFormat="1" ht="21" customHeight="1" x14ac:dyDescent="0.25">
      <c r="A725" s="22"/>
      <c r="B725" s="22"/>
      <c r="C725" s="22"/>
      <c r="D725" s="22"/>
      <c r="E725" s="23"/>
      <c r="F725" s="22"/>
      <c r="G725" s="22"/>
      <c r="H725" s="23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3"/>
      <c r="AB725" s="23"/>
      <c r="AC725" s="22"/>
      <c r="AD725" s="22"/>
      <c r="AE725" s="22"/>
      <c r="AF725" s="22"/>
      <c r="AG725" s="22"/>
      <c r="AH725" s="22"/>
      <c r="AI725" s="22"/>
      <c r="AJ725" s="22"/>
      <c r="AK725" s="22"/>
      <c r="AL725" s="22"/>
      <c r="AM725" s="22"/>
      <c r="AN725" s="22"/>
      <c r="AO725" s="22"/>
      <c r="AP725" s="22"/>
      <c r="AQ725" s="22"/>
      <c r="AR725" s="22"/>
      <c r="AS725" s="22"/>
      <c r="AT725" s="22"/>
      <c r="AU725" s="22"/>
      <c r="AV725" s="22"/>
      <c r="AW725" s="22"/>
      <c r="AX725" s="22"/>
      <c r="AY725" s="22"/>
      <c r="AZ725" s="22"/>
      <c r="BA725" s="22"/>
      <c r="BB725" s="22"/>
      <c r="BC725" s="22"/>
    </row>
    <row r="726" spans="1:55" customFormat="1" ht="21" customHeight="1" x14ac:dyDescent="0.25">
      <c r="A726" s="22"/>
      <c r="B726" s="22"/>
      <c r="C726" s="22"/>
      <c r="D726" s="22"/>
      <c r="E726" s="23"/>
      <c r="F726" s="22"/>
      <c r="G726" s="22"/>
      <c r="H726" s="23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3"/>
      <c r="AB726" s="23"/>
      <c r="AC726" s="22"/>
      <c r="AD726" s="22"/>
      <c r="AE726" s="22"/>
      <c r="AF726" s="22"/>
      <c r="AG726" s="22"/>
      <c r="AH726" s="22"/>
      <c r="AI726" s="22"/>
      <c r="AJ726" s="22"/>
      <c r="AK726" s="22"/>
      <c r="AL726" s="22"/>
      <c r="AM726" s="22"/>
      <c r="AN726" s="22"/>
      <c r="AO726" s="22"/>
      <c r="AP726" s="22"/>
      <c r="AQ726" s="22"/>
      <c r="AR726" s="22"/>
      <c r="AS726" s="22"/>
      <c r="AT726" s="22"/>
      <c r="AU726" s="22"/>
      <c r="AV726" s="22"/>
      <c r="AW726" s="22"/>
      <c r="AX726" s="22"/>
      <c r="AY726" s="22"/>
      <c r="AZ726" s="22"/>
      <c r="BA726" s="22"/>
      <c r="BB726" s="22"/>
      <c r="BC726" s="22"/>
    </row>
    <row r="727" spans="1:55" customFormat="1" ht="21" customHeight="1" x14ac:dyDescent="0.25">
      <c r="A727" s="22"/>
      <c r="B727" s="22"/>
      <c r="C727" s="22"/>
      <c r="D727" s="22"/>
      <c r="E727" s="23"/>
      <c r="F727" s="22"/>
      <c r="G727" s="22"/>
      <c r="H727" s="23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A727" s="23"/>
      <c r="AB727" s="23"/>
      <c r="AC727" s="22"/>
      <c r="AD727" s="22"/>
      <c r="AE727" s="22"/>
      <c r="AF727" s="22"/>
      <c r="AG727" s="22"/>
      <c r="AH727" s="22"/>
      <c r="AI727" s="22"/>
      <c r="AJ727" s="22"/>
      <c r="AK727" s="22"/>
      <c r="AL727" s="22"/>
      <c r="AM727" s="22"/>
      <c r="AN727" s="22"/>
      <c r="AO727" s="22"/>
      <c r="AP727" s="22"/>
      <c r="AQ727" s="22"/>
      <c r="AR727" s="22"/>
      <c r="AS727" s="22"/>
      <c r="AT727" s="22"/>
      <c r="AU727" s="22"/>
      <c r="AV727" s="22"/>
      <c r="AW727" s="22"/>
      <c r="AX727" s="22"/>
      <c r="AY727" s="22"/>
      <c r="AZ727" s="22"/>
      <c r="BA727" s="22"/>
      <c r="BB727" s="22"/>
      <c r="BC727" s="22"/>
    </row>
    <row r="728" spans="1:55" customFormat="1" ht="21" customHeight="1" x14ac:dyDescent="0.25">
      <c r="A728" s="22"/>
      <c r="B728" s="22"/>
      <c r="C728" s="22"/>
      <c r="D728" s="22"/>
      <c r="E728" s="23"/>
      <c r="F728" s="22"/>
      <c r="G728" s="22"/>
      <c r="H728" s="23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3"/>
      <c r="AB728" s="23"/>
      <c r="AC728" s="22"/>
      <c r="AD728" s="22"/>
      <c r="AE728" s="22"/>
      <c r="AF728" s="22"/>
      <c r="AG728" s="22"/>
      <c r="AH728" s="22"/>
      <c r="AI728" s="22"/>
      <c r="AJ728" s="22"/>
      <c r="AK728" s="22"/>
      <c r="AL728" s="22"/>
      <c r="AM728" s="22"/>
      <c r="AN728" s="22"/>
      <c r="AO728" s="22"/>
      <c r="AP728" s="22"/>
      <c r="AQ728" s="22"/>
      <c r="AR728" s="22"/>
      <c r="AS728" s="22"/>
      <c r="AT728" s="22"/>
      <c r="AU728" s="22"/>
      <c r="AV728" s="22"/>
      <c r="AW728" s="22"/>
      <c r="AX728" s="22"/>
      <c r="AY728" s="22"/>
      <c r="AZ728" s="22"/>
      <c r="BA728" s="22"/>
      <c r="BB728" s="22"/>
      <c r="BC728" s="22"/>
    </row>
    <row r="729" spans="1:55" customFormat="1" ht="21" customHeight="1" x14ac:dyDescent="0.25">
      <c r="A729" s="22"/>
      <c r="B729" s="22"/>
      <c r="C729" s="22"/>
      <c r="D729" s="22"/>
      <c r="E729" s="23"/>
      <c r="F729" s="22"/>
      <c r="G729" s="22"/>
      <c r="H729" s="23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3"/>
      <c r="AB729" s="23"/>
      <c r="AC729" s="22"/>
      <c r="AD729" s="22"/>
      <c r="AE729" s="22"/>
      <c r="AF729" s="22"/>
      <c r="AG729" s="22"/>
      <c r="AH729" s="22"/>
      <c r="AI729" s="22"/>
      <c r="AJ729" s="22"/>
      <c r="AK729" s="22"/>
      <c r="AL729" s="22"/>
      <c r="AM729" s="22"/>
      <c r="AN729" s="22"/>
      <c r="AO729" s="22"/>
      <c r="AP729" s="22"/>
      <c r="AQ729" s="22"/>
      <c r="AR729" s="22"/>
      <c r="AS729" s="22"/>
      <c r="AT729" s="22"/>
      <c r="AU729" s="22"/>
      <c r="AV729" s="22"/>
      <c r="AW729" s="22"/>
      <c r="AX729" s="22"/>
      <c r="AY729" s="22"/>
      <c r="AZ729" s="22"/>
      <c r="BA729" s="22"/>
      <c r="BB729" s="22"/>
      <c r="BC729" s="22"/>
    </row>
    <row r="730" spans="1:55" customFormat="1" ht="21" customHeight="1" x14ac:dyDescent="0.25">
      <c r="A730" s="22"/>
      <c r="B730" s="22"/>
      <c r="C730" s="22"/>
      <c r="D730" s="22"/>
      <c r="E730" s="23"/>
      <c r="F730" s="22"/>
      <c r="G730" s="22"/>
      <c r="H730" s="23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3"/>
      <c r="AB730" s="23"/>
      <c r="AC730" s="22"/>
      <c r="AD730" s="22"/>
      <c r="AE730" s="22"/>
      <c r="AF730" s="22"/>
      <c r="AG730" s="22"/>
      <c r="AH730" s="22"/>
      <c r="AI730" s="22"/>
      <c r="AJ730" s="22"/>
      <c r="AK730" s="22"/>
      <c r="AL730" s="22"/>
      <c r="AM730" s="22"/>
      <c r="AN730" s="22"/>
      <c r="AO730" s="22"/>
      <c r="AP730" s="22"/>
      <c r="AQ730" s="22"/>
      <c r="AR730" s="22"/>
      <c r="AS730" s="22"/>
      <c r="AT730" s="22"/>
      <c r="AU730" s="22"/>
      <c r="AV730" s="22"/>
      <c r="AW730" s="22"/>
      <c r="AX730" s="22"/>
      <c r="AY730" s="22"/>
      <c r="AZ730" s="22"/>
      <c r="BA730" s="22"/>
      <c r="BB730" s="22"/>
      <c r="BC730" s="22"/>
    </row>
    <row r="731" spans="1:55" customFormat="1" ht="21" customHeight="1" x14ac:dyDescent="0.25">
      <c r="A731" s="22"/>
      <c r="B731" s="22"/>
      <c r="C731" s="22"/>
      <c r="D731" s="22"/>
      <c r="E731" s="23"/>
      <c r="F731" s="22"/>
      <c r="G731" s="22"/>
      <c r="H731" s="23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3"/>
      <c r="AB731" s="23"/>
      <c r="AC731" s="22"/>
      <c r="AD731" s="22"/>
      <c r="AE731" s="22"/>
      <c r="AF731" s="22"/>
      <c r="AG731" s="22"/>
      <c r="AH731" s="22"/>
      <c r="AI731" s="22"/>
      <c r="AJ731" s="22"/>
      <c r="AK731" s="22"/>
      <c r="AL731" s="22"/>
      <c r="AM731" s="22"/>
      <c r="AN731" s="22"/>
      <c r="AO731" s="22"/>
      <c r="AP731" s="22"/>
      <c r="AQ731" s="22"/>
      <c r="AR731" s="22"/>
      <c r="AS731" s="22"/>
      <c r="AT731" s="22"/>
      <c r="AU731" s="22"/>
      <c r="AV731" s="22"/>
      <c r="AW731" s="22"/>
      <c r="AX731" s="22"/>
      <c r="AY731" s="22"/>
      <c r="AZ731" s="22"/>
      <c r="BA731" s="22"/>
      <c r="BB731" s="22"/>
      <c r="BC731" s="22"/>
    </row>
    <row r="732" spans="1:55" customFormat="1" ht="21" customHeight="1" x14ac:dyDescent="0.25">
      <c r="A732" s="22"/>
      <c r="B732" s="22"/>
      <c r="C732" s="22"/>
      <c r="D732" s="22"/>
      <c r="E732" s="23"/>
      <c r="F732" s="22"/>
      <c r="G732" s="22"/>
      <c r="H732" s="23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3"/>
      <c r="AB732" s="23"/>
      <c r="AC732" s="22"/>
      <c r="AD732" s="22"/>
      <c r="AE732" s="22"/>
      <c r="AF732" s="22"/>
      <c r="AG732" s="22"/>
      <c r="AH732" s="22"/>
      <c r="AI732" s="22"/>
      <c r="AJ732" s="22"/>
      <c r="AK732" s="22"/>
      <c r="AL732" s="22"/>
      <c r="AM732" s="22"/>
      <c r="AN732" s="22"/>
      <c r="AO732" s="22"/>
      <c r="AP732" s="22"/>
      <c r="AQ732" s="22"/>
      <c r="AR732" s="22"/>
      <c r="AS732" s="22"/>
      <c r="AT732" s="22"/>
      <c r="AU732" s="22"/>
      <c r="AV732" s="22"/>
      <c r="AW732" s="22"/>
      <c r="AX732" s="22"/>
      <c r="AY732" s="22"/>
      <c r="AZ732" s="22"/>
      <c r="BA732" s="22"/>
      <c r="BB732" s="22"/>
      <c r="BC732" s="22"/>
    </row>
    <row r="733" spans="1:55" customFormat="1" ht="21" customHeight="1" x14ac:dyDescent="0.25">
      <c r="A733" s="22"/>
      <c r="B733" s="22"/>
      <c r="C733" s="22"/>
      <c r="D733" s="22"/>
      <c r="E733" s="23"/>
      <c r="F733" s="22"/>
      <c r="G733" s="22"/>
      <c r="H733" s="23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3"/>
      <c r="AB733" s="23"/>
      <c r="AC733" s="22"/>
      <c r="AD733" s="22"/>
      <c r="AE733" s="22"/>
      <c r="AF733" s="22"/>
      <c r="AG733" s="22"/>
      <c r="AH733" s="22"/>
      <c r="AI733" s="22"/>
      <c r="AJ733" s="22"/>
      <c r="AK733" s="22"/>
      <c r="AL733" s="22"/>
      <c r="AM733" s="22"/>
      <c r="AN733" s="22"/>
      <c r="AO733" s="22"/>
      <c r="AP733" s="22"/>
      <c r="AQ733" s="22"/>
      <c r="AR733" s="22"/>
      <c r="AS733" s="22"/>
      <c r="AT733" s="22"/>
      <c r="AU733" s="22"/>
      <c r="AV733" s="22"/>
      <c r="AW733" s="22"/>
      <c r="AX733" s="22"/>
      <c r="AY733" s="22"/>
      <c r="AZ733" s="22"/>
      <c r="BA733" s="22"/>
      <c r="BB733" s="22"/>
      <c r="BC733" s="22"/>
    </row>
    <row r="734" spans="1:55" customFormat="1" ht="21" customHeight="1" x14ac:dyDescent="0.25">
      <c r="A734" s="22"/>
      <c r="B734" s="22"/>
      <c r="C734" s="22"/>
      <c r="D734" s="22"/>
      <c r="E734" s="23"/>
      <c r="F734" s="22"/>
      <c r="G734" s="22"/>
      <c r="H734" s="23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3"/>
      <c r="AB734" s="23"/>
      <c r="AC734" s="22"/>
      <c r="AD734" s="22"/>
      <c r="AE734" s="22"/>
      <c r="AF734" s="22"/>
      <c r="AG734" s="22"/>
      <c r="AH734" s="22"/>
      <c r="AI734" s="22"/>
      <c r="AJ734" s="22"/>
      <c r="AK734" s="22"/>
      <c r="AL734" s="22"/>
      <c r="AM734" s="22"/>
      <c r="AN734" s="22"/>
      <c r="AO734" s="22"/>
      <c r="AP734" s="22"/>
      <c r="AQ734" s="22"/>
      <c r="AR734" s="22"/>
      <c r="AS734" s="22"/>
      <c r="AT734" s="22"/>
      <c r="AU734" s="22"/>
      <c r="AV734" s="22"/>
      <c r="AW734" s="22"/>
      <c r="AX734" s="22"/>
      <c r="AY734" s="22"/>
      <c r="AZ734" s="22"/>
      <c r="BA734" s="22"/>
      <c r="BB734" s="22"/>
      <c r="BC734" s="22"/>
    </row>
    <row r="735" spans="1:55" customFormat="1" ht="21" customHeight="1" x14ac:dyDescent="0.25">
      <c r="A735" s="22"/>
      <c r="B735" s="22"/>
      <c r="C735" s="22"/>
      <c r="D735" s="22"/>
      <c r="E735" s="23"/>
      <c r="F735" s="22"/>
      <c r="G735" s="22"/>
      <c r="H735" s="23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3"/>
      <c r="AB735" s="23"/>
      <c r="AC735" s="22"/>
      <c r="AD735" s="22"/>
      <c r="AE735" s="22"/>
      <c r="AF735" s="22"/>
      <c r="AG735" s="22"/>
      <c r="AH735" s="22"/>
      <c r="AI735" s="22"/>
      <c r="AJ735" s="22"/>
      <c r="AK735" s="22"/>
      <c r="AL735" s="22"/>
      <c r="AM735" s="22"/>
      <c r="AN735" s="22"/>
      <c r="AO735" s="22"/>
      <c r="AP735" s="22"/>
      <c r="AQ735" s="22"/>
      <c r="AR735" s="22"/>
      <c r="AS735" s="22"/>
      <c r="AT735" s="22"/>
      <c r="AU735" s="22"/>
      <c r="AV735" s="22"/>
      <c r="AW735" s="22"/>
      <c r="AX735" s="22"/>
      <c r="AY735" s="22"/>
      <c r="AZ735" s="22"/>
      <c r="BA735" s="22"/>
      <c r="BB735" s="22"/>
      <c r="BC735" s="22"/>
    </row>
    <row r="736" spans="1:55" customFormat="1" ht="21" customHeight="1" x14ac:dyDescent="0.25">
      <c r="A736" s="22"/>
      <c r="B736" s="22"/>
      <c r="C736" s="22"/>
      <c r="D736" s="22"/>
      <c r="E736" s="23"/>
      <c r="F736" s="22"/>
      <c r="G736" s="22"/>
      <c r="H736" s="23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3"/>
      <c r="AB736" s="23"/>
      <c r="AC736" s="22"/>
      <c r="AD736" s="22"/>
      <c r="AE736" s="22"/>
      <c r="AF736" s="22"/>
      <c r="AG736" s="22"/>
      <c r="AH736" s="22"/>
      <c r="AI736" s="22"/>
      <c r="AJ736" s="22"/>
      <c r="AK736" s="22"/>
      <c r="AL736" s="22"/>
      <c r="AM736" s="22"/>
      <c r="AN736" s="22"/>
      <c r="AO736" s="22"/>
      <c r="AP736" s="22"/>
      <c r="AQ736" s="22"/>
      <c r="AR736" s="22"/>
      <c r="AS736" s="22"/>
      <c r="AT736" s="22"/>
      <c r="AU736" s="22"/>
      <c r="AV736" s="22"/>
      <c r="AW736" s="22"/>
      <c r="AX736" s="22"/>
      <c r="AY736" s="22"/>
      <c r="AZ736" s="22"/>
      <c r="BA736" s="22"/>
      <c r="BB736" s="22"/>
      <c r="BC736" s="22"/>
    </row>
    <row r="737" spans="1:55" customFormat="1" ht="21" customHeight="1" x14ac:dyDescent="0.25">
      <c r="A737" s="22"/>
      <c r="B737" s="22"/>
      <c r="C737" s="22"/>
      <c r="D737" s="22"/>
      <c r="E737" s="23"/>
      <c r="F737" s="22"/>
      <c r="G737" s="22"/>
      <c r="H737" s="23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3"/>
      <c r="AB737" s="23"/>
      <c r="AC737" s="22"/>
      <c r="AD737" s="22"/>
      <c r="AE737" s="22"/>
      <c r="AF737" s="22"/>
      <c r="AG737" s="22"/>
      <c r="AH737" s="22"/>
      <c r="AI737" s="22"/>
      <c r="AJ737" s="22"/>
      <c r="AK737" s="22"/>
      <c r="AL737" s="22"/>
      <c r="AM737" s="22"/>
      <c r="AN737" s="22"/>
      <c r="AO737" s="22"/>
      <c r="AP737" s="22"/>
      <c r="AQ737" s="22"/>
      <c r="AR737" s="22"/>
      <c r="AS737" s="22"/>
      <c r="AT737" s="22"/>
      <c r="AU737" s="22"/>
      <c r="AV737" s="22"/>
      <c r="AW737" s="22"/>
      <c r="AX737" s="22"/>
      <c r="AY737" s="22"/>
      <c r="AZ737" s="22"/>
      <c r="BA737" s="22"/>
      <c r="BB737" s="22"/>
      <c r="BC737" s="22"/>
    </row>
    <row r="738" spans="1:55" customFormat="1" ht="21" customHeight="1" x14ac:dyDescent="0.25">
      <c r="A738" s="22"/>
      <c r="B738" s="22"/>
      <c r="C738" s="22"/>
      <c r="D738" s="22"/>
      <c r="E738" s="23"/>
      <c r="F738" s="22"/>
      <c r="G738" s="22"/>
      <c r="H738" s="23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3"/>
      <c r="AB738" s="23"/>
      <c r="AC738" s="22"/>
      <c r="AD738" s="22"/>
      <c r="AE738" s="22"/>
      <c r="AF738" s="22"/>
      <c r="AG738" s="22"/>
      <c r="AH738" s="22"/>
      <c r="AI738" s="22"/>
      <c r="AJ738" s="22"/>
      <c r="AK738" s="22"/>
      <c r="AL738" s="22"/>
      <c r="AM738" s="22"/>
      <c r="AN738" s="22"/>
      <c r="AO738" s="22"/>
      <c r="AP738" s="22"/>
      <c r="AQ738" s="22"/>
      <c r="AR738" s="22"/>
      <c r="AS738" s="22"/>
      <c r="AT738" s="22"/>
      <c r="AU738" s="22"/>
      <c r="AV738" s="22"/>
      <c r="AW738" s="22"/>
      <c r="AX738" s="22"/>
      <c r="AY738" s="22"/>
      <c r="AZ738" s="22"/>
      <c r="BA738" s="22"/>
      <c r="BB738" s="22"/>
      <c r="BC738" s="22"/>
    </row>
    <row r="739" spans="1:55" customFormat="1" ht="21" customHeight="1" x14ac:dyDescent="0.25">
      <c r="A739" s="22"/>
      <c r="B739" s="22"/>
      <c r="C739" s="22"/>
      <c r="D739" s="22"/>
      <c r="E739" s="23"/>
      <c r="F739" s="22"/>
      <c r="G739" s="22"/>
      <c r="H739" s="23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3"/>
      <c r="AB739" s="23"/>
      <c r="AC739" s="22"/>
      <c r="AD739" s="22"/>
      <c r="AE739" s="22"/>
      <c r="AF739" s="22"/>
      <c r="AG739" s="22"/>
      <c r="AH739" s="22"/>
      <c r="AI739" s="22"/>
      <c r="AJ739" s="22"/>
      <c r="AK739" s="22"/>
      <c r="AL739" s="22"/>
      <c r="AM739" s="22"/>
      <c r="AN739" s="22"/>
      <c r="AO739" s="22"/>
      <c r="AP739" s="22"/>
      <c r="AQ739" s="22"/>
      <c r="AR739" s="22"/>
      <c r="AS739" s="22"/>
      <c r="AT739" s="22"/>
      <c r="AU739" s="22"/>
      <c r="AV739" s="22"/>
      <c r="AW739" s="22"/>
      <c r="AX739" s="22"/>
      <c r="AY739" s="22"/>
      <c r="AZ739" s="22"/>
      <c r="BA739" s="22"/>
      <c r="BB739" s="22"/>
      <c r="BC739" s="22"/>
    </row>
    <row r="740" spans="1:55" customFormat="1" ht="21" customHeight="1" x14ac:dyDescent="0.25">
      <c r="A740" s="22"/>
      <c r="B740" s="22"/>
      <c r="C740" s="22"/>
      <c r="D740" s="22"/>
      <c r="E740" s="23"/>
      <c r="F740" s="22"/>
      <c r="G740" s="22"/>
      <c r="H740" s="23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3"/>
      <c r="AB740" s="23"/>
      <c r="AC740" s="22"/>
      <c r="AD740" s="22"/>
      <c r="AE740" s="22"/>
      <c r="AF740" s="22"/>
      <c r="AG740" s="22"/>
      <c r="AH740" s="22"/>
      <c r="AI740" s="22"/>
      <c r="AJ740" s="22"/>
      <c r="AK740" s="22"/>
      <c r="AL740" s="22"/>
      <c r="AM740" s="22"/>
      <c r="AN740" s="22"/>
      <c r="AO740" s="22"/>
      <c r="AP740" s="22"/>
      <c r="AQ740" s="22"/>
      <c r="AR740" s="22"/>
      <c r="AS740" s="22"/>
      <c r="AT740" s="22"/>
      <c r="AU740" s="22"/>
      <c r="AV740" s="22"/>
      <c r="AW740" s="22"/>
      <c r="AX740" s="22"/>
      <c r="AY740" s="22"/>
      <c r="AZ740" s="22"/>
      <c r="BA740" s="22"/>
      <c r="BB740" s="22"/>
      <c r="BC740" s="22"/>
    </row>
    <row r="741" spans="1:55" customFormat="1" ht="21" customHeight="1" x14ac:dyDescent="0.25">
      <c r="A741" s="22"/>
      <c r="B741" s="22"/>
      <c r="C741" s="22"/>
      <c r="D741" s="22"/>
      <c r="E741" s="23"/>
      <c r="F741" s="22"/>
      <c r="G741" s="22"/>
      <c r="H741" s="23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3"/>
      <c r="AB741" s="23"/>
      <c r="AC741" s="22"/>
      <c r="AD741" s="22"/>
      <c r="AE741" s="22"/>
      <c r="AF741" s="22"/>
      <c r="AG741" s="22"/>
      <c r="AH741" s="22"/>
      <c r="AI741" s="22"/>
      <c r="AJ741" s="22"/>
      <c r="AK741" s="22"/>
      <c r="AL741" s="22"/>
      <c r="AM741" s="22"/>
      <c r="AN741" s="22"/>
      <c r="AO741" s="22"/>
      <c r="AP741" s="22"/>
      <c r="AQ741" s="22"/>
      <c r="AR741" s="22"/>
      <c r="AS741" s="22"/>
      <c r="AT741" s="22"/>
      <c r="AU741" s="22"/>
      <c r="AV741" s="22"/>
      <c r="AW741" s="22"/>
      <c r="AX741" s="22"/>
      <c r="AY741" s="22"/>
      <c r="AZ741" s="22"/>
      <c r="BA741" s="22"/>
      <c r="BB741" s="22"/>
      <c r="BC741" s="22"/>
    </row>
    <row r="742" spans="1:55" customFormat="1" ht="21" customHeight="1" x14ac:dyDescent="0.25">
      <c r="A742" s="22"/>
      <c r="B742" s="22"/>
      <c r="C742" s="22"/>
      <c r="D742" s="22"/>
      <c r="E742" s="23"/>
      <c r="F742" s="22"/>
      <c r="G742" s="22"/>
      <c r="H742" s="23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3"/>
      <c r="AB742" s="23"/>
      <c r="AC742" s="22"/>
      <c r="AD742" s="22"/>
      <c r="AE742" s="22"/>
      <c r="AF742" s="22"/>
      <c r="AG742" s="22"/>
      <c r="AH742" s="22"/>
      <c r="AI742" s="22"/>
      <c r="AJ742" s="22"/>
      <c r="AK742" s="22"/>
      <c r="AL742" s="22"/>
      <c r="AM742" s="22"/>
      <c r="AN742" s="22"/>
      <c r="AO742" s="22"/>
      <c r="AP742" s="22"/>
      <c r="AQ742" s="22"/>
      <c r="AR742" s="22"/>
      <c r="AS742" s="22"/>
      <c r="AT742" s="22"/>
      <c r="AU742" s="22"/>
      <c r="AV742" s="22"/>
      <c r="AW742" s="22"/>
      <c r="AX742" s="22"/>
      <c r="AY742" s="22"/>
      <c r="AZ742" s="22"/>
      <c r="BA742" s="22"/>
      <c r="BB742" s="22"/>
      <c r="BC742" s="22"/>
    </row>
    <row r="743" spans="1:55" customFormat="1" ht="21" customHeight="1" x14ac:dyDescent="0.25">
      <c r="A743" s="22"/>
      <c r="B743" s="22"/>
      <c r="C743" s="22"/>
      <c r="D743" s="22"/>
      <c r="E743" s="23"/>
      <c r="F743" s="22"/>
      <c r="G743" s="22"/>
      <c r="H743" s="23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3"/>
      <c r="AB743" s="23"/>
      <c r="AC743" s="22"/>
      <c r="AD743" s="22"/>
      <c r="AE743" s="22"/>
      <c r="AF743" s="22"/>
      <c r="AG743" s="22"/>
      <c r="AH743" s="22"/>
      <c r="AI743" s="22"/>
      <c r="AJ743" s="22"/>
      <c r="AK743" s="22"/>
      <c r="AL743" s="22"/>
      <c r="AM743" s="22"/>
      <c r="AN743" s="22"/>
      <c r="AO743" s="22"/>
      <c r="AP743" s="22"/>
      <c r="AQ743" s="22"/>
      <c r="AR743" s="22"/>
      <c r="AS743" s="22"/>
      <c r="AT743" s="22"/>
      <c r="AU743" s="22"/>
      <c r="AV743" s="22"/>
      <c r="AW743" s="22"/>
      <c r="AX743" s="22"/>
      <c r="AY743" s="22"/>
      <c r="AZ743" s="22"/>
      <c r="BA743" s="22"/>
      <c r="BB743" s="22"/>
      <c r="BC743" s="22"/>
    </row>
    <row r="744" spans="1:55" customFormat="1" ht="21" customHeight="1" x14ac:dyDescent="0.25">
      <c r="A744" s="22"/>
      <c r="B744" s="22"/>
      <c r="C744" s="22"/>
      <c r="D744" s="22"/>
      <c r="E744" s="23"/>
      <c r="F744" s="22"/>
      <c r="G744" s="22"/>
      <c r="H744" s="23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3"/>
      <c r="AB744" s="23"/>
      <c r="AC744" s="22"/>
      <c r="AD744" s="22"/>
      <c r="AE744" s="22"/>
      <c r="AF744" s="22"/>
      <c r="AG744" s="22"/>
      <c r="AH744" s="22"/>
      <c r="AI744" s="22"/>
      <c r="AJ744" s="22"/>
      <c r="AK744" s="22"/>
      <c r="AL744" s="22"/>
      <c r="AM744" s="22"/>
      <c r="AN744" s="22"/>
      <c r="AO744" s="22"/>
      <c r="AP744" s="22"/>
      <c r="AQ744" s="22"/>
      <c r="AR744" s="22"/>
      <c r="AS744" s="22"/>
      <c r="AT744" s="22"/>
      <c r="AU744" s="22"/>
      <c r="AV744" s="22"/>
      <c r="AW744" s="22"/>
      <c r="AX744" s="22"/>
      <c r="AY744" s="22"/>
      <c r="AZ744" s="22"/>
      <c r="BA744" s="22"/>
      <c r="BB744" s="22"/>
      <c r="BC744" s="22"/>
    </row>
    <row r="745" spans="1:55" customFormat="1" ht="21" customHeight="1" x14ac:dyDescent="0.25">
      <c r="A745" s="22"/>
      <c r="B745" s="22"/>
      <c r="C745" s="22"/>
      <c r="D745" s="22"/>
      <c r="E745" s="23"/>
      <c r="F745" s="22"/>
      <c r="G745" s="22"/>
      <c r="H745" s="23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3"/>
      <c r="AB745" s="23"/>
      <c r="AC745" s="22"/>
      <c r="AD745" s="22"/>
      <c r="AE745" s="22"/>
      <c r="AF745" s="22"/>
      <c r="AG745" s="22"/>
      <c r="AH745" s="22"/>
      <c r="AI745" s="22"/>
      <c r="AJ745" s="22"/>
      <c r="AK745" s="22"/>
      <c r="AL745" s="22"/>
      <c r="AM745" s="22"/>
      <c r="AN745" s="22"/>
      <c r="AO745" s="22"/>
      <c r="AP745" s="22"/>
      <c r="AQ745" s="22"/>
      <c r="AR745" s="22"/>
      <c r="AS745" s="22"/>
      <c r="AT745" s="22"/>
      <c r="AU745" s="22"/>
      <c r="AV745" s="22"/>
      <c r="AW745" s="22"/>
      <c r="AX745" s="22"/>
      <c r="AY745" s="22"/>
      <c r="AZ745" s="22"/>
      <c r="BA745" s="22"/>
      <c r="BB745" s="22"/>
      <c r="BC745" s="22"/>
    </row>
    <row r="746" spans="1:55" customFormat="1" ht="21" customHeight="1" x14ac:dyDescent="0.25">
      <c r="A746" s="22"/>
      <c r="B746" s="22"/>
      <c r="C746" s="22"/>
      <c r="D746" s="22"/>
      <c r="E746" s="23"/>
      <c r="F746" s="22"/>
      <c r="G746" s="22"/>
      <c r="H746" s="23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3"/>
      <c r="AB746" s="23"/>
      <c r="AC746" s="22"/>
      <c r="AD746" s="22"/>
      <c r="AE746" s="22"/>
      <c r="AF746" s="22"/>
      <c r="AG746" s="22"/>
      <c r="AH746" s="22"/>
      <c r="AI746" s="22"/>
      <c r="AJ746" s="22"/>
      <c r="AK746" s="22"/>
      <c r="AL746" s="22"/>
      <c r="AM746" s="22"/>
      <c r="AN746" s="22"/>
      <c r="AO746" s="22"/>
      <c r="AP746" s="22"/>
      <c r="AQ746" s="22"/>
      <c r="AR746" s="22"/>
      <c r="AS746" s="22"/>
      <c r="AT746" s="22"/>
      <c r="AU746" s="22"/>
      <c r="AV746" s="22"/>
      <c r="AW746" s="22"/>
      <c r="AX746" s="22"/>
      <c r="AY746" s="22"/>
      <c r="AZ746" s="22"/>
      <c r="BA746" s="22"/>
      <c r="BB746" s="22"/>
      <c r="BC746" s="22"/>
    </row>
    <row r="747" spans="1:55" customFormat="1" ht="21" customHeight="1" x14ac:dyDescent="0.25">
      <c r="A747" s="22"/>
      <c r="B747" s="22"/>
      <c r="C747" s="22"/>
      <c r="D747" s="22"/>
      <c r="E747" s="23"/>
      <c r="F747" s="22"/>
      <c r="G747" s="22"/>
      <c r="H747" s="23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3"/>
      <c r="AB747" s="23"/>
      <c r="AC747" s="22"/>
      <c r="AD747" s="22"/>
      <c r="AE747" s="22"/>
      <c r="AF747" s="22"/>
      <c r="AG747" s="22"/>
      <c r="AH747" s="22"/>
      <c r="AI747" s="22"/>
      <c r="AJ747" s="22"/>
      <c r="AK747" s="22"/>
      <c r="AL747" s="22"/>
      <c r="AM747" s="22"/>
      <c r="AN747" s="22"/>
      <c r="AO747" s="22"/>
      <c r="AP747" s="22"/>
      <c r="AQ747" s="22"/>
      <c r="AR747" s="22"/>
      <c r="AS747" s="22"/>
      <c r="AT747" s="22"/>
      <c r="AU747" s="22"/>
      <c r="AV747" s="22"/>
      <c r="AW747" s="22"/>
      <c r="AX747" s="22"/>
      <c r="AY747" s="22"/>
      <c r="AZ747" s="22"/>
      <c r="BA747" s="22"/>
      <c r="BB747" s="22"/>
      <c r="BC747" s="22"/>
    </row>
    <row r="748" spans="1:55" customFormat="1" ht="21" customHeight="1" x14ac:dyDescent="0.25">
      <c r="A748" s="22"/>
      <c r="B748" s="22"/>
      <c r="C748" s="22"/>
      <c r="D748" s="22"/>
      <c r="E748" s="23"/>
      <c r="F748" s="22"/>
      <c r="G748" s="22"/>
      <c r="H748" s="23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3"/>
      <c r="AB748" s="23"/>
      <c r="AC748" s="22"/>
      <c r="AD748" s="22"/>
      <c r="AE748" s="22"/>
      <c r="AF748" s="22"/>
      <c r="AG748" s="22"/>
      <c r="AH748" s="22"/>
      <c r="AI748" s="22"/>
      <c r="AJ748" s="22"/>
      <c r="AK748" s="22"/>
      <c r="AL748" s="22"/>
      <c r="AM748" s="22"/>
      <c r="AN748" s="22"/>
      <c r="AO748" s="22"/>
      <c r="AP748" s="22"/>
      <c r="AQ748" s="22"/>
      <c r="AR748" s="22"/>
      <c r="AS748" s="22"/>
      <c r="AT748" s="22"/>
      <c r="AU748" s="22"/>
      <c r="AV748" s="22"/>
      <c r="AW748" s="22"/>
      <c r="AX748" s="22"/>
      <c r="AY748" s="22"/>
      <c r="AZ748" s="22"/>
      <c r="BA748" s="22"/>
      <c r="BB748" s="22"/>
      <c r="BC748" s="22"/>
    </row>
    <row r="749" spans="1:55" customFormat="1" ht="21" customHeight="1" x14ac:dyDescent="0.25">
      <c r="A749" s="22"/>
      <c r="B749" s="22"/>
      <c r="C749" s="22"/>
      <c r="D749" s="22"/>
      <c r="E749" s="23"/>
      <c r="F749" s="22"/>
      <c r="G749" s="22"/>
      <c r="H749" s="23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3"/>
      <c r="AB749" s="23"/>
      <c r="AC749" s="22"/>
      <c r="AD749" s="22"/>
      <c r="AE749" s="22"/>
      <c r="AF749" s="22"/>
      <c r="AG749" s="22"/>
      <c r="AH749" s="22"/>
      <c r="AI749" s="22"/>
      <c r="AJ749" s="22"/>
      <c r="AK749" s="22"/>
      <c r="AL749" s="22"/>
      <c r="AM749" s="22"/>
      <c r="AN749" s="22"/>
      <c r="AO749" s="22"/>
      <c r="AP749" s="22"/>
      <c r="AQ749" s="22"/>
      <c r="AR749" s="22"/>
      <c r="AS749" s="22"/>
      <c r="AT749" s="22"/>
      <c r="AU749" s="22"/>
      <c r="AV749" s="22"/>
      <c r="AW749" s="22"/>
      <c r="AX749" s="22"/>
      <c r="AY749" s="22"/>
      <c r="AZ749" s="22"/>
      <c r="BA749" s="22"/>
      <c r="BB749" s="22"/>
      <c r="BC749" s="22"/>
    </row>
    <row r="750" spans="1:55" customFormat="1" ht="21" customHeight="1" x14ac:dyDescent="0.25">
      <c r="A750" s="22"/>
      <c r="B750" s="22"/>
      <c r="C750" s="22"/>
      <c r="D750" s="22"/>
      <c r="E750" s="23"/>
      <c r="F750" s="22"/>
      <c r="G750" s="22"/>
      <c r="H750" s="23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3"/>
      <c r="AB750" s="23"/>
      <c r="AC750" s="22"/>
      <c r="AD750" s="22"/>
      <c r="AE750" s="22"/>
      <c r="AF750" s="22"/>
      <c r="AG750" s="22"/>
      <c r="AH750" s="22"/>
      <c r="AI750" s="22"/>
      <c r="AJ750" s="22"/>
      <c r="AK750" s="22"/>
      <c r="AL750" s="22"/>
      <c r="AM750" s="22"/>
      <c r="AN750" s="22"/>
      <c r="AO750" s="22"/>
      <c r="AP750" s="22"/>
      <c r="AQ750" s="22"/>
      <c r="AR750" s="22"/>
      <c r="AS750" s="22"/>
      <c r="AT750" s="22"/>
      <c r="AU750" s="22"/>
      <c r="AV750" s="22"/>
      <c r="AW750" s="22"/>
      <c r="AX750" s="22"/>
      <c r="AY750" s="22"/>
      <c r="AZ750" s="22"/>
      <c r="BA750" s="22"/>
      <c r="BB750" s="22"/>
      <c r="BC750" s="22"/>
    </row>
    <row r="751" spans="1:55" customFormat="1" ht="21" customHeight="1" x14ac:dyDescent="0.25">
      <c r="A751" s="22"/>
      <c r="B751" s="22"/>
      <c r="C751" s="22"/>
      <c r="D751" s="22"/>
      <c r="E751" s="23"/>
      <c r="F751" s="22"/>
      <c r="G751" s="22"/>
      <c r="H751" s="23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3"/>
      <c r="AB751" s="23"/>
      <c r="AC751" s="22"/>
      <c r="AD751" s="22"/>
      <c r="AE751" s="22"/>
      <c r="AF751" s="22"/>
      <c r="AG751" s="22"/>
      <c r="AH751" s="22"/>
      <c r="AI751" s="22"/>
      <c r="AJ751" s="22"/>
      <c r="AK751" s="22"/>
      <c r="AL751" s="22"/>
      <c r="AM751" s="22"/>
      <c r="AN751" s="22"/>
      <c r="AO751" s="22"/>
      <c r="AP751" s="22"/>
      <c r="AQ751" s="22"/>
      <c r="AR751" s="22"/>
      <c r="AS751" s="22"/>
      <c r="AT751" s="22"/>
      <c r="AU751" s="22"/>
      <c r="AV751" s="22"/>
      <c r="AW751" s="22"/>
      <c r="AX751" s="22"/>
      <c r="AY751" s="22"/>
      <c r="AZ751" s="22"/>
      <c r="BA751" s="22"/>
      <c r="BB751" s="22"/>
      <c r="BC751" s="22"/>
    </row>
    <row r="752" spans="1:55" customFormat="1" ht="21" customHeight="1" x14ac:dyDescent="0.25">
      <c r="A752" s="22"/>
      <c r="B752" s="22"/>
      <c r="C752" s="22"/>
      <c r="D752" s="22"/>
      <c r="E752" s="23"/>
      <c r="F752" s="22"/>
      <c r="G752" s="22"/>
      <c r="H752" s="23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3"/>
      <c r="AB752" s="23"/>
      <c r="AC752" s="22"/>
      <c r="AD752" s="22"/>
      <c r="AE752" s="22"/>
      <c r="AF752" s="22"/>
      <c r="AG752" s="22"/>
      <c r="AH752" s="22"/>
      <c r="AI752" s="22"/>
      <c r="AJ752" s="22"/>
      <c r="AK752" s="22"/>
      <c r="AL752" s="22"/>
      <c r="AM752" s="22"/>
      <c r="AN752" s="22"/>
      <c r="AO752" s="22"/>
      <c r="AP752" s="22"/>
      <c r="AQ752" s="22"/>
      <c r="AR752" s="22"/>
      <c r="AS752" s="22"/>
      <c r="AT752" s="22"/>
      <c r="AU752" s="22"/>
      <c r="AV752" s="22"/>
      <c r="AW752" s="22"/>
      <c r="AX752" s="22"/>
      <c r="AY752" s="22"/>
      <c r="AZ752" s="22"/>
      <c r="BA752" s="22"/>
      <c r="BB752" s="22"/>
      <c r="BC752" s="22"/>
    </row>
    <row r="753" spans="1:55" customFormat="1" ht="21" customHeight="1" x14ac:dyDescent="0.25">
      <c r="A753" s="22"/>
      <c r="B753" s="22"/>
      <c r="C753" s="22"/>
      <c r="D753" s="22"/>
      <c r="E753" s="23"/>
      <c r="F753" s="22"/>
      <c r="G753" s="22"/>
      <c r="H753" s="23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3"/>
      <c r="AB753" s="23"/>
      <c r="AC753" s="22"/>
      <c r="AD753" s="22"/>
      <c r="AE753" s="22"/>
      <c r="AF753" s="22"/>
      <c r="AG753" s="22"/>
      <c r="AH753" s="22"/>
      <c r="AI753" s="22"/>
      <c r="AJ753" s="22"/>
      <c r="AK753" s="22"/>
      <c r="AL753" s="22"/>
      <c r="AM753" s="22"/>
      <c r="AN753" s="22"/>
      <c r="AO753" s="22"/>
      <c r="AP753" s="22"/>
      <c r="AQ753" s="22"/>
      <c r="AR753" s="22"/>
      <c r="AS753" s="22"/>
      <c r="AT753" s="22"/>
      <c r="AU753" s="22"/>
      <c r="AV753" s="22"/>
      <c r="AW753" s="22"/>
      <c r="AX753" s="22"/>
      <c r="AY753" s="22"/>
      <c r="AZ753" s="22"/>
      <c r="BA753" s="22"/>
      <c r="BB753" s="22"/>
      <c r="BC753" s="22"/>
    </row>
    <row r="754" spans="1:55" customFormat="1" ht="21" customHeight="1" x14ac:dyDescent="0.25">
      <c r="A754" s="22"/>
      <c r="B754" s="22"/>
      <c r="C754" s="22"/>
      <c r="D754" s="22"/>
      <c r="E754" s="23"/>
      <c r="F754" s="22"/>
      <c r="G754" s="22"/>
      <c r="H754" s="23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3"/>
      <c r="AB754" s="23"/>
      <c r="AC754" s="22"/>
      <c r="AD754" s="22"/>
      <c r="AE754" s="22"/>
      <c r="AF754" s="22"/>
      <c r="AG754" s="22"/>
      <c r="AH754" s="22"/>
      <c r="AI754" s="22"/>
      <c r="AJ754" s="22"/>
      <c r="AK754" s="22"/>
      <c r="AL754" s="22"/>
      <c r="AM754" s="22"/>
      <c r="AN754" s="22"/>
      <c r="AO754" s="22"/>
      <c r="AP754" s="22"/>
      <c r="AQ754" s="22"/>
      <c r="AR754" s="22"/>
      <c r="AS754" s="22"/>
      <c r="AT754" s="22"/>
      <c r="AU754" s="22"/>
      <c r="AV754" s="22"/>
      <c r="AW754" s="22"/>
      <c r="AX754" s="22"/>
      <c r="AY754" s="22"/>
      <c r="AZ754" s="22"/>
      <c r="BA754" s="22"/>
      <c r="BB754" s="22"/>
      <c r="BC754" s="22"/>
    </row>
    <row r="755" spans="1:55" customFormat="1" ht="21" customHeight="1" x14ac:dyDescent="0.25">
      <c r="A755" s="22"/>
      <c r="B755" s="22"/>
      <c r="C755" s="22"/>
      <c r="D755" s="22"/>
      <c r="E755" s="23"/>
      <c r="F755" s="22"/>
      <c r="G755" s="22"/>
      <c r="H755" s="23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3"/>
      <c r="AB755" s="23"/>
      <c r="AC755" s="22"/>
      <c r="AD755" s="22"/>
      <c r="AE755" s="22"/>
      <c r="AF755" s="22"/>
      <c r="AG755" s="22"/>
      <c r="AH755" s="22"/>
      <c r="AI755" s="22"/>
      <c r="AJ755" s="22"/>
      <c r="AK755" s="22"/>
      <c r="AL755" s="22"/>
      <c r="AM755" s="22"/>
      <c r="AN755" s="22"/>
      <c r="AO755" s="22"/>
      <c r="AP755" s="22"/>
      <c r="AQ755" s="22"/>
      <c r="AR755" s="22"/>
      <c r="AS755" s="22"/>
      <c r="AT755" s="22"/>
      <c r="AU755" s="22"/>
      <c r="AV755" s="22"/>
      <c r="AW755" s="22"/>
      <c r="AX755" s="22"/>
      <c r="AY755" s="22"/>
      <c r="AZ755" s="22"/>
      <c r="BA755" s="22"/>
      <c r="BB755" s="22"/>
      <c r="BC755" s="22"/>
    </row>
    <row r="756" spans="1:55" customFormat="1" ht="21" customHeight="1" x14ac:dyDescent="0.25">
      <c r="A756" s="22"/>
      <c r="B756" s="22"/>
      <c r="C756" s="22"/>
      <c r="D756" s="22"/>
      <c r="E756" s="23"/>
      <c r="F756" s="22"/>
      <c r="G756" s="22"/>
      <c r="H756" s="23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3"/>
      <c r="AB756" s="23"/>
      <c r="AC756" s="22"/>
      <c r="AD756" s="22"/>
      <c r="AE756" s="22"/>
      <c r="AF756" s="22"/>
      <c r="AG756" s="22"/>
      <c r="AH756" s="22"/>
      <c r="AI756" s="22"/>
      <c r="AJ756" s="22"/>
      <c r="AK756" s="22"/>
      <c r="AL756" s="22"/>
      <c r="AM756" s="22"/>
      <c r="AN756" s="22"/>
      <c r="AO756" s="22"/>
      <c r="AP756" s="22"/>
      <c r="AQ756" s="22"/>
      <c r="AR756" s="22"/>
      <c r="AS756" s="22"/>
      <c r="AT756" s="22"/>
      <c r="AU756" s="22"/>
      <c r="AV756" s="22"/>
      <c r="AW756" s="22"/>
      <c r="AX756" s="22"/>
      <c r="AY756" s="22"/>
      <c r="AZ756" s="22"/>
      <c r="BA756" s="22"/>
      <c r="BB756" s="22"/>
      <c r="BC756" s="22"/>
    </row>
    <row r="757" spans="1:55" customFormat="1" ht="21" customHeight="1" x14ac:dyDescent="0.25">
      <c r="A757" s="22"/>
      <c r="B757" s="22"/>
      <c r="C757" s="22"/>
      <c r="D757" s="22"/>
      <c r="E757" s="23"/>
      <c r="F757" s="22"/>
      <c r="G757" s="22"/>
      <c r="H757" s="23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3"/>
      <c r="AB757" s="23"/>
      <c r="AC757" s="22"/>
      <c r="AD757" s="22"/>
      <c r="AE757" s="22"/>
      <c r="AF757" s="22"/>
      <c r="AG757" s="22"/>
      <c r="AH757" s="22"/>
      <c r="AI757" s="22"/>
      <c r="AJ757" s="22"/>
      <c r="AK757" s="22"/>
      <c r="AL757" s="22"/>
      <c r="AM757" s="22"/>
      <c r="AN757" s="22"/>
      <c r="AO757" s="22"/>
      <c r="AP757" s="22"/>
      <c r="AQ757" s="22"/>
      <c r="AR757" s="22"/>
      <c r="AS757" s="22"/>
      <c r="AT757" s="22"/>
      <c r="AU757" s="22"/>
      <c r="AV757" s="22"/>
      <c r="AW757" s="22"/>
      <c r="AX757" s="22"/>
      <c r="AY757" s="22"/>
      <c r="AZ757" s="22"/>
      <c r="BA757" s="22"/>
      <c r="BB757" s="22"/>
      <c r="BC757" s="22"/>
    </row>
    <row r="758" spans="1:55" customFormat="1" ht="21" customHeight="1" x14ac:dyDescent="0.25">
      <c r="A758" s="22"/>
      <c r="B758" s="22"/>
      <c r="C758" s="22"/>
      <c r="D758" s="22"/>
      <c r="E758" s="23"/>
      <c r="F758" s="22"/>
      <c r="G758" s="22"/>
      <c r="H758" s="23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3"/>
      <c r="AB758" s="23"/>
      <c r="AC758" s="22"/>
      <c r="AD758" s="22"/>
      <c r="AE758" s="22"/>
      <c r="AF758" s="22"/>
      <c r="AG758" s="22"/>
      <c r="AH758" s="22"/>
      <c r="AI758" s="22"/>
      <c r="AJ758" s="22"/>
      <c r="AK758" s="22"/>
      <c r="AL758" s="22"/>
      <c r="AM758" s="22"/>
      <c r="AN758" s="22"/>
      <c r="AO758" s="22"/>
      <c r="AP758" s="22"/>
      <c r="AQ758" s="22"/>
      <c r="AR758" s="22"/>
      <c r="AS758" s="22"/>
      <c r="AT758" s="22"/>
      <c r="AU758" s="22"/>
      <c r="AV758" s="22"/>
      <c r="AW758" s="22"/>
      <c r="AX758" s="22"/>
      <c r="AY758" s="22"/>
      <c r="AZ758" s="22"/>
      <c r="BA758" s="22"/>
      <c r="BB758" s="22"/>
      <c r="BC758" s="22"/>
    </row>
    <row r="759" spans="1:55" customFormat="1" ht="21" customHeight="1" x14ac:dyDescent="0.25">
      <c r="A759" s="22"/>
      <c r="B759" s="22"/>
      <c r="C759" s="22"/>
      <c r="D759" s="22"/>
      <c r="E759" s="23"/>
      <c r="F759" s="22"/>
      <c r="G759" s="22"/>
      <c r="H759" s="23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3"/>
      <c r="AB759" s="23"/>
      <c r="AC759" s="22"/>
      <c r="AD759" s="22"/>
      <c r="AE759" s="22"/>
      <c r="AF759" s="22"/>
      <c r="AG759" s="22"/>
      <c r="AH759" s="22"/>
      <c r="AI759" s="22"/>
      <c r="AJ759" s="22"/>
      <c r="AK759" s="22"/>
      <c r="AL759" s="22"/>
      <c r="AM759" s="22"/>
      <c r="AN759" s="22"/>
      <c r="AO759" s="22"/>
      <c r="AP759" s="22"/>
      <c r="AQ759" s="22"/>
      <c r="AR759" s="22"/>
      <c r="AS759" s="22"/>
      <c r="AT759" s="22"/>
      <c r="AU759" s="22"/>
      <c r="AV759" s="22"/>
      <c r="AW759" s="22"/>
      <c r="AX759" s="22"/>
      <c r="AY759" s="22"/>
      <c r="AZ759" s="22"/>
      <c r="BA759" s="22"/>
      <c r="BB759" s="22"/>
      <c r="BC759" s="22"/>
    </row>
    <row r="760" spans="1:55" customFormat="1" ht="21" customHeight="1" x14ac:dyDescent="0.25">
      <c r="A760" s="22"/>
      <c r="B760" s="22"/>
      <c r="C760" s="22"/>
      <c r="D760" s="22"/>
      <c r="E760" s="23"/>
      <c r="F760" s="22"/>
      <c r="G760" s="22"/>
      <c r="H760" s="23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3"/>
      <c r="AB760" s="23"/>
      <c r="AC760" s="22"/>
      <c r="AD760" s="22"/>
      <c r="AE760" s="22"/>
      <c r="AF760" s="22"/>
      <c r="AG760" s="22"/>
      <c r="AH760" s="22"/>
      <c r="AI760" s="22"/>
      <c r="AJ760" s="22"/>
      <c r="AK760" s="22"/>
      <c r="AL760" s="22"/>
      <c r="AM760" s="22"/>
      <c r="AN760" s="22"/>
      <c r="AO760" s="22"/>
      <c r="AP760" s="22"/>
      <c r="AQ760" s="22"/>
      <c r="AR760" s="22"/>
      <c r="AS760" s="22"/>
      <c r="AT760" s="22"/>
      <c r="AU760" s="22"/>
      <c r="AV760" s="22"/>
      <c r="AW760" s="22"/>
      <c r="AX760" s="22"/>
      <c r="AY760" s="22"/>
      <c r="AZ760" s="22"/>
      <c r="BA760" s="22"/>
      <c r="BB760" s="22"/>
      <c r="BC760" s="22"/>
    </row>
    <row r="761" spans="1:55" customFormat="1" ht="21" customHeight="1" x14ac:dyDescent="0.25">
      <c r="A761" s="22"/>
      <c r="B761" s="22"/>
      <c r="C761" s="22"/>
      <c r="D761" s="22"/>
      <c r="E761" s="23"/>
      <c r="F761" s="22"/>
      <c r="G761" s="22"/>
      <c r="H761" s="23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A761" s="23"/>
      <c r="AB761" s="23"/>
      <c r="AC761" s="22"/>
      <c r="AD761" s="22"/>
      <c r="AE761" s="22"/>
      <c r="AF761" s="22"/>
      <c r="AG761" s="22"/>
      <c r="AH761" s="22"/>
      <c r="AI761" s="22"/>
      <c r="AJ761" s="22"/>
      <c r="AK761" s="22"/>
      <c r="AL761" s="22"/>
      <c r="AM761" s="22"/>
      <c r="AN761" s="22"/>
      <c r="AO761" s="22"/>
      <c r="AP761" s="22"/>
      <c r="AQ761" s="22"/>
      <c r="AR761" s="22"/>
      <c r="AS761" s="22"/>
      <c r="AT761" s="22"/>
      <c r="AU761" s="22"/>
      <c r="AV761" s="22"/>
      <c r="AW761" s="22"/>
      <c r="AX761" s="22"/>
      <c r="AY761" s="22"/>
      <c r="AZ761" s="22"/>
      <c r="BA761" s="22"/>
      <c r="BB761" s="22"/>
      <c r="BC761" s="22"/>
    </row>
    <row r="762" spans="1:55" customFormat="1" ht="21" customHeight="1" x14ac:dyDescent="0.25">
      <c r="A762" s="22"/>
      <c r="B762" s="22"/>
      <c r="C762" s="22"/>
      <c r="D762" s="22"/>
      <c r="E762" s="23"/>
      <c r="F762" s="22"/>
      <c r="G762" s="22"/>
      <c r="H762" s="23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3"/>
      <c r="AB762" s="23"/>
      <c r="AC762" s="22"/>
      <c r="AD762" s="22"/>
      <c r="AE762" s="22"/>
      <c r="AF762" s="22"/>
      <c r="AG762" s="22"/>
      <c r="AH762" s="22"/>
      <c r="AI762" s="22"/>
      <c r="AJ762" s="22"/>
      <c r="AK762" s="22"/>
      <c r="AL762" s="22"/>
      <c r="AM762" s="22"/>
      <c r="AN762" s="22"/>
      <c r="AO762" s="22"/>
      <c r="AP762" s="22"/>
      <c r="AQ762" s="22"/>
      <c r="AR762" s="22"/>
      <c r="AS762" s="22"/>
      <c r="AT762" s="22"/>
      <c r="AU762" s="22"/>
      <c r="AV762" s="22"/>
      <c r="AW762" s="22"/>
      <c r="AX762" s="22"/>
      <c r="AY762" s="22"/>
      <c r="AZ762" s="22"/>
      <c r="BA762" s="22"/>
      <c r="BB762" s="22"/>
      <c r="BC762" s="22"/>
    </row>
    <row r="763" spans="1:55" customFormat="1" ht="21" customHeight="1" x14ac:dyDescent="0.25">
      <c r="A763" s="22"/>
      <c r="B763" s="22"/>
      <c r="C763" s="22"/>
      <c r="D763" s="22"/>
      <c r="E763" s="23"/>
      <c r="F763" s="22"/>
      <c r="G763" s="22"/>
      <c r="H763" s="23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A763" s="23"/>
      <c r="AB763" s="23"/>
      <c r="AC763" s="22"/>
      <c r="AD763" s="22"/>
      <c r="AE763" s="22"/>
      <c r="AF763" s="22"/>
      <c r="AG763" s="22"/>
      <c r="AH763" s="22"/>
      <c r="AI763" s="22"/>
      <c r="AJ763" s="22"/>
      <c r="AK763" s="22"/>
      <c r="AL763" s="22"/>
      <c r="AM763" s="22"/>
      <c r="AN763" s="22"/>
      <c r="AO763" s="22"/>
      <c r="AP763" s="22"/>
      <c r="AQ763" s="22"/>
      <c r="AR763" s="22"/>
      <c r="AS763" s="22"/>
      <c r="AT763" s="22"/>
      <c r="AU763" s="22"/>
      <c r="AV763" s="22"/>
      <c r="AW763" s="22"/>
      <c r="AX763" s="22"/>
      <c r="AY763" s="22"/>
      <c r="AZ763" s="22"/>
      <c r="BA763" s="22"/>
      <c r="BB763" s="22"/>
      <c r="BC763" s="22"/>
    </row>
    <row r="764" spans="1:55" customFormat="1" ht="21" customHeight="1" x14ac:dyDescent="0.25">
      <c r="A764" s="22"/>
      <c r="B764" s="22"/>
      <c r="C764" s="22"/>
      <c r="D764" s="22"/>
      <c r="E764" s="23"/>
      <c r="F764" s="22"/>
      <c r="G764" s="22"/>
      <c r="H764" s="23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3"/>
      <c r="AB764" s="23"/>
      <c r="AC764" s="22"/>
      <c r="AD764" s="22"/>
      <c r="AE764" s="22"/>
      <c r="AF764" s="22"/>
      <c r="AG764" s="22"/>
      <c r="AH764" s="22"/>
      <c r="AI764" s="22"/>
      <c r="AJ764" s="22"/>
      <c r="AK764" s="22"/>
      <c r="AL764" s="22"/>
      <c r="AM764" s="22"/>
      <c r="AN764" s="22"/>
      <c r="AO764" s="22"/>
      <c r="AP764" s="22"/>
      <c r="AQ764" s="22"/>
      <c r="AR764" s="22"/>
      <c r="AS764" s="22"/>
      <c r="AT764" s="22"/>
      <c r="AU764" s="22"/>
      <c r="AV764" s="22"/>
      <c r="AW764" s="22"/>
      <c r="AX764" s="22"/>
      <c r="AY764" s="22"/>
      <c r="AZ764" s="22"/>
      <c r="BA764" s="22"/>
      <c r="BB764" s="22"/>
      <c r="BC764" s="22"/>
    </row>
    <row r="765" spans="1:55" customFormat="1" ht="21" customHeight="1" x14ac:dyDescent="0.25">
      <c r="A765" s="22"/>
      <c r="B765" s="22"/>
      <c r="C765" s="22"/>
      <c r="D765" s="22"/>
      <c r="E765" s="23"/>
      <c r="F765" s="22"/>
      <c r="G765" s="22"/>
      <c r="H765" s="23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3"/>
      <c r="AB765" s="23"/>
      <c r="AC765" s="22"/>
      <c r="AD765" s="22"/>
      <c r="AE765" s="22"/>
      <c r="AF765" s="22"/>
      <c r="AG765" s="22"/>
      <c r="AH765" s="22"/>
      <c r="AI765" s="22"/>
      <c r="AJ765" s="22"/>
      <c r="AK765" s="22"/>
      <c r="AL765" s="22"/>
      <c r="AM765" s="22"/>
      <c r="AN765" s="22"/>
      <c r="AO765" s="22"/>
      <c r="AP765" s="22"/>
      <c r="AQ765" s="22"/>
      <c r="AR765" s="22"/>
      <c r="AS765" s="22"/>
      <c r="AT765" s="22"/>
      <c r="AU765" s="22"/>
      <c r="AV765" s="22"/>
      <c r="AW765" s="22"/>
      <c r="AX765" s="22"/>
      <c r="AY765" s="22"/>
      <c r="AZ765" s="22"/>
      <c r="BA765" s="22"/>
      <c r="BB765" s="22"/>
      <c r="BC765" s="22"/>
    </row>
    <row r="766" spans="1:55" customFormat="1" ht="21" customHeight="1" x14ac:dyDescent="0.25">
      <c r="A766" s="22"/>
      <c r="B766" s="22"/>
      <c r="C766" s="22"/>
      <c r="D766" s="22"/>
      <c r="E766" s="23"/>
      <c r="F766" s="22"/>
      <c r="G766" s="22"/>
      <c r="H766" s="23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3"/>
      <c r="AB766" s="23"/>
      <c r="AC766" s="22"/>
      <c r="AD766" s="22"/>
      <c r="AE766" s="22"/>
      <c r="AF766" s="22"/>
      <c r="AG766" s="22"/>
      <c r="AH766" s="22"/>
      <c r="AI766" s="22"/>
      <c r="AJ766" s="22"/>
      <c r="AK766" s="22"/>
      <c r="AL766" s="22"/>
      <c r="AM766" s="22"/>
      <c r="AN766" s="22"/>
      <c r="AO766" s="22"/>
      <c r="AP766" s="22"/>
      <c r="AQ766" s="22"/>
      <c r="AR766" s="22"/>
      <c r="AS766" s="22"/>
      <c r="AT766" s="22"/>
      <c r="AU766" s="22"/>
      <c r="AV766" s="22"/>
      <c r="AW766" s="22"/>
      <c r="AX766" s="22"/>
      <c r="AY766" s="22"/>
      <c r="AZ766" s="22"/>
      <c r="BA766" s="22"/>
      <c r="BB766" s="22"/>
      <c r="BC766" s="22"/>
    </row>
    <row r="767" spans="1:55" customFormat="1" ht="21" customHeight="1" x14ac:dyDescent="0.25">
      <c r="A767" s="22"/>
      <c r="B767" s="22"/>
      <c r="C767" s="22"/>
      <c r="D767" s="22"/>
      <c r="E767" s="23"/>
      <c r="F767" s="22"/>
      <c r="G767" s="22"/>
      <c r="H767" s="23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3"/>
      <c r="AB767" s="23"/>
      <c r="AC767" s="22"/>
      <c r="AD767" s="22"/>
      <c r="AE767" s="22"/>
      <c r="AF767" s="22"/>
      <c r="AG767" s="22"/>
      <c r="AH767" s="22"/>
      <c r="AI767" s="22"/>
      <c r="AJ767" s="22"/>
      <c r="AK767" s="22"/>
      <c r="AL767" s="22"/>
      <c r="AM767" s="22"/>
      <c r="AN767" s="22"/>
      <c r="AO767" s="22"/>
      <c r="AP767" s="22"/>
      <c r="AQ767" s="22"/>
      <c r="AR767" s="22"/>
      <c r="AS767" s="22"/>
      <c r="AT767" s="22"/>
      <c r="AU767" s="22"/>
      <c r="AV767" s="22"/>
      <c r="AW767" s="22"/>
      <c r="AX767" s="22"/>
      <c r="AY767" s="22"/>
      <c r="AZ767" s="22"/>
      <c r="BA767" s="22"/>
      <c r="BB767" s="22"/>
      <c r="BC767" s="22"/>
    </row>
    <row r="768" spans="1:55" customFormat="1" ht="21" customHeight="1" x14ac:dyDescent="0.25">
      <c r="A768" s="22"/>
      <c r="B768" s="22"/>
      <c r="C768" s="22"/>
      <c r="D768" s="22"/>
      <c r="E768" s="23"/>
      <c r="F768" s="22"/>
      <c r="G768" s="22"/>
      <c r="H768" s="23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3"/>
      <c r="AB768" s="23"/>
      <c r="AC768" s="22"/>
      <c r="AD768" s="22"/>
      <c r="AE768" s="22"/>
      <c r="AF768" s="22"/>
      <c r="AG768" s="22"/>
      <c r="AH768" s="22"/>
      <c r="AI768" s="22"/>
      <c r="AJ768" s="22"/>
      <c r="AK768" s="22"/>
      <c r="AL768" s="22"/>
      <c r="AM768" s="22"/>
      <c r="AN768" s="22"/>
      <c r="AO768" s="22"/>
      <c r="AP768" s="22"/>
      <c r="AQ768" s="22"/>
      <c r="AR768" s="22"/>
      <c r="AS768" s="22"/>
      <c r="AT768" s="22"/>
      <c r="AU768" s="22"/>
      <c r="AV768" s="22"/>
      <c r="AW768" s="22"/>
      <c r="AX768" s="22"/>
      <c r="AY768" s="22"/>
      <c r="AZ768" s="22"/>
      <c r="BA768" s="22"/>
      <c r="BB768" s="22"/>
      <c r="BC768" s="22"/>
    </row>
    <row r="769" spans="1:55" customFormat="1" ht="21" customHeight="1" x14ac:dyDescent="0.25">
      <c r="A769" s="22"/>
      <c r="B769" s="22"/>
      <c r="C769" s="22"/>
      <c r="D769" s="22"/>
      <c r="E769" s="23"/>
      <c r="F769" s="22"/>
      <c r="G769" s="22"/>
      <c r="H769" s="23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A769" s="23"/>
      <c r="AB769" s="23"/>
      <c r="AC769" s="22"/>
      <c r="AD769" s="22"/>
      <c r="AE769" s="22"/>
      <c r="AF769" s="22"/>
      <c r="AG769" s="22"/>
      <c r="AH769" s="22"/>
      <c r="AI769" s="22"/>
      <c r="AJ769" s="22"/>
      <c r="AK769" s="22"/>
      <c r="AL769" s="22"/>
      <c r="AM769" s="22"/>
      <c r="AN769" s="22"/>
      <c r="AO769" s="22"/>
      <c r="AP769" s="22"/>
      <c r="AQ769" s="22"/>
      <c r="AR769" s="22"/>
      <c r="AS769" s="22"/>
      <c r="AT769" s="22"/>
      <c r="AU769" s="22"/>
      <c r="AV769" s="22"/>
      <c r="AW769" s="22"/>
      <c r="AX769" s="22"/>
      <c r="AY769" s="22"/>
      <c r="AZ769" s="22"/>
      <c r="BA769" s="22"/>
      <c r="BB769" s="22"/>
      <c r="BC769" s="22"/>
    </row>
    <row r="770" spans="1:55" customFormat="1" ht="21" customHeight="1" x14ac:dyDescent="0.25">
      <c r="A770" s="22"/>
      <c r="B770" s="22"/>
      <c r="C770" s="22"/>
      <c r="D770" s="22"/>
      <c r="E770" s="23"/>
      <c r="F770" s="22"/>
      <c r="G770" s="22"/>
      <c r="H770" s="23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3"/>
      <c r="AB770" s="23"/>
      <c r="AC770" s="22"/>
      <c r="AD770" s="22"/>
      <c r="AE770" s="22"/>
      <c r="AF770" s="22"/>
      <c r="AG770" s="22"/>
      <c r="AH770" s="22"/>
      <c r="AI770" s="22"/>
      <c r="AJ770" s="22"/>
      <c r="AK770" s="22"/>
      <c r="AL770" s="22"/>
      <c r="AM770" s="22"/>
      <c r="AN770" s="22"/>
      <c r="AO770" s="22"/>
      <c r="AP770" s="22"/>
      <c r="AQ770" s="22"/>
      <c r="AR770" s="22"/>
      <c r="AS770" s="22"/>
      <c r="AT770" s="22"/>
      <c r="AU770" s="22"/>
      <c r="AV770" s="22"/>
      <c r="AW770" s="22"/>
      <c r="AX770" s="22"/>
      <c r="AY770" s="22"/>
      <c r="AZ770" s="22"/>
      <c r="BA770" s="22"/>
      <c r="BB770" s="22"/>
      <c r="BC770" s="22"/>
    </row>
    <row r="771" spans="1:55" customFormat="1" ht="21" customHeight="1" x14ac:dyDescent="0.25">
      <c r="A771" s="22"/>
      <c r="B771" s="22"/>
      <c r="C771" s="22"/>
      <c r="D771" s="22"/>
      <c r="E771" s="23"/>
      <c r="F771" s="22"/>
      <c r="G771" s="22"/>
      <c r="H771" s="23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3"/>
      <c r="AB771" s="23"/>
      <c r="AC771" s="22"/>
      <c r="AD771" s="22"/>
      <c r="AE771" s="22"/>
      <c r="AF771" s="22"/>
      <c r="AG771" s="22"/>
      <c r="AH771" s="22"/>
      <c r="AI771" s="22"/>
      <c r="AJ771" s="22"/>
      <c r="AK771" s="22"/>
      <c r="AL771" s="22"/>
      <c r="AM771" s="22"/>
      <c r="AN771" s="22"/>
      <c r="AO771" s="22"/>
      <c r="AP771" s="22"/>
      <c r="AQ771" s="22"/>
      <c r="AR771" s="22"/>
      <c r="AS771" s="22"/>
      <c r="AT771" s="22"/>
      <c r="AU771" s="22"/>
      <c r="AV771" s="22"/>
      <c r="AW771" s="22"/>
      <c r="AX771" s="22"/>
      <c r="AY771" s="22"/>
      <c r="AZ771" s="22"/>
      <c r="BA771" s="22"/>
      <c r="BB771" s="22"/>
      <c r="BC771" s="22"/>
    </row>
    <row r="772" spans="1:55" customFormat="1" ht="21" customHeight="1" x14ac:dyDescent="0.25">
      <c r="A772" s="22"/>
      <c r="B772" s="22"/>
      <c r="C772" s="22"/>
      <c r="D772" s="22"/>
      <c r="E772" s="23"/>
      <c r="F772" s="22"/>
      <c r="G772" s="22"/>
      <c r="H772" s="23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3"/>
      <c r="AB772" s="23"/>
      <c r="AC772" s="22"/>
      <c r="AD772" s="22"/>
      <c r="AE772" s="22"/>
      <c r="AF772" s="22"/>
      <c r="AG772" s="22"/>
      <c r="AH772" s="22"/>
      <c r="AI772" s="22"/>
      <c r="AJ772" s="22"/>
      <c r="AK772" s="22"/>
      <c r="AL772" s="22"/>
      <c r="AM772" s="22"/>
      <c r="AN772" s="22"/>
      <c r="AO772" s="22"/>
      <c r="AP772" s="22"/>
      <c r="AQ772" s="22"/>
      <c r="AR772" s="22"/>
      <c r="AS772" s="22"/>
      <c r="AT772" s="22"/>
      <c r="AU772" s="22"/>
      <c r="AV772" s="22"/>
      <c r="AW772" s="22"/>
      <c r="AX772" s="22"/>
      <c r="AY772" s="22"/>
      <c r="AZ772" s="22"/>
      <c r="BA772" s="22"/>
      <c r="BB772" s="22"/>
      <c r="BC772" s="22"/>
    </row>
    <row r="773" spans="1:55" customFormat="1" ht="21" customHeight="1" x14ac:dyDescent="0.25">
      <c r="A773" s="22"/>
      <c r="B773" s="22"/>
      <c r="C773" s="22"/>
      <c r="D773" s="22"/>
      <c r="E773" s="23"/>
      <c r="F773" s="22"/>
      <c r="G773" s="22"/>
      <c r="H773" s="23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3"/>
      <c r="AB773" s="23"/>
      <c r="AC773" s="22"/>
      <c r="AD773" s="22"/>
      <c r="AE773" s="22"/>
      <c r="AF773" s="22"/>
      <c r="AG773" s="22"/>
      <c r="AH773" s="22"/>
      <c r="AI773" s="22"/>
      <c r="AJ773" s="22"/>
      <c r="AK773" s="22"/>
      <c r="AL773" s="22"/>
      <c r="AM773" s="22"/>
      <c r="AN773" s="22"/>
      <c r="AO773" s="22"/>
      <c r="AP773" s="22"/>
      <c r="AQ773" s="22"/>
      <c r="AR773" s="22"/>
      <c r="AS773" s="22"/>
      <c r="AT773" s="22"/>
      <c r="AU773" s="22"/>
      <c r="AV773" s="22"/>
      <c r="AW773" s="22"/>
      <c r="AX773" s="22"/>
      <c r="AY773" s="22"/>
      <c r="AZ773" s="22"/>
      <c r="BA773" s="22"/>
      <c r="BB773" s="22"/>
      <c r="BC773" s="22"/>
    </row>
    <row r="774" spans="1:55" customFormat="1" ht="21" customHeight="1" x14ac:dyDescent="0.25">
      <c r="A774" s="22"/>
      <c r="B774" s="22"/>
      <c r="C774" s="22"/>
      <c r="D774" s="22"/>
      <c r="E774" s="23"/>
      <c r="F774" s="22"/>
      <c r="G774" s="22"/>
      <c r="H774" s="23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3"/>
      <c r="AB774" s="23"/>
      <c r="AC774" s="22"/>
      <c r="AD774" s="22"/>
      <c r="AE774" s="22"/>
      <c r="AF774" s="22"/>
      <c r="AG774" s="22"/>
      <c r="AH774" s="22"/>
      <c r="AI774" s="22"/>
      <c r="AJ774" s="22"/>
      <c r="AK774" s="22"/>
      <c r="AL774" s="22"/>
      <c r="AM774" s="22"/>
      <c r="AN774" s="22"/>
      <c r="AO774" s="22"/>
      <c r="AP774" s="22"/>
      <c r="AQ774" s="22"/>
      <c r="AR774" s="22"/>
      <c r="AS774" s="22"/>
      <c r="AT774" s="22"/>
      <c r="AU774" s="22"/>
      <c r="AV774" s="22"/>
      <c r="AW774" s="22"/>
      <c r="AX774" s="22"/>
      <c r="AY774" s="22"/>
      <c r="AZ774" s="22"/>
      <c r="BA774" s="22"/>
      <c r="BB774" s="22"/>
      <c r="BC774" s="22"/>
    </row>
    <row r="775" spans="1:55" customFormat="1" ht="21" customHeight="1" x14ac:dyDescent="0.25">
      <c r="A775" s="22"/>
      <c r="B775" s="22"/>
      <c r="C775" s="22"/>
      <c r="D775" s="22"/>
      <c r="E775" s="23"/>
      <c r="F775" s="22"/>
      <c r="G775" s="22"/>
      <c r="H775" s="23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3"/>
      <c r="AB775" s="23"/>
      <c r="AC775" s="22"/>
      <c r="AD775" s="22"/>
      <c r="AE775" s="22"/>
      <c r="AF775" s="22"/>
      <c r="AG775" s="22"/>
      <c r="AH775" s="22"/>
      <c r="AI775" s="22"/>
      <c r="AJ775" s="22"/>
      <c r="AK775" s="22"/>
      <c r="AL775" s="22"/>
      <c r="AM775" s="22"/>
      <c r="AN775" s="22"/>
      <c r="AO775" s="22"/>
      <c r="AP775" s="22"/>
      <c r="AQ775" s="22"/>
      <c r="AR775" s="22"/>
      <c r="AS775" s="22"/>
      <c r="AT775" s="22"/>
      <c r="AU775" s="22"/>
      <c r="AV775" s="22"/>
      <c r="AW775" s="22"/>
      <c r="AX775" s="22"/>
      <c r="AY775" s="22"/>
      <c r="AZ775" s="22"/>
      <c r="BA775" s="22"/>
      <c r="BB775" s="22"/>
      <c r="BC775" s="22"/>
    </row>
    <row r="776" spans="1:55" customFormat="1" ht="21" customHeight="1" x14ac:dyDescent="0.25">
      <c r="A776" s="22"/>
      <c r="B776" s="22"/>
      <c r="C776" s="22"/>
      <c r="D776" s="22"/>
      <c r="E776" s="23"/>
      <c r="F776" s="22"/>
      <c r="G776" s="22"/>
      <c r="H776" s="23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3"/>
      <c r="AB776" s="23"/>
      <c r="AC776" s="22"/>
      <c r="AD776" s="22"/>
      <c r="AE776" s="22"/>
      <c r="AF776" s="22"/>
      <c r="AG776" s="22"/>
      <c r="AH776" s="22"/>
      <c r="AI776" s="22"/>
      <c r="AJ776" s="22"/>
      <c r="AK776" s="22"/>
      <c r="AL776" s="22"/>
      <c r="AM776" s="22"/>
      <c r="AN776" s="22"/>
      <c r="AO776" s="22"/>
      <c r="AP776" s="22"/>
      <c r="AQ776" s="22"/>
      <c r="AR776" s="22"/>
      <c r="AS776" s="22"/>
      <c r="AT776" s="22"/>
      <c r="AU776" s="22"/>
      <c r="AV776" s="22"/>
      <c r="AW776" s="22"/>
      <c r="AX776" s="22"/>
      <c r="AY776" s="22"/>
      <c r="AZ776" s="22"/>
      <c r="BA776" s="22"/>
      <c r="BB776" s="22"/>
      <c r="BC776" s="22"/>
    </row>
    <row r="777" spans="1:55" customFormat="1" ht="21" customHeight="1" x14ac:dyDescent="0.25">
      <c r="A777" s="22"/>
      <c r="B777" s="22"/>
      <c r="C777" s="22"/>
      <c r="D777" s="22"/>
      <c r="E777" s="23"/>
      <c r="F777" s="22"/>
      <c r="G777" s="22"/>
      <c r="H777" s="23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3"/>
      <c r="AB777" s="23"/>
      <c r="AC777" s="22"/>
      <c r="AD777" s="22"/>
      <c r="AE777" s="22"/>
      <c r="AF777" s="22"/>
      <c r="AG777" s="22"/>
      <c r="AH777" s="22"/>
      <c r="AI777" s="22"/>
      <c r="AJ777" s="22"/>
      <c r="AK777" s="22"/>
      <c r="AL777" s="22"/>
      <c r="AM777" s="22"/>
      <c r="AN777" s="22"/>
      <c r="AO777" s="22"/>
      <c r="AP777" s="22"/>
      <c r="AQ777" s="22"/>
      <c r="AR777" s="22"/>
      <c r="AS777" s="22"/>
      <c r="AT777" s="22"/>
      <c r="AU777" s="22"/>
      <c r="AV777" s="22"/>
      <c r="AW777" s="22"/>
      <c r="AX777" s="22"/>
      <c r="AY777" s="22"/>
      <c r="AZ777" s="22"/>
      <c r="BA777" s="22"/>
      <c r="BB777" s="22"/>
      <c r="BC777" s="22"/>
    </row>
    <row r="778" spans="1:55" customFormat="1" ht="21" customHeight="1" x14ac:dyDescent="0.25">
      <c r="A778" s="22"/>
      <c r="B778" s="22"/>
      <c r="C778" s="22"/>
      <c r="D778" s="22"/>
      <c r="E778" s="23"/>
      <c r="F778" s="22"/>
      <c r="G778" s="22"/>
      <c r="H778" s="23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3"/>
      <c r="AB778" s="23"/>
      <c r="AC778" s="22"/>
      <c r="AD778" s="22"/>
      <c r="AE778" s="22"/>
      <c r="AF778" s="22"/>
      <c r="AG778" s="22"/>
      <c r="AH778" s="22"/>
      <c r="AI778" s="22"/>
      <c r="AJ778" s="22"/>
      <c r="AK778" s="22"/>
      <c r="AL778" s="22"/>
      <c r="AM778" s="22"/>
      <c r="AN778" s="22"/>
      <c r="AO778" s="22"/>
      <c r="AP778" s="22"/>
      <c r="AQ778" s="22"/>
      <c r="AR778" s="22"/>
      <c r="AS778" s="22"/>
      <c r="AT778" s="22"/>
      <c r="AU778" s="22"/>
      <c r="AV778" s="22"/>
      <c r="AW778" s="22"/>
      <c r="AX778" s="22"/>
      <c r="AY778" s="22"/>
      <c r="AZ778" s="22"/>
      <c r="BA778" s="22"/>
      <c r="BB778" s="22"/>
      <c r="BC778" s="22"/>
    </row>
    <row r="779" spans="1:55" customFormat="1" ht="21" customHeight="1" x14ac:dyDescent="0.25">
      <c r="A779" s="22"/>
      <c r="B779" s="22"/>
      <c r="C779" s="22"/>
      <c r="D779" s="22"/>
      <c r="E779" s="23"/>
      <c r="F779" s="22"/>
      <c r="G779" s="22"/>
      <c r="H779" s="23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3"/>
      <c r="AB779" s="23"/>
      <c r="AC779" s="22"/>
      <c r="AD779" s="22"/>
      <c r="AE779" s="22"/>
      <c r="AF779" s="22"/>
      <c r="AG779" s="22"/>
      <c r="AH779" s="22"/>
      <c r="AI779" s="22"/>
      <c r="AJ779" s="22"/>
      <c r="AK779" s="22"/>
      <c r="AL779" s="22"/>
      <c r="AM779" s="22"/>
      <c r="AN779" s="22"/>
      <c r="AO779" s="22"/>
      <c r="AP779" s="22"/>
      <c r="AQ779" s="22"/>
      <c r="AR779" s="22"/>
      <c r="AS779" s="22"/>
      <c r="AT779" s="22"/>
      <c r="AU779" s="22"/>
      <c r="AV779" s="22"/>
      <c r="AW779" s="22"/>
      <c r="AX779" s="22"/>
      <c r="AY779" s="22"/>
      <c r="AZ779" s="22"/>
      <c r="BA779" s="22"/>
      <c r="BB779" s="22"/>
      <c r="BC779" s="22"/>
    </row>
    <row r="780" spans="1:55" customFormat="1" ht="21" customHeight="1" x14ac:dyDescent="0.25">
      <c r="A780" s="22"/>
      <c r="B780" s="22"/>
      <c r="C780" s="22"/>
      <c r="D780" s="22"/>
      <c r="E780" s="23"/>
      <c r="F780" s="22"/>
      <c r="G780" s="22"/>
      <c r="H780" s="23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3"/>
      <c r="AB780" s="23"/>
      <c r="AC780" s="22"/>
      <c r="AD780" s="22"/>
      <c r="AE780" s="22"/>
      <c r="AF780" s="22"/>
      <c r="AG780" s="22"/>
      <c r="AH780" s="22"/>
      <c r="AI780" s="22"/>
      <c r="AJ780" s="22"/>
      <c r="AK780" s="22"/>
      <c r="AL780" s="22"/>
      <c r="AM780" s="22"/>
      <c r="AN780" s="22"/>
      <c r="AO780" s="22"/>
      <c r="AP780" s="22"/>
      <c r="AQ780" s="22"/>
      <c r="AR780" s="22"/>
      <c r="AS780" s="22"/>
      <c r="AT780" s="22"/>
      <c r="AU780" s="22"/>
      <c r="AV780" s="22"/>
      <c r="AW780" s="22"/>
      <c r="AX780" s="22"/>
      <c r="AY780" s="22"/>
      <c r="AZ780" s="22"/>
      <c r="BA780" s="22"/>
      <c r="BB780" s="22"/>
      <c r="BC780" s="22"/>
    </row>
    <row r="781" spans="1:55" customFormat="1" ht="21" customHeight="1" x14ac:dyDescent="0.25">
      <c r="A781" s="22"/>
      <c r="B781" s="22"/>
      <c r="C781" s="22"/>
      <c r="D781" s="22"/>
      <c r="E781" s="23"/>
      <c r="F781" s="22"/>
      <c r="G781" s="22"/>
      <c r="H781" s="23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3"/>
      <c r="AB781" s="23"/>
      <c r="AC781" s="22"/>
      <c r="AD781" s="22"/>
      <c r="AE781" s="22"/>
      <c r="AF781" s="22"/>
      <c r="AG781" s="22"/>
      <c r="AH781" s="22"/>
      <c r="AI781" s="22"/>
      <c r="AJ781" s="22"/>
      <c r="AK781" s="22"/>
      <c r="AL781" s="22"/>
      <c r="AM781" s="22"/>
      <c r="AN781" s="22"/>
      <c r="AO781" s="22"/>
      <c r="AP781" s="22"/>
      <c r="AQ781" s="22"/>
      <c r="AR781" s="22"/>
      <c r="AS781" s="22"/>
      <c r="AT781" s="22"/>
      <c r="AU781" s="22"/>
      <c r="AV781" s="22"/>
      <c r="AW781" s="22"/>
      <c r="AX781" s="22"/>
      <c r="AY781" s="22"/>
      <c r="AZ781" s="22"/>
      <c r="BA781" s="22"/>
      <c r="BB781" s="22"/>
      <c r="BC781" s="22"/>
    </row>
    <row r="782" spans="1:55" customFormat="1" ht="21" customHeight="1" x14ac:dyDescent="0.25">
      <c r="A782" s="22"/>
      <c r="B782" s="22"/>
      <c r="C782" s="22"/>
      <c r="D782" s="22"/>
      <c r="E782" s="23"/>
      <c r="F782" s="22"/>
      <c r="G782" s="22"/>
      <c r="H782" s="23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3"/>
      <c r="AB782" s="23"/>
      <c r="AC782" s="22"/>
      <c r="AD782" s="22"/>
      <c r="AE782" s="22"/>
      <c r="AF782" s="22"/>
      <c r="AG782" s="22"/>
      <c r="AH782" s="22"/>
      <c r="AI782" s="22"/>
      <c r="AJ782" s="22"/>
      <c r="AK782" s="22"/>
      <c r="AL782" s="22"/>
      <c r="AM782" s="22"/>
      <c r="AN782" s="22"/>
      <c r="AO782" s="22"/>
      <c r="AP782" s="22"/>
      <c r="AQ782" s="22"/>
      <c r="AR782" s="22"/>
      <c r="AS782" s="22"/>
      <c r="AT782" s="22"/>
      <c r="AU782" s="22"/>
      <c r="AV782" s="22"/>
      <c r="AW782" s="22"/>
      <c r="AX782" s="22"/>
      <c r="AY782" s="22"/>
      <c r="AZ782" s="22"/>
      <c r="BA782" s="22"/>
      <c r="BB782" s="22"/>
      <c r="BC782" s="22"/>
    </row>
    <row r="783" spans="1:55" customFormat="1" ht="21" customHeight="1" x14ac:dyDescent="0.25">
      <c r="A783" s="22"/>
      <c r="B783" s="22"/>
      <c r="C783" s="22"/>
      <c r="D783" s="22"/>
      <c r="E783" s="23"/>
      <c r="F783" s="22"/>
      <c r="G783" s="22"/>
      <c r="H783" s="23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3"/>
      <c r="AB783" s="23"/>
      <c r="AC783" s="22"/>
      <c r="AD783" s="22"/>
      <c r="AE783" s="22"/>
      <c r="AF783" s="22"/>
      <c r="AG783" s="22"/>
      <c r="AH783" s="22"/>
      <c r="AI783" s="22"/>
      <c r="AJ783" s="22"/>
      <c r="AK783" s="22"/>
      <c r="AL783" s="22"/>
      <c r="AM783" s="22"/>
      <c r="AN783" s="22"/>
      <c r="AO783" s="22"/>
      <c r="AP783" s="22"/>
      <c r="AQ783" s="22"/>
      <c r="AR783" s="22"/>
      <c r="AS783" s="22"/>
      <c r="AT783" s="22"/>
      <c r="AU783" s="22"/>
      <c r="AV783" s="22"/>
      <c r="AW783" s="22"/>
      <c r="AX783" s="22"/>
      <c r="AY783" s="22"/>
      <c r="AZ783" s="22"/>
      <c r="BA783" s="22"/>
      <c r="BB783" s="22"/>
      <c r="BC783" s="22"/>
    </row>
    <row r="784" spans="1:55" customFormat="1" ht="21" customHeight="1" x14ac:dyDescent="0.25">
      <c r="A784" s="22"/>
      <c r="B784" s="22"/>
      <c r="C784" s="22"/>
      <c r="D784" s="22"/>
      <c r="E784" s="23"/>
      <c r="F784" s="22"/>
      <c r="G784" s="22"/>
      <c r="H784" s="23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3"/>
      <c r="AB784" s="23"/>
      <c r="AC784" s="22"/>
      <c r="AD784" s="22"/>
      <c r="AE784" s="22"/>
      <c r="AF784" s="22"/>
      <c r="AG784" s="22"/>
      <c r="AH784" s="22"/>
      <c r="AI784" s="22"/>
      <c r="AJ784" s="22"/>
      <c r="AK784" s="22"/>
      <c r="AL784" s="22"/>
      <c r="AM784" s="22"/>
      <c r="AN784" s="22"/>
      <c r="AO784" s="22"/>
      <c r="AP784" s="22"/>
      <c r="AQ784" s="22"/>
      <c r="AR784" s="22"/>
      <c r="AS784" s="22"/>
      <c r="AT784" s="22"/>
      <c r="AU784" s="22"/>
      <c r="AV784" s="22"/>
      <c r="AW784" s="22"/>
      <c r="AX784" s="22"/>
      <c r="AY784" s="22"/>
      <c r="AZ784" s="22"/>
      <c r="BA784" s="22"/>
      <c r="BB784" s="22"/>
      <c r="BC784" s="22"/>
    </row>
    <row r="785" spans="1:55" customFormat="1" ht="21" customHeight="1" x14ac:dyDescent="0.25">
      <c r="A785" s="22"/>
      <c r="B785" s="22"/>
      <c r="C785" s="22"/>
      <c r="D785" s="22"/>
      <c r="E785" s="23"/>
      <c r="F785" s="22"/>
      <c r="G785" s="22"/>
      <c r="H785" s="23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3"/>
      <c r="AB785" s="23"/>
      <c r="AC785" s="22"/>
      <c r="AD785" s="22"/>
      <c r="AE785" s="22"/>
      <c r="AF785" s="22"/>
      <c r="AG785" s="22"/>
      <c r="AH785" s="22"/>
      <c r="AI785" s="22"/>
      <c r="AJ785" s="22"/>
      <c r="AK785" s="22"/>
      <c r="AL785" s="22"/>
      <c r="AM785" s="22"/>
      <c r="AN785" s="22"/>
      <c r="AO785" s="22"/>
      <c r="AP785" s="22"/>
      <c r="AQ785" s="22"/>
      <c r="AR785" s="22"/>
      <c r="AS785" s="22"/>
      <c r="AT785" s="22"/>
      <c r="AU785" s="22"/>
      <c r="AV785" s="22"/>
      <c r="AW785" s="22"/>
      <c r="AX785" s="22"/>
      <c r="AY785" s="22"/>
      <c r="AZ785" s="22"/>
      <c r="BA785" s="22"/>
      <c r="BB785" s="22"/>
      <c r="BC785" s="22"/>
    </row>
    <row r="786" spans="1:55" customFormat="1" ht="21" customHeight="1" x14ac:dyDescent="0.25">
      <c r="A786" s="22"/>
      <c r="B786" s="22"/>
      <c r="C786" s="22"/>
      <c r="D786" s="22"/>
      <c r="E786" s="23"/>
      <c r="F786" s="22"/>
      <c r="G786" s="22"/>
      <c r="H786" s="23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3"/>
      <c r="AB786" s="23"/>
      <c r="AC786" s="22"/>
      <c r="AD786" s="22"/>
      <c r="AE786" s="22"/>
      <c r="AF786" s="22"/>
      <c r="AG786" s="22"/>
      <c r="AH786" s="22"/>
      <c r="AI786" s="22"/>
      <c r="AJ786" s="22"/>
      <c r="AK786" s="22"/>
      <c r="AL786" s="22"/>
      <c r="AM786" s="22"/>
      <c r="AN786" s="22"/>
      <c r="AO786" s="22"/>
      <c r="AP786" s="22"/>
      <c r="AQ786" s="22"/>
      <c r="AR786" s="22"/>
      <c r="AS786" s="22"/>
      <c r="AT786" s="22"/>
      <c r="AU786" s="22"/>
      <c r="AV786" s="22"/>
      <c r="AW786" s="22"/>
      <c r="AX786" s="22"/>
      <c r="AY786" s="22"/>
      <c r="AZ786" s="22"/>
      <c r="BA786" s="22"/>
      <c r="BB786" s="22"/>
      <c r="BC786" s="22"/>
    </row>
    <row r="787" spans="1:55" customFormat="1" ht="21" customHeight="1" x14ac:dyDescent="0.25">
      <c r="A787" s="22"/>
      <c r="B787" s="22"/>
      <c r="C787" s="22"/>
      <c r="D787" s="22"/>
      <c r="E787" s="23"/>
      <c r="F787" s="22"/>
      <c r="G787" s="22"/>
      <c r="H787" s="23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3"/>
      <c r="AB787" s="23"/>
      <c r="AC787" s="22"/>
      <c r="AD787" s="22"/>
      <c r="AE787" s="22"/>
      <c r="AF787" s="22"/>
      <c r="AG787" s="22"/>
      <c r="AH787" s="22"/>
      <c r="AI787" s="22"/>
      <c r="AJ787" s="22"/>
      <c r="AK787" s="22"/>
      <c r="AL787" s="22"/>
      <c r="AM787" s="22"/>
      <c r="AN787" s="22"/>
      <c r="AO787" s="22"/>
      <c r="AP787" s="22"/>
      <c r="AQ787" s="22"/>
      <c r="AR787" s="22"/>
      <c r="AS787" s="22"/>
      <c r="AT787" s="22"/>
      <c r="AU787" s="22"/>
      <c r="AV787" s="22"/>
      <c r="AW787" s="22"/>
      <c r="AX787" s="22"/>
      <c r="AY787" s="22"/>
      <c r="AZ787" s="22"/>
      <c r="BA787" s="22"/>
      <c r="BB787" s="22"/>
      <c r="BC787" s="22"/>
    </row>
    <row r="788" spans="1:55" customFormat="1" ht="21" customHeight="1" x14ac:dyDescent="0.25">
      <c r="A788" s="22"/>
      <c r="B788" s="22"/>
      <c r="C788" s="22"/>
      <c r="D788" s="22"/>
      <c r="E788" s="23"/>
      <c r="F788" s="22"/>
      <c r="G788" s="22"/>
      <c r="H788" s="23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3"/>
      <c r="AB788" s="23"/>
      <c r="AC788" s="22"/>
      <c r="AD788" s="22"/>
      <c r="AE788" s="22"/>
      <c r="AF788" s="22"/>
      <c r="AG788" s="22"/>
      <c r="AH788" s="22"/>
      <c r="AI788" s="22"/>
      <c r="AJ788" s="22"/>
      <c r="AK788" s="22"/>
      <c r="AL788" s="22"/>
      <c r="AM788" s="22"/>
      <c r="AN788" s="22"/>
      <c r="AO788" s="22"/>
      <c r="AP788" s="22"/>
      <c r="AQ788" s="22"/>
      <c r="AR788" s="22"/>
      <c r="AS788" s="22"/>
      <c r="AT788" s="22"/>
      <c r="AU788" s="22"/>
      <c r="AV788" s="22"/>
      <c r="AW788" s="22"/>
      <c r="AX788" s="22"/>
      <c r="AY788" s="22"/>
      <c r="AZ788" s="22"/>
      <c r="BA788" s="22"/>
      <c r="BB788" s="22"/>
      <c r="BC788" s="22"/>
    </row>
    <row r="789" spans="1:55" customFormat="1" ht="21" customHeight="1" x14ac:dyDescent="0.25">
      <c r="A789" s="22"/>
      <c r="B789" s="22"/>
      <c r="C789" s="22"/>
      <c r="D789" s="22"/>
      <c r="E789" s="23"/>
      <c r="F789" s="22"/>
      <c r="G789" s="22"/>
      <c r="H789" s="23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3"/>
      <c r="AB789" s="23"/>
      <c r="AC789" s="22"/>
      <c r="AD789" s="22"/>
      <c r="AE789" s="22"/>
      <c r="AF789" s="22"/>
      <c r="AG789" s="22"/>
      <c r="AH789" s="22"/>
      <c r="AI789" s="22"/>
      <c r="AJ789" s="22"/>
      <c r="AK789" s="22"/>
      <c r="AL789" s="22"/>
      <c r="AM789" s="22"/>
      <c r="AN789" s="22"/>
      <c r="AO789" s="22"/>
      <c r="AP789" s="22"/>
      <c r="AQ789" s="22"/>
      <c r="AR789" s="22"/>
      <c r="AS789" s="22"/>
      <c r="AT789" s="22"/>
      <c r="AU789" s="22"/>
      <c r="AV789" s="22"/>
      <c r="AW789" s="22"/>
      <c r="AX789" s="22"/>
      <c r="AY789" s="22"/>
      <c r="AZ789" s="22"/>
      <c r="BA789" s="22"/>
      <c r="BB789" s="22"/>
      <c r="BC789" s="22"/>
    </row>
    <row r="790" spans="1:55" customFormat="1" ht="21" customHeight="1" x14ac:dyDescent="0.25">
      <c r="A790" s="22"/>
      <c r="B790" s="22"/>
      <c r="C790" s="22"/>
      <c r="D790" s="22"/>
      <c r="E790" s="23"/>
      <c r="F790" s="22"/>
      <c r="G790" s="22"/>
      <c r="H790" s="23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3"/>
      <c r="AB790" s="23"/>
      <c r="AC790" s="22"/>
      <c r="AD790" s="22"/>
      <c r="AE790" s="22"/>
      <c r="AF790" s="22"/>
      <c r="AG790" s="22"/>
      <c r="AH790" s="22"/>
      <c r="AI790" s="22"/>
      <c r="AJ790" s="22"/>
      <c r="AK790" s="22"/>
      <c r="AL790" s="22"/>
      <c r="AM790" s="22"/>
      <c r="AN790" s="22"/>
      <c r="AO790" s="22"/>
      <c r="AP790" s="22"/>
      <c r="AQ790" s="22"/>
      <c r="AR790" s="22"/>
      <c r="AS790" s="22"/>
      <c r="AT790" s="22"/>
      <c r="AU790" s="22"/>
      <c r="AV790" s="22"/>
      <c r="AW790" s="22"/>
      <c r="AX790" s="22"/>
      <c r="AY790" s="22"/>
      <c r="AZ790" s="22"/>
      <c r="BA790" s="22"/>
      <c r="BB790" s="22"/>
      <c r="BC790" s="22"/>
    </row>
    <row r="791" spans="1:55" customFormat="1" ht="21" customHeight="1" x14ac:dyDescent="0.25">
      <c r="A791" s="22"/>
      <c r="B791" s="22"/>
      <c r="C791" s="22"/>
      <c r="D791" s="22"/>
      <c r="E791" s="23"/>
      <c r="F791" s="22"/>
      <c r="G791" s="22"/>
      <c r="H791" s="23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3"/>
      <c r="AB791" s="23"/>
      <c r="AC791" s="22"/>
      <c r="AD791" s="22"/>
      <c r="AE791" s="22"/>
      <c r="AF791" s="22"/>
      <c r="AG791" s="22"/>
      <c r="AH791" s="22"/>
      <c r="AI791" s="22"/>
      <c r="AJ791" s="22"/>
      <c r="AK791" s="22"/>
      <c r="AL791" s="22"/>
      <c r="AM791" s="22"/>
      <c r="AN791" s="22"/>
      <c r="AO791" s="22"/>
      <c r="AP791" s="22"/>
      <c r="AQ791" s="22"/>
      <c r="AR791" s="22"/>
      <c r="AS791" s="22"/>
      <c r="AT791" s="22"/>
      <c r="AU791" s="22"/>
      <c r="AV791" s="22"/>
      <c r="AW791" s="22"/>
      <c r="AX791" s="22"/>
      <c r="AY791" s="22"/>
      <c r="AZ791" s="22"/>
      <c r="BA791" s="22"/>
      <c r="BB791" s="22"/>
      <c r="BC791" s="22"/>
    </row>
    <row r="792" spans="1:55" customFormat="1" ht="21" customHeight="1" x14ac:dyDescent="0.25">
      <c r="A792" s="22"/>
      <c r="B792" s="22"/>
      <c r="C792" s="22"/>
      <c r="D792" s="22"/>
      <c r="E792" s="23"/>
      <c r="F792" s="22"/>
      <c r="G792" s="22"/>
      <c r="H792" s="23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3"/>
      <c r="AB792" s="23"/>
      <c r="AC792" s="22"/>
      <c r="AD792" s="22"/>
      <c r="AE792" s="22"/>
      <c r="AF792" s="22"/>
      <c r="AG792" s="22"/>
      <c r="AH792" s="22"/>
      <c r="AI792" s="22"/>
      <c r="AJ792" s="22"/>
      <c r="AK792" s="22"/>
      <c r="AL792" s="22"/>
      <c r="AM792" s="22"/>
      <c r="AN792" s="22"/>
      <c r="AO792" s="22"/>
      <c r="AP792" s="22"/>
      <c r="AQ792" s="22"/>
      <c r="AR792" s="22"/>
      <c r="AS792" s="22"/>
      <c r="AT792" s="22"/>
      <c r="AU792" s="22"/>
      <c r="AV792" s="22"/>
      <c r="AW792" s="22"/>
      <c r="AX792" s="22"/>
      <c r="AY792" s="22"/>
      <c r="AZ792" s="22"/>
      <c r="BA792" s="22"/>
      <c r="BB792" s="22"/>
      <c r="BC792" s="22"/>
    </row>
    <row r="793" spans="1:55" customFormat="1" ht="21" customHeight="1" x14ac:dyDescent="0.25">
      <c r="A793" s="22"/>
      <c r="B793" s="22"/>
      <c r="C793" s="22"/>
      <c r="D793" s="22"/>
      <c r="E793" s="23"/>
      <c r="F793" s="22"/>
      <c r="G793" s="22"/>
      <c r="H793" s="23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3"/>
      <c r="AB793" s="23"/>
      <c r="AC793" s="22"/>
      <c r="AD793" s="22"/>
      <c r="AE793" s="22"/>
      <c r="AF793" s="22"/>
      <c r="AG793" s="22"/>
      <c r="AH793" s="22"/>
      <c r="AI793" s="22"/>
      <c r="AJ793" s="22"/>
      <c r="AK793" s="22"/>
      <c r="AL793" s="22"/>
      <c r="AM793" s="22"/>
      <c r="AN793" s="22"/>
      <c r="AO793" s="22"/>
      <c r="AP793" s="22"/>
      <c r="AQ793" s="22"/>
      <c r="AR793" s="22"/>
      <c r="AS793" s="22"/>
      <c r="AT793" s="22"/>
      <c r="AU793" s="22"/>
      <c r="AV793" s="22"/>
      <c r="AW793" s="22"/>
      <c r="AX793" s="22"/>
      <c r="AY793" s="22"/>
      <c r="AZ793" s="22"/>
      <c r="BA793" s="22"/>
      <c r="BB793" s="22"/>
      <c r="BC793" s="22"/>
    </row>
    <row r="794" spans="1:55" customFormat="1" ht="21" customHeight="1" x14ac:dyDescent="0.25">
      <c r="A794" s="22"/>
      <c r="B794" s="22"/>
      <c r="C794" s="22"/>
      <c r="D794" s="22"/>
      <c r="E794" s="23"/>
      <c r="F794" s="22"/>
      <c r="G794" s="22"/>
      <c r="H794" s="23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3"/>
      <c r="AB794" s="23"/>
      <c r="AC794" s="22"/>
      <c r="AD794" s="22"/>
      <c r="AE794" s="22"/>
      <c r="AF794" s="22"/>
      <c r="AG794" s="22"/>
      <c r="AH794" s="22"/>
      <c r="AI794" s="22"/>
      <c r="AJ794" s="22"/>
      <c r="AK794" s="22"/>
      <c r="AL794" s="22"/>
      <c r="AM794" s="22"/>
      <c r="AN794" s="22"/>
      <c r="AO794" s="22"/>
      <c r="AP794" s="22"/>
      <c r="AQ794" s="22"/>
      <c r="AR794" s="22"/>
      <c r="AS794" s="22"/>
      <c r="AT794" s="22"/>
      <c r="AU794" s="22"/>
      <c r="AV794" s="22"/>
      <c r="AW794" s="22"/>
      <c r="AX794" s="22"/>
      <c r="AY794" s="22"/>
      <c r="AZ794" s="22"/>
      <c r="BA794" s="22"/>
      <c r="BB794" s="22"/>
      <c r="BC794" s="22"/>
    </row>
    <row r="795" spans="1:55" customFormat="1" ht="21" customHeight="1" x14ac:dyDescent="0.25">
      <c r="A795" s="22"/>
      <c r="B795" s="22"/>
      <c r="C795" s="22"/>
      <c r="D795" s="22"/>
      <c r="E795" s="23"/>
      <c r="F795" s="22"/>
      <c r="G795" s="22"/>
      <c r="H795" s="23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3"/>
      <c r="AB795" s="23"/>
      <c r="AC795" s="22"/>
      <c r="AD795" s="22"/>
      <c r="AE795" s="22"/>
      <c r="AF795" s="22"/>
      <c r="AG795" s="22"/>
      <c r="AH795" s="22"/>
      <c r="AI795" s="22"/>
      <c r="AJ795" s="22"/>
      <c r="AK795" s="22"/>
      <c r="AL795" s="22"/>
      <c r="AM795" s="22"/>
      <c r="AN795" s="22"/>
      <c r="AO795" s="22"/>
      <c r="AP795" s="22"/>
      <c r="AQ795" s="22"/>
      <c r="AR795" s="22"/>
      <c r="AS795" s="22"/>
      <c r="AT795" s="22"/>
      <c r="AU795" s="22"/>
      <c r="AV795" s="22"/>
      <c r="AW795" s="22"/>
      <c r="AX795" s="22"/>
      <c r="AY795" s="22"/>
      <c r="AZ795" s="22"/>
      <c r="BA795" s="22"/>
      <c r="BB795" s="22"/>
      <c r="BC795" s="22"/>
    </row>
    <row r="796" spans="1:55" customFormat="1" ht="21" customHeight="1" x14ac:dyDescent="0.25">
      <c r="A796" s="22"/>
      <c r="B796" s="22"/>
      <c r="C796" s="22"/>
      <c r="D796" s="22"/>
      <c r="E796" s="23"/>
      <c r="F796" s="22"/>
      <c r="G796" s="22"/>
      <c r="H796" s="23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3"/>
      <c r="AB796" s="23"/>
      <c r="AC796" s="22"/>
      <c r="AD796" s="22"/>
      <c r="AE796" s="22"/>
      <c r="AF796" s="22"/>
      <c r="AG796" s="22"/>
      <c r="AH796" s="22"/>
      <c r="AI796" s="22"/>
      <c r="AJ796" s="22"/>
      <c r="AK796" s="22"/>
      <c r="AL796" s="22"/>
      <c r="AM796" s="22"/>
      <c r="AN796" s="22"/>
      <c r="AO796" s="22"/>
      <c r="AP796" s="22"/>
      <c r="AQ796" s="22"/>
      <c r="AR796" s="22"/>
      <c r="AS796" s="22"/>
      <c r="AT796" s="22"/>
      <c r="AU796" s="22"/>
      <c r="AV796" s="22"/>
      <c r="AW796" s="22"/>
      <c r="AX796" s="22"/>
      <c r="AY796" s="22"/>
      <c r="AZ796" s="22"/>
      <c r="BA796" s="22"/>
      <c r="BB796" s="22"/>
      <c r="BC796" s="22"/>
    </row>
    <row r="797" spans="1:55" customFormat="1" ht="21" customHeight="1" x14ac:dyDescent="0.25">
      <c r="A797" s="22"/>
      <c r="B797" s="22"/>
      <c r="C797" s="22"/>
      <c r="D797" s="22"/>
      <c r="E797" s="23"/>
      <c r="F797" s="22"/>
      <c r="G797" s="22"/>
      <c r="H797" s="23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3"/>
      <c r="AB797" s="23"/>
      <c r="AC797" s="22"/>
      <c r="AD797" s="22"/>
      <c r="AE797" s="22"/>
      <c r="AF797" s="22"/>
      <c r="AG797" s="22"/>
      <c r="AH797" s="22"/>
      <c r="AI797" s="22"/>
      <c r="AJ797" s="22"/>
      <c r="AK797" s="22"/>
      <c r="AL797" s="22"/>
      <c r="AM797" s="22"/>
      <c r="AN797" s="22"/>
      <c r="AO797" s="22"/>
      <c r="AP797" s="22"/>
      <c r="AQ797" s="22"/>
      <c r="AR797" s="22"/>
      <c r="AS797" s="22"/>
      <c r="AT797" s="22"/>
      <c r="AU797" s="22"/>
      <c r="AV797" s="22"/>
      <c r="AW797" s="22"/>
      <c r="AX797" s="22"/>
      <c r="AY797" s="22"/>
      <c r="AZ797" s="22"/>
      <c r="BA797" s="22"/>
      <c r="BB797" s="22"/>
      <c r="BC797" s="22"/>
    </row>
    <row r="798" spans="1:55" customFormat="1" ht="21" customHeight="1" x14ac:dyDescent="0.25">
      <c r="A798" s="22"/>
      <c r="B798" s="22"/>
      <c r="C798" s="22"/>
      <c r="D798" s="22"/>
      <c r="E798" s="23"/>
      <c r="F798" s="22"/>
      <c r="G798" s="22"/>
      <c r="H798" s="23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3"/>
      <c r="AB798" s="23"/>
      <c r="AC798" s="22"/>
      <c r="AD798" s="22"/>
      <c r="AE798" s="22"/>
      <c r="AF798" s="22"/>
      <c r="AG798" s="22"/>
      <c r="AH798" s="22"/>
      <c r="AI798" s="22"/>
      <c r="AJ798" s="22"/>
      <c r="AK798" s="22"/>
      <c r="AL798" s="22"/>
      <c r="AM798" s="22"/>
      <c r="AN798" s="22"/>
      <c r="AO798" s="22"/>
      <c r="AP798" s="22"/>
      <c r="AQ798" s="22"/>
      <c r="AR798" s="22"/>
      <c r="AS798" s="22"/>
      <c r="AT798" s="22"/>
      <c r="AU798" s="22"/>
      <c r="AV798" s="22"/>
      <c r="AW798" s="22"/>
      <c r="AX798" s="22"/>
      <c r="AY798" s="22"/>
      <c r="AZ798" s="22"/>
      <c r="BA798" s="22"/>
      <c r="BB798" s="22"/>
      <c r="BC798" s="22"/>
    </row>
    <row r="799" spans="1:55" customFormat="1" ht="21" customHeight="1" x14ac:dyDescent="0.25">
      <c r="A799" s="22"/>
      <c r="B799" s="22"/>
      <c r="C799" s="22"/>
      <c r="D799" s="22"/>
      <c r="E799" s="23"/>
      <c r="F799" s="22"/>
      <c r="G799" s="22"/>
      <c r="H799" s="23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3"/>
      <c r="AB799" s="23"/>
      <c r="AC799" s="22"/>
      <c r="AD799" s="22"/>
      <c r="AE799" s="22"/>
      <c r="AF799" s="22"/>
      <c r="AG799" s="22"/>
      <c r="AH799" s="22"/>
      <c r="AI799" s="22"/>
      <c r="AJ799" s="22"/>
      <c r="AK799" s="22"/>
      <c r="AL799" s="22"/>
      <c r="AM799" s="22"/>
      <c r="AN799" s="22"/>
      <c r="AO799" s="22"/>
      <c r="AP799" s="22"/>
      <c r="AQ799" s="22"/>
      <c r="AR799" s="22"/>
      <c r="AS799" s="22"/>
      <c r="AT799" s="22"/>
      <c r="AU799" s="22"/>
      <c r="AV799" s="22"/>
      <c r="AW799" s="22"/>
      <c r="AX799" s="22"/>
      <c r="AY799" s="22"/>
      <c r="AZ799" s="22"/>
      <c r="BA799" s="22"/>
      <c r="BB799" s="22"/>
      <c r="BC799" s="22"/>
    </row>
    <row r="800" spans="1:55" customFormat="1" ht="21" customHeight="1" x14ac:dyDescent="0.25">
      <c r="A800" s="22"/>
      <c r="B800" s="22"/>
      <c r="C800" s="22"/>
      <c r="D800" s="22"/>
      <c r="E800" s="23"/>
      <c r="F800" s="22"/>
      <c r="G800" s="22"/>
      <c r="H800" s="23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3"/>
      <c r="AB800" s="23"/>
      <c r="AC800" s="22"/>
      <c r="AD800" s="22"/>
      <c r="AE800" s="22"/>
      <c r="AF800" s="22"/>
      <c r="AG800" s="22"/>
      <c r="AH800" s="22"/>
      <c r="AI800" s="22"/>
      <c r="AJ800" s="22"/>
      <c r="AK800" s="22"/>
      <c r="AL800" s="22"/>
      <c r="AM800" s="22"/>
      <c r="AN800" s="22"/>
      <c r="AO800" s="22"/>
      <c r="AP800" s="22"/>
      <c r="AQ800" s="22"/>
      <c r="AR800" s="22"/>
      <c r="AS800" s="22"/>
      <c r="AT800" s="22"/>
      <c r="AU800" s="22"/>
      <c r="AV800" s="22"/>
      <c r="AW800" s="22"/>
      <c r="AX800" s="22"/>
      <c r="AY800" s="22"/>
      <c r="AZ800" s="22"/>
      <c r="BA800" s="22"/>
      <c r="BB800" s="22"/>
      <c r="BC800" s="22"/>
    </row>
    <row r="801" spans="1:55" customFormat="1" ht="21" customHeight="1" x14ac:dyDescent="0.25">
      <c r="A801" s="22"/>
      <c r="B801" s="22"/>
      <c r="C801" s="22"/>
      <c r="D801" s="22"/>
      <c r="E801" s="23"/>
      <c r="F801" s="22"/>
      <c r="G801" s="22"/>
      <c r="H801" s="23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3"/>
      <c r="AB801" s="23"/>
      <c r="AC801" s="22"/>
      <c r="AD801" s="22"/>
      <c r="AE801" s="22"/>
      <c r="AF801" s="22"/>
      <c r="AG801" s="22"/>
      <c r="AH801" s="22"/>
      <c r="AI801" s="22"/>
      <c r="AJ801" s="22"/>
      <c r="AK801" s="22"/>
      <c r="AL801" s="22"/>
      <c r="AM801" s="22"/>
      <c r="AN801" s="22"/>
      <c r="AO801" s="22"/>
      <c r="AP801" s="22"/>
      <c r="AQ801" s="22"/>
      <c r="AR801" s="22"/>
      <c r="AS801" s="22"/>
      <c r="AT801" s="22"/>
      <c r="AU801" s="22"/>
      <c r="AV801" s="22"/>
      <c r="AW801" s="22"/>
      <c r="AX801" s="22"/>
      <c r="AY801" s="22"/>
      <c r="AZ801" s="22"/>
      <c r="BA801" s="22"/>
      <c r="BB801" s="22"/>
      <c r="BC801" s="22"/>
    </row>
    <row r="802" spans="1:55" customFormat="1" ht="21" customHeight="1" x14ac:dyDescent="0.25">
      <c r="A802" s="22"/>
      <c r="B802" s="22"/>
      <c r="C802" s="22"/>
      <c r="D802" s="22"/>
      <c r="E802" s="23"/>
      <c r="F802" s="22"/>
      <c r="G802" s="22"/>
      <c r="H802" s="23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3"/>
      <c r="AB802" s="23"/>
      <c r="AC802" s="22"/>
      <c r="AD802" s="22"/>
      <c r="AE802" s="22"/>
      <c r="AF802" s="22"/>
      <c r="AG802" s="22"/>
      <c r="AH802" s="22"/>
      <c r="AI802" s="22"/>
      <c r="AJ802" s="22"/>
      <c r="AK802" s="22"/>
      <c r="AL802" s="22"/>
      <c r="AM802" s="22"/>
      <c r="AN802" s="22"/>
      <c r="AO802" s="22"/>
      <c r="AP802" s="22"/>
      <c r="AQ802" s="22"/>
      <c r="AR802" s="22"/>
      <c r="AS802" s="22"/>
      <c r="AT802" s="22"/>
      <c r="AU802" s="22"/>
      <c r="AV802" s="22"/>
      <c r="AW802" s="22"/>
      <c r="AX802" s="22"/>
      <c r="AY802" s="22"/>
      <c r="AZ802" s="22"/>
      <c r="BA802" s="22"/>
      <c r="BB802" s="22"/>
      <c r="BC802" s="22"/>
    </row>
    <row r="803" spans="1:55" customFormat="1" ht="21" customHeight="1" x14ac:dyDescent="0.25">
      <c r="A803" s="22"/>
      <c r="B803" s="22"/>
      <c r="C803" s="22"/>
      <c r="D803" s="22"/>
      <c r="E803" s="23"/>
      <c r="F803" s="22"/>
      <c r="G803" s="22"/>
      <c r="H803" s="23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3"/>
      <c r="AB803" s="23"/>
      <c r="AC803" s="22"/>
      <c r="AD803" s="22"/>
      <c r="AE803" s="22"/>
      <c r="AF803" s="22"/>
      <c r="AG803" s="22"/>
      <c r="AH803" s="22"/>
      <c r="AI803" s="22"/>
      <c r="AJ803" s="22"/>
      <c r="AK803" s="22"/>
      <c r="AL803" s="22"/>
      <c r="AM803" s="22"/>
      <c r="AN803" s="22"/>
      <c r="AO803" s="22"/>
      <c r="AP803" s="22"/>
      <c r="AQ803" s="22"/>
      <c r="AR803" s="22"/>
      <c r="AS803" s="22"/>
      <c r="AT803" s="22"/>
      <c r="AU803" s="22"/>
      <c r="AV803" s="22"/>
      <c r="AW803" s="22"/>
      <c r="AX803" s="22"/>
      <c r="AY803" s="22"/>
      <c r="AZ803" s="22"/>
      <c r="BA803" s="22"/>
      <c r="BB803" s="22"/>
      <c r="BC803" s="22"/>
    </row>
    <row r="804" spans="1:55" customFormat="1" ht="21" customHeight="1" x14ac:dyDescent="0.25">
      <c r="A804" s="22"/>
      <c r="B804" s="22"/>
      <c r="C804" s="22"/>
      <c r="D804" s="22"/>
      <c r="E804" s="23"/>
      <c r="F804" s="22"/>
      <c r="G804" s="22"/>
      <c r="H804" s="23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3"/>
      <c r="AB804" s="23"/>
      <c r="AC804" s="22"/>
      <c r="AD804" s="22"/>
      <c r="AE804" s="22"/>
      <c r="AF804" s="22"/>
      <c r="AG804" s="22"/>
      <c r="AH804" s="22"/>
      <c r="AI804" s="22"/>
      <c r="AJ804" s="22"/>
      <c r="AK804" s="22"/>
      <c r="AL804" s="22"/>
      <c r="AM804" s="22"/>
      <c r="AN804" s="22"/>
      <c r="AO804" s="22"/>
      <c r="AP804" s="22"/>
      <c r="AQ804" s="22"/>
      <c r="AR804" s="22"/>
      <c r="AS804" s="22"/>
      <c r="AT804" s="22"/>
      <c r="AU804" s="22"/>
      <c r="AV804" s="22"/>
      <c r="AW804" s="22"/>
      <c r="AX804" s="22"/>
      <c r="AY804" s="22"/>
      <c r="AZ804" s="22"/>
      <c r="BA804" s="22"/>
      <c r="BB804" s="22"/>
      <c r="BC804" s="22"/>
    </row>
    <row r="805" spans="1:55" customFormat="1" ht="21" customHeight="1" x14ac:dyDescent="0.25">
      <c r="A805" s="22"/>
      <c r="B805" s="22"/>
      <c r="C805" s="22"/>
      <c r="D805" s="22"/>
      <c r="E805" s="23"/>
      <c r="F805" s="22"/>
      <c r="G805" s="22"/>
      <c r="H805" s="23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3"/>
      <c r="AB805" s="23"/>
      <c r="AC805" s="22"/>
      <c r="AD805" s="22"/>
      <c r="AE805" s="22"/>
      <c r="AF805" s="22"/>
      <c r="AG805" s="22"/>
      <c r="AH805" s="22"/>
      <c r="AI805" s="22"/>
      <c r="AJ805" s="22"/>
      <c r="AK805" s="22"/>
      <c r="AL805" s="22"/>
      <c r="AM805" s="22"/>
      <c r="AN805" s="22"/>
      <c r="AO805" s="22"/>
      <c r="AP805" s="22"/>
      <c r="AQ805" s="22"/>
      <c r="AR805" s="22"/>
      <c r="AS805" s="22"/>
      <c r="AT805" s="22"/>
      <c r="AU805" s="22"/>
      <c r="AV805" s="22"/>
      <c r="AW805" s="22"/>
      <c r="AX805" s="22"/>
      <c r="AY805" s="22"/>
      <c r="AZ805" s="22"/>
      <c r="BA805" s="22"/>
      <c r="BB805" s="22"/>
      <c r="BC805" s="22"/>
    </row>
    <row r="806" spans="1:55" customFormat="1" ht="21" customHeight="1" x14ac:dyDescent="0.25">
      <c r="A806" s="22"/>
      <c r="B806" s="22"/>
      <c r="C806" s="22"/>
      <c r="D806" s="22"/>
      <c r="E806" s="23"/>
      <c r="F806" s="22"/>
      <c r="G806" s="22"/>
      <c r="H806" s="23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3"/>
      <c r="AB806" s="23"/>
      <c r="AC806" s="22"/>
      <c r="AD806" s="22"/>
      <c r="AE806" s="22"/>
      <c r="AF806" s="22"/>
      <c r="AG806" s="22"/>
      <c r="AH806" s="22"/>
      <c r="AI806" s="22"/>
      <c r="AJ806" s="22"/>
      <c r="AK806" s="22"/>
      <c r="AL806" s="22"/>
      <c r="AM806" s="22"/>
      <c r="AN806" s="22"/>
      <c r="AO806" s="22"/>
      <c r="AP806" s="22"/>
      <c r="AQ806" s="22"/>
      <c r="AR806" s="22"/>
      <c r="AS806" s="22"/>
      <c r="AT806" s="22"/>
      <c r="AU806" s="22"/>
      <c r="AV806" s="22"/>
      <c r="AW806" s="22"/>
      <c r="AX806" s="22"/>
      <c r="AY806" s="22"/>
      <c r="AZ806" s="22"/>
      <c r="BA806" s="22"/>
      <c r="BB806" s="22"/>
      <c r="BC806" s="22"/>
    </row>
    <row r="807" spans="1:55" customFormat="1" ht="21" customHeight="1" x14ac:dyDescent="0.25">
      <c r="A807" s="22"/>
      <c r="B807" s="22"/>
      <c r="C807" s="22"/>
      <c r="D807" s="22"/>
      <c r="E807" s="23"/>
      <c r="F807" s="22"/>
      <c r="G807" s="22"/>
      <c r="H807" s="23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3"/>
      <c r="AB807" s="23"/>
      <c r="AC807" s="22"/>
      <c r="AD807" s="22"/>
      <c r="AE807" s="22"/>
      <c r="AF807" s="22"/>
      <c r="AG807" s="22"/>
      <c r="AH807" s="22"/>
      <c r="AI807" s="22"/>
      <c r="AJ807" s="22"/>
      <c r="AK807" s="22"/>
      <c r="AL807" s="22"/>
      <c r="AM807" s="22"/>
      <c r="AN807" s="22"/>
      <c r="AO807" s="22"/>
      <c r="AP807" s="22"/>
      <c r="AQ807" s="22"/>
      <c r="AR807" s="22"/>
      <c r="AS807" s="22"/>
      <c r="AT807" s="22"/>
      <c r="AU807" s="22"/>
      <c r="AV807" s="22"/>
      <c r="AW807" s="22"/>
      <c r="AX807" s="22"/>
      <c r="AY807" s="22"/>
      <c r="AZ807" s="22"/>
      <c r="BA807" s="22"/>
      <c r="BB807" s="22"/>
      <c r="BC807" s="22"/>
    </row>
    <row r="808" spans="1:55" customFormat="1" ht="21" customHeight="1" x14ac:dyDescent="0.25">
      <c r="A808" s="22"/>
      <c r="B808" s="22"/>
      <c r="C808" s="22"/>
      <c r="D808" s="22"/>
      <c r="E808" s="23"/>
      <c r="F808" s="22"/>
      <c r="G808" s="22"/>
      <c r="H808" s="23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3"/>
      <c r="AB808" s="23"/>
      <c r="AC808" s="22"/>
      <c r="AD808" s="22"/>
      <c r="AE808" s="22"/>
      <c r="AF808" s="22"/>
      <c r="AG808" s="22"/>
      <c r="AH808" s="22"/>
      <c r="AI808" s="22"/>
      <c r="AJ808" s="22"/>
      <c r="AK808" s="22"/>
      <c r="AL808" s="22"/>
      <c r="AM808" s="22"/>
      <c r="AN808" s="22"/>
      <c r="AO808" s="22"/>
      <c r="AP808" s="22"/>
      <c r="AQ808" s="22"/>
      <c r="AR808" s="22"/>
      <c r="AS808" s="22"/>
      <c r="AT808" s="22"/>
      <c r="AU808" s="22"/>
      <c r="AV808" s="22"/>
      <c r="AW808" s="22"/>
      <c r="AX808" s="22"/>
      <c r="AY808" s="22"/>
      <c r="AZ808" s="22"/>
      <c r="BA808" s="22"/>
      <c r="BB808" s="22"/>
      <c r="BC808" s="22"/>
    </row>
    <row r="809" spans="1:55" customFormat="1" ht="21" customHeight="1" x14ac:dyDescent="0.25">
      <c r="A809" s="22"/>
      <c r="B809" s="22"/>
      <c r="C809" s="22"/>
      <c r="D809" s="22"/>
      <c r="E809" s="23"/>
      <c r="F809" s="22"/>
      <c r="G809" s="22"/>
      <c r="H809" s="23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3"/>
      <c r="AB809" s="23"/>
      <c r="AC809" s="22"/>
      <c r="AD809" s="22"/>
      <c r="AE809" s="22"/>
      <c r="AF809" s="22"/>
      <c r="AG809" s="22"/>
      <c r="AH809" s="22"/>
      <c r="AI809" s="22"/>
      <c r="AJ809" s="22"/>
      <c r="AK809" s="22"/>
      <c r="AL809" s="22"/>
      <c r="AM809" s="22"/>
      <c r="AN809" s="22"/>
      <c r="AO809" s="22"/>
      <c r="AP809" s="22"/>
      <c r="AQ809" s="22"/>
      <c r="AR809" s="22"/>
      <c r="AS809" s="22"/>
      <c r="AT809" s="22"/>
      <c r="AU809" s="22"/>
      <c r="AV809" s="22"/>
      <c r="AW809" s="22"/>
      <c r="AX809" s="22"/>
      <c r="AY809" s="22"/>
      <c r="AZ809" s="22"/>
      <c r="BA809" s="22"/>
      <c r="BB809" s="22"/>
      <c r="BC809" s="22"/>
    </row>
    <row r="810" spans="1:55" customFormat="1" ht="21" customHeight="1" x14ac:dyDescent="0.25">
      <c r="A810" s="22"/>
      <c r="B810" s="22"/>
      <c r="C810" s="22"/>
      <c r="D810" s="22"/>
      <c r="E810" s="23"/>
      <c r="F810" s="22"/>
      <c r="G810" s="22"/>
      <c r="H810" s="23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3"/>
      <c r="AB810" s="23"/>
      <c r="AC810" s="22"/>
      <c r="AD810" s="22"/>
      <c r="AE810" s="22"/>
      <c r="AF810" s="22"/>
      <c r="AG810" s="22"/>
      <c r="AH810" s="22"/>
      <c r="AI810" s="22"/>
      <c r="AJ810" s="22"/>
      <c r="AK810" s="22"/>
      <c r="AL810" s="22"/>
      <c r="AM810" s="22"/>
      <c r="AN810" s="22"/>
      <c r="AO810" s="22"/>
      <c r="AP810" s="22"/>
      <c r="AQ810" s="22"/>
      <c r="AR810" s="22"/>
      <c r="AS810" s="22"/>
      <c r="AT810" s="22"/>
      <c r="AU810" s="22"/>
      <c r="AV810" s="22"/>
      <c r="AW810" s="22"/>
      <c r="AX810" s="22"/>
      <c r="AY810" s="22"/>
      <c r="AZ810" s="22"/>
      <c r="BA810" s="22"/>
      <c r="BB810" s="22"/>
      <c r="BC810" s="22"/>
    </row>
    <row r="811" spans="1:55" customFormat="1" ht="21" customHeight="1" x14ac:dyDescent="0.25">
      <c r="A811" s="22"/>
      <c r="B811" s="22"/>
      <c r="C811" s="22"/>
      <c r="D811" s="22"/>
      <c r="E811" s="23"/>
      <c r="F811" s="22"/>
      <c r="G811" s="22"/>
      <c r="H811" s="23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3"/>
      <c r="AB811" s="23"/>
      <c r="AC811" s="22"/>
      <c r="AD811" s="22"/>
      <c r="AE811" s="22"/>
      <c r="AF811" s="22"/>
      <c r="AG811" s="22"/>
      <c r="AH811" s="22"/>
      <c r="AI811" s="22"/>
      <c r="AJ811" s="22"/>
      <c r="AK811" s="22"/>
      <c r="AL811" s="22"/>
      <c r="AM811" s="22"/>
      <c r="AN811" s="22"/>
      <c r="AO811" s="22"/>
      <c r="AP811" s="22"/>
      <c r="AQ811" s="22"/>
      <c r="AR811" s="22"/>
      <c r="AS811" s="22"/>
      <c r="AT811" s="22"/>
      <c r="AU811" s="22"/>
      <c r="AV811" s="22"/>
      <c r="AW811" s="22"/>
      <c r="AX811" s="22"/>
      <c r="AY811" s="22"/>
      <c r="AZ811" s="22"/>
      <c r="BA811" s="22"/>
      <c r="BB811" s="22"/>
      <c r="BC811" s="22"/>
    </row>
    <row r="812" spans="1:55" customFormat="1" ht="21" customHeight="1" x14ac:dyDescent="0.25">
      <c r="A812" s="22"/>
      <c r="B812" s="22"/>
      <c r="C812" s="22"/>
      <c r="D812" s="22"/>
      <c r="E812" s="23"/>
      <c r="F812" s="22"/>
      <c r="G812" s="22"/>
      <c r="H812" s="23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3"/>
      <c r="AB812" s="23"/>
      <c r="AC812" s="22"/>
      <c r="AD812" s="22"/>
      <c r="AE812" s="22"/>
      <c r="AF812" s="22"/>
      <c r="AG812" s="22"/>
      <c r="AH812" s="22"/>
      <c r="AI812" s="22"/>
      <c r="AJ812" s="22"/>
      <c r="AK812" s="22"/>
      <c r="AL812" s="22"/>
      <c r="AM812" s="22"/>
      <c r="AN812" s="22"/>
      <c r="AO812" s="22"/>
      <c r="AP812" s="22"/>
      <c r="AQ812" s="22"/>
      <c r="AR812" s="22"/>
      <c r="AS812" s="22"/>
      <c r="AT812" s="22"/>
      <c r="AU812" s="22"/>
      <c r="AV812" s="22"/>
      <c r="AW812" s="22"/>
      <c r="AX812" s="22"/>
      <c r="AY812" s="22"/>
      <c r="AZ812" s="22"/>
      <c r="BA812" s="22"/>
      <c r="BB812" s="22"/>
      <c r="BC812" s="22"/>
    </row>
    <row r="813" spans="1:55" customFormat="1" ht="21" customHeight="1" x14ac:dyDescent="0.25">
      <c r="A813" s="22"/>
      <c r="B813" s="22"/>
      <c r="C813" s="22"/>
      <c r="D813" s="22"/>
      <c r="E813" s="23"/>
      <c r="F813" s="22"/>
      <c r="G813" s="22"/>
      <c r="H813" s="23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3"/>
      <c r="AB813" s="23"/>
      <c r="AC813" s="22"/>
      <c r="AD813" s="22"/>
      <c r="AE813" s="22"/>
      <c r="AF813" s="22"/>
      <c r="AG813" s="22"/>
      <c r="AH813" s="22"/>
      <c r="AI813" s="22"/>
      <c r="AJ813" s="22"/>
      <c r="AK813" s="22"/>
      <c r="AL813" s="22"/>
      <c r="AM813" s="22"/>
      <c r="AN813" s="22"/>
      <c r="AO813" s="22"/>
      <c r="AP813" s="22"/>
      <c r="AQ813" s="22"/>
      <c r="AR813" s="22"/>
      <c r="AS813" s="22"/>
      <c r="AT813" s="22"/>
      <c r="AU813" s="22"/>
      <c r="AV813" s="22"/>
      <c r="AW813" s="22"/>
      <c r="AX813" s="22"/>
      <c r="AY813" s="22"/>
      <c r="AZ813" s="22"/>
      <c r="BA813" s="22"/>
      <c r="BB813" s="22"/>
      <c r="BC813" s="22"/>
    </row>
    <row r="814" spans="1:55" customFormat="1" ht="21" customHeight="1" x14ac:dyDescent="0.25">
      <c r="A814" s="22"/>
      <c r="B814" s="22"/>
      <c r="C814" s="22"/>
      <c r="D814" s="22"/>
      <c r="E814" s="23"/>
      <c r="F814" s="22"/>
      <c r="G814" s="22"/>
      <c r="H814" s="23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3"/>
      <c r="AB814" s="23"/>
      <c r="AC814" s="22"/>
      <c r="AD814" s="22"/>
      <c r="AE814" s="22"/>
      <c r="AF814" s="22"/>
      <c r="AG814" s="22"/>
      <c r="AH814" s="22"/>
      <c r="AI814" s="22"/>
      <c r="AJ814" s="22"/>
      <c r="AK814" s="22"/>
      <c r="AL814" s="22"/>
      <c r="AM814" s="22"/>
      <c r="AN814" s="22"/>
      <c r="AO814" s="22"/>
      <c r="AP814" s="22"/>
      <c r="AQ814" s="22"/>
      <c r="AR814" s="22"/>
      <c r="AS814" s="22"/>
      <c r="AT814" s="22"/>
      <c r="AU814" s="22"/>
      <c r="AV814" s="22"/>
      <c r="AW814" s="22"/>
      <c r="AX814" s="22"/>
      <c r="AY814" s="22"/>
      <c r="AZ814" s="22"/>
      <c r="BA814" s="22"/>
      <c r="BB814" s="22"/>
      <c r="BC814" s="22"/>
    </row>
    <row r="815" spans="1:55" customFormat="1" ht="21" customHeight="1" x14ac:dyDescent="0.25">
      <c r="A815" s="22"/>
      <c r="B815" s="22"/>
      <c r="C815" s="22"/>
      <c r="D815" s="22"/>
      <c r="E815" s="23"/>
      <c r="F815" s="22"/>
      <c r="G815" s="22"/>
      <c r="H815" s="23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3"/>
      <c r="AB815" s="23"/>
      <c r="AC815" s="22"/>
      <c r="AD815" s="22"/>
      <c r="AE815" s="22"/>
      <c r="AF815" s="22"/>
      <c r="AG815" s="22"/>
      <c r="AH815" s="22"/>
      <c r="AI815" s="22"/>
      <c r="AJ815" s="22"/>
      <c r="AK815" s="22"/>
      <c r="AL815" s="22"/>
      <c r="AM815" s="22"/>
      <c r="AN815" s="22"/>
      <c r="AO815" s="22"/>
      <c r="AP815" s="22"/>
      <c r="AQ815" s="22"/>
      <c r="AR815" s="22"/>
      <c r="AS815" s="22"/>
      <c r="AT815" s="22"/>
      <c r="AU815" s="22"/>
      <c r="AV815" s="22"/>
      <c r="AW815" s="22"/>
      <c r="AX815" s="22"/>
      <c r="AY815" s="22"/>
      <c r="AZ815" s="22"/>
      <c r="BA815" s="22"/>
      <c r="BB815" s="22"/>
      <c r="BC815" s="22"/>
    </row>
    <row r="816" spans="1:55" customFormat="1" ht="21" customHeight="1" x14ac:dyDescent="0.25">
      <c r="A816" s="22"/>
      <c r="B816" s="22"/>
      <c r="C816" s="22"/>
      <c r="D816" s="22"/>
      <c r="E816" s="23"/>
      <c r="F816" s="22"/>
      <c r="G816" s="22"/>
      <c r="H816" s="23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3"/>
      <c r="AB816" s="23"/>
      <c r="AC816" s="22"/>
      <c r="AD816" s="22"/>
      <c r="AE816" s="22"/>
      <c r="AF816" s="22"/>
      <c r="AG816" s="22"/>
      <c r="AH816" s="22"/>
      <c r="AI816" s="22"/>
      <c r="AJ816" s="22"/>
      <c r="AK816" s="22"/>
      <c r="AL816" s="22"/>
      <c r="AM816" s="22"/>
      <c r="AN816" s="22"/>
      <c r="AO816" s="22"/>
      <c r="AP816" s="22"/>
      <c r="AQ816" s="22"/>
      <c r="AR816" s="22"/>
      <c r="AS816" s="22"/>
      <c r="AT816" s="22"/>
      <c r="AU816" s="22"/>
      <c r="AV816" s="22"/>
      <c r="AW816" s="22"/>
      <c r="AX816" s="22"/>
      <c r="AY816" s="22"/>
      <c r="AZ816" s="22"/>
      <c r="BA816" s="22"/>
      <c r="BB816" s="22"/>
      <c r="BC816" s="22"/>
    </row>
    <row r="817" spans="1:55" customFormat="1" ht="21" customHeight="1" x14ac:dyDescent="0.25">
      <c r="A817" s="22"/>
      <c r="B817" s="22"/>
      <c r="C817" s="22"/>
      <c r="D817" s="22"/>
      <c r="E817" s="23"/>
      <c r="F817" s="22"/>
      <c r="G817" s="22"/>
      <c r="H817" s="23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3"/>
      <c r="AB817" s="23"/>
      <c r="AC817" s="22"/>
      <c r="AD817" s="22"/>
      <c r="AE817" s="22"/>
      <c r="AF817" s="22"/>
      <c r="AG817" s="22"/>
      <c r="AH817" s="22"/>
      <c r="AI817" s="22"/>
      <c r="AJ817" s="22"/>
      <c r="AK817" s="22"/>
      <c r="AL817" s="22"/>
      <c r="AM817" s="22"/>
      <c r="AN817" s="22"/>
      <c r="AO817" s="22"/>
      <c r="AP817" s="22"/>
      <c r="AQ817" s="22"/>
      <c r="AR817" s="22"/>
      <c r="AS817" s="22"/>
      <c r="AT817" s="22"/>
      <c r="AU817" s="22"/>
      <c r="AV817" s="22"/>
      <c r="AW817" s="22"/>
      <c r="AX817" s="22"/>
      <c r="AY817" s="22"/>
      <c r="AZ817" s="22"/>
      <c r="BA817" s="22"/>
      <c r="BB817" s="22"/>
      <c r="BC817" s="22"/>
    </row>
    <row r="818" spans="1:55" customFormat="1" ht="21" customHeight="1" x14ac:dyDescent="0.25">
      <c r="A818" s="22"/>
      <c r="B818" s="22"/>
      <c r="C818" s="22"/>
      <c r="D818" s="22"/>
      <c r="E818" s="23"/>
      <c r="F818" s="22"/>
      <c r="G818" s="22"/>
      <c r="H818" s="23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3"/>
      <c r="AB818" s="23"/>
      <c r="AC818" s="22"/>
      <c r="AD818" s="22"/>
      <c r="AE818" s="22"/>
      <c r="AF818" s="22"/>
      <c r="AG818" s="22"/>
      <c r="AH818" s="22"/>
      <c r="AI818" s="22"/>
      <c r="AJ818" s="22"/>
      <c r="AK818" s="22"/>
      <c r="AL818" s="22"/>
      <c r="AM818" s="22"/>
      <c r="AN818" s="22"/>
      <c r="AO818" s="22"/>
      <c r="AP818" s="22"/>
      <c r="AQ818" s="22"/>
      <c r="AR818" s="22"/>
      <c r="AS818" s="22"/>
      <c r="AT818" s="22"/>
      <c r="AU818" s="22"/>
      <c r="AV818" s="22"/>
      <c r="AW818" s="22"/>
      <c r="AX818" s="22"/>
      <c r="AY818" s="22"/>
      <c r="AZ818" s="22"/>
      <c r="BA818" s="22"/>
      <c r="BB818" s="22"/>
      <c r="BC818" s="22"/>
    </row>
    <row r="819" spans="1:55" customFormat="1" ht="21" customHeight="1" x14ac:dyDescent="0.25">
      <c r="A819" s="22"/>
      <c r="B819" s="22"/>
      <c r="C819" s="22"/>
      <c r="D819" s="22"/>
      <c r="E819" s="23"/>
      <c r="F819" s="22"/>
      <c r="G819" s="22"/>
      <c r="H819" s="23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3"/>
      <c r="AB819" s="23"/>
      <c r="AC819" s="22"/>
      <c r="AD819" s="22"/>
      <c r="AE819" s="22"/>
      <c r="AF819" s="22"/>
      <c r="AG819" s="22"/>
      <c r="AH819" s="22"/>
      <c r="AI819" s="22"/>
      <c r="AJ819" s="22"/>
      <c r="AK819" s="22"/>
      <c r="AL819" s="22"/>
      <c r="AM819" s="22"/>
      <c r="AN819" s="22"/>
      <c r="AO819" s="22"/>
      <c r="AP819" s="22"/>
      <c r="AQ819" s="22"/>
      <c r="AR819" s="22"/>
      <c r="AS819" s="22"/>
      <c r="AT819" s="22"/>
      <c r="AU819" s="22"/>
      <c r="AV819" s="22"/>
      <c r="AW819" s="22"/>
      <c r="AX819" s="22"/>
      <c r="AY819" s="22"/>
      <c r="AZ819" s="22"/>
      <c r="BA819" s="22"/>
      <c r="BB819" s="22"/>
      <c r="BC819" s="22"/>
    </row>
    <row r="820" spans="1:55" customFormat="1" ht="21" customHeight="1" x14ac:dyDescent="0.25">
      <c r="A820" s="22"/>
      <c r="B820" s="22"/>
      <c r="C820" s="22"/>
      <c r="D820" s="22"/>
      <c r="E820" s="23"/>
      <c r="F820" s="22"/>
      <c r="G820" s="22"/>
      <c r="H820" s="23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3"/>
      <c r="AB820" s="23"/>
      <c r="AC820" s="22"/>
      <c r="AD820" s="22"/>
      <c r="AE820" s="22"/>
      <c r="AF820" s="22"/>
      <c r="AG820" s="22"/>
      <c r="AH820" s="22"/>
      <c r="AI820" s="22"/>
      <c r="AJ820" s="22"/>
      <c r="AK820" s="22"/>
      <c r="AL820" s="22"/>
      <c r="AM820" s="22"/>
      <c r="AN820" s="22"/>
      <c r="AO820" s="22"/>
      <c r="AP820" s="22"/>
      <c r="AQ820" s="22"/>
      <c r="AR820" s="22"/>
      <c r="AS820" s="22"/>
      <c r="AT820" s="22"/>
      <c r="AU820" s="22"/>
      <c r="AV820" s="22"/>
      <c r="AW820" s="22"/>
      <c r="AX820" s="22"/>
      <c r="AY820" s="22"/>
      <c r="AZ820" s="22"/>
      <c r="BA820" s="22"/>
      <c r="BB820" s="22"/>
      <c r="BC820" s="22"/>
    </row>
    <row r="821" spans="1:55" customFormat="1" ht="21" customHeight="1" x14ac:dyDescent="0.25">
      <c r="A821" s="22"/>
      <c r="B821" s="22"/>
      <c r="C821" s="22"/>
      <c r="D821" s="22"/>
      <c r="E821" s="23"/>
      <c r="F821" s="22"/>
      <c r="G821" s="22"/>
      <c r="H821" s="23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3"/>
      <c r="AB821" s="23"/>
      <c r="AC821" s="22"/>
      <c r="AD821" s="22"/>
      <c r="AE821" s="22"/>
      <c r="AF821" s="22"/>
      <c r="AG821" s="22"/>
      <c r="AH821" s="22"/>
      <c r="AI821" s="22"/>
      <c r="AJ821" s="22"/>
      <c r="AK821" s="22"/>
      <c r="AL821" s="22"/>
      <c r="AM821" s="22"/>
      <c r="AN821" s="22"/>
      <c r="AO821" s="22"/>
      <c r="AP821" s="22"/>
      <c r="AQ821" s="22"/>
      <c r="AR821" s="22"/>
      <c r="AS821" s="22"/>
      <c r="AT821" s="22"/>
      <c r="AU821" s="22"/>
      <c r="AV821" s="22"/>
      <c r="AW821" s="22"/>
      <c r="AX821" s="22"/>
      <c r="AY821" s="22"/>
      <c r="AZ821" s="22"/>
      <c r="BA821" s="22"/>
      <c r="BB821" s="22"/>
      <c r="BC821" s="22"/>
    </row>
    <row r="822" spans="1:55" customFormat="1" ht="21" customHeight="1" x14ac:dyDescent="0.25">
      <c r="A822" s="22"/>
      <c r="B822" s="22"/>
      <c r="C822" s="22"/>
      <c r="D822" s="22"/>
      <c r="E822" s="23"/>
      <c r="F822" s="22"/>
      <c r="G822" s="22"/>
      <c r="H822" s="23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3"/>
      <c r="AB822" s="23"/>
      <c r="AC822" s="22"/>
      <c r="AD822" s="22"/>
      <c r="AE822" s="22"/>
      <c r="AF822" s="22"/>
      <c r="AG822" s="22"/>
      <c r="AH822" s="22"/>
      <c r="AI822" s="22"/>
      <c r="AJ822" s="22"/>
      <c r="AK822" s="22"/>
      <c r="AL822" s="22"/>
      <c r="AM822" s="22"/>
      <c r="AN822" s="22"/>
      <c r="AO822" s="22"/>
      <c r="AP822" s="22"/>
      <c r="AQ822" s="22"/>
      <c r="AR822" s="22"/>
      <c r="AS822" s="22"/>
      <c r="AT822" s="22"/>
      <c r="AU822" s="22"/>
      <c r="AV822" s="22"/>
      <c r="AW822" s="22"/>
      <c r="AX822" s="22"/>
      <c r="AY822" s="22"/>
      <c r="AZ822" s="22"/>
      <c r="BA822" s="22"/>
      <c r="BB822" s="22"/>
      <c r="BC822" s="22"/>
    </row>
    <row r="823" spans="1:55" customFormat="1" ht="21" customHeight="1" x14ac:dyDescent="0.25">
      <c r="A823" s="22"/>
      <c r="B823" s="22"/>
      <c r="C823" s="22"/>
      <c r="D823" s="22"/>
      <c r="E823" s="23"/>
      <c r="F823" s="22"/>
      <c r="G823" s="22"/>
      <c r="H823" s="23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3"/>
      <c r="AB823" s="23"/>
      <c r="AC823" s="22"/>
      <c r="AD823" s="22"/>
      <c r="AE823" s="22"/>
      <c r="AF823" s="22"/>
      <c r="AG823" s="22"/>
      <c r="AH823" s="22"/>
      <c r="AI823" s="22"/>
      <c r="AJ823" s="22"/>
      <c r="AK823" s="22"/>
      <c r="AL823" s="22"/>
      <c r="AM823" s="22"/>
      <c r="AN823" s="22"/>
      <c r="AO823" s="22"/>
      <c r="AP823" s="22"/>
      <c r="AQ823" s="22"/>
      <c r="AR823" s="22"/>
      <c r="AS823" s="22"/>
      <c r="AT823" s="22"/>
      <c r="AU823" s="22"/>
      <c r="AV823" s="22"/>
      <c r="AW823" s="22"/>
      <c r="AX823" s="22"/>
      <c r="AY823" s="22"/>
      <c r="AZ823" s="22"/>
      <c r="BA823" s="22"/>
      <c r="BB823" s="22"/>
      <c r="BC823" s="22"/>
    </row>
    <row r="824" spans="1:55" customFormat="1" ht="21" customHeight="1" x14ac:dyDescent="0.25">
      <c r="A824" s="22"/>
      <c r="B824" s="22"/>
      <c r="C824" s="22"/>
      <c r="D824" s="22"/>
      <c r="E824" s="23"/>
      <c r="F824" s="22"/>
      <c r="G824" s="22"/>
      <c r="H824" s="23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3"/>
      <c r="AB824" s="23"/>
      <c r="AC824" s="22"/>
      <c r="AD824" s="22"/>
      <c r="AE824" s="22"/>
      <c r="AF824" s="22"/>
      <c r="AG824" s="22"/>
      <c r="AH824" s="22"/>
      <c r="AI824" s="22"/>
      <c r="AJ824" s="22"/>
      <c r="AK824" s="22"/>
      <c r="AL824" s="22"/>
      <c r="AM824" s="22"/>
      <c r="AN824" s="22"/>
      <c r="AO824" s="22"/>
      <c r="AP824" s="22"/>
      <c r="AQ824" s="22"/>
      <c r="AR824" s="22"/>
      <c r="AS824" s="22"/>
      <c r="AT824" s="22"/>
      <c r="AU824" s="22"/>
      <c r="AV824" s="22"/>
      <c r="AW824" s="22"/>
      <c r="AX824" s="22"/>
      <c r="AY824" s="22"/>
      <c r="AZ824" s="22"/>
      <c r="BA824" s="22"/>
      <c r="BB824" s="22"/>
      <c r="BC824" s="22"/>
    </row>
    <row r="825" spans="1:55" customFormat="1" ht="21" customHeight="1" x14ac:dyDescent="0.25">
      <c r="A825" s="22"/>
      <c r="B825" s="22"/>
      <c r="C825" s="22"/>
      <c r="D825" s="22"/>
      <c r="E825" s="23"/>
      <c r="F825" s="22"/>
      <c r="G825" s="22"/>
      <c r="H825" s="23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3"/>
      <c r="AB825" s="23"/>
      <c r="AC825" s="22"/>
      <c r="AD825" s="22"/>
      <c r="AE825" s="22"/>
      <c r="AF825" s="22"/>
      <c r="AG825" s="22"/>
      <c r="AH825" s="22"/>
      <c r="AI825" s="22"/>
      <c r="AJ825" s="22"/>
      <c r="AK825" s="22"/>
      <c r="AL825" s="22"/>
      <c r="AM825" s="22"/>
      <c r="AN825" s="22"/>
      <c r="AO825" s="22"/>
      <c r="AP825" s="22"/>
      <c r="AQ825" s="22"/>
      <c r="AR825" s="22"/>
      <c r="AS825" s="22"/>
      <c r="AT825" s="22"/>
      <c r="AU825" s="22"/>
      <c r="AV825" s="22"/>
      <c r="AW825" s="22"/>
      <c r="AX825" s="22"/>
      <c r="AY825" s="22"/>
      <c r="AZ825" s="22"/>
      <c r="BA825" s="22"/>
      <c r="BB825" s="22"/>
      <c r="BC825" s="22"/>
    </row>
    <row r="826" spans="1:55" customFormat="1" ht="21" customHeight="1" x14ac:dyDescent="0.25">
      <c r="A826" s="22"/>
      <c r="B826" s="22"/>
      <c r="C826" s="22"/>
      <c r="D826" s="22"/>
      <c r="E826" s="23"/>
      <c r="F826" s="22"/>
      <c r="G826" s="22"/>
      <c r="H826" s="23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3"/>
      <c r="AB826" s="23"/>
      <c r="AC826" s="22"/>
      <c r="AD826" s="22"/>
      <c r="AE826" s="22"/>
      <c r="AF826" s="22"/>
      <c r="AG826" s="22"/>
      <c r="AH826" s="22"/>
      <c r="AI826" s="22"/>
      <c r="AJ826" s="22"/>
      <c r="AK826" s="22"/>
      <c r="AL826" s="22"/>
      <c r="AM826" s="22"/>
      <c r="AN826" s="22"/>
      <c r="AO826" s="22"/>
      <c r="AP826" s="22"/>
      <c r="AQ826" s="22"/>
      <c r="AR826" s="22"/>
      <c r="AS826" s="22"/>
      <c r="AT826" s="22"/>
      <c r="AU826" s="22"/>
      <c r="AV826" s="22"/>
      <c r="AW826" s="22"/>
      <c r="AX826" s="22"/>
      <c r="AY826" s="22"/>
      <c r="AZ826" s="22"/>
      <c r="BA826" s="22"/>
      <c r="BB826" s="22"/>
      <c r="BC826" s="22"/>
    </row>
    <row r="827" spans="1:55" customFormat="1" ht="21" customHeight="1" x14ac:dyDescent="0.25">
      <c r="A827" s="22"/>
      <c r="B827" s="22"/>
      <c r="C827" s="22"/>
      <c r="D827" s="22"/>
      <c r="E827" s="23"/>
      <c r="F827" s="22"/>
      <c r="G827" s="22"/>
      <c r="H827" s="23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3"/>
      <c r="AB827" s="23"/>
      <c r="AC827" s="22"/>
      <c r="AD827" s="22"/>
      <c r="AE827" s="22"/>
      <c r="AF827" s="22"/>
      <c r="AG827" s="22"/>
      <c r="AH827" s="22"/>
      <c r="AI827" s="22"/>
      <c r="AJ827" s="22"/>
      <c r="AK827" s="22"/>
      <c r="AL827" s="22"/>
      <c r="AM827" s="22"/>
      <c r="AN827" s="22"/>
      <c r="AO827" s="22"/>
      <c r="AP827" s="22"/>
      <c r="AQ827" s="22"/>
      <c r="AR827" s="22"/>
      <c r="AS827" s="22"/>
      <c r="AT827" s="22"/>
      <c r="AU827" s="22"/>
      <c r="AV827" s="22"/>
      <c r="AW827" s="22"/>
      <c r="AX827" s="22"/>
      <c r="AY827" s="22"/>
      <c r="AZ827" s="22"/>
      <c r="BA827" s="22"/>
      <c r="BB827" s="22"/>
      <c r="BC827" s="22"/>
    </row>
    <row r="828" spans="1:55" customFormat="1" ht="21" customHeight="1" x14ac:dyDescent="0.25">
      <c r="A828" s="22"/>
      <c r="B828" s="22"/>
      <c r="C828" s="22"/>
      <c r="D828" s="22"/>
      <c r="E828" s="23"/>
      <c r="F828" s="22"/>
      <c r="G828" s="22"/>
      <c r="H828" s="23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3"/>
      <c r="AB828" s="23"/>
      <c r="AC828" s="22"/>
      <c r="AD828" s="22"/>
      <c r="AE828" s="22"/>
      <c r="AF828" s="22"/>
      <c r="AG828" s="22"/>
      <c r="AH828" s="22"/>
      <c r="AI828" s="22"/>
      <c r="AJ828" s="22"/>
      <c r="AK828" s="22"/>
      <c r="AL828" s="22"/>
      <c r="AM828" s="22"/>
      <c r="AN828" s="22"/>
      <c r="AO828" s="22"/>
      <c r="AP828" s="22"/>
      <c r="AQ828" s="22"/>
      <c r="AR828" s="22"/>
      <c r="AS828" s="22"/>
      <c r="AT828" s="22"/>
      <c r="AU828" s="22"/>
      <c r="AV828" s="22"/>
      <c r="AW828" s="22"/>
      <c r="AX828" s="22"/>
      <c r="AY828" s="22"/>
      <c r="AZ828" s="22"/>
      <c r="BA828" s="22"/>
      <c r="BB828" s="22"/>
      <c r="BC828" s="22"/>
    </row>
    <row r="829" spans="1:55" customFormat="1" ht="21" customHeight="1" x14ac:dyDescent="0.25">
      <c r="A829" s="22"/>
      <c r="B829" s="22"/>
      <c r="C829" s="22"/>
      <c r="D829" s="22"/>
      <c r="E829" s="23"/>
      <c r="F829" s="22"/>
      <c r="G829" s="22"/>
      <c r="H829" s="23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3"/>
      <c r="AB829" s="23"/>
      <c r="AC829" s="22"/>
      <c r="AD829" s="22"/>
      <c r="AE829" s="22"/>
      <c r="AF829" s="22"/>
      <c r="AG829" s="22"/>
      <c r="AH829" s="22"/>
      <c r="AI829" s="22"/>
      <c r="AJ829" s="22"/>
      <c r="AK829" s="22"/>
      <c r="AL829" s="22"/>
      <c r="AM829" s="22"/>
      <c r="AN829" s="22"/>
      <c r="AO829" s="22"/>
      <c r="AP829" s="22"/>
      <c r="AQ829" s="22"/>
      <c r="AR829" s="22"/>
      <c r="AS829" s="22"/>
      <c r="AT829" s="22"/>
      <c r="AU829" s="22"/>
      <c r="AV829" s="22"/>
      <c r="AW829" s="22"/>
      <c r="AX829" s="22"/>
      <c r="AY829" s="22"/>
      <c r="AZ829" s="22"/>
      <c r="BA829" s="22"/>
      <c r="BB829" s="22"/>
      <c r="BC829" s="22"/>
    </row>
    <row r="830" spans="1:55" customFormat="1" ht="21" customHeight="1" x14ac:dyDescent="0.25">
      <c r="A830" s="22"/>
      <c r="B830" s="22"/>
      <c r="C830" s="22"/>
      <c r="D830" s="22"/>
      <c r="E830" s="23"/>
      <c r="F830" s="22"/>
      <c r="G830" s="22"/>
      <c r="H830" s="23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3"/>
      <c r="AB830" s="23"/>
      <c r="AC830" s="22"/>
      <c r="AD830" s="22"/>
      <c r="AE830" s="22"/>
      <c r="AF830" s="22"/>
      <c r="AG830" s="22"/>
      <c r="AH830" s="22"/>
      <c r="AI830" s="22"/>
      <c r="AJ830" s="22"/>
      <c r="AK830" s="22"/>
      <c r="AL830" s="22"/>
      <c r="AM830" s="22"/>
      <c r="AN830" s="22"/>
      <c r="AO830" s="22"/>
      <c r="AP830" s="22"/>
      <c r="AQ830" s="22"/>
      <c r="AR830" s="22"/>
      <c r="AS830" s="22"/>
      <c r="AT830" s="22"/>
      <c r="AU830" s="22"/>
      <c r="AV830" s="22"/>
      <c r="AW830" s="22"/>
      <c r="AX830" s="22"/>
      <c r="AY830" s="22"/>
      <c r="AZ830" s="22"/>
      <c r="BA830" s="22"/>
      <c r="BB830" s="22"/>
      <c r="BC830" s="22"/>
    </row>
    <row r="831" spans="1:55" customFormat="1" ht="21" customHeight="1" x14ac:dyDescent="0.25">
      <c r="A831" s="22"/>
      <c r="B831" s="22"/>
      <c r="C831" s="22"/>
      <c r="D831" s="22"/>
      <c r="E831" s="23"/>
      <c r="F831" s="22"/>
      <c r="G831" s="22"/>
      <c r="H831" s="23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3"/>
      <c r="AB831" s="23"/>
      <c r="AC831" s="22"/>
      <c r="AD831" s="22"/>
      <c r="AE831" s="22"/>
      <c r="AF831" s="22"/>
      <c r="AG831" s="22"/>
      <c r="AH831" s="22"/>
      <c r="AI831" s="22"/>
      <c r="AJ831" s="22"/>
      <c r="AK831" s="22"/>
      <c r="AL831" s="22"/>
      <c r="AM831" s="22"/>
      <c r="AN831" s="22"/>
      <c r="AO831" s="22"/>
      <c r="AP831" s="22"/>
      <c r="AQ831" s="22"/>
      <c r="AR831" s="22"/>
      <c r="AS831" s="22"/>
      <c r="AT831" s="22"/>
      <c r="AU831" s="22"/>
      <c r="AV831" s="22"/>
      <c r="AW831" s="22"/>
      <c r="AX831" s="22"/>
      <c r="AY831" s="22"/>
      <c r="AZ831" s="22"/>
      <c r="BA831" s="22"/>
      <c r="BB831" s="22"/>
      <c r="BC831" s="22"/>
    </row>
    <row r="832" spans="1:55" customFormat="1" ht="21" customHeight="1" x14ac:dyDescent="0.25">
      <c r="A832" s="22"/>
      <c r="B832" s="22"/>
      <c r="C832" s="22"/>
      <c r="D832" s="22"/>
      <c r="E832" s="23"/>
      <c r="F832" s="22"/>
      <c r="G832" s="22"/>
      <c r="H832" s="23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3"/>
      <c r="AB832" s="23"/>
      <c r="AC832" s="22"/>
      <c r="AD832" s="22"/>
      <c r="AE832" s="22"/>
      <c r="AF832" s="22"/>
      <c r="AG832" s="22"/>
      <c r="AH832" s="22"/>
      <c r="AI832" s="22"/>
      <c r="AJ832" s="22"/>
      <c r="AK832" s="22"/>
      <c r="AL832" s="22"/>
      <c r="AM832" s="22"/>
      <c r="AN832" s="22"/>
      <c r="AO832" s="22"/>
      <c r="AP832" s="22"/>
      <c r="AQ832" s="22"/>
      <c r="AR832" s="22"/>
      <c r="AS832" s="22"/>
      <c r="AT832" s="22"/>
      <c r="AU832" s="22"/>
      <c r="AV832" s="22"/>
      <c r="AW832" s="22"/>
      <c r="AX832" s="22"/>
      <c r="AY832" s="22"/>
      <c r="AZ832" s="22"/>
      <c r="BA832" s="22"/>
      <c r="BB832" s="22"/>
      <c r="BC832" s="22"/>
    </row>
    <row r="833" spans="1:55" customFormat="1" ht="21" customHeight="1" x14ac:dyDescent="0.25">
      <c r="A833" s="22"/>
      <c r="B833" s="22"/>
      <c r="C833" s="22"/>
      <c r="D833" s="22"/>
      <c r="E833" s="23"/>
      <c r="F833" s="22"/>
      <c r="G833" s="22"/>
      <c r="H833" s="23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3"/>
      <c r="AB833" s="23"/>
      <c r="AC833" s="22"/>
      <c r="AD833" s="22"/>
      <c r="AE833" s="22"/>
      <c r="AF833" s="22"/>
      <c r="AG833" s="22"/>
      <c r="AH833" s="22"/>
      <c r="AI833" s="22"/>
      <c r="AJ833" s="22"/>
      <c r="AK833" s="22"/>
      <c r="AL833" s="22"/>
      <c r="AM833" s="22"/>
      <c r="AN833" s="22"/>
      <c r="AO833" s="22"/>
      <c r="AP833" s="22"/>
      <c r="AQ833" s="22"/>
      <c r="AR833" s="22"/>
      <c r="AS833" s="22"/>
      <c r="AT833" s="22"/>
      <c r="AU833" s="22"/>
      <c r="AV833" s="22"/>
      <c r="AW833" s="22"/>
      <c r="AX833" s="22"/>
      <c r="AY833" s="22"/>
      <c r="AZ833" s="22"/>
      <c r="BA833" s="22"/>
      <c r="BB833" s="22"/>
      <c r="BC833" s="22"/>
    </row>
    <row r="834" spans="1:55" customFormat="1" ht="21" customHeight="1" x14ac:dyDescent="0.25">
      <c r="A834" s="22"/>
      <c r="B834" s="22"/>
      <c r="C834" s="22"/>
      <c r="D834" s="22"/>
      <c r="E834" s="23"/>
      <c r="F834" s="22"/>
      <c r="G834" s="22"/>
      <c r="H834" s="23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3"/>
      <c r="AB834" s="23"/>
      <c r="AC834" s="22"/>
      <c r="AD834" s="22"/>
      <c r="AE834" s="22"/>
      <c r="AF834" s="22"/>
      <c r="AG834" s="22"/>
      <c r="AH834" s="22"/>
      <c r="AI834" s="22"/>
      <c r="AJ834" s="22"/>
      <c r="AK834" s="22"/>
      <c r="AL834" s="22"/>
      <c r="AM834" s="22"/>
      <c r="AN834" s="22"/>
      <c r="AO834" s="22"/>
      <c r="AP834" s="22"/>
      <c r="AQ834" s="22"/>
      <c r="AR834" s="22"/>
      <c r="AS834" s="22"/>
      <c r="AT834" s="22"/>
      <c r="AU834" s="22"/>
      <c r="AV834" s="22"/>
      <c r="AW834" s="22"/>
      <c r="AX834" s="22"/>
      <c r="AY834" s="22"/>
      <c r="AZ834" s="22"/>
      <c r="BA834" s="22"/>
      <c r="BB834" s="22"/>
      <c r="BC834" s="22"/>
    </row>
    <row r="835" spans="1:55" customFormat="1" ht="21" customHeight="1" x14ac:dyDescent="0.25">
      <c r="A835" s="22"/>
      <c r="B835" s="22"/>
      <c r="C835" s="22"/>
      <c r="D835" s="22"/>
      <c r="E835" s="23"/>
      <c r="F835" s="22"/>
      <c r="G835" s="22"/>
      <c r="H835" s="23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3"/>
      <c r="AB835" s="23"/>
      <c r="AC835" s="22"/>
      <c r="AD835" s="22"/>
      <c r="AE835" s="22"/>
      <c r="AF835" s="22"/>
      <c r="AG835" s="22"/>
      <c r="AH835" s="22"/>
      <c r="AI835" s="22"/>
      <c r="AJ835" s="22"/>
      <c r="AK835" s="22"/>
      <c r="AL835" s="22"/>
      <c r="AM835" s="22"/>
      <c r="AN835" s="22"/>
      <c r="AO835" s="22"/>
      <c r="AP835" s="22"/>
      <c r="AQ835" s="22"/>
      <c r="AR835" s="22"/>
      <c r="AS835" s="22"/>
      <c r="AT835" s="22"/>
      <c r="AU835" s="22"/>
      <c r="AV835" s="22"/>
      <c r="AW835" s="22"/>
      <c r="AX835" s="22"/>
      <c r="AY835" s="22"/>
      <c r="AZ835" s="22"/>
      <c r="BA835" s="22"/>
      <c r="BB835" s="22"/>
      <c r="BC835" s="22"/>
    </row>
    <row r="836" spans="1:55" customFormat="1" ht="21" customHeight="1" x14ac:dyDescent="0.25">
      <c r="A836" s="22"/>
      <c r="B836" s="22"/>
      <c r="C836" s="22"/>
      <c r="D836" s="22"/>
      <c r="E836" s="23"/>
      <c r="F836" s="22"/>
      <c r="G836" s="22"/>
      <c r="H836" s="23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3"/>
      <c r="AB836" s="23"/>
      <c r="AC836" s="22"/>
      <c r="AD836" s="22"/>
      <c r="AE836" s="22"/>
      <c r="AF836" s="22"/>
      <c r="AG836" s="22"/>
      <c r="AH836" s="22"/>
      <c r="AI836" s="22"/>
      <c r="AJ836" s="22"/>
      <c r="AK836" s="22"/>
      <c r="AL836" s="22"/>
      <c r="AM836" s="22"/>
      <c r="AN836" s="22"/>
      <c r="AO836" s="22"/>
      <c r="AP836" s="22"/>
      <c r="AQ836" s="22"/>
      <c r="AR836" s="22"/>
      <c r="AS836" s="22"/>
      <c r="AT836" s="22"/>
      <c r="AU836" s="22"/>
      <c r="AV836" s="22"/>
      <c r="AW836" s="22"/>
      <c r="AX836" s="22"/>
      <c r="AY836" s="22"/>
      <c r="AZ836" s="22"/>
      <c r="BA836" s="22"/>
      <c r="BB836" s="22"/>
      <c r="BC836" s="22"/>
    </row>
    <row r="837" spans="1:55" customFormat="1" ht="21" customHeight="1" x14ac:dyDescent="0.25">
      <c r="A837" s="22"/>
      <c r="B837" s="22"/>
      <c r="C837" s="22"/>
      <c r="D837" s="22"/>
      <c r="E837" s="23"/>
      <c r="F837" s="22"/>
      <c r="G837" s="22"/>
      <c r="H837" s="23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3"/>
      <c r="AB837" s="23"/>
      <c r="AC837" s="22"/>
      <c r="AD837" s="22"/>
      <c r="AE837" s="22"/>
      <c r="AF837" s="22"/>
      <c r="AG837" s="22"/>
      <c r="AH837" s="22"/>
      <c r="AI837" s="22"/>
      <c r="AJ837" s="22"/>
      <c r="AK837" s="22"/>
      <c r="AL837" s="22"/>
      <c r="AM837" s="22"/>
      <c r="AN837" s="22"/>
      <c r="AO837" s="22"/>
      <c r="AP837" s="22"/>
      <c r="AQ837" s="22"/>
      <c r="AR837" s="22"/>
      <c r="AS837" s="22"/>
      <c r="AT837" s="22"/>
      <c r="AU837" s="22"/>
      <c r="AV837" s="22"/>
      <c r="AW837" s="22"/>
      <c r="AX837" s="22"/>
      <c r="AY837" s="22"/>
      <c r="AZ837" s="22"/>
      <c r="BA837" s="22"/>
      <c r="BB837" s="22"/>
      <c r="BC837" s="22"/>
    </row>
    <row r="838" spans="1:55" customFormat="1" ht="21" customHeight="1" x14ac:dyDescent="0.25">
      <c r="A838" s="22"/>
      <c r="B838" s="22"/>
      <c r="C838" s="22"/>
      <c r="D838" s="22"/>
      <c r="E838" s="23"/>
      <c r="F838" s="22"/>
      <c r="G838" s="22"/>
      <c r="H838" s="23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3"/>
      <c r="AB838" s="23"/>
      <c r="AC838" s="22"/>
      <c r="AD838" s="22"/>
      <c r="AE838" s="22"/>
      <c r="AF838" s="22"/>
      <c r="AG838" s="22"/>
      <c r="AH838" s="22"/>
      <c r="AI838" s="22"/>
      <c r="AJ838" s="22"/>
      <c r="AK838" s="22"/>
      <c r="AL838" s="22"/>
      <c r="AM838" s="22"/>
      <c r="AN838" s="22"/>
      <c r="AO838" s="22"/>
      <c r="AP838" s="22"/>
      <c r="AQ838" s="22"/>
      <c r="AR838" s="22"/>
      <c r="AS838" s="22"/>
      <c r="AT838" s="22"/>
      <c r="AU838" s="22"/>
      <c r="AV838" s="22"/>
      <c r="AW838" s="22"/>
      <c r="AX838" s="22"/>
      <c r="AY838" s="22"/>
      <c r="AZ838" s="22"/>
      <c r="BA838" s="22"/>
      <c r="BB838" s="22"/>
      <c r="BC838" s="22"/>
    </row>
    <row r="839" spans="1:55" customFormat="1" ht="21" customHeight="1" x14ac:dyDescent="0.25">
      <c r="A839" s="22"/>
      <c r="B839" s="22"/>
      <c r="C839" s="22"/>
      <c r="D839" s="22"/>
      <c r="E839" s="23"/>
      <c r="F839" s="22"/>
      <c r="G839" s="22"/>
      <c r="H839" s="23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3"/>
      <c r="AB839" s="23"/>
      <c r="AC839" s="22"/>
      <c r="AD839" s="22"/>
      <c r="AE839" s="22"/>
      <c r="AF839" s="22"/>
      <c r="AG839" s="22"/>
      <c r="AH839" s="22"/>
      <c r="AI839" s="22"/>
      <c r="AJ839" s="22"/>
      <c r="AK839" s="22"/>
      <c r="AL839" s="22"/>
      <c r="AM839" s="22"/>
      <c r="AN839" s="22"/>
      <c r="AO839" s="22"/>
      <c r="AP839" s="22"/>
      <c r="AQ839" s="22"/>
      <c r="AR839" s="22"/>
      <c r="AS839" s="22"/>
      <c r="AT839" s="22"/>
      <c r="AU839" s="22"/>
      <c r="AV839" s="22"/>
      <c r="AW839" s="22"/>
      <c r="AX839" s="22"/>
      <c r="AY839" s="22"/>
      <c r="AZ839" s="22"/>
      <c r="BA839" s="22"/>
      <c r="BB839" s="22"/>
      <c r="BC839" s="22"/>
    </row>
    <row r="840" spans="1:55" customFormat="1" ht="21" customHeight="1" x14ac:dyDescent="0.25">
      <c r="A840" s="22"/>
      <c r="B840" s="22"/>
      <c r="C840" s="22"/>
      <c r="D840" s="22"/>
      <c r="E840" s="23"/>
      <c r="F840" s="22"/>
      <c r="G840" s="22"/>
      <c r="H840" s="23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3"/>
      <c r="AB840" s="23"/>
      <c r="AC840" s="22"/>
      <c r="AD840" s="22"/>
      <c r="AE840" s="22"/>
      <c r="AF840" s="22"/>
      <c r="AG840" s="22"/>
      <c r="AH840" s="22"/>
      <c r="AI840" s="22"/>
      <c r="AJ840" s="22"/>
      <c r="AK840" s="22"/>
      <c r="AL840" s="22"/>
      <c r="AM840" s="22"/>
      <c r="AN840" s="22"/>
      <c r="AO840" s="22"/>
      <c r="AP840" s="22"/>
      <c r="AQ840" s="22"/>
      <c r="AR840" s="22"/>
      <c r="AS840" s="22"/>
      <c r="AT840" s="22"/>
      <c r="AU840" s="22"/>
      <c r="AV840" s="22"/>
      <c r="AW840" s="22"/>
      <c r="AX840" s="22"/>
      <c r="AY840" s="22"/>
      <c r="AZ840" s="22"/>
      <c r="BA840" s="22"/>
      <c r="BB840" s="22"/>
      <c r="BC840" s="22"/>
    </row>
    <row r="841" spans="1:55" customFormat="1" ht="21" customHeight="1" x14ac:dyDescent="0.25">
      <c r="A841" s="22"/>
      <c r="B841" s="22"/>
      <c r="C841" s="22"/>
      <c r="D841" s="22"/>
      <c r="E841" s="23"/>
      <c r="F841" s="22"/>
      <c r="G841" s="22"/>
      <c r="H841" s="23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3"/>
      <c r="AB841" s="23"/>
      <c r="AC841" s="22"/>
      <c r="AD841" s="22"/>
      <c r="AE841" s="22"/>
      <c r="AF841" s="22"/>
      <c r="AG841" s="22"/>
      <c r="AH841" s="22"/>
      <c r="AI841" s="22"/>
      <c r="AJ841" s="22"/>
      <c r="AK841" s="22"/>
      <c r="AL841" s="22"/>
      <c r="AM841" s="22"/>
      <c r="AN841" s="22"/>
      <c r="AO841" s="22"/>
      <c r="AP841" s="22"/>
      <c r="AQ841" s="22"/>
      <c r="AR841" s="22"/>
      <c r="AS841" s="22"/>
      <c r="AT841" s="22"/>
      <c r="AU841" s="22"/>
      <c r="AV841" s="22"/>
      <c r="AW841" s="22"/>
      <c r="AX841" s="22"/>
      <c r="AY841" s="22"/>
      <c r="AZ841" s="22"/>
      <c r="BA841" s="22"/>
      <c r="BB841" s="22"/>
      <c r="BC841" s="22"/>
    </row>
    <row r="842" spans="1:55" customFormat="1" ht="21" customHeight="1" x14ac:dyDescent="0.25">
      <c r="A842" s="22"/>
      <c r="B842" s="22"/>
      <c r="C842" s="22"/>
      <c r="D842" s="22"/>
      <c r="E842" s="23"/>
      <c r="F842" s="22"/>
      <c r="G842" s="22"/>
      <c r="H842" s="23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3"/>
      <c r="AB842" s="23"/>
      <c r="AC842" s="22"/>
      <c r="AD842" s="22"/>
      <c r="AE842" s="22"/>
      <c r="AF842" s="22"/>
      <c r="AG842" s="22"/>
      <c r="AH842" s="22"/>
      <c r="AI842" s="22"/>
      <c r="AJ842" s="22"/>
      <c r="AK842" s="22"/>
      <c r="AL842" s="22"/>
      <c r="AM842" s="22"/>
      <c r="AN842" s="22"/>
      <c r="AO842" s="22"/>
      <c r="AP842" s="22"/>
      <c r="AQ842" s="22"/>
      <c r="AR842" s="22"/>
      <c r="AS842" s="22"/>
      <c r="AT842" s="22"/>
      <c r="AU842" s="22"/>
      <c r="AV842" s="22"/>
      <c r="AW842" s="22"/>
      <c r="AX842" s="22"/>
      <c r="AY842" s="22"/>
      <c r="AZ842" s="22"/>
      <c r="BA842" s="22"/>
      <c r="BB842" s="22"/>
      <c r="BC842" s="22"/>
    </row>
    <row r="843" spans="1:55" customFormat="1" ht="21" customHeight="1" x14ac:dyDescent="0.25">
      <c r="A843" s="22"/>
      <c r="B843" s="22"/>
      <c r="C843" s="22"/>
      <c r="D843" s="22"/>
      <c r="E843" s="23"/>
      <c r="F843" s="22"/>
      <c r="G843" s="22"/>
      <c r="H843" s="23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3"/>
      <c r="AB843" s="23"/>
      <c r="AC843" s="22"/>
      <c r="AD843" s="22"/>
      <c r="AE843" s="22"/>
      <c r="AF843" s="22"/>
      <c r="AG843" s="22"/>
      <c r="AH843" s="22"/>
      <c r="AI843" s="22"/>
      <c r="AJ843" s="22"/>
      <c r="AK843" s="22"/>
      <c r="AL843" s="22"/>
      <c r="AM843" s="22"/>
      <c r="AN843" s="22"/>
      <c r="AO843" s="22"/>
      <c r="AP843" s="22"/>
      <c r="AQ843" s="22"/>
      <c r="AR843" s="22"/>
      <c r="AS843" s="22"/>
      <c r="AT843" s="22"/>
      <c r="AU843" s="22"/>
      <c r="AV843" s="22"/>
      <c r="AW843" s="22"/>
      <c r="AX843" s="22"/>
      <c r="AY843" s="22"/>
      <c r="AZ843" s="22"/>
      <c r="BA843" s="22"/>
      <c r="BB843" s="22"/>
      <c r="BC843" s="22"/>
    </row>
    <row r="844" spans="1:55" customFormat="1" ht="21" customHeight="1" x14ac:dyDescent="0.25">
      <c r="A844" s="22"/>
      <c r="B844" s="22"/>
      <c r="C844" s="22"/>
      <c r="D844" s="22"/>
      <c r="E844" s="23"/>
      <c r="F844" s="22"/>
      <c r="G844" s="22"/>
      <c r="H844" s="23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3"/>
      <c r="AB844" s="23"/>
      <c r="AC844" s="22"/>
      <c r="AD844" s="22"/>
      <c r="AE844" s="22"/>
      <c r="AF844" s="22"/>
      <c r="AG844" s="22"/>
      <c r="AH844" s="22"/>
      <c r="AI844" s="22"/>
      <c r="AJ844" s="22"/>
      <c r="AK844" s="22"/>
      <c r="AL844" s="22"/>
      <c r="AM844" s="22"/>
      <c r="AN844" s="22"/>
      <c r="AO844" s="22"/>
      <c r="AP844" s="22"/>
      <c r="AQ844" s="22"/>
      <c r="AR844" s="22"/>
      <c r="AS844" s="22"/>
      <c r="AT844" s="22"/>
      <c r="AU844" s="22"/>
      <c r="AV844" s="22"/>
      <c r="AW844" s="22"/>
      <c r="AX844" s="22"/>
      <c r="AY844" s="22"/>
      <c r="AZ844" s="22"/>
      <c r="BA844" s="22"/>
      <c r="BB844" s="22"/>
      <c r="BC844" s="22"/>
    </row>
    <row r="845" spans="1:55" customFormat="1" ht="21" customHeight="1" x14ac:dyDescent="0.25">
      <c r="A845" s="22"/>
      <c r="B845" s="22"/>
      <c r="C845" s="22"/>
      <c r="D845" s="22"/>
      <c r="E845" s="23"/>
      <c r="F845" s="22"/>
      <c r="G845" s="22"/>
      <c r="H845" s="23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3"/>
      <c r="AB845" s="23"/>
      <c r="AC845" s="22"/>
      <c r="AD845" s="22"/>
      <c r="AE845" s="22"/>
      <c r="AF845" s="22"/>
      <c r="AG845" s="22"/>
      <c r="AH845" s="22"/>
      <c r="AI845" s="22"/>
      <c r="AJ845" s="22"/>
      <c r="AK845" s="22"/>
      <c r="AL845" s="22"/>
      <c r="AM845" s="22"/>
      <c r="AN845" s="22"/>
      <c r="AO845" s="22"/>
      <c r="AP845" s="22"/>
      <c r="AQ845" s="22"/>
      <c r="AR845" s="22"/>
      <c r="AS845" s="22"/>
      <c r="AT845" s="22"/>
      <c r="AU845" s="22"/>
      <c r="AV845" s="22"/>
      <c r="AW845" s="22"/>
      <c r="AX845" s="22"/>
      <c r="AY845" s="22"/>
      <c r="AZ845" s="22"/>
      <c r="BA845" s="22"/>
      <c r="BB845" s="22"/>
      <c r="BC845" s="22"/>
    </row>
    <row r="846" spans="1:55" customFormat="1" ht="21" customHeight="1" x14ac:dyDescent="0.25">
      <c r="A846" s="22"/>
      <c r="B846" s="22"/>
      <c r="C846" s="22"/>
      <c r="D846" s="22"/>
      <c r="E846" s="23"/>
      <c r="F846" s="22"/>
      <c r="G846" s="22"/>
      <c r="H846" s="23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3"/>
      <c r="AB846" s="23"/>
      <c r="AC846" s="22"/>
      <c r="AD846" s="22"/>
      <c r="AE846" s="22"/>
      <c r="AF846" s="22"/>
      <c r="AG846" s="22"/>
      <c r="AH846" s="22"/>
      <c r="AI846" s="22"/>
      <c r="AJ846" s="22"/>
      <c r="AK846" s="22"/>
      <c r="AL846" s="22"/>
      <c r="AM846" s="22"/>
      <c r="AN846" s="22"/>
      <c r="AO846" s="22"/>
      <c r="AP846" s="22"/>
      <c r="AQ846" s="22"/>
      <c r="AR846" s="22"/>
      <c r="AS846" s="22"/>
      <c r="AT846" s="22"/>
      <c r="AU846" s="22"/>
      <c r="AV846" s="22"/>
      <c r="AW846" s="22"/>
      <c r="AX846" s="22"/>
      <c r="AY846" s="22"/>
      <c r="AZ846" s="22"/>
      <c r="BA846" s="22"/>
      <c r="BB846" s="22"/>
      <c r="BC846" s="22"/>
    </row>
    <row r="847" spans="1:55" customFormat="1" ht="21" customHeight="1" x14ac:dyDescent="0.25">
      <c r="A847" s="22"/>
      <c r="B847" s="22"/>
      <c r="C847" s="22"/>
      <c r="D847" s="22"/>
      <c r="E847" s="23"/>
      <c r="F847" s="22"/>
      <c r="G847" s="22"/>
      <c r="H847" s="23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3"/>
      <c r="AB847" s="23"/>
      <c r="AC847" s="22"/>
      <c r="AD847" s="22"/>
      <c r="AE847" s="22"/>
      <c r="AF847" s="22"/>
      <c r="AG847" s="22"/>
      <c r="AH847" s="22"/>
      <c r="AI847" s="22"/>
      <c r="AJ847" s="22"/>
      <c r="AK847" s="22"/>
      <c r="AL847" s="22"/>
      <c r="AM847" s="22"/>
      <c r="AN847" s="22"/>
      <c r="AO847" s="22"/>
      <c r="AP847" s="22"/>
      <c r="AQ847" s="22"/>
      <c r="AR847" s="22"/>
      <c r="AS847" s="22"/>
      <c r="AT847" s="22"/>
      <c r="AU847" s="22"/>
      <c r="AV847" s="22"/>
      <c r="AW847" s="22"/>
      <c r="AX847" s="22"/>
      <c r="AY847" s="22"/>
      <c r="AZ847" s="22"/>
      <c r="BA847" s="22"/>
      <c r="BB847" s="22"/>
      <c r="BC847" s="22"/>
    </row>
    <row r="848" spans="1:55" customFormat="1" ht="21" customHeight="1" x14ac:dyDescent="0.25">
      <c r="A848" s="22"/>
      <c r="B848" s="22"/>
      <c r="C848" s="22"/>
      <c r="D848" s="22"/>
      <c r="E848" s="23"/>
      <c r="F848" s="22"/>
      <c r="G848" s="22"/>
      <c r="H848" s="23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3"/>
      <c r="AB848" s="23"/>
      <c r="AC848" s="22"/>
      <c r="AD848" s="22"/>
      <c r="AE848" s="22"/>
      <c r="AF848" s="22"/>
      <c r="AG848" s="22"/>
      <c r="AH848" s="22"/>
      <c r="AI848" s="22"/>
      <c r="AJ848" s="22"/>
      <c r="AK848" s="22"/>
      <c r="AL848" s="22"/>
      <c r="AM848" s="22"/>
      <c r="AN848" s="22"/>
      <c r="AO848" s="22"/>
      <c r="AP848" s="22"/>
      <c r="AQ848" s="22"/>
      <c r="AR848" s="22"/>
      <c r="AS848" s="22"/>
      <c r="AT848" s="22"/>
      <c r="AU848" s="22"/>
      <c r="AV848" s="22"/>
      <c r="AW848" s="22"/>
      <c r="AX848" s="22"/>
      <c r="AY848" s="22"/>
      <c r="AZ848" s="22"/>
      <c r="BA848" s="22"/>
      <c r="BB848" s="22"/>
      <c r="BC848" s="22"/>
    </row>
    <row r="849" spans="1:55" customFormat="1" ht="21" customHeight="1" x14ac:dyDescent="0.25">
      <c r="A849" s="22"/>
      <c r="B849" s="22"/>
      <c r="C849" s="22"/>
      <c r="D849" s="22"/>
      <c r="E849" s="23"/>
      <c r="F849" s="22"/>
      <c r="G849" s="22"/>
      <c r="H849" s="23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3"/>
      <c r="AB849" s="23"/>
      <c r="AC849" s="22"/>
      <c r="AD849" s="22"/>
      <c r="AE849" s="22"/>
      <c r="AF849" s="22"/>
      <c r="AG849" s="22"/>
      <c r="AH849" s="22"/>
      <c r="AI849" s="22"/>
      <c r="AJ849" s="22"/>
      <c r="AK849" s="22"/>
      <c r="AL849" s="22"/>
      <c r="AM849" s="22"/>
      <c r="AN849" s="22"/>
      <c r="AO849" s="22"/>
      <c r="AP849" s="22"/>
      <c r="AQ849" s="22"/>
      <c r="AR849" s="22"/>
      <c r="AS849" s="22"/>
      <c r="AT849" s="22"/>
      <c r="AU849" s="22"/>
      <c r="AV849" s="22"/>
      <c r="AW849" s="22"/>
      <c r="AX849" s="22"/>
      <c r="AY849" s="22"/>
      <c r="AZ849" s="22"/>
      <c r="BA849" s="22"/>
      <c r="BB849" s="22"/>
      <c r="BC849" s="22"/>
    </row>
    <row r="850" spans="1:55" customFormat="1" ht="21" customHeight="1" x14ac:dyDescent="0.25">
      <c r="A850" s="22"/>
      <c r="B850" s="22"/>
      <c r="C850" s="22"/>
      <c r="D850" s="22"/>
      <c r="E850" s="23"/>
      <c r="F850" s="22"/>
      <c r="G850" s="22"/>
      <c r="H850" s="23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3"/>
      <c r="AB850" s="23"/>
      <c r="AC850" s="22"/>
      <c r="AD850" s="22"/>
      <c r="AE850" s="22"/>
      <c r="AF850" s="22"/>
      <c r="AG850" s="22"/>
      <c r="AH850" s="22"/>
      <c r="AI850" s="22"/>
      <c r="AJ850" s="22"/>
      <c r="AK850" s="22"/>
      <c r="AL850" s="22"/>
      <c r="AM850" s="22"/>
      <c r="AN850" s="22"/>
      <c r="AO850" s="22"/>
      <c r="AP850" s="22"/>
      <c r="AQ850" s="22"/>
      <c r="AR850" s="22"/>
      <c r="AS850" s="22"/>
      <c r="AT850" s="22"/>
      <c r="AU850" s="22"/>
      <c r="AV850" s="22"/>
      <c r="AW850" s="22"/>
      <c r="AX850" s="22"/>
      <c r="AY850" s="22"/>
      <c r="AZ850" s="22"/>
      <c r="BA850" s="22"/>
      <c r="BB850" s="22"/>
      <c r="BC850" s="22"/>
    </row>
    <row r="851" spans="1:55" customFormat="1" ht="21" customHeight="1" x14ac:dyDescent="0.25">
      <c r="A851" s="22"/>
      <c r="B851" s="22"/>
      <c r="C851" s="22"/>
      <c r="D851" s="22"/>
      <c r="E851" s="23"/>
      <c r="F851" s="22"/>
      <c r="G851" s="22"/>
      <c r="H851" s="23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3"/>
      <c r="AB851" s="23"/>
      <c r="AC851" s="22"/>
      <c r="AD851" s="22"/>
      <c r="AE851" s="22"/>
      <c r="AF851" s="22"/>
      <c r="AG851" s="22"/>
      <c r="AH851" s="22"/>
      <c r="AI851" s="22"/>
      <c r="AJ851" s="22"/>
      <c r="AK851" s="22"/>
      <c r="AL851" s="22"/>
      <c r="AM851" s="22"/>
      <c r="AN851" s="22"/>
      <c r="AO851" s="22"/>
      <c r="AP851" s="22"/>
      <c r="AQ851" s="22"/>
      <c r="AR851" s="22"/>
      <c r="AS851" s="22"/>
      <c r="AT851" s="22"/>
      <c r="AU851" s="22"/>
      <c r="AV851" s="22"/>
      <c r="AW851" s="22"/>
      <c r="AX851" s="22"/>
      <c r="AY851" s="22"/>
      <c r="AZ851" s="22"/>
      <c r="BA851" s="22"/>
      <c r="BB851" s="22"/>
      <c r="BC851" s="22"/>
    </row>
    <row r="852" spans="1:55" customFormat="1" ht="21" customHeight="1" x14ac:dyDescent="0.25">
      <c r="A852" s="22"/>
      <c r="B852" s="22"/>
      <c r="C852" s="22"/>
      <c r="D852" s="22"/>
      <c r="E852" s="23"/>
      <c r="F852" s="22"/>
      <c r="G852" s="22"/>
      <c r="H852" s="23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3"/>
      <c r="AB852" s="23"/>
      <c r="AC852" s="22"/>
      <c r="AD852" s="22"/>
      <c r="AE852" s="22"/>
      <c r="AF852" s="22"/>
      <c r="AG852" s="22"/>
      <c r="AH852" s="22"/>
      <c r="AI852" s="22"/>
      <c r="AJ852" s="22"/>
      <c r="AK852" s="22"/>
      <c r="AL852" s="22"/>
      <c r="AM852" s="22"/>
      <c r="AN852" s="22"/>
      <c r="AO852" s="22"/>
      <c r="AP852" s="22"/>
      <c r="AQ852" s="22"/>
      <c r="AR852" s="22"/>
      <c r="AS852" s="22"/>
      <c r="AT852" s="22"/>
      <c r="AU852" s="22"/>
      <c r="AV852" s="22"/>
      <c r="AW852" s="22"/>
      <c r="AX852" s="22"/>
      <c r="AY852" s="22"/>
      <c r="AZ852" s="22"/>
      <c r="BA852" s="22"/>
      <c r="BB852" s="22"/>
      <c r="BC852" s="22"/>
    </row>
    <row r="853" spans="1:55" customFormat="1" ht="21" customHeight="1" x14ac:dyDescent="0.25">
      <c r="A853" s="22"/>
      <c r="B853" s="22"/>
      <c r="C853" s="22"/>
      <c r="D853" s="22"/>
      <c r="E853" s="23"/>
      <c r="F853" s="22"/>
      <c r="G853" s="22"/>
      <c r="H853" s="23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3"/>
      <c r="AB853" s="23"/>
      <c r="AC853" s="22"/>
      <c r="AD853" s="22"/>
      <c r="AE853" s="22"/>
      <c r="AF853" s="22"/>
      <c r="AG853" s="22"/>
      <c r="AH853" s="22"/>
      <c r="AI853" s="22"/>
      <c r="AJ853" s="22"/>
      <c r="AK853" s="22"/>
      <c r="AL853" s="22"/>
      <c r="AM853" s="22"/>
      <c r="AN853" s="22"/>
      <c r="AO853" s="22"/>
      <c r="AP853" s="22"/>
      <c r="AQ853" s="22"/>
      <c r="AR853" s="22"/>
      <c r="AS853" s="22"/>
      <c r="AT853" s="22"/>
      <c r="AU853" s="22"/>
      <c r="AV853" s="22"/>
      <c r="AW853" s="22"/>
      <c r="AX853" s="22"/>
      <c r="AY853" s="22"/>
      <c r="AZ853" s="22"/>
      <c r="BA853" s="22"/>
      <c r="BB853" s="22"/>
      <c r="BC853" s="22"/>
    </row>
    <row r="854" spans="1:55" customFormat="1" ht="21" customHeight="1" x14ac:dyDescent="0.25">
      <c r="A854" s="22"/>
      <c r="B854" s="22"/>
      <c r="C854" s="22"/>
      <c r="D854" s="22"/>
      <c r="E854" s="23"/>
      <c r="F854" s="22"/>
      <c r="G854" s="22"/>
      <c r="H854" s="23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3"/>
      <c r="AB854" s="23"/>
      <c r="AC854" s="22"/>
      <c r="AD854" s="22"/>
      <c r="AE854" s="22"/>
      <c r="AF854" s="22"/>
      <c r="AG854" s="22"/>
      <c r="AH854" s="22"/>
      <c r="AI854" s="22"/>
      <c r="AJ854" s="22"/>
      <c r="AK854" s="22"/>
      <c r="AL854" s="22"/>
      <c r="AM854" s="22"/>
      <c r="AN854" s="22"/>
      <c r="AO854" s="22"/>
      <c r="AP854" s="22"/>
      <c r="AQ854" s="22"/>
      <c r="AR854" s="22"/>
      <c r="AS854" s="22"/>
      <c r="AT854" s="22"/>
      <c r="AU854" s="22"/>
      <c r="AV854" s="22"/>
      <c r="AW854" s="22"/>
      <c r="AX854" s="22"/>
      <c r="AY854" s="22"/>
      <c r="AZ854" s="22"/>
      <c r="BA854" s="22"/>
      <c r="BB854" s="22"/>
      <c r="BC854" s="22"/>
    </row>
    <row r="855" spans="1:55" customFormat="1" ht="21" customHeight="1" x14ac:dyDescent="0.25">
      <c r="A855" s="22"/>
      <c r="B855" s="22"/>
      <c r="C855" s="22"/>
      <c r="D855" s="22"/>
      <c r="E855" s="23"/>
      <c r="F855" s="22"/>
      <c r="G855" s="22"/>
      <c r="H855" s="23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3"/>
      <c r="AB855" s="23"/>
      <c r="AC855" s="22"/>
      <c r="AD855" s="22"/>
      <c r="AE855" s="22"/>
      <c r="AF855" s="22"/>
      <c r="AG855" s="22"/>
      <c r="AH855" s="22"/>
      <c r="AI855" s="22"/>
      <c r="AJ855" s="22"/>
      <c r="AK855" s="22"/>
      <c r="AL855" s="22"/>
      <c r="AM855" s="22"/>
      <c r="AN855" s="22"/>
      <c r="AO855" s="22"/>
      <c r="AP855" s="22"/>
      <c r="AQ855" s="22"/>
      <c r="AR855" s="22"/>
      <c r="AS855" s="22"/>
      <c r="AT855" s="22"/>
      <c r="AU855" s="22"/>
      <c r="AV855" s="22"/>
      <c r="AW855" s="22"/>
      <c r="AX855" s="22"/>
      <c r="AY855" s="22"/>
      <c r="AZ855" s="22"/>
      <c r="BA855" s="22"/>
      <c r="BB855" s="22"/>
      <c r="BC855" s="22"/>
    </row>
    <row r="856" spans="1:55" customFormat="1" ht="21" customHeight="1" x14ac:dyDescent="0.25">
      <c r="A856" s="22"/>
      <c r="B856" s="22"/>
      <c r="C856" s="22"/>
      <c r="D856" s="22"/>
      <c r="E856" s="23"/>
      <c r="F856" s="22"/>
      <c r="G856" s="22"/>
      <c r="H856" s="23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3"/>
      <c r="AB856" s="23"/>
      <c r="AC856" s="22"/>
      <c r="AD856" s="22"/>
      <c r="AE856" s="22"/>
      <c r="AF856" s="22"/>
      <c r="AG856" s="22"/>
      <c r="AH856" s="22"/>
      <c r="AI856" s="22"/>
      <c r="AJ856" s="22"/>
      <c r="AK856" s="22"/>
      <c r="AL856" s="22"/>
      <c r="AM856" s="22"/>
      <c r="AN856" s="22"/>
      <c r="AO856" s="22"/>
      <c r="AP856" s="22"/>
      <c r="AQ856" s="22"/>
      <c r="AR856" s="22"/>
      <c r="AS856" s="22"/>
      <c r="AT856" s="22"/>
      <c r="AU856" s="22"/>
      <c r="AV856" s="22"/>
      <c r="AW856" s="22"/>
      <c r="AX856" s="22"/>
      <c r="AY856" s="22"/>
      <c r="AZ856" s="22"/>
      <c r="BA856" s="22"/>
      <c r="BB856" s="22"/>
      <c r="BC856" s="22"/>
    </row>
    <row r="857" spans="1:55" customFormat="1" ht="21" customHeight="1" x14ac:dyDescent="0.25">
      <c r="A857" s="22"/>
      <c r="B857" s="22"/>
      <c r="C857" s="22"/>
      <c r="D857" s="22"/>
      <c r="E857" s="23"/>
      <c r="F857" s="22"/>
      <c r="G857" s="22"/>
      <c r="H857" s="23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3"/>
      <c r="AB857" s="23"/>
      <c r="AC857" s="22"/>
      <c r="AD857" s="22"/>
      <c r="AE857" s="22"/>
      <c r="AF857" s="22"/>
      <c r="AG857" s="22"/>
      <c r="AH857" s="22"/>
      <c r="AI857" s="22"/>
      <c r="AJ857" s="22"/>
      <c r="AK857" s="22"/>
      <c r="AL857" s="22"/>
      <c r="AM857" s="22"/>
      <c r="AN857" s="22"/>
      <c r="AO857" s="22"/>
      <c r="AP857" s="22"/>
      <c r="AQ857" s="22"/>
      <c r="AR857" s="22"/>
      <c r="AS857" s="22"/>
      <c r="AT857" s="22"/>
      <c r="AU857" s="22"/>
      <c r="AV857" s="22"/>
      <c r="AW857" s="22"/>
      <c r="AX857" s="22"/>
      <c r="AY857" s="22"/>
      <c r="AZ857" s="22"/>
      <c r="BA857" s="22"/>
      <c r="BB857" s="22"/>
      <c r="BC857" s="22"/>
    </row>
    <row r="858" spans="1:55" customFormat="1" ht="21" customHeight="1" x14ac:dyDescent="0.25">
      <c r="A858" s="22"/>
      <c r="B858" s="22"/>
      <c r="C858" s="22"/>
      <c r="D858" s="22"/>
      <c r="E858" s="23"/>
      <c r="F858" s="22"/>
      <c r="G858" s="22"/>
      <c r="H858" s="23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3"/>
      <c r="AB858" s="23"/>
      <c r="AC858" s="22"/>
      <c r="AD858" s="22"/>
      <c r="AE858" s="22"/>
      <c r="AF858" s="22"/>
      <c r="AG858" s="22"/>
      <c r="AH858" s="22"/>
      <c r="AI858" s="22"/>
      <c r="AJ858" s="22"/>
      <c r="AK858" s="22"/>
      <c r="AL858" s="22"/>
      <c r="AM858" s="22"/>
      <c r="AN858" s="22"/>
      <c r="AO858" s="22"/>
      <c r="AP858" s="22"/>
      <c r="AQ858" s="22"/>
      <c r="AR858" s="22"/>
      <c r="AS858" s="22"/>
      <c r="AT858" s="22"/>
      <c r="AU858" s="22"/>
      <c r="AV858" s="22"/>
      <c r="AW858" s="22"/>
      <c r="AX858" s="22"/>
      <c r="AY858" s="22"/>
      <c r="AZ858" s="22"/>
      <c r="BA858" s="22"/>
      <c r="BB858" s="22"/>
      <c r="BC858" s="22"/>
    </row>
    <row r="859" spans="1:55" customFormat="1" ht="21" customHeight="1" x14ac:dyDescent="0.25">
      <c r="A859" s="22"/>
      <c r="B859" s="22"/>
      <c r="C859" s="22"/>
      <c r="D859" s="22"/>
      <c r="E859" s="23"/>
      <c r="F859" s="22"/>
      <c r="G859" s="22"/>
      <c r="H859" s="23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3"/>
      <c r="AB859" s="23"/>
      <c r="AC859" s="22"/>
      <c r="AD859" s="22"/>
      <c r="AE859" s="22"/>
      <c r="AF859" s="22"/>
      <c r="AG859" s="22"/>
      <c r="AH859" s="22"/>
      <c r="AI859" s="22"/>
      <c r="AJ859" s="22"/>
      <c r="AK859" s="22"/>
      <c r="AL859" s="22"/>
      <c r="AM859" s="22"/>
      <c r="AN859" s="22"/>
      <c r="AO859" s="22"/>
      <c r="AP859" s="22"/>
      <c r="AQ859" s="22"/>
      <c r="AR859" s="22"/>
      <c r="AS859" s="22"/>
      <c r="AT859" s="22"/>
      <c r="AU859" s="22"/>
      <c r="AV859" s="22"/>
      <c r="AW859" s="22"/>
      <c r="AX859" s="22"/>
      <c r="AY859" s="22"/>
      <c r="AZ859" s="22"/>
      <c r="BA859" s="22"/>
      <c r="BB859" s="22"/>
      <c r="BC859" s="22"/>
    </row>
    <row r="860" spans="1:55" customFormat="1" ht="21" customHeight="1" x14ac:dyDescent="0.25">
      <c r="A860" s="22"/>
      <c r="B860" s="22"/>
      <c r="C860" s="22"/>
      <c r="D860" s="22"/>
      <c r="E860" s="23"/>
      <c r="F860" s="22"/>
      <c r="G860" s="22"/>
      <c r="H860" s="23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3"/>
      <c r="AB860" s="23"/>
      <c r="AC860" s="22"/>
      <c r="AD860" s="22"/>
      <c r="AE860" s="22"/>
      <c r="AF860" s="22"/>
      <c r="AG860" s="22"/>
      <c r="AH860" s="22"/>
      <c r="AI860" s="22"/>
      <c r="AJ860" s="22"/>
      <c r="AK860" s="22"/>
      <c r="AL860" s="22"/>
      <c r="AM860" s="22"/>
      <c r="AN860" s="22"/>
      <c r="AO860" s="22"/>
      <c r="AP860" s="22"/>
      <c r="AQ860" s="22"/>
      <c r="AR860" s="22"/>
      <c r="AS860" s="22"/>
      <c r="AT860" s="22"/>
      <c r="AU860" s="22"/>
      <c r="AV860" s="22"/>
      <c r="AW860" s="22"/>
      <c r="AX860" s="22"/>
      <c r="AY860" s="22"/>
      <c r="AZ860" s="22"/>
      <c r="BA860" s="22"/>
      <c r="BB860" s="22"/>
      <c r="BC860" s="22"/>
    </row>
    <row r="861" spans="1:55" customFormat="1" ht="21" customHeight="1" x14ac:dyDescent="0.25">
      <c r="A861" s="22"/>
      <c r="B861" s="22"/>
      <c r="C861" s="22"/>
      <c r="D861" s="22"/>
      <c r="E861" s="23"/>
      <c r="F861" s="22"/>
      <c r="G861" s="22"/>
      <c r="H861" s="23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3"/>
      <c r="AB861" s="23"/>
      <c r="AC861" s="22"/>
      <c r="AD861" s="22"/>
      <c r="AE861" s="22"/>
      <c r="AF861" s="22"/>
      <c r="AG861" s="22"/>
      <c r="AH861" s="22"/>
      <c r="AI861" s="22"/>
      <c r="AJ861" s="22"/>
      <c r="AK861" s="22"/>
      <c r="AL861" s="22"/>
      <c r="AM861" s="22"/>
      <c r="AN861" s="22"/>
      <c r="AO861" s="22"/>
      <c r="AP861" s="22"/>
      <c r="AQ861" s="22"/>
      <c r="AR861" s="22"/>
      <c r="AS861" s="22"/>
      <c r="AT861" s="22"/>
      <c r="AU861" s="22"/>
      <c r="AV861" s="22"/>
      <c r="AW861" s="22"/>
      <c r="AX861" s="22"/>
      <c r="AY861" s="22"/>
      <c r="AZ861" s="22"/>
      <c r="BA861" s="22"/>
      <c r="BB861" s="22"/>
      <c r="BC861" s="22"/>
    </row>
    <row r="862" spans="1:55" customFormat="1" ht="21" customHeight="1" x14ac:dyDescent="0.25">
      <c r="A862" s="22"/>
      <c r="B862" s="22"/>
      <c r="C862" s="22"/>
      <c r="D862" s="22"/>
      <c r="E862" s="23"/>
      <c r="F862" s="22"/>
      <c r="G862" s="22"/>
      <c r="H862" s="23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3"/>
      <c r="AB862" s="23"/>
      <c r="AC862" s="22"/>
      <c r="AD862" s="22"/>
      <c r="AE862" s="22"/>
      <c r="AF862" s="22"/>
      <c r="AG862" s="22"/>
      <c r="AH862" s="22"/>
      <c r="AI862" s="22"/>
      <c r="AJ862" s="22"/>
      <c r="AK862" s="22"/>
      <c r="AL862" s="22"/>
      <c r="AM862" s="22"/>
      <c r="AN862" s="22"/>
      <c r="AO862" s="22"/>
      <c r="AP862" s="22"/>
      <c r="AQ862" s="22"/>
      <c r="AR862" s="22"/>
      <c r="AS862" s="22"/>
      <c r="AT862" s="22"/>
      <c r="AU862" s="22"/>
      <c r="AV862" s="22"/>
      <c r="AW862" s="22"/>
      <c r="AX862" s="22"/>
      <c r="AY862" s="22"/>
      <c r="AZ862" s="22"/>
      <c r="BA862" s="22"/>
      <c r="BB862" s="22"/>
      <c r="BC862" s="22"/>
    </row>
    <row r="863" spans="1:55" customFormat="1" ht="21" customHeight="1" x14ac:dyDescent="0.25">
      <c r="A863" s="22"/>
      <c r="B863" s="22"/>
      <c r="C863" s="22"/>
      <c r="D863" s="22"/>
      <c r="E863" s="23"/>
      <c r="F863" s="22"/>
      <c r="G863" s="22"/>
      <c r="H863" s="23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3"/>
      <c r="AB863" s="23"/>
      <c r="AC863" s="22"/>
      <c r="AD863" s="22"/>
      <c r="AE863" s="22"/>
      <c r="AF863" s="22"/>
      <c r="AG863" s="22"/>
      <c r="AH863" s="22"/>
      <c r="AI863" s="22"/>
      <c r="AJ863" s="22"/>
      <c r="AK863" s="22"/>
      <c r="AL863" s="22"/>
      <c r="AM863" s="22"/>
      <c r="AN863" s="22"/>
      <c r="AO863" s="22"/>
      <c r="AP863" s="22"/>
      <c r="AQ863" s="22"/>
      <c r="AR863" s="22"/>
      <c r="AS863" s="22"/>
      <c r="AT863" s="22"/>
      <c r="AU863" s="22"/>
      <c r="AV863" s="22"/>
      <c r="AW863" s="22"/>
      <c r="AX863" s="22"/>
      <c r="AY863" s="22"/>
      <c r="AZ863" s="22"/>
      <c r="BA863" s="22"/>
      <c r="BB863" s="22"/>
      <c r="BC863" s="22"/>
    </row>
    <row r="864" spans="1:55" customFormat="1" ht="21" customHeight="1" x14ac:dyDescent="0.25">
      <c r="A864" s="22"/>
      <c r="B864" s="22"/>
      <c r="C864" s="22"/>
      <c r="D864" s="22"/>
      <c r="E864" s="23"/>
      <c r="F864" s="22"/>
      <c r="G864" s="22"/>
      <c r="H864" s="23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3"/>
      <c r="AB864" s="23"/>
      <c r="AC864" s="22"/>
      <c r="AD864" s="22"/>
      <c r="AE864" s="22"/>
      <c r="AF864" s="22"/>
      <c r="AG864" s="22"/>
      <c r="AH864" s="22"/>
      <c r="AI864" s="22"/>
      <c r="AJ864" s="22"/>
      <c r="AK864" s="22"/>
      <c r="AL864" s="22"/>
      <c r="AM864" s="22"/>
      <c r="AN864" s="22"/>
      <c r="AO864" s="22"/>
      <c r="AP864" s="22"/>
      <c r="AQ864" s="22"/>
      <c r="AR864" s="22"/>
      <c r="AS864" s="22"/>
      <c r="AT864" s="22"/>
      <c r="AU864" s="22"/>
      <c r="AV864" s="22"/>
      <c r="AW864" s="22"/>
      <c r="AX864" s="22"/>
      <c r="AY864" s="22"/>
      <c r="AZ864" s="22"/>
      <c r="BA864" s="22"/>
      <c r="BB864" s="22"/>
      <c r="BC864" s="22"/>
    </row>
    <row r="865" spans="1:55" customFormat="1" ht="21" customHeight="1" x14ac:dyDescent="0.25">
      <c r="A865" s="22"/>
      <c r="B865" s="22"/>
      <c r="C865" s="22"/>
      <c r="D865" s="22"/>
      <c r="E865" s="23"/>
      <c r="F865" s="22"/>
      <c r="G865" s="22"/>
      <c r="H865" s="23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3"/>
      <c r="AB865" s="23"/>
      <c r="AC865" s="22"/>
      <c r="AD865" s="22"/>
      <c r="AE865" s="22"/>
      <c r="AF865" s="22"/>
      <c r="AG865" s="22"/>
      <c r="AH865" s="22"/>
      <c r="AI865" s="22"/>
      <c r="AJ865" s="22"/>
      <c r="AK865" s="22"/>
      <c r="AL865" s="22"/>
      <c r="AM865" s="22"/>
      <c r="AN865" s="22"/>
      <c r="AO865" s="22"/>
      <c r="AP865" s="22"/>
      <c r="AQ865" s="22"/>
      <c r="AR865" s="22"/>
      <c r="AS865" s="22"/>
      <c r="AT865" s="22"/>
      <c r="AU865" s="22"/>
      <c r="AV865" s="22"/>
      <c r="AW865" s="22"/>
      <c r="AX865" s="22"/>
      <c r="AY865" s="22"/>
      <c r="AZ865" s="22"/>
      <c r="BA865" s="22"/>
      <c r="BB865" s="22"/>
      <c r="BC865" s="22"/>
    </row>
    <row r="866" spans="1:55" customFormat="1" ht="21" customHeight="1" x14ac:dyDescent="0.25">
      <c r="A866" s="22"/>
      <c r="B866" s="22"/>
      <c r="C866" s="22"/>
      <c r="D866" s="22"/>
      <c r="E866" s="23"/>
      <c r="F866" s="22"/>
      <c r="G866" s="22"/>
      <c r="H866" s="23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3"/>
      <c r="AB866" s="23"/>
      <c r="AC866" s="22"/>
      <c r="AD866" s="22"/>
      <c r="AE866" s="22"/>
      <c r="AF866" s="22"/>
      <c r="AG866" s="22"/>
      <c r="AH866" s="22"/>
      <c r="AI866" s="22"/>
      <c r="AJ866" s="22"/>
      <c r="AK866" s="22"/>
      <c r="AL866" s="22"/>
      <c r="AM866" s="22"/>
      <c r="AN866" s="22"/>
      <c r="AO866" s="22"/>
      <c r="AP866" s="22"/>
      <c r="AQ866" s="22"/>
      <c r="AR866" s="22"/>
      <c r="AS866" s="22"/>
      <c r="AT866" s="22"/>
      <c r="AU866" s="22"/>
      <c r="AV866" s="22"/>
      <c r="AW866" s="22"/>
      <c r="AX866" s="22"/>
      <c r="AY866" s="22"/>
      <c r="AZ866" s="22"/>
      <c r="BA866" s="22"/>
      <c r="BB866" s="22"/>
      <c r="BC866" s="22"/>
    </row>
    <row r="867" spans="1:55" customFormat="1" ht="21" customHeight="1" x14ac:dyDescent="0.25">
      <c r="A867" s="22"/>
      <c r="B867" s="22"/>
      <c r="C867" s="22"/>
      <c r="D867" s="22"/>
      <c r="E867" s="23"/>
      <c r="F867" s="22"/>
      <c r="G867" s="22"/>
      <c r="H867" s="23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3"/>
      <c r="AB867" s="23"/>
      <c r="AC867" s="22"/>
      <c r="AD867" s="22"/>
      <c r="AE867" s="22"/>
      <c r="AF867" s="22"/>
      <c r="AG867" s="22"/>
      <c r="AH867" s="22"/>
      <c r="AI867" s="22"/>
      <c r="AJ867" s="22"/>
      <c r="AK867" s="22"/>
      <c r="AL867" s="22"/>
      <c r="AM867" s="22"/>
      <c r="AN867" s="22"/>
      <c r="AO867" s="22"/>
      <c r="AP867" s="22"/>
      <c r="AQ867" s="22"/>
      <c r="AR867" s="22"/>
      <c r="AS867" s="22"/>
      <c r="AT867" s="22"/>
      <c r="AU867" s="22"/>
      <c r="AV867" s="22"/>
      <c r="AW867" s="22"/>
      <c r="AX867" s="22"/>
      <c r="AY867" s="22"/>
      <c r="AZ867" s="22"/>
      <c r="BA867" s="22"/>
      <c r="BB867" s="22"/>
      <c r="BC867" s="22"/>
    </row>
    <row r="868" spans="1:55" customFormat="1" ht="21" customHeight="1" x14ac:dyDescent="0.25">
      <c r="A868" s="22"/>
      <c r="B868" s="22"/>
      <c r="C868" s="22"/>
      <c r="D868" s="22"/>
      <c r="E868" s="23"/>
      <c r="F868" s="22"/>
      <c r="G868" s="22"/>
      <c r="H868" s="23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3"/>
      <c r="AB868" s="23"/>
      <c r="AC868" s="22"/>
      <c r="AD868" s="22"/>
      <c r="AE868" s="22"/>
      <c r="AF868" s="22"/>
      <c r="AG868" s="22"/>
      <c r="AH868" s="22"/>
      <c r="AI868" s="22"/>
      <c r="AJ868" s="22"/>
      <c r="AK868" s="22"/>
      <c r="AL868" s="22"/>
      <c r="AM868" s="22"/>
      <c r="AN868" s="22"/>
      <c r="AO868" s="22"/>
      <c r="AP868" s="22"/>
      <c r="AQ868" s="22"/>
      <c r="AR868" s="22"/>
      <c r="AS868" s="22"/>
      <c r="AT868" s="22"/>
      <c r="AU868" s="22"/>
      <c r="AV868" s="22"/>
      <c r="AW868" s="22"/>
      <c r="AX868" s="22"/>
      <c r="AY868" s="22"/>
      <c r="AZ868" s="22"/>
      <c r="BA868" s="22"/>
      <c r="BB868" s="22"/>
      <c r="BC868" s="22"/>
    </row>
    <row r="869" spans="1:55" customFormat="1" ht="21" customHeight="1" x14ac:dyDescent="0.25">
      <c r="A869" s="22"/>
      <c r="B869" s="22"/>
      <c r="C869" s="22"/>
      <c r="D869" s="22"/>
      <c r="E869" s="23"/>
      <c r="F869" s="22"/>
      <c r="G869" s="22"/>
      <c r="H869" s="23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3"/>
      <c r="AB869" s="23"/>
      <c r="AC869" s="22"/>
      <c r="AD869" s="22"/>
      <c r="AE869" s="22"/>
      <c r="AF869" s="22"/>
      <c r="AG869" s="22"/>
      <c r="AH869" s="22"/>
      <c r="AI869" s="22"/>
      <c r="AJ869" s="22"/>
      <c r="AK869" s="22"/>
      <c r="AL869" s="22"/>
      <c r="AM869" s="22"/>
      <c r="AN869" s="22"/>
      <c r="AO869" s="22"/>
      <c r="AP869" s="22"/>
      <c r="AQ869" s="22"/>
      <c r="AR869" s="22"/>
      <c r="AS869" s="22"/>
      <c r="AT869" s="22"/>
      <c r="AU869" s="22"/>
      <c r="AV869" s="22"/>
      <c r="AW869" s="22"/>
      <c r="AX869" s="22"/>
      <c r="AY869" s="22"/>
      <c r="AZ869" s="22"/>
      <c r="BA869" s="22"/>
      <c r="BB869" s="22"/>
      <c r="BC869" s="22"/>
    </row>
    <row r="870" spans="1:55" customFormat="1" ht="21" customHeight="1" x14ac:dyDescent="0.25">
      <c r="A870" s="22"/>
      <c r="B870" s="22"/>
      <c r="C870" s="22"/>
      <c r="D870" s="22"/>
      <c r="E870" s="23"/>
      <c r="F870" s="22"/>
      <c r="G870" s="22"/>
      <c r="H870" s="23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3"/>
      <c r="AB870" s="23"/>
      <c r="AC870" s="22"/>
      <c r="AD870" s="22"/>
      <c r="AE870" s="22"/>
      <c r="AF870" s="22"/>
      <c r="AG870" s="22"/>
      <c r="AH870" s="22"/>
      <c r="AI870" s="22"/>
      <c r="AJ870" s="22"/>
      <c r="AK870" s="22"/>
      <c r="AL870" s="22"/>
      <c r="AM870" s="22"/>
      <c r="AN870" s="22"/>
      <c r="AO870" s="22"/>
      <c r="AP870" s="22"/>
      <c r="AQ870" s="22"/>
      <c r="AR870" s="22"/>
      <c r="AS870" s="22"/>
      <c r="AT870" s="22"/>
      <c r="AU870" s="22"/>
      <c r="AV870" s="22"/>
      <c r="AW870" s="22"/>
      <c r="AX870" s="22"/>
      <c r="AY870" s="22"/>
      <c r="AZ870" s="22"/>
      <c r="BA870" s="22"/>
      <c r="BB870" s="22"/>
      <c r="BC870" s="22"/>
    </row>
    <row r="871" spans="1:55" customFormat="1" ht="21" customHeight="1" x14ac:dyDescent="0.25">
      <c r="A871" s="22"/>
      <c r="B871" s="22"/>
      <c r="C871" s="22"/>
      <c r="D871" s="22"/>
      <c r="E871" s="23"/>
      <c r="F871" s="22"/>
      <c r="G871" s="22"/>
      <c r="H871" s="23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3"/>
      <c r="AB871" s="23"/>
      <c r="AC871" s="22"/>
      <c r="AD871" s="22"/>
      <c r="AE871" s="22"/>
      <c r="AF871" s="22"/>
      <c r="AG871" s="22"/>
      <c r="AH871" s="22"/>
      <c r="AI871" s="22"/>
      <c r="AJ871" s="22"/>
      <c r="AK871" s="22"/>
      <c r="AL871" s="22"/>
      <c r="AM871" s="22"/>
      <c r="AN871" s="22"/>
      <c r="AO871" s="22"/>
      <c r="AP871" s="22"/>
      <c r="AQ871" s="22"/>
      <c r="AR871" s="22"/>
      <c r="AS871" s="22"/>
      <c r="AT871" s="22"/>
      <c r="AU871" s="22"/>
      <c r="AV871" s="22"/>
      <c r="AW871" s="22"/>
      <c r="AX871" s="22"/>
      <c r="AY871" s="22"/>
      <c r="AZ871" s="22"/>
      <c r="BA871" s="22"/>
      <c r="BB871" s="22"/>
      <c r="BC871" s="22"/>
    </row>
    <row r="872" spans="1:55" customFormat="1" ht="21" customHeight="1" x14ac:dyDescent="0.25">
      <c r="A872" s="22"/>
      <c r="B872" s="22"/>
      <c r="C872" s="22"/>
      <c r="D872" s="22"/>
      <c r="E872" s="23"/>
      <c r="F872" s="22"/>
      <c r="G872" s="22"/>
      <c r="H872" s="23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3"/>
      <c r="AB872" s="23"/>
      <c r="AC872" s="22"/>
      <c r="AD872" s="22"/>
      <c r="AE872" s="22"/>
      <c r="AF872" s="22"/>
      <c r="AG872" s="22"/>
      <c r="AH872" s="22"/>
      <c r="AI872" s="22"/>
      <c r="AJ872" s="22"/>
      <c r="AK872" s="22"/>
      <c r="AL872" s="22"/>
      <c r="AM872" s="22"/>
      <c r="AN872" s="22"/>
      <c r="AO872" s="22"/>
      <c r="AP872" s="22"/>
      <c r="AQ872" s="22"/>
      <c r="AR872" s="22"/>
      <c r="AS872" s="22"/>
      <c r="AT872" s="22"/>
      <c r="AU872" s="22"/>
      <c r="AV872" s="22"/>
      <c r="AW872" s="22"/>
      <c r="AX872" s="22"/>
      <c r="AY872" s="22"/>
      <c r="AZ872" s="22"/>
      <c r="BA872" s="22"/>
      <c r="BB872" s="22"/>
      <c r="BC872" s="22"/>
    </row>
    <row r="873" spans="1:55" customFormat="1" ht="21" customHeight="1" x14ac:dyDescent="0.25">
      <c r="A873" s="22"/>
      <c r="B873" s="22"/>
      <c r="C873" s="22"/>
      <c r="D873" s="22"/>
      <c r="E873" s="23"/>
      <c r="F873" s="22"/>
      <c r="G873" s="22"/>
      <c r="H873" s="23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3"/>
      <c r="AB873" s="23"/>
      <c r="AC873" s="22"/>
      <c r="AD873" s="22"/>
      <c r="AE873" s="22"/>
      <c r="AF873" s="22"/>
      <c r="AG873" s="22"/>
      <c r="AH873" s="22"/>
      <c r="AI873" s="22"/>
      <c r="AJ873" s="22"/>
      <c r="AK873" s="22"/>
      <c r="AL873" s="22"/>
      <c r="AM873" s="22"/>
      <c r="AN873" s="22"/>
      <c r="AO873" s="22"/>
      <c r="AP873" s="22"/>
      <c r="AQ873" s="22"/>
      <c r="AR873" s="22"/>
      <c r="AS873" s="22"/>
      <c r="AT873" s="22"/>
      <c r="AU873" s="22"/>
      <c r="AV873" s="22"/>
      <c r="AW873" s="22"/>
      <c r="AX873" s="22"/>
      <c r="AY873" s="22"/>
      <c r="AZ873" s="22"/>
      <c r="BA873" s="22"/>
      <c r="BB873" s="22"/>
      <c r="BC873" s="22"/>
    </row>
    <row r="874" spans="1:55" customFormat="1" ht="21" customHeight="1" x14ac:dyDescent="0.25">
      <c r="A874" s="22"/>
      <c r="B874" s="22"/>
      <c r="C874" s="22"/>
      <c r="D874" s="22"/>
      <c r="E874" s="23"/>
      <c r="F874" s="22"/>
      <c r="G874" s="22"/>
      <c r="H874" s="23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3"/>
      <c r="AB874" s="23"/>
      <c r="AC874" s="22"/>
      <c r="AD874" s="22"/>
      <c r="AE874" s="22"/>
      <c r="AF874" s="22"/>
      <c r="AG874" s="22"/>
      <c r="AH874" s="22"/>
      <c r="AI874" s="22"/>
      <c r="AJ874" s="22"/>
      <c r="AK874" s="22"/>
      <c r="AL874" s="22"/>
      <c r="AM874" s="22"/>
      <c r="AN874" s="22"/>
      <c r="AO874" s="22"/>
      <c r="AP874" s="22"/>
      <c r="AQ874" s="22"/>
      <c r="AR874" s="22"/>
      <c r="AS874" s="22"/>
      <c r="AT874" s="22"/>
      <c r="AU874" s="22"/>
      <c r="AV874" s="22"/>
      <c r="AW874" s="22"/>
      <c r="AX874" s="22"/>
      <c r="AY874" s="22"/>
      <c r="AZ874" s="22"/>
      <c r="BA874" s="22"/>
      <c r="BB874" s="22"/>
      <c r="BC874" s="22"/>
    </row>
    <row r="875" spans="1:55" customFormat="1" ht="21" customHeight="1" x14ac:dyDescent="0.25">
      <c r="A875" s="22"/>
      <c r="B875" s="22"/>
      <c r="C875" s="22"/>
      <c r="D875" s="22"/>
      <c r="E875" s="23"/>
      <c r="F875" s="22"/>
      <c r="G875" s="22"/>
      <c r="H875" s="23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3"/>
      <c r="AB875" s="23"/>
      <c r="AC875" s="22"/>
      <c r="AD875" s="22"/>
      <c r="AE875" s="22"/>
      <c r="AF875" s="22"/>
      <c r="AG875" s="22"/>
      <c r="AH875" s="22"/>
      <c r="AI875" s="22"/>
      <c r="AJ875" s="22"/>
      <c r="AK875" s="22"/>
      <c r="AL875" s="22"/>
      <c r="AM875" s="22"/>
      <c r="AN875" s="22"/>
      <c r="AO875" s="22"/>
      <c r="AP875" s="22"/>
      <c r="AQ875" s="22"/>
      <c r="AR875" s="22"/>
      <c r="AS875" s="22"/>
      <c r="AT875" s="22"/>
      <c r="AU875" s="22"/>
      <c r="AV875" s="22"/>
      <c r="AW875" s="22"/>
      <c r="AX875" s="22"/>
      <c r="AY875" s="22"/>
      <c r="AZ875" s="22"/>
      <c r="BA875" s="22"/>
      <c r="BB875" s="22"/>
      <c r="BC875" s="22"/>
    </row>
    <row r="876" spans="1:55" customFormat="1" ht="21" customHeight="1" x14ac:dyDescent="0.25">
      <c r="A876" s="22"/>
      <c r="B876" s="22"/>
      <c r="C876" s="22"/>
      <c r="D876" s="22"/>
      <c r="E876" s="23"/>
      <c r="F876" s="22"/>
      <c r="G876" s="22"/>
      <c r="H876" s="23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3"/>
      <c r="AB876" s="23"/>
      <c r="AC876" s="22"/>
      <c r="AD876" s="22"/>
      <c r="AE876" s="22"/>
      <c r="AF876" s="22"/>
      <c r="AG876" s="22"/>
      <c r="AH876" s="22"/>
      <c r="AI876" s="22"/>
      <c r="AJ876" s="22"/>
      <c r="AK876" s="22"/>
      <c r="AL876" s="22"/>
      <c r="AM876" s="22"/>
      <c r="AN876" s="22"/>
      <c r="AO876" s="22"/>
      <c r="AP876" s="22"/>
      <c r="AQ876" s="22"/>
      <c r="AR876" s="22"/>
      <c r="AS876" s="22"/>
      <c r="AT876" s="22"/>
      <c r="AU876" s="22"/>
      <c r="AV876" s="22"/>
      <c r="AW876" s="22"/>
      <c r="AX876" s="22"/>
      <c r="AY876" s="22"/>
      <c r="AZ876" s="22"/>
      <c r="BA876" s="22"/>
      <c r="BB876" s="22"/>
      <c r="BC876" s="22"/>
    </row>
    <row r="877" spans="1:55" customFormat="1" ht="21" customHeight="1" x14ac:dyDescent="0.25">
      <c r="A877" s="22"/>
      <c r="B877" s="22"/>
      <c r="C877" s="22"/>
      <c r="D877" s="22"/>
      <c r="E877" s="23"/>
      <c r="F877" s="22"/>
      <c r="G877" s="22"/>
      <c r="H877" s="23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3"/>
      <c r="AB877" s="23"/>
      <c r="AC877" s="22"/>
      <c r="AD877" s="22"/>
      <c r="AE877" s="22"/>
      <c r="AF877" s="22"/>
      <c r="AG877" s="22"/>
      <c r="AH877" s="22"/>
      <c r="AI877" s="22"/>
      <c r="AJ877" s="22"/>
      <c r="AK877" s="22"/>
      <c r="AL877" s="22"/>
      <c r="AM877" s="22"/>
      <c r="AN877" s="22"/>
      <c r="AO877" s="22"/>
      <c r="AP877" s="22"/>
      <c r="AQ877" s="22"/>
      <c r="AR877" s="22"/>
      <c r="AS877" s="22"/>
      <c r="AT877" s="22"/>
      <c r="AU877" s="22"/>
      <c r="AV877" s="22"/>
      <c r="AW877" s="22"/>
      <c r="AX877" s="22"/>
      <c r="AY877" s="22"/>
      <c r="AZ877" s="22"/>
      <c r="BA877" s="22"/>
      <c r="BB877" s="22"/>
      <c r="BC877" s="22"/>
    </row>
    <row r="878" spans="1:55" customFormat="1" ht="21" customHeight="1" x14ac:dyDescent="0.25">
      <c r="A878" s="22"/>
      <c r="B878" s="22"/>
      <c r="C878" s="22"/>
      <c r="D878" s="22"/>
      <c r="E878" s="23"/>
      <c r="F878" s="22"/>
      <c r="G878" s="22"/>
      <c r="H878" s="23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3"/>
      <c r="AB878" s="23"/>
      <c r="AC878" s="22"/>
      <c r="AD878" s="22"/>
      <c r="AE878" s="22"/>
      <c r="AF878" s="22"/>
      <c r="AG878" s="22"/>
      <c r="AH878" s="22"/>
      <c r="AI878" s="22"/>
      <c r="AJ878" s="22"/>
      <c r="AK878" s="22"/>
      <c r="AL878" s="22"/>
      <c r="AM878" s="22"/>
      <c r="AN878" s="22"/>
      <c r="AO878" s="22"/>
      <c r="AP878" s="22"/>
      <c r="AQ878" s="22"/>
      <c r="AR878" s="22"/>
      <c r="AS878" s="22"/>
      <c r="AT878" s="22"/>
      <c r="AU878" s="22"/>
      <c r="AV878" s="22"/>
      <c r="AW878" s="22"/>
      <c r="AX878" s="22"/>
      <c r="AY878" s="22"/>
      <c r="AZ878" s="22"/>
      <c r="BA878" s="22"/>
      <c r="BB878" s="22"/>
      <c r="BC878" s="22"/>
    </row>
    <row r="879" spans="1:55" customFormat="1" ht="21" customHeight="1" x14ac:dyDescent="0.25">
      <c r="A879" s="22"/>
      <c r="B879" s="22"/>
      <c r="C879" s="22"/>
      <c r="D879" s="22"/>
      <c r="E879" s="23"/>
      <c r="F879" s="22"/>
      <c r="G879" s="22"/>
      <c r="H879" s="23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A879" s="23"/>
      <c r="AB879" s="23"/>
      <c r="AC879" s="22"/>
      <c r="AD879" s="22"/>
      <c r="AE879" s="22"/>
      <c r="AF879" s="22"/>
      <c r="AG879" s="22"/>
      <c r="AH879" s="22"/>
      <c r="AI879" s="22"/>
      <c r="AJ879" s="22"/>
      <c r="AK879" s="22"/>
      <c r="AL879" s="22"/>
      <c r="AM879" s="22"/>
      <c r="AN879" s="22"/>
      <c r="AO879" s="22"/>
      <c r="AP879" s="22"/>
      <c r="AQ879" s="22"/>
      <c r="AR879" s="22"/>
      <c r="AS879" s="22"/>
      <c r="AT879" s="22"/>
      <c r="AU879" s="22"/>
      <c r="AV879" s="22"/>
      <c r="AW879" s="22"/>
      <c r="AX879" s="22"/>
      <c r="AY879" s="22"/>
      <c r="AZ879" s="22"/>
      <c r="BA879" s="22"/>
      <c r="BB879" s="22"/>
      <c r="BC879" s="22"/>
    </row>
    <row r="880" spans="1:55" customFormat="1" ht="21" customHeight="1" x14ac:dyDescent="0.25">
      <c r="A880" s="22"/>
      <c r="B880" s="22"/>
      <c r="C880" s="22"/>
      <c r="D880" s="22"/>
      <c r="E880" s="23"/>
      <c r="F880" s="22"/>
      <c r="G880" s="22"/>
      <c r="H880" s="23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3"/>
      <c r="AB880" s="23"/>
      <c r="AC880" s="22"/>
      <c r="AD880" s="22"/>
      <c r="AE880" s="22"/>
      <c r="AF880" s="22"/>
      <c r="AG880" s="22"/>
      <c r="AH880" s="22"/>
      <c r="AI880" s="22"/>
      <c r="AJ880" s="22"/>
      <c r="AK880" s="22"/>
      <c r="AL880" s="22"/>
      <c r="AM880" s="22"/>
      <c r="AN880" s="22"/>
      <c r="AO880" s="22"/>
      <c r="AP880" s="22"/>
      <c r="AQ880" s="22"/>
      <c r="AR880" s="22"/>
      <c r="AS880" s="22"/>
      <c r="AT880" s="22"/>
      <c r="AU880" s="22"/>
      <c r="AV880" s="22"/>
      <c r="AW880" s="22"/>
      <c r="AX880" s="22"/>
      <c r="AY880" s="22"/>
      <c r="AZ880" s="22"/>
      <c r="BA880" s="22"/>
      <c r="BB880" s="22"/>
      <c r="BC880" s="22"/>
    </row>
    <row r="881" spans="1:55" customFormat="1" ht="21" customHeight="1" x14ac:dyDescent="0.25">
      <c r="A881" s="22"/>
      <c r="B881" s="22"/>
      <c r="C881" s="22"/>
      <c r="D881" s="22"/>
      <c r="E881" s="23"/>
      <c r="F881" s="22"/>
      <c r="G881" s="22"/>
      <c r="H881" s="23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3"/>
      <c r="AB881" s="23"/>
      <c r="AC881" s="22"/>
      <c r="AD881" s="22"/>
      <c r="AE881" s="22"/>
      <c r="AF881" s="22"/>
      <c r="AG881" s="22"/>
      <c r="AH881" s="22"/>
      <c r="AI881" s="22"/>
      <c r="AJ881" s="22"/>
      <c r="AK881" s="22"/>
      <c r="AL881" s="22"/>
      <c r="AM881" s="22"/>
      <c r="AN881" s="22"/>
      <c r="AO881" s="22"/>
      <c r="AP881" s="22"/>
      <c r="AQ881" s="22"/>
      <c r="AR881" s="22"/>
      <c r="AS881" s="22"/>
      <c r="AT881" s="22"/>
      <c r="AU881" s="22"/>
      <c r="AV881" s="22"/>
      <c r="AW881" s="22"/>
      <c r="AX881" s="22"/>
      <c r="AY881" s="22"/>
      <c r="AZ881" s="22"/>
      <c r="BA881" s="22"/>
      <c r="BB881" s="22"/>
      <c r="BC881" s="22"/>
    </row>
    <row r="882" spans="1:55" customFormat="1" ht="21" customHeight="1" x14ac:dyDescent="0.25">
      <c r="A882" s="22"/>
      <c r="B882" s="22"/>
      <c r="C882" s="22"/>
      <c r="D882" s="22"/>
      <c r="E882" s="23"/>
      <c r="F882" s="22"/>
      <c r="G882" s="22"/>
      <c r="H882" s="23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3"/>
      <c r="AB882" s="23"/>
      <c r="AC882" s="22"/>
      <c r="AD882" s="22"/>
      <c r="AE882" s="22"/>
      <c r="AF882" s="22"/>
      <c r="AG882" s="22"/>
      <c r="AH882" s="22"/>
      <c r="AI882" s="22"/>
      <c r="AJ882" s="22"/>
      <c r="AK882" s="22"/>
      <c r="AL882" s="22"/>
      <c r="AM882" s="22"/>
      <c r="AN882" s="22"/>
      <c r="AO882" s="22"/>
      <c r="AP882" s="22"/>
      <c r="AQ882" s="22"/>
      <c r="AR882" s="22"/>
      <c r="AS882" s="22"/>
      <c r="AT882" s="22"/>
      <c r="AU882" s="22"/>
      <c r="AV882" s="22"/>
      <c r="AW882" s="22"/>
      <c r="AX882" s="22"/>
      <c r="AY882" s="22"/>
      <c r="AZ882" s="22"/>
      <c r="BA882" s="22"/>
      <c r="BB882" s="22"/>
      <c r="BC882" s="22"/>
    </row>
    <row r="883" spans="1:55" customFormat="1" ht="21" customHeight="1" x14ac:dyDescent="0.25">
      <c r="A883" s="22"/>
      <c r="B883" s="22"/>
      <c r="C883" s="22"/>
      <c r="D883" s="22"/>
      <c r="E883" s="23"/>
      <c r="F883" s="22"/>
      <c r="G883" s="22"/>
      <c r="H883" s="23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3"/>
      <c r="AB883" s="23"/>
      <c r="AC883" s="22"/>
      <c r="AD883" s="22"/>
      <c r="AE883" s="22"/>
      <c r="AF883" s="22"/>
      <c r="AG883" s="22"/>
      <c r="AH883" s="22"/>
      <c r="AI883" s="22"/>
      <c r="AJ883" s="22"/>
      <c r="AK883" s="22"/>
      <c r="AL883" s="22"/>
      <c r="AM883" s="22"/>
      <c r="AN883" s="22"/>
      <c r="AO883" s="22"/>
      <c r="AP883" s="22"/>
      <c r="AQ883" s="22"/>
      <c r="AR883" s="22"/>
      <c r="AS883" s="22"/>
      <c r="AT883" s="22"/>
      <c r="AU883" s="22"/>
      <c r="AV883" s="22"/>
      <c r="AW883" s="22"/>
      <c r="AX883" s="22"/>
      <c r="AY883" s="22"/>
      <c r="AZ883" s="22"/>
      <c r="BA883" s="22"/>
      <c r="BB883" s="22"/>
      <c r="BC883" s="22"/>
    </row>
    <row r="884" spans="1:55" customFormat="1" ht="21" customHeight="1" x14ac:dyDescent="0.25">
      <c r="A884" s="22"/>
      <c r="B884" s="22"/>
      <c r="C884" s="22"/>
      <c r="D884" s="22"/>
      <c r="E884" s="23"/>
      <c r="F884" s="22"/>
      <c r="G884" s="22"/>
      <c r="H884" s="23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3"/>
      <c r="AB884" s="23"/>
      <c r="AC884" s="22"/>
      <c r="AD884" s="22"/>
      <c r="AE884" s="22"/>
      <c r="AF884" s="22"/>
      <c r="AG884" s="22"/>
      <c r="AH884" s="22"/>
      <c r="AI884" s="22"/>
      <c r="AJ884" s="22"/>
      <c r="AK884" s="22"/>
      <c r="AL884" s="22"/>
      <c r="AM884" s="22"/>
      <c r="AN884" s="22"/>
      <c r="AO884" s="22"/>
      <c r="AP884" s="22"/>
      <c r="AQ884" s="22"/>
      <c r="AR884" s="22"/>
      <c r="AS884" s="22"/>
      <c r="AT884" s="22"/>
      <c r="AU884" s="22"/>
      <c r="AV884" s="22"/>
      <c r="AW884" s="22"/>
      <c r="AX884" s="22"/>
      <c r="AY884" s="22"/>
      <c r="AZ884" s="22"/>
      <c r="BA884" s="22"/>
      <c r="BB884" s="22"/>
      <c r="BC884" s="22"/>
    </row>
    <row r="885" spans="1:55" customFormat="1" ht="21" customHeight="1" x14ac:dyDescent="0.25">
      <c r="A885" s="22"/>
      <c r="B885" s="22"/>
      <c r="C885" s="22"/>
      <c r="D885" s="22"/>
      <c r="E885" s="23"/>
      <c r="F885" s="22"/>
      <c r="G885" s="22"/>
      <c r="H885" s="23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3"/>
      <c r="AB885" s="23"/>
      <c r="AC885" s="22"/>
      <c r="AD885" s="22"/>
      <c r="AE885" s="22"/>
      <c r="AF885" s="22"/>
      <c r="AG885" s="22"/>
      <c r="AH885" s="22"/>
      <c r="AI885" s="22"/>
      <c r="AJ885" s="22"/>
      <c r="AK885" s="22"/>
      <c r="AL885" s="22"/>
      <c r="AM885" s="22"/>
      <c r="AN885" s="22"/>
      <c r="AO885" s="22"/>
      <c r="AP885" s="22"/>
      <c r="AQ885" s="22"/>
      <c r="AR885" s="22"/>
      <c r="AS885" s="22"/>
      <c r="AT885" s="22"/>
      <c r="AU885" s="22"/>
      <c r="AV885" s="22"/>
      <c r="AW885" s="22"/>
      <c r="AX885" s="22"/>
      <c r="AY885" s="22"/>
      <c r="AZ885" s="22"/>
      <c r="BA885" s="22"/>
      <c r="BB885" s="22"/>
      <c r="BC885" s="22"/>
    </row>
    <row r="886" spans="1:55" customFormat="1" ht="21" customHeight="1" x14ac:dyDescent="0.25">
      <c r="A886" s="22"/>
      <c r="B886" s="22"/>
      <c r="C886" s="22"/>
      <c r="D886" s="22"/>
      <c r="E886" s="23"/>
      <c r="F886" s="22"/>
      <c r="G886" s="22"/>
      <c r="H886" s="23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A886" s="23"/>
      <c r="AB886" s="23"/>
      <c r="AC886" s="22"/>
      <c r="AD886" s="22"/>
      <c r="AE886" s="22"/>
      <c r="AF886" s="22"/>
      <c r="AG886" s="22"/>
      <c r="AH886" s="22"/>
      <c r="AI886" s="22"/>
      <c r="AJ886" s="22"/>
      <c r="AK886" s="22"/>
      <c r="AL886" s="22"/>
      <c r="AM886" s="22"/>
      <c r="AN886" s="22"/>
      <c r="AO886" s="22"/>
      <c r="AP886" s="22"/>
      <c r="AQ886" s="22"/>
      <c r="AR886" s="22"/>
      <c r="AS886" s="22"/>
      <c r="AT886" s="22"/>
      <c r="AU886" s="22"/>
      <c r="AV886" s="22"/>
      <c r="AW886" s="22"/>
      <c r="AX886" s="22"/>
      <c r="AY886" s="22"/>
      <c r="AZ886" s="22"/>
      <c r="BA886" s="22"/>
      <c r="BB886" s="22"/>
      <c r="BC886" s="22"/>
    </row>
    <row r="887" spans="1:55" customFormat="1" ht="21" customHeight="1" x14ac:dyDescent="0.25">
      <c r="A887" s="22"/>
      <c r="B887" s="22"/>
      <c r="C887" s="22"/>
      <c r="D887" s="22"/>
      <c r="E887" s="23"/>
      <c r="F887" s="22"/>
      <c r="G887" s="22"/>
      <c r="H887" s="23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3"/>
      <c r="AB887" s="23"/>
      <c r="AC887" s="22"/>
      <c r="AD887" s="22"/>
      <c r="AE887" s="22"/>
      <c r="AF887" s="22"/>
      <c r="AG887" s="22"/>
      <c r="AH887" s="22"/>
      <c r="AI887" s="22"/>
      <c r="AJ887" s="22"/>
      <c r="AK887" s="22"/>
      <c r="AL887" s="22"/>
      <c r="AM887" s="22"/>
      <c r="AN887" s="22"/>
      <c r="AO887" s="22"/>
      <c r="AP887" s="22"/>
      <c r="AQ887" s="22"/>
      <c r="AR887" s="22"/>
      <c r="AS887" s="22"/>
      <c r="AT887" s="22"/>
      <c r="AU887" s="22"/>
      <c r="AV887" s="22"/>
      <c r="AW887" s="22"/>
      <c r="AX887" s="22"/>
      <c r="AY887" s="22"/>
      <c r="AZ887" s="22"/>
      <c r="BA887" s="22"/>
      <c r="BB887" s="22"/>
      <c r="BC887" s="22"/>
    </row>
    <row r="888" spans="1:55" customFormat="1" ht="21" customHeight="1" x14ac:dyDescent="0.25">
      <c r="A888" s="22"/>
      <c r="B888" s="22"/>
      <c r="C888" s="22"/>
      <c r="D888" s="22"/>
      <c r="E888" s="23"/>
      <c r="F888" s="22"/>
      <c r="G888" s="22"/>
      <c r="H888" s="23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3"/>
      <c r="AB888" s="23"/>
      <c r="AC888" s="22"/>
      <c r="AD888" s="22"/>
      <c r="AE888" s="22"/>
      <c r="AF888" s="22"/>
      <c r="AG888" s="22"/>
      <c r="AH888" s="22"/>
      <c r="AI888" s="22"/>
      <c r="AJ888" s="22"/>
      <c r="AK888" s="22"/>
      <c r="AL888" s="22"/>
      <c r="AM888" s="22"/>
      <c r="AN888" s="22"/>
      <c r="AO888" s="22"/>
      <c r="AP888" s="22"/>
      <c r="AQ888" s="22"/>
      <c r="AR888" s="22"/>
      <c r="AS888" s="22"/>
      <c r="AT888" s="22"/>
      <c r="AU888" s="22"/>
      <c r="AV888" s="22"/>
      <c r="AW888" s="22"/>
      <c r="AX888" s="22"/>
      <c r="AY888" s="22"/>
      <c r="AZ888" s="22"/>
      <c r="BA888" s="22"/>
      <c r="BB888" s="22"/>
      <c r="BC888" s="22"/>
    </row>
    <row r="889" spans="1:55" customFormat="1" ht="21" customHeight="1" x14ac:dyDescent="0.25">
      <c r="A889" s="22"/>
      <c r="B889" s="22"/>
      <c r="C889" s="22"/>
      <c r="D889" s="22"/>
      <c r="E889" s="23"/>
      <c r="F889" s="22"/>
      <c r="G889" s="22"/>
      <c r="H889" s="23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A889" s="23"/>
      <c r="AB889" s="23"/>
      <c r="AC889" s="22"/>
      <c r="AD889" s="22"/>
      <c r="AE889" s="22"/>
      <c r="AF889" s="22"/>
      <c r="AG889" s="22"/>
      <c r="AH889" s="22"/>
      <c r="AI889" s="22"/>
      <c r="AJ889" s="22"/>
      <c r="AK889" s="22"/>
      <c r="AL889" s="22"/>
      <c r="AM889" s="22"/>
      <c r="AN889" s="22"/>
      <c r="AO889" s="22"/>
      <c r="AP889" s="22"/>
      <c r="AQ889" s="22"/>
      <c r="AR889" s="22"/>
      <c r="AS889" s="22"/>
      <c r="AT889" s="22"/>
      <c r="AU889" s="22"/>
      <c r="AV889" s="22"/>
      <c r="AW889" s="22"/>
      <c r="AX889" s="22"/>
      <c r="AY889" s="22"/>
      <c r="AZ889" s="22"/>
      <c r="BA889" s="22"/>
      <c r="BB889" s="22"/>
      <c r="BC889" s="22"/>
    </row>
    <row r="890" spans="1:55" customFormat="1" ht="21" customHeight="1" x14ac:dyDescent="0.25">
      <c r="A890" s="22"/>
      <c r="B890" s="22"/>
      <c r="C890" s="22"/>
      <c r="D890" s="22"/>
      <c r="E890" s="23"/>
      <c r="F890" s="22"/>
      <c r="G890" s="22"/>
      <c r="H890" s="23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3"/>
      <c r="AB890" s="23"/>
      <c r="AC890" s="22"/>
      <c r="AD890" s="22"/>
      <c r="AE890" s="22"/>
      <c r="AF890" s="22"/>
      <c r="AG890" s="22"/>
      <c r="AH890" s="22"/>
      <c r="AI890" s="22"/>
      <c r="AJ890" s="22"/>
      <c r="AK890" s="22"/>
      <c r="AL890" s="22"/>
      <c r="AM890" s="22"/>
      <c r="AN890" s="22"/>
      <c r="AO890" s="22"/>
      <c r="AP890" s="22"/>
      <c r="AQ890" s="22"/>
      <c r="AR890" s="22"/>
      <c r="AS890" s="22"/>
      <c r="AT890" s="22"/>
      <c r="AU890" s="22"/>
      <c r="AV890" s="22"/>
      <c r="AW890" s="22"/>
      <c r="AX890" s="22"/>
      <c r="AY890" s="22"/>
      <c r="AZ890" s="22"/>
      <c r="BA890" s="22"/>
      <c r="BB890" s="22"/>
      <c r="BC890" s="22"/>
    </row>
    <row r="891" spans="1:55" customFormat="1" ht="21" customHeight="1" x14ac:dyDescent="0.25">
      <c r="A891" s="22"/>
      <c r="B891" s="22"/>
      <c r="C891" s="22"/>
      <c r="D891" s="22"/>
      <c r="E891" s="23"/>
      <c r="F891" s="22"/>
      <c r="G891" s="22"/>
      <c r="H891" s="23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A891" s="23"/>
      <c r="AB891" s="23"/>
      <c r="AC891" s="22"/>
      <c r="AD891" s="22"/>
      <c r="AE891" s="22"/>
      <c r="AF891" s="22"/>
      <c r="AG891" s="22"/>
      <c r="AH891" s="22"/>
      <c r="AI891" s="22"/>
      <c r="AJ891" s="22"/>
      <c r="AK891" s="22"/>
      <c r="AL891" s="22"/>
      <c r="AM891" s="22"/>
      <c r="AN891" s="22"/>
      <c r="AO891" s="22"/>
      <c r="AP891" s="22"/>
      <c r="AQ891" s="22"/>
      <c r="AR891" s="22"/>
      <c r="AS891" s="22"/>
      <c r="AT891" s="22"/>
      <c r="AU891" s="22"/>
      <c r="AV891" s="22"/>
      <c r="AW891" s="22"/>
      <c r="AX891" s="22"/>
      <c r="AY891" s="22"/>
      <c r="AZ891" s="22"/>
      <c r="BA891" s="22"/>
      <c r="BB891" s="22"/>
      <c r="BC891" s="22"/>
    </row>
    <row r="892" spans="1:55" customFormat="1" ht="21" customHeight="1" x14ac:dyDescent="0.25">
      <c r="A892" s="22"/>
      <c r="B892" s="22"/>
      <c r="C892" s="22"/>
      <c r="D892" s="22"/>
      <c r="E892" s="23"/>
      <c r="F892" s="22"/>
      <c r="G892" s="22"/>
      <c r="H892" s="23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A892" s="23"/>
      <c r="AB892" s="23"/>
      <c r="AC892" s="22"/>
      <c r="AD892" s="22"/>
      <c r="AE892" s="22"/>
      <c r="AF892" s="22"/>
      <c r="AG892" s="22"/>
      <c r="AH892" s="22"/>
      <c r="AI892" s="22"/>
      <c r="AJ892" s="22"/>
      <c r="AK892" s="22"/>
      <c r="AL892" s="22"/>
      <c r="AM892" s="22"/>
      <c r="AN892" s="22"/>
      <c r="AO892" s="22"/>
      <c r="AP892" s="22"/>
      <c r="AQ892" s="22"/>
      <c r="AR892" s="22"/>
      <c r="AS892" s="22"/>
      <c r="AT892" s="22"/>
      <c r="AU892" s="22"/>
      <c r="AV892" s="22"/>
      <c r="AW892" s="22"/>
      <c r="AX892" s="22"/>
      <c r="AY892" s="22"/>
      <c r="AZ892" s="22"/>
      <c r="BA892" s="22"/>
      <c r="BB892" s="22"/>
      <c r="BC892" s="22"/>
    </row>
    <row r="893" spans="1:55" customFormat="1" ht="21" customHeight="1" x14ac:dyDescent="0.25">
      <c r="A893" s="22"/>
      <c r="B893" s="22"/>
      <c r="C893" s="22"/>
      <c r="D893" s="22"/>
      <c r="E893" s="23"/>
      <c r="F893" s="22"/>
      <c r="G893" s="22"/>
      <c r="H893" s="23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3"/>
      <c r="AB893" s="23"/>
      <c r="AC893" s="22"/>
      <c r="AD893" s="22"/>
      <c r="AE893" s="22"/>
      <c r="AF893" s="22"/>
      <c r="AG893" s="22"/>
      <c r="AH893" s="22"/>
      <c r="AI893" s="22"/>
      <c r="AJ893" s="22"/>
      <c r="AK893" s="22"/>
      <c r="AL893" s="22"/>
      <c r="AM893" s="22"/>
      <c r="AN893" s="22"/>
      <c r="AO893" s="22"/>
      <c r="AP893" s="22"/>
      <c r="AQ893" s="22"/>
      <c r="AR893" s="22"/>
      <c r="AS893" s="22"/>
      <c r="AT893" s="22"/>
      <c r="AU893" s="22"/>
      <c r="AV893" s="22"/>
      <c r="AW893" s="22"/>
      <c r="AX893" s="22"/>
      <c r="AY893" s="22"/>
      <c r="AZ893" s="22"/>
      <c r="BA893" s="22"/>
      <c r="BB893" s="22"/>
      <c r="BC893" s="22"/>
    </row>
    <row r="894" spans="1:55" customFormat="1" ht="21" customHeight="1" x14ac:dyDescent="0.25">
      <c r="A894" s="22"/>
      <c r="B894" s="22"/>
      <c r="C894" s="22"/>
      <c r="D894" s="22"/>
      <c r="E894" s="23"/>
      <c r="F894" s="22"/>
      <c r="G894" s="22"/>
      <c r="H894" s="23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A894" s="23"/>
      <c r="AB894" s="23"/>
      <c r="AC894" s="22"/>
      <c r="AD894" s="22"/>
      <c r="AE894" s="22"/>
      <c r="AF894" s="22"/>
      <c r="AG894" s="22"/>
      <c r="AH894" s="22"/>
      <c r="AI894" s="22"/>
      <c r="AJ894" s="22"/>
      <c r="AK894" s="22"/>
      <c r="AL894" s="22"/>
      <c r="AM894" s="22"/>
      <c r="AN894" s="22"/>
      <c r="AO894" s="22"/>
      <c r="AP894" s="22"/>
      <c r="AQ894" s="22"/>
      <c r="AR894" s="22"/>
      <c r="AS894" s="22"/>
      <c r="AT894" s="22"/>
      <c r="AU894" s="22"/>
      <c r="AV894" s="22"/>
      <c r="AW894" s="22"/>
      <c r="AX894" s="22"/>
      <c r="AY894" s="22"/>
      <c r="AZ894" s="22"/>
      <c r="BA894" s="22"/>
      <c r="BB894" s="22"/>
      <c r="BC894" s="22"/>
    </row>
    <row r="895" spans="1:55" customFormat="1" ht="21" customHeight="1" x14ac:dyDescent="0.25">
      <c r="A895" s="22"/>
      <c r="B895" s="22"/>
      <c r="C895" s="22"/>
      <c r="D895" s="22"/>
      <c r="E895" s="23"/>
      <c r="F895" s="22"/>
      <c r="G895" s="22"/>
      <c r="H895" s="23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3"/>
      <c r="AB895" s="23"/>
      <c r="AC895" s="22"/>
      <c r="AD895" s="22"/>
      <c r="AE895" s="22"/>
      <c r="AF895" s="22"/>
      <c r="AG895" s="22"/>
      <c r="AH895" s="22"/>
      <c r="AI895" s="22"/>
      <c r="AJ895" s="22"/>
      <c r="AK895" s="22"/>
      <c r="AL895" s="22"/>
      <c r="AM895" s="22"/>
      <c r="AN895" s="22"/>
      <c r="AO895" s="22"/>
      <c r="AP895" s="22"/>
      <c r="AQ895" s="22"/>
      <c r="AR895" s="22"/>
      <c r="AS895" s="22"/>
      <c r="AT895" s="22"/>
      <c r="AU895" s="22"/>
      <c r="AV895" s="22"/>
      <c r="AW895" s="22"/>
      <c r="AX895" s="22"/>
      <c r="AY895" s="22"/>
      <c r="AZ895" s="22"/>
      <c r="BA895" s="22"/>
      <c r="BB895" s="22"/>
      <c r="BC895" s="22"/>
    </row>
    <row r="896" spans="1:55" customFormat="1" ht="21" customHeight="1" x14ac:dyDescent="0.25">
      <c r="A896" s="22"/>
      <c r="B896" s="22"/>
      <c r="C896" s="22"/>
      <c r="D896" s="22"/>
      <c r="E896" s="23"/>
      <c r="F896" s="22"/>
      <c r="G896" s="22"/>
      <c r="H896" s="23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3"/>
      <c r="AB896" s="23"/>
      <c r="AC896" s="22"/>
      <c r="AD896" s="22"/>
      <c r="AE896" s="22"/>
      <c r="AF896" s="22"/>
      <c r="AG896" s="22"/>
      <c r="AH896" s="22"/>
      <c r="AI896" s="22"/>
      <c r="AJ896" s="22"/>
      <c r="AK896" s="22"/>
      <c r="AL896" s="22"/>
      <c r="AM896" s="22"/>
      <c r="AN896" s="22"/>
      <c r="AO896" s="22"/>
      <c r="AP896" s="22"/>
      <c r="AQ896" s="22"/>
      <c r="AR896" s="22"/>
      <c r="AS896" s="22"/>
      <c r="AT896" s="22"/>
      <c r="AU896" s="22"/>
      <c r="AV896" s="22"/>
      <c r="AW896" s="22"/>
      <c r="AX896" s="22"/>
      <c r="AY896" s="22"/>
      <c r="AZ896" s="22"/>
      <c r="BA896" s="22"/>
      <c r="BB896" s="22"/>
      <c r="BC896" s="22"/>
    </row>
    <row r="897" spans="1:55" customFormat="1" ht="21" customHeight="1" x14ac:dyDescent="0.25">
      <c r="A897" s="22"/>
      <c r="B897" s="22"/>
      <c r="C897" s="22"/>
      <c r="D897" s="22"/>
      <c r="E897" s="23"/>
      <c r="F897" s="22"/>
      <c r="G897" s="22"/>
      <c r="H897" s="23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  <c r="AA897" s="23"/>
      <c r="AB897" s="23"/>
      <c r="AC897" s="22"/>
      <c r="AD897" s="22"/>
      <c r="AE897" s="22"/>
      <c r="AF897" s="22"/>
      <c r="AG897" s="22"/>
      <c r="AH897" s="22"/>
      <c r="AI897" s="22"/>
      <c r="AJ897" s="22"/>
      <c r="AK897" s="22"/>
      <c r="AL897" s="22"/>
      <c r="AM897" s="22"/>
      <c r="AN897" s="22"/>
      <c r="AO897" s="22"/>
      <c r="AP897" s="22"/>
      <c r="AQ897" s="22"/>
      <c r="AR897" s="22"/>
      <c r="AS897" s="22"/>
      <c r="AT897" s="22"/>
      <c r="AU897" s="22"/>
      <c r="AV897" s="22"/>
      <c r="AW897" s="22"/>
      <c r="AX897" s="22"/>
      <c r="AY897" s="22"/>
      <c r="AZ897" s="22"/>
      <c r="BA897" s="22"/>
      <c r="BB897" s="22"/>
      <c r="BC897" s="22"/>
    </row>
    <row r="898" spans="1:55" customFormat="1" ht="21" customHeight="1" x14ac:dyDescent="0.25">
      <c r="A898" s="22"/>
      <c r="B898" s="22"/>
      <c r="C898" s="22"/>
      <c r="D898" s="22"/>
      <c r="E898" s="23"/>
      <c r="F898" s="22"/>
      <c r="G898" s="22"/>
      <c r="H898" s="23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3"/>
      <c r="AB898" s="23"/>
      <c r="AC898" s="22"/>
      <c r="AD898" s="22"/>
      <c r="AE898" s="22"/>
      <c r="AF898" s="22"/>
      <c r="AG898" s="22"/>
      <c r="AH898" s="22"/>
      <c r="AI898" s="22"/>
      <c r="AJ898" s="22"/>
      <c r="AK898" s="22"/>
      <c r="AL898" s="22"/>
      <c r="AM898" s="22"/>
      <c r="AN898" s="22"/>
      <c r="AO898" s="22"/>
      <c r="AP898" s="22"/>
      <c r="AQ898" s="22"/>
      <c r="AR898" s="22"/>
      <c r="AS898" s="22"/>
      <c r="AT898" s="22"/>
      <c r="AU898" s="22"/>
      <c r="AV898" s="22"/>
      <c r="AW898" s="22"/>
      <c r="AX898" s="22"/>
      <c r="AY898" s="22"/>
      <c r="AZ898" s="22"/>
      <c r="BA898" s="22"/>
      <c r="BB898" s="22"/>
      <c r="BC898" s="22"/>
    </row>
    <row r="899" spans="1:55" customFormat="1" ht="21" customHeight="1" x14ac:dyDescent="0.25">
      <c r="A899" s="22"/>
      <c r="B899" s="22"/>
      <c r="C899" s="22"/>
      <c r="D899" s="22"/>
      <c r="E899" s="23"/>
      <c r="F899" s="22"/>
      <c r="G899" s="22"/>
      <c r="H899" s="23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3"/>
      <c r="AB899" s="23"/>
      <c r="AC899" s="22"/>
      <c r="AD899" s="22"/>
      <c r="AE899" s="22"/>
      <c r="AF899" s="22"/>
      <c r="AG899" s="22"/>
      <c r="AH899" s="22"/>
      <c r="AI899" s="22"/>
      <c r="AJ899" s="22"/>
      <c r="AK899" s="22"/>
      <c r="AL899" s="22"/>
      <c r="AM899" s="22"/>
      <c r="AN899" s="22"/>
      <c r="AO899" s="22"/>
      <c r="AP899" s="22"/>
      <c r="AQ899" s="22"/>
      <c r="AR899" s="22"/>
      <c r="AS899" s="22"/>
      <c r="AT899" s="22"/>
      <c r="AU899" s="22"/>
      <c r="AV899" s="22"/>
      <c r="AW899" s="22"/>
      <c r="AX899" s="22"/>
      <c r="AY899" s="22"/>
      <c r="AZ899" s="22"/>
      <c r="BA899" s="22"/>
      <c r="BB899" s="22"/>
      <c r="BC899" s="22"/>
    </row>
    <row r="900" spans="1:55" customFormat="1" ht="21" customHeight="1" x14ac:dyDescent="0.25">
      <c r="A900" s="22"/>
      <c r="B900" s="22"/>
      <c r="C900" s="22"/>
      <c r="D900" s="22"/>
      <c r="E900" s="23"/>
      <c r="F900" s="22"/>
      <c r="G900" s="22"/>
      <c r="H900" s="23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3"/>
      <c r="AB900" s="23"/>
      <c r="AC900" s="22"/>
      <c r="AD900" s="22"/>
      <c r="AE900" s="22"/>
      <c r="AF900" s="22"/>
      <c r="AG900" s="22"/>
      <c r="AH900" s="22"/>
      <c r="AI900" s="22"/>
      <c r="AJ900" s="22"/>
      <c r="AK900" s="22"/>
      <c r="AL900" s="22"/>
      <c r="AM900" s="22"/>
      <c r="AN900" s="22"/>
      <c r="AO900" s="22"/>
      <c r="AP900" s="22"/>
      <c r="AQ900" s="22"/>
      <c r="AR900" s="22"/>
      <c r="AS900" s="22"/>
      <c r="AT900" s="22"/>
      <c r="AU900" s="22"/>
      <c r="AV900" s="22"/>
      <c r="AW900" s="22"/>
      <c r="AX900" s="22"/>
      <c r="AY900" s="22"/>
      <c r="AZ900" s="22"/>
      <c r="BA900" s="22"/>
      <c r="BB900" s="22"/>
      <c r="BC900" s="22"/>
    </row>
    <row r="901" spans="1:55" customFormat="1" ht="21" customHeight="1" x14ac:dyDescent="0.25">
      <c r="A901" s="22"/>
      <c r="B901" s="22"/>
      <c r="C901" s="22"/>
      <c r="D901" s="22"/>
      <c r="E901" s="23"/>
      <c r="F901" s="22"/>
      <c r="G901" s="22"/>
      <c r="H901" s="23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3"/>
      <c r="AB901" s="23"/>
      <c r="AC901" s="22"/>
      <c r="AD901" s="22"/>
      <c r="AE901" s="22"/>
      <c r="AF901" s="22"/>
      <c r="AG901" s="22"/>
      <c r="AH901" s="22"/>
      <c r="AI901" s="22"/>
      <c r="AJ901" s="22"/>
      <c r="AK901" s="22"/>
      <c r="AL901" s="22"/>
      <c r="AM901" s="22"/>
      <c r="AN901" s="22"/>
      <c r="AO901" s="22"/>
      <c r="AP901" s="22"/>
      <c r="AQ901" s="22"/>
      <c r="AR901" s="22"/>
      <c r="AS901" s="22"/>
      <c r="AT901" s="22"/>
      <c r="AU901" s="22"/>
      <c r="AV901" s="22"/>
      <c r="AW901" s="22"/>
      <c r="AX901" s="22"/>
      <c r="AY901" s="22"/>
      <c r="AZ901" s="22"/>
      <c r="BA901" s="22"/>
      <c r="BB901" s="22"/>
      <c r="BC901" s="22"/>
    </row>
    <row r="902" spans="1:55" customFormat="1" ht="21" customHeight="1" x14ac:dyDescent="0.25">
      <c r="A902" s="22"/>
      <c r="B902" s="22"/>
      <c r="C902" s="22"/>
      <c r="D902" s="22"/>
      <c r="E902" s="23"/>
      <c r="F902" s="22"/>
      <c r="G902" s="22"/>
      <c r="H902" s="23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3"/>
      <c r="AB902" s="23"/>
      <c r="AC902" s="22"/>
      <c r="AD902" s="22"/>
      <c r="AE902" s="22"/>
      <c r="AF902" s="22"/>
      <c r="AG902" s="22"/>
      <c r="AH902" s="22"/>
      <c r="AI902" s="22"/>
      <c r="AJ902" s="22"/>
      <c r="AK902" s="22"/>
      <c r="AL902" s="22"/>
      <c r="AM902" s="22"/>
      <c r="AN902" s="22"/>
      <c r="AO902" s="22"/>
      <c r="AP902" s="22"/>
      <c r="AQ902" s="22"/>
      <c r="AR902" s="22"/>
      <c r="AS902" s="22"/>
      <c r="AT902" s="22"/>
      <c r="AU902" s="22"/>
      <c r="AV902" s="22"/>
      <c r="AW902" s="22"/>
      <c r="AX902" s="22"/>
      <c r="AY902" s="22"/>
      <c r="AZ902" s="22"/>
      <c r="BA902" s="22"/>
      <c r="BB902" s="22"/>
      <c r="BC902" s="22"/>
    </row>
    <row r="903" spans="1:55" customFormat="1" ht="21" customHeight="1" x14ac:dyDescent="0.25">
      <c r="A903" s="22"/>
      <c r="B903" s="22"/>
      <c r="C903" s="22"/>
      <c r="D903" s="22"/>
      <c r="E903" s="23"/>
      <c r="F903" s="22"/>
      <c r="G903" s="22"/>
      <c r="H903" s="23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3"/>
      <c r="AB903" s="23"/>
      <c r="AC903" s="22"/>
      <c r="AD903" s="22"/>
      <c r="AE903" s="22"/>
      <c r="AF903" s="22"/>
      <c r="AG903" s="22"/>
      <c r="AH903" s="22"/>
      <c r="AI903" s="22"/>
      <c r="AJ903" s="22"/>
      <c r="AK903" s="22"/>
      <c r="AL903" s="22"/>
      <c r="AM903" s="22"/>
      <c r="AN903" s="22"/>
      <c r="AO903" s="22"/>
      <c r="AP903" s="22"/>
      <c r="AQ903" s="22"/>
      <c r="AR903" s="22"/>
      <c r="AS903" s="22"/>
      <c r="AT903" s="22"/>
      <c r="AU903" s="22"/>
      <c r="AV903" s="22"/>
      <c r="AW903" s="22"/>
      <c r="AX903" s="22"/>
      <c r="AY903" s="22"/>
      <c r="AZ903" s="22"/>
      <c r="BA903" s="22"/>
      <c r="BB903" s="22"/>
      <c r="BC903" s="22"/>
    </row>
    <row r="904" spans="1:55" customFormat="1" ht="21" customHeight="1" x14ac:dyDescent="0.25">
      <c r="A904" s="22"/>
      <c r="B904" s="22"/>
      <c r="C904" s="22"/>
      <c r="D904" s="22"/>
      <c r="E904" s="23"/>
      <c r="F904" s="22"/>
      <c r="G904" s="22"/>
      <c r="H904" s="23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3"/>
      <c r="AB904" s="23"/>
      <c r="AC904" s="22"/>
      <c r="AD904" s="22"/>
      <c r="AE904" s="22"/>
      <c r="AF904" s="22"/>
      <c r="AG904" s="22"/>
      <c r="AH904" s="22"/>
      <c r="AI904" s="22"/>
      <c r="AJ904" s="22"/>
      <c r="AK904" s="22"/>
      <c r="AL904" s="22"/>
      <c r="AM904" s="22"/>
      <c r="AN904" s="22"/>
      <c r="AO904" s="22"/>
      <c r="AP904" s="22"/>
      <c r="AQ904" s="22"/>
      <c r="AR904" s="22"/>
      <c r="AS904" s="22"/>
      <c r="AT904" s="22"/>
      <c r="AU904" s="22"/>
      <c r="AV904" s="22"/>
      <c r="AW904" s="22"/>
      <c r="AX904" s="22"/>
      <c r="AY904" s="22"/>
      <c r="AZ904" s="22"/>
      <c r="BA904" s="22"/>
      <c r="BB904" s="22"/>
      <c r="BC904" s="22"/>
    </row>
    <row r="905" spans="1:55" customFormat="1" ht="21" customHeight="1" x14ac:dyDescent="0.25">
      <c r="A905" s="22"/>
      <c r="B905" s="22"/>
      <c r="C905" s="22"/>
      <c r="D905" s="22"/>
      <c r="E905" s="23"/>
      <c r="F905" s="22"/>
      <c r="G905" s="22"/>
      <c r="H905" s="23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A905" s="23"/>
      <c r="AB905" s="23"/>
      <c r="AC905" s="22"/>
      <c r="AD905" s="22"/>
      <c r="AE905" s="22"/>
      <c r="AF905" s="22"/>
      <c r="AG905" s="22"/>
      <c r="AH905" s="22"/>
      <c r="AI905" s="22"/>
      <c r="AJ905" s="22"/>
      <c r="AK905" s="22"/>
      <c r="AL905" s="22"/>
      <c r="AM905" s="22"/>
      <c r="AN905" s="22"/>
      <c r="AO905" s="22"/>
      <c r="AP905" s="22"/>
      <c r="AQ905" s="22"/>
      <c r="AR905" s="22"/>
      <c r="AS905" s="22"/>
      <c r="AT905" s="22"/>
      <c r="AU905" s="22"/>
      <c r="AV905" s="22"/>
      <c r="AW905" s="22"/>
      <c r="AX905" s="22"/>
      <c r="AY905" s="22"/>
      <c r="AZ905" s="22"/>
      <c r="BA905" s="22"/>
      <c r="BB905" s="22"/>
      <c r="BC905" s="22"/>
    </row>
    <row r="906" spans="1:55" customFormat="1" ht="21" customHeight="1" x14ac:dyDescent="0.25">
      <c r="A906" s="22"/>
      <c r="B906" s="22"/>
      <c r="C906" s="22"/>
      <c r="D906" s="22"/>
      <c r="E906" s="23"/>
      <c r="F906" s="22"/>
      <c r="G906" s="22"/>
      <c r="H906" s="23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3"/>
      <c r="AB906" s="23"/>
      <c r="AC906" s="22"/>
      <c r="AD906" s="22"/>
      <c r="AE906" s="22"/>
      <c r="AF906" s="22"/>
      <c r="AG906" s="22"/>
      <c r="AH906" s="22"/>
      <c r="AI906" s="22"/>
      <c r="AJ906" s="22"/>
      <c r="AK906" s="22"/>
      <c r="AL906" s="22"/>
      <c r="AM906" s="22"/>
      <c r="AN906" s="22"/>
      <c r="AO906" s="22"/>
      <c r="AP906" s="22"/>
      <c r="AQ906" s="22"/>
      <c r="AR906" s="22"/>
      <c r="AS906" s="22"/>
      <c r="AT906" s="22"/>
      <c r="AU906" s="22"/>
      <c r="AV906" s="22"/>
      <c r="AW906" s="22"/>
      <c r="AX906" s="22"/>
      <c r="AY906" s="22"/>
      <c r="AZ906" s="22"/>
      <c r="BA906" s="22"/>
      <c r="BB906" s="22"/>
      <c r="BC906" s="22"/>
    </row>
    <row r="907" spans="1:55" customFormat="1" ht="21" customHeight="1" x14ac:dyDescent="0.25">
      <c r="A907" s="22"/>
      <c r="B907" s="22"/>
      <c r="C907" s="22"/>
      <c r="D907" s="22"/>
      <c r="E907" s="23"/>
      <c r="F907" s="22"/>
      <c r="G907" s="22"/>
      <c r="H907" s="23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3"/>
      <c r="AB907" s="23"/>
      <c r="AC907" s="22"/>
      <c r="AD907" s="22"/>
      <c r="AE907" s="22"/>
      <c r="AF907" s="22"/>
      <c r="AG907" s="22"/>
      <c r="AH907" s="22"/>
      <c r="AI907" s="22"/>
      <c r="AJ907" s="22"/>
      <c r="AK907" s="22"/>
      <c r="AL907" s="22"/>
      <c r="AM907" s="22"/>
      <c r="AN907" s="22"/>
      <c r="AO907" s="22"/>
      <c r="AP907" s="22"/>
      <c r="AQ907" s="22"/>
      <c r="AR907" s="22"/>
      <c r="AS907" s="22"/>
      <c r="AT907" s="22"/>
      <c r="AU907" s="22"/>
      <c r="AV907" s="22"/>
      <c r="AW907" s="22"/>
      <c r="AX907" s="22"/>
      <c r="AY907" s="22"/>
      <c r="AZ907" s="22"/>
      <c r="BA907" s="22"/>
      <c r="BB907" s="22"/>
      <c r="BC907" s="22"/>
    </row>
    <row r="908" spans="1:55" customFormat="1" ht="21" customHeight="1" x14ac:dyDescent="0.25">
      <c r="A908" s="22"/>
      <c r="B908" s="22"/>
      <c r="C908" s="22"/>
      <c r="D908" s="22"/>
      <c r="E908" s="23"/>
      <c r="F908" s="22"/>
      <c r="G908" s="22"/>
      <c r="H908" s="23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3"/>
      <c r="AB908" s="23"/>
      <c r="AC908" s="22"/>
      <c r="AD908" s="22"/>
      <c r="AE908" s="22"/>
      <c r="AF908" s="22"/>
      <c r="AG908" s="22"/>
      <c r="AH908" s="22"/>
      <c r="AI908" s="22"/>
      <c r="AJ908" s="22"/>
      <c r="AK908" s="22"/>
      <c r="AL908" s="22"/>
      <c r="AM908" s="22"/>
      <c r="AN908" s="22"/>
      <c r="AO908" s="22"/>
      <c r="AP908" s="22"/>
      <c r="AQ908" s="22"/>
      <c r="AR908" s="22"/>
      <c r="AS908" s="22"/>
      <c r="AT908" s="22"/>
      <c r="AU908" s="22"/>
      <c r="AV908" s="22"/>
      <c r="AW908" s="22"/>
      <c r="AX908" s="22"/>
      <c r="AY908" s="22"/>
      <c r="AZ908" s="22"/>
      <c r="BA908" s="22"/>
      <c r="BB908" s="22"/>
      <c r="BC908" s="22"/>
    </row>
    <row r="909" spans="1:55" customFormat="1" ht="21" customHeight="1" x14ac:dyDescent="0.25">
      <c r="A909" s="22"/>
      <c r="B909" s="22"/>
      <c r="C909" s="22"/>
      <c r="D909" s="22"/>
      <c r="E909" s="23"/>
      <c r="F909" s="22"/>
      <c r="G909" s="22"/>
      <c r="H909" s="23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A909" s="23"/>
      <c r="AB909" s="23"/>
      <c r="AC909" s="22"/>
      <c r="AD909" s="22"/>
      <c r="AE909" s="22"/>
      <c r="AF909" s="22"/>
      <c r="AG909" s="22"/>
      <c r="AH909" s="22"/>
      <c r="AI909" s="22"/>
      <c r="AJ909" s="22"/>
      <c r="AK909" s="22"/>
      <c r="AL909" s="22"/>
      <c r="AM909" s="22"/>
      <c r="AN909" s="22"/>
      <c r="AO909" s="22"/>
      <c r="AP909" s="22"/>
      <c r="AQ909" s="22"/>
      <c r="AR909" s="22"/>
      <c r="AS909" s="22"/>
      <c r="AT909" s="22"/>
      <c r="AU909" s="22"/>
      <c r="AV909" s="22"/>
      <c r="AW909" s="22"/>
      <c r="AX909" s="22"/>
      <c r="AY909" s="22"/>
      <c r="AZ909" s="22"/>
      <c r="BA909" s="22"/>
      <c r="BB909" s="22"/>
      <c r="BC909" s="22"/>
    </row>
    <row r="910" spans="1:55" customFormat="1" ht="21" customHeight="1" x14ac:dyDescent="0.25">
      <c r="A910" s="22"/>
      <c r="B910" s="22"/>
      <c r="C910" s="22"/>
      <c r="D910" s="22"/>
      <c r="E910" s="23"/>
      <c r="F910" s="22"/>
      <c r="G910" s="22"/>
      <c r="H910" s="23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3"/>
      <c r="AB910" s="23"/>
      <c r="AC910" s="22"/>
      <c r="AD910" s="22"/>
      <c r="AE910" s="22"/>
      <c r="AF910" s="22"/>
      <c r="AG910" s="22"/>
      <c r="AH910" s="22"/>
      <c r="AI910" s="22"/>
      <c r="AJ910" s="22"/>
      <c r="AK910" s="22"/>
      <c r="AL910" s="22"/>
      <c r="AM910" s="22"/>
      <c r="AN910" s="22"/>
      <c r="AO910" s="22"/>
      <c r="AP910" s="22"/>
      <c r="AQ910" s="22"/>
      <c r="AR910" s="22"/>
      <c r="AS910" s="22"/>
      <c r="AT910" s="22"/>
      <c r="AU910" s="22"/>
      <c r="AV910" s="22"/>
      <c r="AW910" s="22"/>
      <c r="AX910" s="22"/>
      <c r="AY910" s="22"/>
      <c r="AZ910" s="22"/>
      <c r="BA910" s="22"/>
      <c r="BB910" s="22"/>
      <c r="BC910" s="22"/>
    </row>
    <row r="911" spans="1:55" customFormat="1" ht="21" customHeight="1" x14ac:dyDescent="0.25">
      <c r="A911" s="22"/>
      <c r="B911" s="22"/>
      <c r="C911" s="22"/>
      <c r="D911" s="22"/>
      <c r="E911" s="23"/>
      <c r="F911" s="22"/>
      <c r="G911" s="22"/>
      <c r="H911" s="23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A911" s="23"/>
      <c r="AB911" s="23"/>
      <c r="AC911" s="22"/>
      <c r="AD911" s="22"/>
      <c r="AE911" s="22"/>
      <c r="AF911" s="22"/>
      <c r="AG911" s="22"/>
      <c r="AH911" s="22"/>
      <c r="AI911" s="22"/>
      <c r="AJ911" s="22"/>
      <c r="AK911" s="22"/>
      <c r="AL911" s="22"/>
      <c r="AM911" s="22"/>
      <c r="AN911" s="22"/>
      <c r="AO911" s="22"/>
      <c r="AP911" s="22"/>
      <c r="AQ911" s="22"/>
      <c r="AR911" s="22"/>
      <c r="AS911" s="22"/>
      <c r="AT911" s="22"/>
      <c r="AU911" s="22"/>
      <c r="AV911" s="22"/>
      <c r="AW911" s="22"/>
      <c r="AX911" s="22"/>
      <c r="AY911" s="22"/>
      <c r="AZ911" s="22"/>
      <c r="BA911" s="22"/>
      <c r="BB911" s="22"/>
      <c r="BC911" s="22"/>
    </row>
    <row r="912" spans="1:55" customFormat="1" ht="21" customHeight="1" x14ac:dyDescent="0.25">
      <c r="A912" s="22"/>
      <c r="B912" s="22"/>
      <c r="C912" s="22"/>
      <c r="D912" s="22"/>
      <c r="E912" s="23"/>
      <c r="F912" s="22"/>
      <c r="G912" s="22"/>
      <c r="H912" s="23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23"/>
      <c r="AB912" s="23"/>
      <c r="AC912" s="22"/>
      <c r="AD912" s="22"/>
      <c r="AE912" s="22"/>
      <c r="AF912" s="22"/>
      <c r="AG912" s="22"/>
      <c r="AH912" s="22"/>
      <c r="AI912" s="22"/>
      <c r="AJ912" s="22"/>
      <c r="AK912" s="22"/>
      <c r="AL912" s="22"/>
      <c r="AM912" s="22"/>
      <c r="AN912" s="22"/>
      <c r="AO912" s="22"/>
      <c r="AP912" s="22"/>
      <c r="AQ912" s="22"/>
      <c r="AR912" s="22"/>
      <c r="AS912" s="22"/>
      <c r="AT912" s="22"/>
      <c r="AU912" s="22"/>
      <c r="AV912" s="22"/>
      <c r="AW912" s="22"/>
      <c r="AX912" s="22"/>
      <c r="AY912" s="22"/>
      <c r="AZ912" s="22"/>
      <c r="BA912" s="22"/>
      <c r="BB912" s="22"/>
      <c r="BC912" s="22"/>
    </row>
    <row r="913" spans="1:55" customFormat="1" ht="21" customHeight="1" x14ac:dyDescent="0.25">
      <c r="A913" s="22"/>
      <c r="B913" s="22"/>
      <c r="C913" s="22"/>
      <c r="D913" s="22"/>
      <c r="E913" s="23"/>
      <c r="F913" s="22"/>
      <c r="G913" s="22"/>
      <c r="H913" s="23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3"/>
      <c r="AB913" s="23"/>
      <c r="AC913" s="22"/>
      <c r="AD913" s="22"/>
      <c r="AE913" s="22"/>
      <c r="AF913" s="22"/>
      <c r="AG913" s="22"/>
      <c r="AH913" s="22"/>
      <c r="AI913" s="22"/>
      <c r="AJ913" s="22"/>
      <c r="AK913" s="22"/>
      <c r="AL913" s="22"/>
      <c r="AM913" s="22"/>
      <c r="AN913" s="22"/>
      <c r="AO913" s="22"/>
      <c r="AP913" s="22"/>
      <c r="AQ913" s="22"/>
      <c r="AR913" s="22"/>
      <c r="AS913" s="22"/>
      <c r="AT913" s="22"/>
      <c r="AU913" s="22"/>
      <c r="AV913" s="22"/>
      <c r="AW913" s="22"/>
      <c r="AX913" s="22"/>
      <c r="AY913" s="22"/>
      <c r="AZ913" s="22"/>
      <c r="BA913" s="22"/>
      <c r="BB913" s="22"/>
      <c r="BC913" s="22"/>
    </row>
    <row r="914" spans="1:55" customFormat="1" ht="21" customHeight="1" x14ac:dyDescent="0.25">
      <c r="A914" s="22"/>
      <c r="B914" s="22"/>
      <c r="C914" s="22"/>
      <c r="D914" s="22"/>
      <c r="E914" s="23"/>
      <c r="F914" s="22"/>
      <c r="G914" s="22"/>
      <c r="H914" s="23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3"/>
      <c r="AB914" s="23"/>
      <c r="AC914" s="22"/>
      <c r="AD914" s="22"/>
      <c r="AE914" s="22"/>
      <c r="AF914" s="22"/>
      <c r="AG914" s="22"/>
      <c r="AH914" s="22"/>
      <c r="AI914" s="22"/>
      <c r="AJ914" s="22"/>
      <c r="AK914" s="22"/>
      <c r="AL914" s="22"/>
      <c r="AM914" s="22"/>
      <c r="AN914" s="22"/>
      <c r="AO914" s="22"/>
      <c r="AP914" s="22"/>
      <c r="AQ914" s="22"/>
      <c r="AR914" s="22"/>
      <c r="AS914" s="22"/>
      <c r="AT914" s="22"/>
      <c r="AU914" s="22"/>
      <c r="AV914" s="22"/>
      <c r="AW914" s="22"/>
      <c r="AX914" s="22"/>
      <c r="AY914" s="22"/>
      <c r="AZ914" s="22"/>
      <c r="BA914" s="22"/>
      <c r="BB914" s="22"/>
      <c r="BC914" s="22"/>
    </row>
    <row r="915" spans="1:55" customFormat="1" ht="21" customHeight="1" x14ac:dyDescent="0.25">
      <c r="A915" s="22"/>
      <c r="B915" s="22"/>
      <c r="C915" s="22"/>
      <c r="D915" s="22"/>
      <c r="E915" s="23"/>
      <c r="F915" s="22"/>
      <c r="G915" s="22"/>
      <c r="H915" s="23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A915" s="23"/>
      <c r="AB915" s="23"/>
      <c r="AC915" s="22"/>
      <c r="AD915" s="22"/>
      <c r="AE915" s="22"/>
      <c r="AF915" s="22"/>
      <c r="AG915" s="22"/>
      <c r="AH915" s="22"/>
      <c r="AI915" s="22"/>
      <c r="AJ915" s="22"/>
      <c r="AK915" s="22"/>
      <c r="AL915" s="22"/>
      <c r="AM915" s="22"/>
      <c r="AN915" s="22"/>
      <c r="AO915" s="22"/>
      <c r="AP915" s="22"/>
      <c r="AQ915" s="22"/>
      <c r="AR915" s="22"/>
      <c r="AS915" s="22"/>
      <c r="AT915" s="22"/>
      <c r="AU915" s="22"/>
      <c r="AV915" s="22"/>
      <c r="AW915" s="22"/>
      <c r="AX915" s="22"/>
      <c r="AY915" s="22"/>
      <c r="AZ915" s="22"/>
      <c r="BA915" s="22"/>
      <c r="BB915" s="22"/>
      <c r="BC915" s="22"/>
    </row>
    <row r="916" spans="1:55" customFormat="1" ht="21" customHeight="1" x14ac:dyDescent="0.25">
      <c r="A916" s="22"/>
      <c r="B916" s="22"/>
      <c r="C916" s="22"/>
      <c r="D916" s="22"/>
      <c r="E916" s="23"/>
      <c r="F916" s="22"/>
      <c r="G916" s="22"/>
      <c r="H916" s="23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3"/>
      <c r="AB916" s="23"/>
      <c r="AC916" s="22"/>
      <c r="AD916" s="22"/>
      <c r="AE916" s="22"/>
      <c r="AF916" s="22"/>
      <c r="AG916" s="22"/>
      <c r="AH916" s="22"/>
      <c r="AI916" s="22"/>
      <c r="AJ916" s="22"/>
      <c r="AK916" s="22"/>
      <c r="AL916" s="22"/>
      <c r="AM916" s="22"/>
      <c r="AN916" s="22"/>
      <c r="AO916" s="22"/>
      <c r="AP916" s="22"/>
      <c r="AQ916" s="22"/>
      <c r="AR916" s="22"/>
      <c r="AS916" s="22"/>
      <c r="AT916" s="22"/>
      <c r="AU916" s="22"/>
      <c r="AV916" s="22"/>
      <c r="AW916" s="22"/>
      <c r="AX916" s="22"/>
      <c r="AY916" s="22"/>
      <c r="AZ916" s="22"/>
      <c r="BA916" s="22"/>
      <c r="BB916" s="22"/>
      <c r="BC916" s="22"/>
    </row>
    <row r="917" spans="1:55" customFormat="1" ht="21" customHeight="1" x14ac:dyDescent="0.25">
      <c r="A917" s="22"/>
      <c r="B917" s="22"/>
      <c r="C917" s="22"/>
      <c r="D917" s="22"/>
      <c r="E917" s="23"/>
      <c r="F917" s="22"/>
      <c r="G917" s="22"/>
      <c r="H917" s="23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A917" s="23"/>
      <c r="AB917" s="23"/>
      <c r="AC917" s="22"/>
      <c r="AD917" s="22"/>
      <c r="AE917" s="22"/>
      <c r="AF917" s="22"/>
      <c r="AG917" s="22"/>
      <c r="AH917" s="22"/>
      <c r="AI917" s="22"/>
      <c r="AJ917" s="22"/>
      <c r="AK917" s="22"/>
      <c r="AL917" s="22"/>
      <c r="AM917" s="22"/>
      <c r="AN917" s="22"/>
      <c r="AO917" s="22"/>
      <c r="AP917" s="22"/>
      <c r="AQ917" s="22"/>
      <c r="AR917" s="22"/>
      <c r="AS917" s="22"/>
      <c r="AT917" s="22"/>
      <c r="AU917" s="22"/>
      <c r="AV917" s="22"/>
      <c r="AW917" s="22"/>
      <c r="AX917" s="22"/>
      <c r="AY917" s="22"/>
      <c r="AZ917" s="22"/>
      <c r="BA917" s="22"/>
      <c r="BB917" s="22"/>
      <c r="BC917" s="22"/>
    </row>
    <row r="918" spans="1:55" customFormat="1" ht="21" customHeight="1" x14ac:dyDescent="0.25">
      <c r="A918" s="22"/>
      <c r="B918" s="22"/>
      <c r="C918" s="22"/>
      <c r="D918" s="22"/>
      <c r="E918" s="23"/>
      <c r="F918" s="22"/>
      <c r="G918" s="22"/>
      <c r="H918" s="23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3"/>
      <c r="AB918" s="23"/>
      <c r="AC918" s="22"/>
      <c r="AD918" s="22"/>
      <c r="AE918" s="22"/>
      <c r="AF918" s="22"/>
      <c r="AG918" s="22"/>
      <c r="AH918" s="22"/>
      <c r="AI918" s="22"/>
      <c r="AJ918" s="22"/>
      <c r="AK918" s="22"/>
      <c r="AL918" s="22"/>
      <c r="AM918" s="22"/>
      <c r="AN918" s="22"/>
      <c r="AO918" s="22"/>
      <c r="AP918" s="22"/>
      <c r="AQ918" s="22"/>
      <c r="AR918" s="22"/>
      <c r="AS918" s="22"/>
      <c r="AT918" s="22"/>
      <c r="AU918" s="22"/>
      <c r="AV918" s="22"/>
      <c r="AW918" s="22"/>
      <c r="AX918" s="22"/>
      <c r="AY918" s="22"/>
      <c r="AZ918" s="22"/>
      <c r="BA918" s="22"/>
      <c r="BB918" s="22"/>
      <c r="BC918" s="22"/>
    </row>
    <row r="919" spans="1:55" customFormat="1" ht="21" customHeight="1" x14ac:dyDescent="0.25">
      <c r="A919" s="22"/>
      <c r="B919" s="22"/>
      <c r="C919" s="22"/>
      <c r="D919" s="22"/>
      <c r="E919" s="23"/>
      <c r="F919" s="22"/>
      <c r="G919" s="22"/>
      <c r="H919" s="23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  <c r="AA919" s="23"/>
      <c r="AB919" s="23"/>
      <c r="AC919" s="22"/>
      <c r="AD919" s="22"/>
      <c r="AE919" s="22"/>
      <c r="AF919" s="22"/>
      <c r="AG919" s="22"/>
      <c r="AH919" s="22"/>
      <c r="AI919" s="22"/>
      <c r="AJ919" s="22"/>
      <c r="AK919" s="22"/>
      <c r="AL919" s="22"/>
      <c r="AM919" s="22"/>
      <c r="AN919" s="22"/>
      <c r="AO919" s="22"/>
      <c r="AP919" s="22"/>
      <c r="AQ919" s="22"/>
      <c r="AR919" s="22"/>
      <c r="AS919" s="22"/>
      <c r="AT919" s="22"/>
      <c r="AU919" s="22"/>
      <c r="AV919" s="22"/>
      <c r="AW919" s="22"/>
      <c r="AX919" s="22"/>
      <c r="AY919" s="22"/>
      <c r="AZ919" s="22"/>
      <c r="BA919" s="22"/>
      <c r="BB919" s="22"/>
      <c r="BC919" s="22"/>
    </row>
    <row r="920" spans="1:55" customFormat="1" ht="21" customHeight="1" x14ac:dyDescent="0.25">
      <c r="A920" s="22"/>
      <c r="B920" s="22"/>
      <c r="C920" s="22"/>
      <c r="D920" s="22"/>
      <c r="E920" s="23"/>
      <c r="F920" s="22"/>
      <c r="G920" s="22"/>
      <c r="H920" s="23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A920" s="23"/>
      <c r="AB920" s="23"/>
      <c r="AC920" s="22"/>
      <c r="AD920" s="22"/>
      <c r="AE920" s="22"/>
      <c r="AF920" s="22"/>
      <c r="AG920" s="22"/>
      <c r="AH920" s="22"/>
      <c r="AI920" s="22"/>
      <c r="AJ920" s="22"/>
      <c r="AK920" s="22"/>
      <c r="AL920" s="22"/>
      <c r="AM920" s="22"/>
      <c r="AN920" s="22"/>
      <c r="AO920" s="22"/>
      <c r="AP920" s="22"/>
      <c r="AQ920" s="22"/>
      <c r="AR920" s="22"/>
      <c r="AS920" s="22"/>
      <c r="AT920" s="22"/>
      <c r="AU920" s="22"/>
      <c r="AV920" s="22"/>
      <c r="AW920" s="22"/>
      <c r="AX920" s="22"/>
      <c r="AY920" s="22"/>
      <c r="AZ920" s="22"/>
      <c r="BA920" s="22"/>
      <c r="BB920" s="22"/>
      <c r="BC920" s="22"/>
    </row>
    <row r="921" spans="1:55" customFormat="1" ht="21" customHeight="1" x14ac:dyDescent="0.25">
      <c r="A921" s="22"/>
      <c r="B921" s="22"/>
      <c r="C921" s="22"/>
      <c r="D921" s="22"/>
      <c r="E921" s="23"/>
      <c r="F921" s="22"/>
      <c r="G921" s="22"/>
      <c r="H921" s="23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A921" s="23"/>
      <c r="AB921" s="23"/>
      <c r="AC921" s="22"/>
      <c r="AD921" s="22"/>
      <c r="AE921" s="22"/>
      <c r="AF921" s="22"/>
      <c r="AG921" s="22"/>
      <c r="AH921" s="22"/>
      <c r="AI921" s="22"/>
      <c r="AJ921" s="22"/>
      <c r="AK921" s="22"/>
      <c r="AL921" s="22"/>
      <c r="AM921" s="22"/>
      <c r="AN921" s="22"/>
      <c r="AO921" s="22"/>
      <c r="AP921" s="22"/>
      <c r="AQ921" s="22"/>
      <c r="AR921" s="22"/>
      <c r="AS921" s="22"/>
      <c r="AT921" s="22"/>
      <c r="AU921" s="22"/>
      <c r="AV921" s="22"/>
      <c r="AW921" s="22"/>
      <c r="AX921" s="22"/>
      <c r="AY921" s="22"/>
      <c r="AZ921" s="22"/>
      <c r="BA921" s="22"/>
      <c r="BB921" s="22"/>
      <c r="BC921" s="22"/>
    </row>
    <row r="922" spans="1:55" customFormat="1" ht="21" customHeight="1" x14ac:dyDescent="0.25">
      <c r="A922" s="22"/>
      <c r="B922" s="22"/>
      <c r="C922" s="22"/>
      <c r="D922" s="22"/>
      <c r="E922" s="23"/>
      <c r="F922" s="22"/>
      <c r="G922" s="22"/>
      <c r="H922" s="23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A922" s="23"/>
      <c r="AB922" s="23"/>
      <c r="AC922" s="22"/>
      <c r="AD922" s="22"/>
      <c r="AE922" s="22"/>
      <c r="AF922" s="22"/>
      <c r="AG922" s="22"/>
      <c r="AH922" s="22"/>
      <c r="AI922" s="22"/>
      <c r="AJ922" s="22"/>
      <c r="AK922" s="22"/>
      <c r="AL922" s="22"/>
      <c r="AM922" s="22"/>
      <c r="AN922" s="22"/>
      <c r="AO922" s="22"/>
      <c r="AP922" s="22"/>
      <c r="AQ922" s="22"/>
      <c r="AR922" s="22"/>
      <c r="AS922" s="22"/>
      <c r="AT922" s="22"/>
      <c r="AU922" s="22"/>
      <c r="AV922" s="22"/>
      <c r="AW922" s="22"/>
      <c r="AX922" s="22"/>
      <c r="AY922" s="22"/>
      <c r="AZ922" s="22"/>
      <c r="BA922" s="22"/>
      <c r="BB922" s="22"/>
      <c r="BC922" s="22"/>
    </row>
    <row r="923" spans="1:55" customFormat="1" ht="21" customHeight="1" x14ac:dyDescent="0.25">
      <c r="A923" s="22"/>
      <c r="B923" s="22"/>
      <c r="C923" s="22"/>
      <c r="D923" s="22"/>
      <c r="E923" s="23"/>
      <c r="F923" s="22"/>
      <c r="G923" s="22"/>
      <c r="H923" s="23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  <c r="AA923" s="23"/>
      <c r="AB923" s="23"/>
      <c r="AC923" s="22"/>
      <c r="AD923" s="22"/>
      <c r="AE923" s="22"/>
      <c r="AF923" s="22"/>
      <c r="AG923" s="22"/>
      <c r="AH923" s="22"/>
      <c r="AI923" s="22"/>
      <c r="AJ923" s="22"/>
      <c r="AK923" s="22"/>
      <c r="AL923" s="22"/>
      <c r="AM923" s="22"/>
      <c r="AN923" s="22"/>
      <c r="AO923" s="22"/>
      <c r="AP923" s="22"/>
      <c r="AQ923" s="22"/>
      <c r="AR923" s="22"/>
      <c r="AS923" s="22"/>
      <c r="AT923" s="22"/>
      <c r="AU923" s="22"/>
      <c r="AV923" s="22"/>
      <c r="AW923" s="22"/>
      <c r="AX923" s="22"/>
      <c r="AY923" s="22"/>
      <c r="AZ923" s="22"/>
      <c r="BA923" s="22"/>
      <c r="BB923" s="22"/>
      <c r="BC923" s="22"/>
    </row>
    <row r="924" spans="1:55" customFormat="1" ht="21" customHeight="1" x14ac:dyDescent="0.25">
      <c r="A924" s="22"/>
      <c r="B924" s="22"/>
      <c r="C924" s="22"/>
      <c r="D924" s="22"/>
      <c r="E924" s="23"/>
      <c r="F924" s="22"/>
      <c r="G924" s="22"/>
      <c r="H924" s="23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3"/>
      <c r="AB924" s="23"/>
      <c r="AC924" s="22"/>
      <c r="AD924" s="22"/>
      <c r="AE924" s="22"/>
      <c r="AF924" s="22"/>
      <c r="AG924" s="22"/>
      <c r="AH924" s="22"/>
      <c r="AI924" s="22"/>
      <c r="AJ924" s="22"/>
      <c r="AK924" s="22"/>
      <c r="AL924" s="22"/>
      <c r="AM924" s="22"/>
      <c r="AN924" s="22"/>
      <c r="AO924" s="22"/>
      <c r="AP924" s="22"/>
      <c r="AQ924" s="22"/>
      <c r="AR924" s="22"/>
      <c r="AS924" s="22"/>
      <c r="AT924" s="22"/>
      <c r="AU924" s="22"/>
      <c r="AV924" s="22"/>
      <c r="AW924" s="22"/>
      <c r="AX924" s="22"/>
      <c r="AY924" s="22"/>
      <c r="AZ924" s="22"/>
      <c r="BA924" s="22"/>
      <c r="BB924" s="22"/>
      <c r="BC924" s="22"/>
    </row>
    <row r="925" spans="1:55" customFormat="1" ht="21" customHeight="1" x14ac:dyDescent="0.25">
      <c r="A925" s="22"/>
      <c r="B925" s="22"/>
      <c r="C925" s="22"/>
      <c r="D925" s="22"/>
      <c r="E925" s="23"/>
      <c r="F925" s="22"/>
      <c r="G925" s="22"/>
      <c r="H925" s="23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  <c r="AA925" s="23"/>
      <c r="AB925" s="23"/>
      <c r="AC925" s="22"/>
      <c r="AD925" s="22"/>
      <c r="AE925" s="22"/>
      <c r="AF925" s="22"/>
      <c r="AG925" s="22"/>
      <c r="AH925" s="22"/>
      <c r="AI925" s="22"/>
      <c r="AJ925" s="22"/>
      <c r="AK925" s="22"/>
      <c r="AL925" s="22"/>
      <c r="AM925" s="22"/>
      <c r="AN925" s="22"/>
      <c r="AO925" s="22"/>
      <c r="AP925" s="22"/>
      <c r="AQ925" s="22"/>
      <c r="AR925" s="22"/>
      <c r="AS925" s="22"/>
      <c r="AT925" s="22"/>
      <c r="AU925" s="22"/>
      <c r="AV925" s="22"/>
      <c r="AW925" s="22"/>
      <c r="AX925" s="22"/>
      <c r="AY925" s="22"/>
      <c r="AZ925" s="22"/>
      <c r="BA925" s="22"/>
      <c r="BB925" s="22"/>
      <c r="BC925" s="22"/>
    </row>
    <row r="926" spans="1:55" customFormat="1" ht="21" customHeight="1" x14ac:dyDescent="0.25">
      <c r="A926" s="22"/>
      <c r="B926" s="22"/>
      <c r="C926" s="22"/>
      <c r="D926" s="22"/>
      <c r="E926" s="23"/>
      <c r="F926" s="22"/>
      <c r="G926" s="22"/>
      <c r="H926" s="23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3"/>
      <c r="AB926" s="23"/>
      <c r="AC926" s="22"/>
      <c r="AD926" s="22"/>
      <c r="AE926" s="22"/>
      <c r="AF926" s="22"/>
      <c r="AG926" s="22"/>
      <c r="AH926" s="22"/>
      <c r="AI926" s="22"/>
      <c r="AJ926" s="22"/>
      <c r="AK926" s="22"/>
      <c r="AL926" s="22"/>
      <c r="AM926" s="22"/>
      <c r="AN926" s="22"/>
      <c r="AO926" s="22"/>
      <c r="AP926" s="22"/>
      <c r="AQ926" s="22"/>
      <c r="AR926" s="22"/>
      <c r="AS926" s="22"/>
      <c r="AT926" s="22"/>
      <c r="AU926" s="22"/>
      <c r="AV926" s="22"/>
      <c r="AW926" s="22"/>
      <c r="AX926" s="22"/>
      <c r="AY926" s="22"/>
      <c r="AZ926" s="22"/>
      <c r="BA926" s="22"/>
      <c r="BB926" s="22"/>
      <c r="BC926" s="22"/>
    </row>
    <row r="927" spans="1:55" customFormat="1" ht="21" customHeight="1" x14ac:dyDescent="0.25">
      <c r="A927" s="22"/>
      <c r="B927" s="22"/>
      <c r="C927" s="22"/>
      <c r="D927" s="22"/>
      <c r="E927" s="23"/>
      <c r="F927" s="22"/>
      <c r="G927" s="22"/>
      <c r="H927" s="23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A927" s="23"/>
      <c r="AB927" s="23"/>
      <c r="AC927" s="22"/>
      <c r="AD927" s="22"/>
      <c r="AE927" s="22"/>
      <c r="AF927" s="22"/>
      <c r="AG927" s="22"/>
      <c r="AH927" s="22"/>
      <c r="AI927" s="22"/>
      <c r="AJ927" s="22"/>
      <c r="AK927" s="22"/>
      <c r="AL927" s="22"/>
      <c r="AM927" s="22"/>
      <c r="AN927" s="22"/>
      <c r="AO927" s="22"/>
      <c r="AP927" s="22"/>
      <c r="AQ927" s="22"/>
      <c r="AR927" s="22"/>
      <c r="AS927" s="22"/>
      <c r="AT927" s="22"/>
      <c r="AU927" s="22"/>
      <c r="AV927" s="22"/>
      <c r="AW927" s="22"/>
      <c r="AX927" s="22"/>
      <c r="AY927" s="22"/>
      <c r="AZ927" s="22"/>
      <c r="BA927" s="22"/>
      <c r="BB927" s="22"/>
      <c r="BC927" s="22"/>
    </row>
    <row r="928" spans="1:55" customFormat="1" ht="21" customHeight="1" x14ac:dyDescent="0.25">
      <c r="A928" s="22"/>
      <c r="B928" s="22"/>
      <c r="C928" s="22"/>
      <c r="D928" s="22"/>
      <c r="E928" s="23"/>
      <c r="F928" s="22"/>
      <c r="G928" s="22"/>
      <c r="H928" s="23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3"/>
      <c r="AB928" s="23"/>
      <c r="AC928" s="22"/>
      <c r="AD928" s="22"/>
      <c r="AE928" s="22"/>
      <c r="AF928" s="22"/>
      <c r="AG928" s="22"/>
      <c r="AH928" s="22"/>
      <c r="AI928" s="22"/>
      <c r="AJ928" s="22"/>
      <c r="AK928" s="22"/>
      <c r="AL928" s="22"/>
      <c r="AM928" s="22"/>
      <c r="AN928" s="22"/>
      <c r="AO928" s="22"/>
      <c r="AP928" s="22"/>
      <c r="AQ928" s="22"/>
      <c r="AR928" s="22"/>
      <c r="AS928" s="22"/>
      <c r="AT928" s="22"/>
      <c r="AU928" s="22"/>
      <c r="AV928" s="22"/>
      <c r="AW928" s="22"/>
      <c r="AX928" s="22"/>
      <c r="AY928" s="22"/>
      <c r="AZ928" s="22"/>
      <c r="BA928" s="22"/>
      <c r="BB928" s="22"/>
      <c r="BC928" s="22"/>
    </row>
    <row r="929" spans="1:55" customFormat="1" ht="21" customHeight="1" x14ac:dyDescent="0.25">
      <c r="A929" s="22"/>
      <c r="B929" s="22"/>
      <c r="C929" s="22"/>
      <c r="D929" s="22"/>
      <c r="E929" s="23"/>
      <c r="F929" s="22"/>
      <c r="G929" s="22"/>
      <c r="H929" s="23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3"/>
      <c r="AB929" s="23"/>
      <c r="AC929" s="22"/>
      <c r="AD929" s="22"/>
      <c r="AE929" s="22"/>
      <c r="AF929" s="22"/>
      <c r="AG929" s="22"/>
      <c r="AH929" s="22"/>
      <c r="AI929" s="22"/>
      <c r="AJ929" s="22"/>
      <c r="AK929" s="22"/>
      <c r="AL929" s="22"/>
      <c r="AM929" s="22"/>
      <c r="AN929" s="22"/>
      <c r="AO929" s="22"/>
      <c r="AP929" s="22"/>
      <c r="AQ929" s="22"/>
      <c r="AR929" s="22"/>
      <c r="AS929" s="22"/>
      <c r="AT929" s="22"/>
      <c r="AU929" s="22"/>
      <c r="AV929" s="22"/>
      <c r="AW929" s="22"/>
      <c r="AX929" s="22"/>
      <c r="AY929" s="22"/>
      <c r="AZ929" s="22"/>
      <c r="BA929" s="22"/>
      <c r="BB929" s="22"/>
      <c r="BC929" s="22"/>
    </row>
    <row r="930" spans="1:55" customFormat="1" ht="21" customHeight="1" x14ac:dyDescent="0.25">
      <c r="A930" s="22"/>
      <c r="B930" s="22"/>
      <c r="C930" s="22"/>
      <c r="D930" s="22"/>
      <c r="E930" s="23"/>
      <c r="F930" s="22"/>
      <c r="G930" s="22"/>
      <c r="H930" s="23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A930" s="23"/>
      <c r="AB930" s="23"/>
      <c r="AC930" s="22"/>
      <c r="AD930" s="22"/>
      <c r="AE930" s="22"/>
      <c r="AF930" s="22"/>
      <c r="AG930" s="22"/>
      <c r="AH930" s="22"/>
      <c r="AI930" s="22"/>
      <c r="AJ930" s="22"/>
      <c r="AK930" s="22"/>
      <c r="AL930" s="22"/>
      <c r="AM930" s="22"/>
      <c r="AN930" s="22"/>
      <c r="AO930" s="22"/>
      <c r="AP930" s="22"/>
      <c r="AQ930" s="22"/>
      <c r="AR930" s="22"/>
      <c r="AS930" s="22"/>
      <c r="AT930" s="22"/>
      <c r="AU930" s="22"/>
      <c r="AV930" s="22"/>
      <c r="AW930" s="22"/>
      <c r="AX930" s="22"/>
      <c r="AY930" s="22"/>
      <c r="AZ930" s="22"/>
      <c r="BA930" s="22"/>
      <c r="BB930" s="22"/>
      <c r="BC930" s="22"/>
    </row>
    <row r="931" spans="1:55" customFormat="1" ht="21" customHeight="1" x14ac:dyDescent="0.25">
      <c r="A931" s="22"/>
      <c r="B931" s="22"/>
      <c r="C931" s="22"/>
      <c r="D931" s="22"/>
      <c r="E931" s="23"/>
      <c r="F931" s="22"/>
      <c r="G931" s="22"/>
      <c r="H931" s="23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  <c r="AA931" s="23"/>
      <c r="AB931" s="23"/>
      <c r="AC931" s="22"/>
      <c r="AD931" s="22"/>
      <c r="AE931" s="22"/>
      <c r="AF931" s="22"/>
      <c r="AG931" s="22"/>
      <c r="AH931" s="22"/>
      <c r="AI931" s="22"/>
      <c r="AJ931" s="22"/>
      <c r="AK931" s="22"/>
      <c r="AL931" s="22"/>
      <c r="AM931" s="22"/>
      <c r="AN931" s="22"/>
      <c r="AO931" s="22"/>
      <c r="AP931" s="22"/>
      <c r="AQ931" s="22"/>
      <c r="AR931" s="22"/>
      <c r="AS931" s="22"/>
      <c r="AT931" s="22"/>
      <c r="AU931" s="22"/>
      <c r="AV931" s="22"/>
      <c r="AW931" s="22"/>
      <c r="AX931" s="22"/>
      <c r="AY931" s="22"/>
      <c r="AZ931" s="22"/>
      <c r="BA931" s="22"/>
      <c r="BB931" s="22"/>
      <c r="BC931" s="22"/>
    </row>
    <row r="932" spans="1:55" customFormat="1" ht="21" customHeight="1" x14ac:dyDescent="0.25">
      <c r="A932" s="22"/>
      <c r="B932" s="22"/>
      <c r="C932" s="22"/>
      <c r="D932" s="22"/>
      <c r="E932" s="23"/>
      <c r="F932" s="22"/>
      <c r="G932" s="22"/>
      <c r="H932" s="23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3"/>
      <c r="AB932" s="23"/>
      <c r="AC932" s="22"/>
      <c r="AD932" s="22"/>
      <c r="AE932" s="22"/>
      <c r="AF932" s="22"/>
      <c r="AG932" s="22"/>
      <c r="AH932" s="22"/>
      <c r="AI932" s="22"/>
      <c r="AJ932" s="22"/>
      <c r="AK932" s="22"/>
      <c r="AL932" s="22"/>
      <c r="AM932" s="22"/>
      <c r="AN932" s="22"/>
      <c r="AO932" s="22"/>
      <c r="AP932" s="22"/>
      <c r="AQ932" s="22"/>
      <c r="AR932" s="22"/>
      <c r="AS932" s="22"/>
      <c r="AT932" s="22"/>
      <c r="AU932" s="22"/>
      <c r="AV932" s="22"/>
      <c r="AW932" s="22"/>
      <c r="AX932" s="22"/>
      <c r="AY932" s="22"/>
      <c r="AZ932" s="22"/>
      <c r="BA932" s="22"/>
      <c r="BB932" s="22"/>
      <c r="BC932" s="22"/>
    </row>
    <row r="933" spans="1:55" customFormat="1" ht="21" customHeight="1" x14ac:dyDescent="0.25">
      <c r="A933" s="22"/>
      <c r="B933" s="22"/>
      <c r="C933" s="22"/>
      <c r="D933" s="22"/>
      <c r="E933" s="23"/>
      <c r="F933" s="22"/>
      <c r="G933" s="22"/>
      <c r="H933" s="23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  <c r="AA933" s="23"/>
      <c r="AB933" s="23"/>
      <c r="AC933" s="22"/>
      <c r="AD933" s="22"/>
      <c r="AE933" s="22"/>
      <c r="AF933" s="22"/>
      <c r="AG933" s="22"/>
      <c r="AH933" s="22"/>
      <c r="AI933" s="22"/>
      <c r="AJ933" s="22"/>
      <c r="AK933" s="22"/>
      <c r="AL933" s="22"/>
      <c r="AM933" s="22"/>
      <c r="AN933" s="22"/>
      <c r="AO933" s="22"/>
      <c r="AP933" s="22"/>
      <c r="AQ933" s="22"/>
      <c r="AR933" s="22"/>
      <c r="AS933" s="22"/>
      <c r="AT933" s="22"/>
      <c r="AU933" s="22"/>
      <c r="AV933" s="22"/>
      <c r="AW933" s="22"/>
      <c r="AX933" s="22"/>
      <c r="AY933" s="22"/>
      <c r="AZ933" s="22"/>
      <c r="BA933" s="22"/>
      <c r="BB933" s="22"/>
      <c r="BC933" s="22"/>
    </row>
    <row r="934" spans="1:55" customFormat="1" ht="21" customHeight="1" x14ac:dyDescent="0.25">
      <c r="A934" s="22"/>
      <c r="B934" s="22"/>
      <c r="C934" s="22"/>
      <c r="D934" s="22"/>
      <c r="E934" s="23"/>
      <c r="F934" s="22"/>
      <c r="G934" s="22"/>
      <c r="H934" s="23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  <c r="AA934" s="23"/>
      <c r="AB934" s="23"/>
      <c r="AC934" s="22"/>
      <c r="AD934" s="22"/>
      <c r="AE934" s="22"/>
      <c r="AF934" s="22"/>
      <c r="AG934" s="22"/>
      <c r="AH934" s="22"/>
      <c r="AI934" s="22"/>
      <c r="AJ934" s="22"/>
      <c r="AK934" s="22"/>
      <c r="AL934" s="22"/>
      <c r="AM934" s="22"/>
      <c r="AN934" s="22"/>
      <c r="AO934" s="22"/>
      <c r="AP934" s="22"/>
      <c r="AQ934" s="22"/>
      <c r="AR934" s="22"/>
      <c r="AS934" s="22"/>
      <c r="AT934" s="22"/>
      <c r="AU934" s="22"/>
      <c r="AV934" s="22"/>
      <c r="AW934" s="22"/>
      <c r="AX934" s="22"/>
      <c r="AY934" s="22"/>
      <c r="AZ934" s="22"/>
      <c r="BA934" s="22"/>
      <c r="BB934" s="22"/>
      <c r="BC934" s="22"/>
    </row>
    <row r="935" spans="1:55" customFormat="1" ht="21" customHeight="1" x14ac:dyDescent="0.25">
      <c r="A935" s="22"/>
      <c r="B935" s="22"/>
      <c r="C935" s="22"/>
      <c r="D935" s="22"/>
      <c r="E935" s="23"/>
      <c r="F935" s="22"/>
      <c r="G935" s="22"/>
      <c r="H935" s="23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  <c r="AA935" s="23"/>
      <c r="AB935" s="23"/>
      <c r="AC935" s="22"/>
      <c r="AD935" s="22"/>
      <c r="AE935" s="22"/>
      <c r="AF935" s="22"/>
      <c r="AG935" s="22"/>
      <c r="AH935" s="22"/>
      <c r="AI935" s="22"/>
      <c r="AJ935" s="22"/>
      <c r="AK935" s="22"/>
      <c r="AL935" s="22"/>
      <c r="AM935" s="22"/>
      <c r="AN935" s="22"/>
      <c r="AO935" s="22"/>
      <c r="AP935" s="22"/>
      <c r="AQ935" s="22"/>
      <c r="AR935" s="22"/>
      <c r="AS935" s="22"/>
      <c r="AT935" s="22"/>
      <c r="AU935" s="22"/>
      <c r="AV935" s="22"/>
      <c r="AW935" s="22"/>
      <c r="AX935" s="22"/>
      <c r="AY935" s="22"/>
      <c r="AZ935" s="22"/>
      <c r="BA935" s="22"/>
      <c r="BB935" s="22"/>
      <c r="BC935" s="22"/>
    </row>
    <row r="936" spans="1:55" customFormat="1" ht="21" customHeight="1" x14ac:dyDescent="0.25">
      <c r="A936" s="22"/>
      <c r="B936" s="22"/>
      <c r="C936" s="22"/>
      <c r="D936" s="22"/>
      <c r="E936" s="23"/>
      <c r="F936" s="22"/>
      <c r="G936" s="22"/>
      <c r="H936" s="23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23"/>
      <c r="AB936" s="23"/>
      <c r="AC936" s="22"/>
      <c r="AD936" s="22"/>
      <c r="AE936" s="22"/>
      <c r="AF936" s="22"/>
      <c r="AG936" s="22"/>
      <c r="AH936" s="22"/>
      <c r="AI936" s="22"/>
      <c r="AJ936" s="22"/>
      <c r="AK936" s="22"/>
      <c r="AL936" s="22"/>
      <c r="AM936" s="22"/>
      <c r="AN936" s="22"/>
      <c r="AO936" s="22"/>
      <c r="AP936" s="22"/>
      <c r="AQ936" s="22"/>
      <c r="AR936" s="22"/>
      <c r="AS936" s="22"/>
      <c r="AT936" s="22"/>
      <c r="AU936" s="22"/>
      <c r="AV936" s="22"/>
      <c r="AW936" s="22"/>
      <c r="AX936" s="22"/>
      <c r="AY936" s="22"/>
      <c r="AZ936" s="22"/>
      <c r="BA936" s="22"/>
      <c r="BB936" s="22"/>
      <c r="BC936" s="22"/>
    </row>
    <row r="937" spans="1:55" customFormat="1" ht="21" customHeight="1" x14ac:dyDescent="0.25">
      <c r="A937" s="22"/>
      <c r="B937" s="22"/>
      <c r="C937" s="22"/>
      <c r="D937" s="22"/>
      <c r="E937" s="23"/>
      <c r="F937" s="22"/>
      <c r="G937" s="22"/>
      <c r="H937" s="23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  <c r="AA937" s="23"/>
      <c r="AB937" s="23"/>
      <c r="AC937" s="22"/>
      <c r="AD937" s="22"/>
      <c r="AE937" s="22"/>
      <c r="AF937" s="22"/>
      <c r="AG937" s="22"/>
      <c r="AH937" s="22"/>
      <c r="AI937" s="22"/>
      <c r="AJ937" s="22"/>
      <c r="AK937" s="22"/>
      <c r="AL937" s="22"/>
      <c r="AM937" s="22"/>
      <c r="AN937" s="22"/>
      <c r="AO937" s="22"/>
      <c r="AP937" s="22"/>
      <c r="AQ937" s="22"/>
      <c r="AR937" s="22"/>
      <c r="AS937" s="22"/>
      <c r="AT937" s="22"/>
      <c r="AU937" s="22"/>
      <c r="AV937" s="22"/>
      <c r="AW937" s="22"/>
      <c r="AX937" s="22"/>
      <c r="AY937" s="22"/>
      <c r="AZ937" s="22"/>
      <c r="BA937" s="22"/>
      <c r="BB937" s="22"/>
      <c r="BC937" s="22"/>
    </row>
    <row r="938" spans="1:55" customFormat="1" ht="21" customHeight="1" x14ac:dyDescent="0.25">
      <c r="A938" s="22"/>
      <c r="B938" s="22"/>
      <c r="C938" s="22"/>
      <c r="D938" s="22"/>
      <c r="E938" s="23"/>
      <c r="F938" s="22"/>
      <c r="G938" s="22"/>
      <c r="H938" s="23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  <c r="AA938" s="23"/>
      <c r="AB938" s="23"/>
      <c r="AC938" s="22"/>
      <c r="AD938" s="22"/>
      <c r="AE938" s="22"/>
      <c r="AF938" s="22"/>
      <c r="AG938" s="22"/>
      <c r="AH938" s="22"/>
      <c r="AI938" s="22"/>
      <c r="AJ938" s="22"/>
      <c r="AK938" s="22"/>
      <c r="AL938" s="22"/>
      <c r="AM938" s="22"/>
      <c r="AN938" s="22"/>
      <c r="AO938" s="22"/>
      <c r="AP938" s="22"/>
      <c r="AQ938" s="22"/>
      <c r="AR938" s="22"/>
      <c r="AS938" s="22"/>
      <c r="AT938" s="22"/>
      <c r="AU938" s="22"/>
      <c r="AV938" s="22"/>
      <c r="AW938" s="22"/>
      <c r="AX938" s="22"/>
      <c r="AY938" s="22"/>
      <c r="AZ938" s="22"/>
      <c r="BA938" s="22"/>
      <c r="BB938" s="22"/>
      <c r="BC938" s="22"/>
    </row>
    <row r="939" spans="1:55" customFormat="1" ht="21" customHeight="1" x14ac:dyDescent="0.25">
      <c r="A939" s="22"/>
      <c r="B939" s="22"/>
      <c r="C939" s="22"/>
      <c r="D939" s="22"/>
      <c r="E939" s="23"/>
      <c r="F939" s="22"/>
      <c r="G939" s="22"/>
      <c r="H939" s="23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  <c r="AA939" s="23"/>
      <c r="AB939" s="23"/>
      <c r="AC939" s="22"/>
      <c r="AD939" s="22"/>
      <c r="AE939" s="22"/>
      <c r="AF939" s="22"/>
      <c r="AG939" s="22"/>
      <c r="AH939" s="22"/>
      <c r="AI939" s="22"/>
      <c r="AJ939" s="22"/>
      <c r="AK939" s="22"/>
      <c r="AL939" s="22"/>
      <c r="AM939" s="22"/>
      <c r="AN939" s="22"/>
      <c r="AO939" s="22"/>
      <c r="AP939" s="22"/>
      <c r="AQ939" s="22"/>
      <c r="AR939" s="22"/>
      <c r="AS939" s="22"/>
      <c r="AT939" s="22"/>
      <c r="AU939" s="22"/>
      <c r="AV939" s="22"/>
      <c r="AW939" s="22"/>
      <c r="AX939" s="22"/>
      <c r="AY939" s="22"/>
      <c r="AZ939" s="22"/>
      <c r="BA939" s="22"/>
      <c r="BB939" s="22"/>
      <c r="BC939" s="22"/>
    </row>
    <row r="940" spans="1:55" customFormat="1" ht="21" customHeight="1" x14ac:dyDescent="0.25">
      <c r="A940" s="22"/>
      <c r="B940" s="22"/>
      <c r="C940" s="22"/>
      <c r="D940" s="22"/>
      <c r="E940" s="23"/>
      <c r="F940" s="22"/>
      <c r="G940" s="22"/>
      <c r="H940" s="23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  <c r="AA940" s="23"/>
      <c r="AB940" s="23"/>
      <c r="AC940" s="22"/>
      <c r="AD940" s="22"/>
      <c r="AE940" s="22"/>
      <c r="AF940" s="22"/>
      <c r="AG940" s="22"/>
      <c r="AH940" s="22"/>
      <c r="AI940" s="22"/>
      <c r="AJ940" s="22"/>
      <c r="AK940" s="22"/>
      <c r="AL940" s="22"/>
      <c r="AM940" s="22"/>
      <c r="AN940" s="22"/>
      <c r="AO940" s="22"/>
      <c r="AP940" s="22"/>
      <c r="AQ940" s="22"/>
      <c r="AR940" s="22"/>
      <c r="AS940" s="22"/>
      <c r="AT940" s="22"/>
      <c r="AU940" s="22"/>
      <c r="AV940" s="22"/>
      <c r="AW940" s="22"/>
      <c r="AX940" s="22"/>
      <c r="AY940" s="22"/>
      <c r="AZ940" s="22"/>
      <c r="BA940" s="22"/>
      <c r="BB940" s="22"/>
      <c r="BC940" s="22"/>
    </row>
    <row r="941" spans="1:55" customFormat="1" ht="21" customHeight="1" x14ac:dyDescent="0.25">
      <c r="A941" s="22"/>
      <c r="B941" s="22"/>
      <c r="C941" s="22"/>
      <c r="D941" s="22"/>
      <c r="E941" s="23"/>
      <c r="F941" s="22"/>
      <c r="G941" s="22"/>
      <c r="H941" s="23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  <c r="AA941" s="23"/>
      <c r="AB941" s="23"/>
      <c r="AC941" s="22"/>
      <c r="AD941" s="22"/>
      <c r="AE941" s="22"/>
      <c r="AF941" s="22"/>
      <c r="AG941" s="22"/>
      <c r="AH941" s="22"/>
      <c r="AI941" s="22"/>
      <c r="AJ941" s="22"/>
      <c r="AK941" s="22"/>
      <c r="AL941" s="22"/>
      <c r="AM941" s="22"/>
      <c r="AN941" s="22"/>
      <c r="AO941" s="22"/>
      <c r="AP941" s="22"/>
      <c r="AQ941" s="22"/>
      <c r="AR941" s="22"/>
      <c r="AS941" s="22"/>
      <c r="AT941" s="22"/>
      <c r="AU941" s="22"/>
      <c r="AV941" s="22"/>
      <c r="AW941" s="22"/>
      <c r="AX941" s="22"/>
      <c r="AY941" s="22"/>
      <c r="AZ941" s="22"/>
      <c r="BA941" s="22"/>
      <c r="BB941" s="22"/>
      <c r="BC941" s="22"/>
    </row>
    <row r="942" spans="1:55" customFormat="1" ht="21" customHeight="1" x14ac:dyDescent="0.25">
      <c r="A942" s="22"/>
      <c r="B942" s="22"/>
      <c r="C942" s="22"/>
      <c r="D942" s="22"/>
      <c r="E942" s="23"/>
      <c r="F942" s="22"/>
      <c r="G942" s="22"/>
      <c r="H942" s="23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3"/>
      <c r="AB942" s="23"/>
      <c r="AC942" s="22"/>
      <c r="AD942" s="22"/>
      <c r="AE942" s="22"/>
      <c r="AF942" s="22"/>
      <c r="AG942" s="22"/>
      <c r="AH942" s="22"/>
      <c r="AI942" s="22"/>
      <c r="AJ942" s="22"/>
      <c r="AK942" s="22"/>
      <c r="AL942" s="22"/>
      <c r="AM942" s="22"/>
      <c r="AN942" s="22"/>
      <c r="AO942" s="22"/>
      <c r="AP942" s="22"/>
      <c r="AQ942" s="22"/>
      <c r="AR942" s="22"/>
      <c r="AS942" s="22"/>
      <c r="AT942" s="22"/>
      <c r="AU942" s="22"/>
      <c r="AV942" s="22"/>
      <c r="AW942" s="22"/>
      <c r="AX942" s="22"/>
      <c r="AY942" s="22"/>
      <c r="AZ942" s="22"/>
      <c r="BA942" s="22"/>
      <c r="BB942" s="22"/>
      <c r="BC942" s="22"/>
    </row>
    <row r="943" spans="1:55" customFormat="1" ht="21" customHeight="1" x14ac:dyDescent="0.25">
      <c r="A943" s="22"/>
      <c r="B943" s="22"/>
      <c r="C943" s="22"/>
      <c r="D943" s="22"/>
      <c r="E943" s="23"/>
      <c r="F943" s="22"/>
      <c r="G943" s="22"/>
      <c r="H943" s="23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A943" s="23"/>
      <c r="AB943" s="23"/>
      <c r="AC943" s="22"/>
      <c r="AD943" s="22"/>
      <c r="AE943" s="22"/>
      <c r="AF943" s="22"/>
      <c r="AG943" s="22"/>
      <c r="AH943" s="22"/>
      <c r="AI943" s="22"/>
      <c r="AJ943" s="22"/>
      <c r="AK943" s="22"/>
      <c r="AL943" s="22"/>
      <c r="AM943" s="22"/>
      <c r="AN943" s="22"/>
      <c r="AO943" s="22"/>
      <c r="AP943" s="22"/>
      <c r="AQ943" s="22"/>
      <c r="AR943" s="22"/>
      <c r="AS943" s="22"/>
      <c r="AT943" s="22"/>
      <c r="AU943" s="22"/>
      <c r="AV943" s="22"/>
      <c r="AW943" s="22"/>
      <c r="AX943" s="22"/>
      <c r="AY943" s="22"/>
      <c r="AZ943" s="22"/>
      <c r="BA943" s="22"/>
      <c r="BB943" s="22"/>
      <c r="BC943" s="22"/>
    </row>
    <row r="944" spans="1:55" customFormat="1" ht="21" customHeight="1" x14ac:dyDescent="0.25">
      <c r="A944" s="22"/>
      <c r="B944" s="22"/>
      <c r="C944" s="22"/>
      <c r="D944" s="22"/>
      <c r="E944" s="23"/>
      <c r="F944" s="22"/>
      <c r="G944" s="22"/>
      <c r="H944" s="23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  <c r="AA944" s="23"/>
      <c r="AB944" s="23"/>
      <c r="AC944" s="22"/>
      <c r="AD944" s="22"/>
      <c r="AE944" s="22"/>
      <c r="AF944" s="22"/>
      <c r="AG944" s="22"/>
      <c r="AH944" s="22"/>
      <c r="AI944" s="22"/>
      <c r="AJ944" s="22"/>
      <c r="AK944" s="22"/>
      <c r="AL944" s="22"/>
      <c r="AM944" s="22"/>
      <c r="AN944" s="22"/>
      <c r="AO944" s="22"/>
      <c r="AP944" s="22"/>
      <c r="AQ944" s="22"/>
      <c r="AR944" s="22"/>
      <c r="AS944" s="22"/>
      <c r="AT944" s="22"/>
      <c r="AU944" s="22"/>
      <c r="AV944" s="22"/>
      <c r="AW944" s="22"/>
      <c r="AX944" s="22"/>
      <c r="AY944" s="22"/>
      <c r="AZ944" s="22"/>
      <c r="BA944" s="22"/>
      <c r="BB944" s="22"/>
      <c r="BC944" s="22"/>
    </row>
    <row r="945" spans="1:55" customFormat="1" ht="21" customHeight="1" x14ac:dyDescent="0.25">
      <c r="A945" s="22"/>
      <c r="B945" s="22"/>
      <c r="C945" s="22"/>
      <c r="D945" s="22"/>
      <c r="E945" s="23"/>
      <c r="F945" s="22"/>
      <c r="G945" s="22"/>
      <c r="H945" s="23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  <c r="AA945" s="23"/>
      <c r="AB945" s="23"/>
      <c r="AC945" s="22"/>
      <c r="AD945" s="22"/>
      <c r="AE945" s="22"/>
      <c r="AF945" s="22"/>
      <c r="AG945" s="22"/>
      <c r="AH945" s="22"/>
      <c r="AI945" s="22"/>
      <c r="AJ945" s="22"/>
      <c r="AK945" s="22"/>
      <c r="AL945" s="22"/>
      <c r="AM945" s="22"/>
      <c r="AN945" s="22"/>
      <c r="AO945" s="22"/>
      <c r="AP945" s="22"/>
      <c r="AQ945" s="22"/>
      <c r="AR945" s="22"/>
      <c r="AS945" s="22"/>
      <c r="AT945" s="22"/>
      <c r="AU945" s="22"/>
      <c r="AV945" s="22"/>
      <c r="AW945" s="22"/>
      <c r="AX945" s="22"/>
      <c r="AY945" s="22"/>
      <c r="AZ945" s="22"/>
      <c r="BA945" s="22"/>
      <c r="BB945" s="22"/>
      <c r="BC945" s="22"/>
    </row>
    <row r="946" spans="1:55" customFormat="1" ht="21" customHeight="1" x14ac:dyDescent="0.25">
      <c r="A946" s="22"/>
      <c r="B946" s="22"/>
      <c r="C946" s="22"/>
      <c r="D946" s="22"/>
      <c r="E946" s="23"/>
      <c r="F946" s="22"/>
      <c r="G946" s="22"/>
      <c r="H946" s="23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  <c r="AA946" s="23"/>
      <c r="AB946" s="23"/>
      <c r="AC946" s="22"/>
      <c r="AD946" s="22"/>
      <c r="AE946" s="22"/>
      <c r="AF946" s="22"/>
      <c r="AG946" s="22"/>
      <c r="AH946" s="22"/>
      <c r="AI946" s="22"/>
      <c r="AJ946" s="22"/>
      <c r="AK946" s="22"/>
      <c r="AL946" s="22"/>
      <c r="AM946" s="22"/>
      <c r="AN946" s="22"/>
      <c r="AO946" s="22"/>
      <c r="AP946" s="22"/>
      <c r="AQ946" s="22"/>
      <c r="AR946" s="22"/>
      <c r="AS946" s="22"/>
      <c r="AT946" s="22"/>
      <c r="AU946" s="22"/>
      <c r="AV946" s="22"/>
      <c r="AW946" s="22"/>
      <c r="AX946" s="22"/>
      <c r="AY946" s="22"/>
      <c r="AZ946" s="22"/>
      <c r="BA946" s="22"/>
      <c r="BB946" s="22"/>
      <c r="BC946" s="22"/>
    </row>
    <row r="947" spans="1:55" customFormat="1" ht="21" customHeight="1" x14ac:dyDescent="0.25">
      <c r="A947" s="22"/>
      <c r="B947" s="22"/>
      <c r="C947" s="22"/>
      <c r="D947" s="22"/>
      <c r="E947" s="23"/>
      <c r="F947" s="22"/>
      <c r="G947" s="22"/>
      <c r="H947" s="23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  <c r="AA947" s="23"/>
      <c r="AB947" s="23"/>
      <c r="AC947" s="22"/>
      <c r="AD947" s="22"/>
      <c r="AE947" s="22"/>
      <c r="AF947" s="22"/>
      <c r="AG947" s="22"/>
      <c r="AH947" s="22"/>
      <c r="AI947" s="22"/>
      <c r="AJ947" s="22"/>
      <c r="AK947" s="22"/>
      <c r="AL947" s="22"/>
      <c r="AM947" s="22"/>
      <c r="AN947" s="22"/>
      <c r="AO947" s="22"/>
      <c r="AP947" s="22"/>
      <c r="AQ947" s="22"/>
      <c r="AR947" s="22"/>
      <c r="AS947" s="22"/>
      <c r="AT947" s="22"/>
      <c r="AU947" s="22"/>
      <c r="AV947" s="22"/>
      <c r="AW947" s="22"/>
      <c r="AX947" s="22"/>
      <c r="AY947" s="22"/>
      <c r="AZ947" s="22"/>
      <c r="BA947" s="22"/>
      <c r="BB947" s="22"/>
      <c r="BC947" s="22"/>
    </row>
    <row r="948" spans="1:55" customFormat="1" ht="21" customHeight="1" x14ac:dyDescent="0.25">
      <c r="A948" s="22"/>
      <c r="B948" s="22"/>
      <c r="C948" s="22"/>
      <c r="D948" s="22"/>
      <c r="E948" s="23"/>
      <c r="F948" s="22"/>
      <c r="G948" s="22"/>
      <c r="H948" s="23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  <c r="AA948" s="23"/>
      <c r="AB948" s="23"/>
      <c r="AC948" s="22"/>
      <c r="AD948" s="22"/>
      <c r="AE948" s="22"/>
      <c r="AF948" s="22"/>
      <c r="AG948" s="22"/>
      <c r="AH948" s="22"/>
      <c r="AI948" s="22"/>
      <c r="AJ948" s="22"/>
      <c r="AK948" s="22"/>
      <c r="AL948" s="22"/>
      <c r="AM948" s="22"/>
      <c r="AN948" s="22"/>
      <c r="AO948" s="22"/>
      <c r="AP948" s="22"/>
      <c r="AQ948" s="22"/>
      <c r="AR948" s="22"/>
      <c r="AS948" s="22"/>
      <c r="AT948" s="22"/>
      <c r="AU948" s="22"/>
      <c r="AV948" s="22"/>
      <c r="AW948" s="22"/>
      <c r="AX948" s="22"/>
      <c r="AY948" s="22"/>
      <c r="AZ948" s="22"/>
      <c r="BA948" s="22"/>
      <c r="BB948" s="22"/>
      <c r="BC948" s="22"/>
    </row>
    <row r="949" spans="1:55" customFormat="1" ht="21" customHeight="1" x14ac:dyDescent="0.25">
      <c r="A949" s="22"/>
      <c r="B949" s="22"/>
      <c r="C949" s="22"/>
      <c r="D949" s="22"/>
      <c r="E949" s="23"/>
      <c r="F949" s="22"/>
      <c r="G949" s="22"/>
      <c r="H949" s="23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  <c r="AA949" s="23"/>
      <c r="AB949" s="23"/>
      <c r="AC949" s="22"/>
      <c r="AD949" s="22"/>
      <c r="AE949" s="22"/>
      <c r="AF949" s="22"/>
      <c r="AG949" s="22"/>
      <c r="AH949" s="22"/>
      <c r="AI949" s="22"/>
      <c r="AJ949" s="22"/>
      <c r="AK949" s="22"/>
      <c r="AL949" s="22"/>
      <c r="AM949" s="22"/>
      <c r="AN949" s="22"/>
      <c r="AO949" s="22"/>
      <c r="AP949" s="22"/>
      <c r="AQ949" s="22"/>
      <c r="AR949" s="22"/>
      <c r="AS949" s="22"/>
      <c r="AT949" s="22"/>
      <c r="AU949" s="22"/>
      <c r="AV949" s="22"/>
      <c r="AW949" s="22"/>
      <c r="AX949" s="22"/>
      <c r="AY949" s="22"/>
      <c r="AZ949" s="22"/>
      <c r="BA949" s="22"/>
      <c r="BB949" s="22"/>
      <c r="BC949" s="22"/>
    </row>
    <row r="950" spans="1:55" customFormat="1" ht="21" customHeight="1" x14ac:dyDescent="0.25">
      <c r="A950" s="22"/>
      <c r="B950" s="22"/>
      <c r="C950" s="22"/>
      <c r="D950" s="22"/>
      <c r="E950" s="23"/>
      <c r="F950" s="22"/>
      <c r="G950" s="22"/>
      <c r="H950" s="23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  <c r="AA950" s="23"/>
      <c r="AB950" s="23"/>
      <c r="AC950" s="22"/>
      <c r="AD950" s="22"/>
      <c r="AE950" s="22"/>
      <c r="AF950" s="22"/>
      <c r="AG950" s="22"/>
      <c r="AH950" s="22"/>
      <c r="AI950" s="22"/>
      <c r="AJ950" s="22"/>
      <c r="AK950" s="22"/>
      <c r="AL950" s="22"/>
      <c r="AM950" s="22"/>
      <c r="AN950" s="22"/>
      <c r="AO950" s="22"/>
      <c r="AP950" s="22"/>
      <c r="AQ950" s="22"/>
      <c r="AR950" s="22"/>
      <c r="AS950" s="22"/>
      <c r="AT950" s="22"/>
      <c r="AU950" s="22"/>
      <c r="AV950" s="22"/>
      <c r="AW950" s="22"/>
      <c r="AX950" s="22"/>
      <c r="AY950" s="22"/>
      <c r="AZ950" s="22"/>
      <c r="BA950" s="22"/>
      <c r="BB950" s="22"/>
      <c r="BC950" s="22"/>
    </row>
    <row r="951" spans="1:55" customFormat="1" ht="21" customHeight="1" x14ac:dyDescent="0.25">
      <c r="A951" s="22"/>
      <c r="B951" s="22"/>
      <c r="C951" s="22"/>
      <c r="D951" s="22"/>
      <c r="E951" s="23"/>
      <c r="F951" s="22"/>
      <c r="G951" s="22"/>
      <c r="H951" s="23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  <c r="AA951" s="23"/>
      <c r="AB951" s="23"/>
      <c r="AC951" s="22"/>
      <c r="AD951" s="22"/>
      <c r="AE951" s="22"/>
      <c r="AF951" s="22"/>
      <c r="AG951" s="22"/>
      <c r="AH951" s="22"/>
      <c r="AI951" s="22"/>
      <c r="AJ951" s="22"/>
      <c r="AK951" s="22"/>
      <c r="AL951" s="22"/>
      <c r="AM951" s="22"/>
      <c r="AN951" s="22"/>
      <c r="AO951" s="22"/>
      <c r="AP951" s="22"/>
      <c r="AQ951" s="22"/>
      <c r="AR951" s="22"/>
      <c r="AS951" s="22"/>
      <c r="AT951" s="22"/>
      <c r="AU951" s="22"/>
      <c r="AV951" s="22"/>
      <c r="AW951" s="22"/>
      <c r="AX951" s="22"/>
      <c r="AY951" s="22"/>
      <c r="AZ951" s="22"/>
      <c r="BA951" s="22"/>
      <c r="BB951" s="22"/>
      <c r="BC951" s="22"/>
    </row>
    <row r="952" spans="1:55" customFormat="1" ht="21" customHeight="1" x14ac:dyDescent="0.25">
      <c r="A952" s="22"/>
      <c r="B952" s="22"/>
      <c r="C952" s="22"/>
      <c r="D952" s="22"/>
      <c r="E952" s="23"/>
      <c r="F952" s="22"/>
      <c r="G952" s="22"/>
      <c r="H952" s="23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  <c r="AA952" s="23"/>
      <c r="AB952" s="23"/>
      <c r="AC952" s="22"/>
      <c r="AD952" s="22"/>
      <c r="AE952" s="22"/>
      <c r="AF952" s="22"/>
      <c r="AG952" s="22"/>
      <c r="AH952" s="22"/>
      <c r="AI952" s="22"/>
      <c r="AJ952" s="22"/>
      <c r="AK952" s="22"/>
      <c r="AL952" s="22"/>
      <c r="AM952" s="22"/>
      <c r="AN952" s="22"/>
      <c r="AO952" s="22"/>
      <c r="AP952" s="22"/>
      <c r="AQ952" s="22"/>
      <c r="AR952" s="22"/>
      <c r="AS952" s="22"/>
      <c r="AT952" s="22"/>
      <c r="AU952" s="22"/>
      <c r="AV952" s="22"/>
      <c r="AW952" s="22"/>
      <c r="AX952" s="22"/>
      <c r="AY952" s="22"/>
      <c r="AZ952" s="22"/>
      <c r="BA952" s="22"/>
      <c r="BB952" s="22"/>
      <c r="BC952" s="22"/>
    </row>
    <row r="953" spans="1:55" customFormat="1" ht="21" customHeight="1" x14ac:dyDescent="0.25">
      <c r="A953" s="22"/>
      <c r="B953" s="22"/>
      <c r="C953" s="22"/>
      <c r="D953" s="22"/>
      <c r="E953" s="23"/>
      <c r="F953" s="22"/>
      <c r="G953" s="22"/>
      <c r="H953" s="23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  <c r="AA953" s="23"/>
      <c r="AB953" s="23"/>
      <c r="AC953" s="22"/>
      <c r="AD953" s="22"/>
      <c r="AE953" s="22"/>
      <c r="AF953" s="22"/>
      <c r="AG953" s="22"/>
      <c r="AH953" s="22"/>
      <c r="AI953" s="22"/>
      <c r="AJ953" s="22"/>
      <c r="AK953" s="22"/>
      <c r="AL953" s="22"/>
      <c r="AM953" s="22"/>
      <c r="AN953" s="22"/>
      <c r="AO953" s="22"/>
      <c r="AP953" s="22"/>
      <c r="AQ953" s="22"/>
      <c r="AR953" s="22"/>
      <c r="AS953" s="22"/>
      <c r="AT953" s="22"/>
      <c r="AU953" s="22"/>
      <c r="AV953" s="22"/>
      <c r="AW953" s="22"/>
      <c r="AX953" s="22"/>
      <c r="AY953" s="22"/>
      <c r="AZ953" s="22"/>
      <c r="BA953" s="22"/>
      <c r="BB953" s="22"/>
      <c r="BC953" s="22"/>
    </row>
    <row r="954" spans="1:55" customFormat="1" ht="21" customHeight="1" x14ac:dyDescent="0.25">
      <c r="A954" s="22"/>
      <c r="B954" s="22"/>
      <c r="C954" s="22"/>
      <c r="D954" s="22"/>
      <c r="E954" s="23"/>
      <c r="F954" s="22"/>
      <c r="G954" s="22"/>
      <c r="H954" s="23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  <c r="AA954" s="23"/>
      <c r="AB954" s="23"/>
      <c r="AC954" s="22"/>
      <c r="AD954" s="22"/>
      <c r="AE954" s="22"/>
      <c r="AF954" s="22"/>
      <c r="AG954" s="22"/>
      <c r="AH954" s="22"/>
      <c r="AI954" s="22"/>
      <c r="AJ954" s="22"/>
      <c r="AK954" s="22"/>
      <c r="AL954" s="22"/>
      <c r="AM954" s="22"/>
      <c r="AN954" s="22"/>
      <c r="AO954" s="22"/>
      <c r="AP954" s="22"/>
      <c r="AQ954" s="22"/>
      <c r="AR954" s="22"/>
      <c r="AS954" s="22"/>
      <c r="AT954" s="22"/>
      <c r="AU954" s="22"/>
      <c r="AV954" s="22"/>
      <c r="AW954" s="22"/>
      <c r="AX954" s="22"/>
      <c r="AY954" s="22"/>
      <c r="AZ954" s="22"/>
      <c r="BA954" s="22"/>
      <c r="BB954" s="22"/>
      <c r="BC954" s="22"/>
    </row>
    <row r="955" spans="1:55" customFormat="1" ht="21" customHeight="1" x14ac:dyDescent="0.25">
      <c r="A955" s="22"/>
      <c r="B955" s="22"/>
      <c r="C955" s="22"/>
      <c r="D955" s="22"/>
      <c r="E955" s="23"/>
      <c r="F955" s="22"/>
      <c r="G955" s="22"/>
      <c r="H955" s="23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  <c r="AA955" s="23"/>
      <c r="AB955" s="23"/>
      <c r="AC955" s="22"/>
      <c r="AD955" s="22"/>
      <c r="AE955" s="22"/>
      <c r="AF955" s="22"/>
      <c r="AG955" s="22"/>
      <c r="AH955" s="22"/>
      <c r="AI955" s="22"/>
      <c r="AJ955" s="22"/>
      <c r="AK955" s="22"/>
      <c r="AL955" s="22"/>
      <c r="AM955" s="22"/>
      <c r="AN955" s="22"/>
      <c r="AO955" s="22"/>
      <c r="AP955" s="22"/>
      <c r="AQ955" s="22"/>
      <c r="AR955" s="22"/>
      <c r="AS955" s="22"/>
      <c r="AT955" s="22"/>
      <c r="AU955" s="22"/>
      <c r="AV955" s="22"/>
      <c r="AW955" s="22"/>
      <c r="AX955" s="22"/>
      <c r="AY955" s="22"/>
      <c r="AZ955" s="22"/>
      <c r="BA955" s="22"/>
      <c r="BB955" s="22"/>
      <c r="BC955" s="22"/>
    </row>
    <row r="956" spans="1:55" customFormat="1" ht="21" customHeight="1" x14ac:dyDescent="0.25">
      <c r="A956" s="22"/>
      <c r="B956" s="22"/>
      <c r="C956" s="22"/>
      <c r="D956" s="22"/>
      <c r="E956" s="23"/>
      <c r="F956" s="22"/>
      <c r="G956" s="22"/>
      <c r="H956" s="23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  <c r="AA956" s="23"/>
      <c r="AB956" s="23"/>
      <c r="AC956" s="22"/>
      <c r="AD956" s="22"/>
      <c r="AE956" s="22"/>
      <c r="AF956" s="22"/>
      <c r="AG956" s="22"/>
      <c r="AH956" s="22"/>
      <c r="AI956" s="22"/>
      <c r="AJ956" s="22"/>
      <c r="AK956" s="22"/>
      <c r="AL956" s="22"/>
      <c r="AM956" s="22"/>
      <c r="AN956" s="22"/>
      <c r="AO956" s="22"/>
      <c r="AP956" s="22"/>
      <c r="AQ956" s="22"/>
      <c r="AR956" s="22"/>
      <c r="AS956" s="22"/>
      <c r="AT956" s="22"/>
      <c r="AU956" s="22"/>
      <c r="AV956" s="22"/>
      <c r="AW956" s="22"/>
      <c r="AX956" s="22"/>
      <c r="AY956" s="22"/>
      <c r="AZ956" s="22"/>
      <c r="BA956" s="22"/>
      <c r="BB956" s="22"/>
      <c r="BC956" s="22"/>
    </row>
    <row r="957" spans="1:55" customFormat="1" ht="21" customHeight="1" x14ac:dyDescent="0.25">
      <c r="A957" s="22"/>
      <c r="B957" s="22"/>
      <c r="C957" s="22"/>
      <c r="D957" s="22"/>
      <c r="E957" s="23"/>
      <c r="F957" s="22"/>
      <c r="G957" s="22"/>
      <c r="H957" s="23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  <c r="AA957" s="23"/>
      <c r="AB957" s="23"/>
      <c r="AC957" s="22"/>
      <c r="AD957" s="22"/>
      <c r="AE957" s="22"/>
      <c r="AF957" s="22"/>
      <c r="AG957" s="22"/>
      <c r="AH957" s="22"/>
      <c r="AI957" s="22"/>
      <c r="AJ957" s="22"/>
      <c r="AK957" s="22"/>
      <c r="AL957" s="22"/>
      <c r="AM957" s="22"/>
      <c r="AN957" s="22"/>
      <c r="AO957" s="22"/>
      <c r="AP957" s="22"/>
      <c r="AQ957" s="22"/>
      <c r="AR957" s="22"/>
      <c r="AS957" s="22"/>
      <c r="AT957" s="22"/>
      <c r="AU957" s="22"/>
      <c r="AV957" s="22"/>
      <c r="AW957" s="22"/>
      <c r="AX957" s="22"/>
      <c r="AY957" s="22"/>
      <c r="AZ957" s="22"/>
      <c r="BA957" s="22"/>
      <c r="BB957" s="22"/>
      <c r="BC957" s="22"/>
    </row>
    <row r="958" spans="1:55" customFormat="1" ht="21" customHeight="1" x14ac:dyDescent="0.25">
      <c r="A958" s="22"/>
      <c r="B958" s="22"/>
      <c r="C958" s="22"/>
      <c r="D958" s="22"/>
      <c r="E958" s="23"/>
      <c r="F958" s="22"/>
      <c r="G958" s="22"/>
      <c r="H958" s="23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  <c r="AA958" s="23"/>
      <c r="AB958" s="23"/>
      <c r="AC958" s="22"/>
      <c r="AD958" s="22"/>
      <c r="AE958" s="22"/>
      <c r="AF958" s="22"/>
      <c r="AG958" s="22"/>
      <c r="AH958" s="22"/>
      <c r="AI958" s="22"/>
      <c r="AJ958" s="22"/>
      <c r="AK958" s="22"/>
      <c r="AL958" s="22"/>
      <c r="AM958" s="22"/>
      <c r="AN958" s="22"/>
      <c r="AO958" s="22"/>
      <c r="AP958" s="22"/>
      <c r="AQ958" s="22"/>
      <c r="AR958" s="22"/>
      <c r="AS958" s="22"/>
      <c r="AT958" s="22"/>
      <c r="AU958" s="22"/>
      <c r="AV958" s="22"/>
      <c r="AW958" s="22"/>
      <c r="AX958" s="22"/>
      <c r="AY958" s="22"/>
      <c r="AZ958" s="22"/>
      <c r="BA958" s="22"/>
      <c r="BB958" s="22"/>
      <c r="BC958" s="22"/>
    </row>
    <row r="959" spans="1:55" customFormat="1" ht="21" customHeight="1" x14ac:dyDescent="0.25">
      <c r="A959" s="22"/>
      <c r="B959" s="22"/>
      <c r="C959" s="22"/>
      <c r="D959" s="22"/>
      <c r="E959" s="23"/>
      <c r="F959" s="22"/>
      <c r="G959" s="22"/>
      <c r="H959" s="23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  <c r="AA959" s="23"/>
      <c r="AB959" s="23"/>
      <c r="AC959" s="22"/>
      <c r="AD959" s="22"/>
      <c r="AE959" s="22"/>
      <c r="AF959" s="22"/>
      <c r="AG959" s="22"/>
      <c r="AH959" s="22"/>
      <c r="AI959" s="22"/>
      <c r="AJ959" s="22"/>
      <c r="AK959" s="22"/>
      <c r="AL959" s="22"/>
      <c r="AM959" s="22"/>
      <c r="AN959" s="22"/>
      <c r="AO959" s="22"/>
      <c r="AP959" s="22"/>
      <c r="AQ959" s="22"/>
      <c r="AR959" s="22"/>
      <c r="AS959" s="22"/>
      <c r="AT959" s="22"/>
      <c r="AU959" s="22"/>
      <c r="AV959" s="22"/>
      <c r="AW959" s="22"/>
      <c r="AX959" s="22"/>
      <c r="AY959" s="22"/>
      <c r="AZ959" s="22"/>
      <c r="BA959" s="22"/>
      <c r="BB959" s="22"/>
      <c r="BC959" s="22"/>
    </row>
    <row r="960" spans="1:55" customFormat="1" ht="21" customHeight="1" x14ac:dyDescent="0.25">
      <c r="A960" s="22"/>
      <c r="B960" s="22"/>
      <c r="C960" s="22"/>
      <c r="D960" s="22"/>
      <c r="E960" s="23"/>
      <c r="F960" s="22"/>
      <c r="G960" s="22"/>
      <c r="H960" s="23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  <c r="AA960" s="23"/>
      <c r="AB960" s="23"/>
      <c r="AC960" s="22"/>
      <c r="AD960" s="22"/>
      <c r="AE960" s="22"/>
      <c r="AF960" s="22"/>
      <c r="AG960" s="22"/>
      <c r="AH960" s="22"/>
      <c r="AI960" s="22"/>
      <c r="AJ960" s="22"/>
      <c r="AK960" s="22"/>
      <c r="AL960" s="22"/>
      <c r="AM960" s="22"/>
      <c r="AN960" s="22"/>
      <c r="AO960" s="22"/>
      <c r="AP960" s="22"/>
      <c r="AQ960" s="22"/>
      <c r="AR960" s="22"/>
      <c r="AS960" s="22"/>
      <c r="AT960" s="22"/>
      <c r="AU960" s="22"/>
      <c r="AV960" s="22"/>
      <c r="AW960" s="22"/>
      <c r="AX960" s="22"/>
      <c r="AY960" s="22"/>
      <c r="AZ960" s="22"/>
      <c r="BA960" s="22"/>
      <c r="BB960" s="22"/>
      <c r="BC960" s="22"/>
    </row>
    <row r="961" spans="1:55" customFormat="1" ht="21" customHeight="1" x14ac:dyDescent="0.25">
      <c r="A961" s="22"/>
      <c r="B961" s="22"/>
      <c r="C961" s="22"/>
      <c r="D961" s="22"/>
      <c r="E961" s="23"/>
      <c r="F961" s="22"/>
      <c r="G961" s="22"/>
      <c r="H961" s="23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  <c r="AA961" s="23"/>
      <c r="AB961" s="23"/>
      <c r="AC961" s="22"/>
      <c r="AD961" s="22"/>
      <c r="AE961" s="22"/>
      <c r="AF961" s="22"/>
      <c r="AG961" s="22"/>
      <c r="AH961" s="22"/>
      <c r="AI961" s="22"/>
      <c r="AJ961" s="22"/>
      <c r="AK961" s="22"/>
      <c r="AL961" s="22"/>
      <c r="AM961" s="22"/>
      <c r="AN961" s="22"/>
      <c r="AO961" s="22"/>
      <c r="AP961" s="22"/>
      <c r="AQ961" s="22"/>
      <c r="AR961" s="22"/>
      <c r="AS961" s="22"/>
      <c r="AT961" s="22"/>
      <c r="AU961" s="22"/>
      <c r="AV961" s="22"/>
      <c r="AW961" s="22"/>
      <c r="AX961" s="22"/>
      <c r="AY961" s="22"/>
      <c r="AZ961" s="22"/>
      <c r="BA961" s="22"/>
      <c r="BB961" s="22"/>
      <c r="BC961" s="22"/>
    </row>
    <row r="962" spans="1:55" customFormat="1" ht="21" customHeight="1" x14ac:dyDescent="0.25">
      <c r="A962" s="22"/>
      <c r="B962" s="22"/>
      <c r="C962" s="22"/>
      <c r="D962" s="22"/>
      <c r="E962" s="23"/>
      <c r="F962" s="22"/>
      <c r="G962" s="22"/>
      <c r="H962" s="23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  <c r="AA962" s="23"/>
      <c r="AB962" s="23"/>
      <c r="AC962" s="22"/>
      <c r="AD962" s="22"/>
      <c r="AE962" s="22"/>
      <c r="AF962" s="22"/>
      <c r="AG962" s="22"/>
      <c r="AH962" s="22"/>
      <c r="AI962" s="22"/>
      <c r="AJ962" s="22"/>
      <c r="AK962" s="22"/>
      <c r="AL962" s="22"/>
      <c r="AM962" s="22"/>
      <c r="AN962" s="22"/>
      <c r="AO962" s="22"/>
      <c r="AP962" s="22"/>
      <c r="AQ962" s="22"/>
      <c r="AR962" s="22"/>
      <c r="AS962" s="22"/>
      <c r="AT962" s="22"/>
      <c r="AU962" s="22"/>
      <c r="AV962" s="22"/>
      <c r="AW962" s="22"/>
      <c r="AX962" s="22"/>
      <c r="AY962" s="22"/>
      <c r="AZ962" s="22"/>
      <c r="BA962" s="22"/>
      <c r="BB962" s="22"/>
      <c r="BC962" s="22"/>
    </row>
    <row r="963" spans="1:55" customFormat="1" ht="21" customHeight="1" x14ac:dyDescent="0.25">
      <c r="A963" s="22"/>
      <c r="B963" s="22"/>
      <c r="C963" s="22"/>
      <c r="D963" s="22"/>
      <c r="E963" s="23"/>
      <c r="F963" s="22"/>
      <c r="G963" s="22"/>
      <c r="H963" s="23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  <c r="AA963" s="23"/>
      <c r="AB963" s="23"/>
      <c r="AC963" s="22"/>
      <c r="AD963" s="22"/>
      <c r="AE963" s="22"/>
      <c r="AF963" s="22"/>
      <c r="AG963" s="22"/>
      <c r="AH963" s="22"/>
      <c r="AI963" s="22"/>
      <c r="AJ963" s="22"/>
      <c r="AK963" s="22"/>
      <c r="AL963" s="22"/>
      <c r="AM963" s="22"/>
      <c r="AN963" s="22"/>
      <c r="AO963" s="22"/>
      <c r="AP963" s="22"/>
      <c r="AQ963" s="22"/>
      <c r="AR963" s="22"/>
      <c r="AS963" s="22"/>
      <c r="AT963" s="22"/>
      <c r="AU963" s="22"/>
      <c r="AV963" s="22"/>
      <c r="AW963" s="22"/>
      <c r="AX963" s="22"/>
      <c r="AY963" s="22"/>
      <c r="AZ963" s="22"/>
      <c r="BA963" s="22"/>
      <c r="BB963" s="22"/>
      <c r="BC963" s="22"/>
    </row>
    <row r="964" spans="1:55" customFormat="1" ht="21" customHeight="1" x14ac:dyDescent="0.25">
      <c r="A964" s="22"/>
      <c r="B964" s="22"/>
      <c r="C964" s="22"/>
      <c r="D964" s="22"/>
      <c r="E964" s="23"/>
      <c r="F964" s="22"/>
      <c r="G964" s="22"/>
      <c r="H964" s="23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  <c r="AA964" s="23"/>
      <c r="AB964" s="23"/>
      <c r="AC964" s="22"/>
      <c r="AD964" s="22"/>
      <c r="AE964" s="22"/>
      <c r="AF964" s="22"/>
      <c r="AG964" s="22"/>
      <c r="AH964" s="22"/>
      <c r="AI964" s="22"/>
      <c r="AJ964" s="22"/>
      <c r="AK964" s="22"/>
      <c r="AL964" s="22"/>
      <c r="AM964" s="22"/>
      <c r="AN964" s="22"/>
      <c r="AO964" s="22"/>
      <c r="AP964" s="22"/>
      <c r="AQ964" s="22"/>
      <c r="AR964" s="22"/>
      <c r="AS964" s="22"/>
      <c r="AT964" s="22"/>
      <c r="AU964" s="22"/>
      <c r="AV964" s="22"/>
      <c r="AW964" s="22"/>
      <c r="AX964" s="22"/>
      <c r="AY964" s="22"/>
      <c r="AZ964" s="22"/>
      <c r="BA964" s="22"/>
      <c r="BB964" s="22"/>
      <c r="BC964" s="22"/>
    </row>
    <row r="965" spans="1:55" customFormat="1" ht="21" customHeight="1" x14ac:dyDescent="0.25">
      <c r="A965" s="22"/>
      <c r="B965" s="22"/>
      <c r="C965" s="22"/>
      <c r="D965" s="22"/>
      <c r="E965" s="23"/>
      <c r="F965" s="22"/>
      <c r="G965" s="22"/>
      <c r="H965" s="23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  <c r="AA965" s="23"/>
      <c r="AB965" s="23"/>
      <c r="AC965" s="22"/>
      <c r="AD965" s="22"/>
      <c r="AE965" s="22"/>
      <c r="AF965" s="22"/>
      <c r="AG965" s="22"/>
      <c r="AH965" s="22"/>
      <c r="AI965" s="22"/>
      <c r="AJ965" s="22"/>
      <c r="AK965" s="22"/>
      <c r="AL965" s="22"/>
      <c r="AM965" s="22"/>
      <c r="AN965" s="22"/>
      <c r="AO965" s="22"/>
      <c r="AP965" s="22"/>
      <c r="AQ965" s="22"/>
      <c r="AR965" s="22"/>
      <c r="AS965" s="22"/>
      <c r="AT965" s="22"/>
      <c r="AU965" s="22"/>
      <c r="AV965" s="22"/>
      <c r="AW965" s="22"/>
      <c r="AX965" s="22"/>
      <c r="AY965" s="22"/>
      <c r="AZ965" s="22"/>
      <c r="BA965" s="22"/>
      <c r="BB965" s="22"/>
      <c r="BC965" s="22"/>
    </row>
    <row r="966" spans="1:55" customFormat="1" ht="21" customHeight="1" x14ac:dyDescent="0.25">
      <c r="A966" s="22"/>
      <c r="B966" s="22"/>
      <c r="C966" s="22"/>
      <c r="D966" s="22"/>
      <c r="E966" s="23"/>
      <c r="F966" s="22"/>
      <c r="G966" s="22"/>
      <c r="H966" s="23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  <c r="AA966" s="23"/>
      <c r="AB966" s="23"/>
      <c r="AC966" s="22"/>
      <c r="AD966" s="22"/>
      <c r="AE966" s="22"/>
      <c r="AF966" s="22"/>
      <c r="AG966" s="22"/>
      <c r="AH966" s="22"/>
      <c r="AI966" s="22"/>
      <c r="AJ966" s="22"/>
      <c r="AK966" s="22"/>
      <c r="AL966" s="22"/>
      <c r="AM966" s="22"/>
      <c r="AN966" s="22"/>
      <c r="AO966" s="22"/>
      <c r="AP966" s="22"/>
      <c r="AQ966" s="22"/>
      <c r="AR966" s="22"/>
      <c r="AS966" s="22"/>
      <c r="AT966" s="22"/>
      <c r="AU966" s="22"/>
      <c r="AV966" s="22"/>
      <c r="AW966" s="22"/>
      <c r="AX966" s="22"/>
      <c r="AY966" s="22"/>
      <c r="AZ966" s="22"/>
      <c r="BA966" s="22"/>
      <c r="BB966" s="22"/>
      <c r="BC966" s="22"/>
    </row>
    <row r="967" spans="1:55" customFormat="1" ht="21" customHeight="1" x14ac:dyDescent="0.25">
      <c r="A967" s="22"/>
      <c r="B967" s="22"/>
      <c r="C967" s="22"/>
      <c r="D967" s="22"/>
      <c r="E967" s="23"/>
      <c r="F967" s="22"/>
      <c r="G967" s="22"/>
      <c r="H967" s="23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  <c r="AA967" s="23"/>
      <c r="AB967" s="23"/>
      <c r="AC967" s="22"/>
      <c r="AD967" s="22"/>
      <c r="AE967" s="22"/>
      <c r="AF967" s="22"/>
      <c r="AG967" s="22"/>
      <c r="AH967" s="22"/>
      <c r="AI967" s="22"/>
      <c r="AJ967" s="22"/>
      <c r="AK967" s="22"/>
      <c r="AL967" s="22"/>
      <c r="AM967" s="22"/>
      <c r="AN967" s="22"/>
      <c r="AO967" s="22"/>
      <c r="AP967" s="22"/>
      <c r="AQ967" s="22"/>
      <c r="AR967" s="22"/>
      <c r="AS967" s="22"/>
      <c r="AT967" s="22"/>
      <c r="AU967" s="22"/>
      <c r="AV967" s="22"/>
      <c r="AW967" s="22"/>
      <c r="AX967" s="22"/>
      <c r="AY967" s="22"/>
      <c r="AZ967" s="22"/>
      <c r="BA967" s="22"/>
      <c r="BB967" s="22"/>
      <c r="BC967" s="22"/>
    </row>
    <row r="968" spans="1:55" customFormat="1" ht="21" customHeight="1" x14ac:dyDescent="0.25">
      <c r="A968" s="22"/>
      <c r="B968" s="22"/>
      <c r="C968" s="22"/>
      <c r="D968" s="22"/>
      <c r="E968" s="23"/>
      <c r="F968" s="22"/>
      <c r="G968" s="22"/>
      <c r="H968" s="23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  <c r="AA968" s="23"/>
      <c r="AB968" s="23"/>
      <c r="AC968" s="22"/>
      <c r="AD968" s="22"/>
      <c r="AE968" s="22"/>
      <c r="AF968" s="22"/>
      <c r="AG968" s="22"/>
      <c r="AH968" s="22"/>
      <c r="AI968" s="22"/>
      <c r="AJ968" s="22"/>
      <c r="AK968" s="22"/>
      <c r="AL968" s="22"/>
      <c r="AM968" s="22"/>
      <c r="AN968" s="22"/>
      <c r="AO968" s="22"/>
      <c r="AP968" s="22"/>
      <c r="AQ968" s="22"/>
      <c r="AR968" s="22"/>
      <c r="AS968" s="22"/>
      <c r="AT968" s="22"/>
      <c r="AU968" s="22"/>
      <c r="AV968" s="22"/>
      <c r="AW968" s="22"/>
      <c r="AX968" s="22"/>
      <c r="AY968" s="22"/>
      <c r="AZ968" s="22"/>
      <c r="BA968" s="22"/>
      <c r="BB968" s="22"/>
      <c r="BC968" s="22"/>
    </row>
    <row r="969" spans="1:55" customFormat="1" ht="21" customHeight="1" x14ac:dyDescent="0.25">
      <c r="A969" s="22"/>
      <c r="B969" s="22"/>
      <c r="C969" s="22"/>
      <c r="D969" s="22"/>
      <c r="E969" s="23"/>
      <c r="F969" s="22"/>
      <c r="G969" s="22"/>
      <c r="H969" s="23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  <c r="AA969" s="23"/>
      <c r="AB969" s="23"/>
      <c r="AC969" s="22"/>
      <c r="AD969" s="22"/>
      <c r="AE969" s="22"/>
      <c r="AF969" s="22"/>
      <c r="AG969" s="22"/>
      <c r="AH969" s="22"/>
      <c r="AI969" s="22"/>
      <c r="AJ969" s="22"/>
      <c r="AK969" s="22"/>
      <c r="AL969" s="22"/>
      <c r="AM969" s="22"/>
      <c r="AN969" s="22"/>
      <c r="AO969" s="22"/>
      <c r="AP969" s="22"/>
      <c r="AQ969" s="22"/>
      <c r="AR969" s="22"/>
      <c r="AS969" s="22"/>
      <c r="AT969" s="22"/>
      <c r="AU969" s="22"/>
      <c r="AV969" s="22"/>
      <c r="AW969" s="22"/>
      <c r="AX969" s="22"/>
      <c r="AY969" s="22"/>
      <c r="AZ969" s="22"/>
      <c r="BA969" s="22"/>
      <c r="BB969" s="22"/>
      <c r="BC969" s="22"/>
    </row>
    <row r="970" spans="1:55" customFormat="1" ht="21" customHeight="1" x14ac:dyDescent="0.25">
      <c r="A970" s="22"/>
      <c r="B970" s="22"/>
      <c r="C970" s="22"/>
      <c r="D970" s="22"/>
      <c r="E970" s="23"/>
      <c r="F970" s="22"/>
      <c r="G970" s="22"/>
      <c r="H970" s="23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  <c r="AA970" s="23"/>
      <c r="AB970" s="23"/>
      <c r="AC970" s="22"/>
      <c r="AD970" s="22"/>
      <c r="AE970" s="22"/>
      <c r="AF970" s="22"/>
      <c r="AG970" s="22"/>
      <c r="AH970" s="22"/>
      <c r="AI970" s="22"/>
      <c r="AJ970" s="22"/>
      <c r="AK970" s="22"/>
      <c r="AL970" s="22"/>
      <c r="AM970" s="22"/>
      <c r="AN970" s="22"/>
      <c r="AO970" s="22"/>
      <c r="AP970" s="22"/>
      <c r="AQ970" s="22"/>
      <c r="AR970" s="22"/>
      <c r="AS970" s="22"/>
      <c r="AT970" s="22"/>
      <c r="AU970" s="22"/>
      <c r="AV970" s="22"/>
      <c r="AW970" s="22"/>
      <c r="AX970" s="22"/>
      <c r="AY970" s="22"/>
      <c r="AZ970" s="22"/>
      <c r="BA970" s="22"/>
      <c r="BB970" s="22"/>
      <c r="BC970" s="22"/>
    </row>
    <row r="971" spans="1:55" customFormat="1" ht="21" customHeight="1" x14ac:dyDescent="0.25">
      <c r="A971" s="22"/>
      <c r="B971" s="22"/>
      <c r="C971" s="22"/>
      <c r="D971" s="22"/>
      <c r="E971" s="23"/>
      <c r="F971" s="22"/>
      <c r="G971" s="22"/>
      <c r="H971" s="23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  <c r="AA971" s="23"/>
      <c r="AB971" s="23"/>
      <c r="AC971" s="22"/>
      <c r="AD971" s="22"/>
      <c r="AE971" s="22"/>
      <c r="AF971" s="22"/>
      <c r="AG971" s="22"/>
      <c r="AH971" s="22"/>
      <c r="AI971" s="22"/>
      <c r="AJ971" s="22"/>
      <c r="AK971" s="22"/>
      <c r="AL971" s="22"/>
      <c r="AM971" s="22"/>
      <c r="AN971" s="22"/>
      <c r="AO971" s="22"/>
      <c r="AP971" s="22"/>
      <c r="AQ971" s="22"/>
      <c r="AR971" s="22"/>
      <c r="AS971" s="22"/>
      <c r="AT971" s="22"/>
      <c r="AU971" s="22"/>
      <c r="AV971" s="22"/>
      <c r="AW971" s="22"/>
      <c r="AX971" s="22"/>
      <c r="AY971" s="22"/>
      <c r="AZ971" s="22"/>
      <c r="BA971" s="22"/>
      <c r="BB971" s="22"/>
      <c r="BC971" s="22"/>
    </row>
    <row r="972" spans="1:55" customFormat="1" ht="21" customHeight="1" x14ac:dyDescent="0.25">
      <c r="A972" s="22"/>
      <c r="B972" s="22"/>
      <c r="C972" s="22"/>
      <c r="D972" s="22"/>
      <c r="E972" s="23"/>
      <c r="F972" s="22"/>
      <c r="G972" s="22"/>
      <c r="H972" s="23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  <c r="AA972" s="23"/>
      <c r="AB972" s="23"/>
      <c r="AC972" s="22"/>
      <c r="AD972" s="22"/>
      <c r="AE972" s="22"/>
      <c r="AF972" s="22"/>
      <c r="AG972" s="22"/>
      <c r="AH972" s="22"/>
      <c r="AI972" s="22"/>
      <c r="AJ972" s="22"/>
      <c r="AK972" s="22"/>
      <c r="AL972" s="22"/>
      <c r="AM972" s="22"/>
      <c r="AN972" s="22"/>
      <c r="AO972" s="22"/>
      <c r="AP972" s="22"/>
      <c r="AQ972" s="22"/>
      <c r="AR972" s="22"/>
      <c r="AS972" s="22"/>
      <c r="AT972" s="22"/>
      <c r="AU972" s="22"/>
      <c r="AV972" s="22"/>
      <c r="AW972" s="22"/>
      <c r="AX972" s="22"/>
      <c r="AY972" s="22"/>
      <c r="AZ972" s="22"/>
      <c r="BA972" s="22"/>
      <c r="BB972" s="22"/>
      <c r="BC972" s="22"/>
    </row>
    <row r="973" spans="1:55" customFormat="1" ht="21" customHeight="1" x14ac:dyDescent="0.25">
      <c r="A973" s="22"/>
      <c r="B973" s="22"/>
      <c r="C973" s="22"/>
      <c r="D973" s="22"/>
      <c r="E973" s="23"/>
      <c r="F973" s="22"/>
      <c r="G973" s="22"/>
      <c r="H973" s="23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  <c r="AA973" s="23"/>
      <c r="AB973" s="23"/>
      <c r="AC973" s="22"/>
      <c r="AD973" s="22"/>
      <c r="AE973" s="22"/>
      <c r="AF973" s="22"/>
      <c r="AG973" s="22"/>
      <c r="AH973" s="22"/>
      <c r="AI973" s="22"/>
      <c r="AJ973" s="22"/>
      <c r="AK973" s="22"/>
      <c r="AL973" s="22"/>
      <c r="AM973" s="22"/>
      <c r="AN973" s="22"/>
      <c r="AO973" s="22"/>
      <c r="AP973" s="22"/>
      <c r="AQ973" s="22"/>
      <c r="AR973" s="22"/>
      <c r="AS973" s="22"/>
      <c r="AT973" s="22"/>
      <c r="AU973" s="22"/>
      <c r="AV973" s="22"/>
      <c r="AW973" s="22"/>
      <c r="AX973" s="22"/>
      <c r="AY973" s="22"/>
      <c r="AZ973" s="22"/>
      <c r="BA973" s="22"/>
      <c r="BB973" s="22"/>
      <c r="BC973" s="22"/>
    </row>
    <row r="974" spans="1:55" customFormat="1" ht="21" customHeight="1" x14ac:dyDescent="0.25">
      <c r="A974" s="22"/>
      <c r="B974" s="22"/>
      <c r="C974" s="22"/>
      <c r="D974" s="22"/>
      <c r="E974" s="23"/>
      <c r="F974" s="22"/>
      <c r="G974" s="22"/>
      <c r="H974" s="23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  <c r="AA974" s="23"/>
      <c r="AB974" s="23"/>
      <c r="AC974" s="22"/>
      <c r="AD974" s="22"/>
      <c r="AE974" s="22"/>
      <c r="AF974" s="22"/>
      <c r="AG974" s="22"/>
      <c r="AH974" s="22"/>
      <c r="AI974" s="22"/>
      <c r="AJ974" s="22"/>
      <c r="AK974" s="22"/>
      <c r="AL974" s="22"/>
      <c r="AM974" s="22"/>
      <c r="AN974" s="22"/>
      <c r="AO974" s="22"/>
      <c r="AP974" s="22"/>
      <c r="AQ974" s="22"/>
      <c r="AR974" s="22"/>
      <c r="AS974" s="22"/>
      <c r="AT974" s="22"/>
      <c r="AU974" s="22"/>
      <c r="AV974" s="22"/>
      <c r="AW974" s="22"/>
      <c r="AX974" s="22"/>
      <c r="AY974" s="22"/>
      <c r="AZ974" s="22"/>
      <c r="BA974" s="22"/>
      <c r="BB974" s="22"/>
      <c r="BC974" s="22"/>
    </row>
    <row r="975" spans="1:55" customFormat="1" ht="21" customHeight="1" x14ac:dyDescent="0.25">
      <c r="A975" s="22"/>
      <c r="B975" s="22"/>
      <c r="C975" s="22"/>
      <c r="D975" s="22"/>
      <c r="E975" s="23"/>
      <c r="F975" s="22"/>
      <c r="G975" s="22"/>
      <c r="H975" s="23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  <c r="AA975" s="23"/>
      <c r="AB975" s="23"/>
      <c r="AC975" s="22"/>
      <c r="AD975" s="22"/>
      <c r="AE975" s="22"/>
      <c r="AF975" s="22"/>
      <c r="AG975" s="22"/>
      <c r="AH975" s="22"/>
      <c r="AI975" s="22"/>
      <c r="AJ975" s="22"/>
      <c r="AK975" s="22"/>
      <c r="AL975" s="22"/>
      <c r="AM975" s="22"/>
      <c r="AN975" s="22"/>
      <c r="AO975" s="22"/>
      <c r="AP975" s="22"/>
      <c r="AQ975" s="22"/>
      <c r="AR975" s="22"/>
      <c r="AS975" s="22"/>
      <c r="AT975" s="22"/>
      <c r="AU975" s="22"/>
      <c r="AV975" s="22"/>
      <c r="AW975" s="22"/>
      <c r="AX975" s="22"/>
      <c r="AY975" s="22"/>
      <c r="AZ975" s="22"/>
      <c r="BA975" s="22"/>
      <c r="BB975" s="22"/>
      <c r="BC975" s="22"/>
    </row>
    <row r="976" spans="1:55" customFormat="1" ht="21" customHeight="1" x14ac:dyDescent="0.25">
      <c r="A976" s="22"/>
      <c r="B976" s="22"/>
      <c r="C976" s="22"/>
      <c r="D976" s="22"/>
      <c r="E976" s="23"/>
      <c r="F976" s="22"/>
      <c r="G976" s="22"/>
      <c r="H976" s="23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  <c r="AA976" s="23"/>
      <c r="AB976" s="23"/>
      <c r="AC976" s="22"/>
      <c r="AD976" s="22"/>
      <c r="AE976" s="22"/>
      <c r="AF976" s="22"/>
      <c r="AG976" s="22"/>
      <c r="AH976" s="22"/>
      <c r="AI976" s="22"/>
      <c r="AJ976" s="22"/>
      <c r="AK976" s="22"/>
      <c r="AL976" s="22"/>
      <c r="AM976" s="22"/>
      <c r="AN976" s="22"/>
      <c r="AO976" s="22"/>
      <c r="AP976" s="22"/>
      <c r="AQ976" s="22"/>
      <c r="AR976" s="22"/>
      <c r="AS976" s="22"/>
      <c r="AT976" s="22"/>
      <c r="AU976" s="22"/>
      <c r="AV976" s="22"/>
      <c r="AW976" s="22"/>
      <c r="AX976" s="22"/>
      <c r="AY976" s="22"/>
      <c r="AZ976" s="22"/>
      <c r="BA976" s="22"/>
      <c r="BB976" s="22"/>
      <c r="BC976" s="22"/>
    </row>
    <row r="977" spans="1:55" customFormat="1" ht="21" customHeight="1" x14ac:dyDescent="0.25">
      <c r="A977" s="22"/>
      <c r="B977" s="22"/>
      <c r="C977" s="22"/>
      <c r="D977" s="22"/>
      <c r="E977" s="23"/>
      <c r="F977" s="22"/>
      <c r="G977" s="22"/>
      <c r="H977" s="23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  <c r="AA977" s="23"/>
      <c r="AB977" s="23"/>
      <c r="AC977" s="22"/>
      <c r="AD977" s="22"/>
      <c r="AE977" s="22"/>
      <c r="AF977" s="22"/>
      <c r="AG977" s="22"/>
      <c r="AH977" s="22"/>
      <c r="AI977" s="22"/>
      <c r="AJ977" s="22"/>
      <c r="AK977" s="22"/>
      <c r="AL977" s="22"/>
      <c r="AM977" s="22"/>
      <c r="AN977" s="22"/>
      <c r="AO977" s="22"/>
      <c r="AP977" s="22"/>
      <c r="AQ977" s="22"/>
      <c r="AR977" s="22"/>
      <c r="AS977" s="22"/>
      <c r="AT977" s="22"/>
      <c r="AU977" s="22"/>
      <c r="AV977" s="22"/>
      <c r="AW977" s="22"/>
      <c r="AX977" s="22"/>
      <c r="AY977" s="22"/>
      <c r="AZ977" s="22"/>
      <c r="BA977" s="22"/>
      <c r="BB977" s="22"/>
      <c r="BC977" s="22"/>
    </row>
    <row r="978" spans="1:55" customFormat="1" ht="21" customHeight="1" x14ac:dyDescent="0.25">
      <c r="A978" s="22"/>
      <c r="B978" s="22"/>
      <c r="C978" s="22"/>
      <c r="D978" s="22"/>
      <c r="E978" s="23"/>
      <c r="F978" s="22"/>
      <c r="G978" s="22"/>
      <c r="H978" s="23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  <c r="AA978" s="23"/>
      <c r="AB978" s="23"/>
      <c r="AC978" s="22"/>
      <c r="AD978" s="22"/>
      <c r="AE978" s="22"/>
      <c r="AF978" s="22"/>
      <c r="AG978" s="22"/>
      <c r="AH978" s="22"/>
      <c r="AI978" s="22"/>
      <c r="AJ978" s="22"/>
      <c r="AK978" s="22"/>
      <c r="AL978" s="22"/>
      <c r="AM978" s="22"/>
      <c r="AN978" s="22"/>
      <c r="AO978" s="22"/>
      <c r="AP978" s="22"/>
      <c r="AQ978" s="22"/>
      <c r="AR978" s="22"/>
      <c r="AS978" s="22"/>
      <c r="AT978" s="22"/>
      <c r="AU978" s="22"/>
      <c r="AV978" s="22"/>
      <c r="AW978" s="22"/>
      <c r="AX978" s="22"/>
      <c r="AY978" s="22"/>
      <c r="AZ978" s="22"/>
      <c r="BA978" s="22"/>
      <c r="BB978" s="22"/>
      <c r="BC978" s="22"/>
    </row>
    <row r="979" spans="1:55" customFormat="1" ht="21" customHeight="1" x14ac:dyDescent="0.25">
      <c r="A979" s="22"/>
      <c r="B979" s="22"/>
      <c r="C979" s="22"/>
      <c r="D979" s="22"/>
      <c r="E979" s="23"/>
      <c r="F979" s="22"/>
      <c r="G979" s="22"/>
      <c r="H979" s="23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  <c r="AA979" s="23"/>
      <c r="AB979" s="23"/>
      <c r="AC979" s="22"/>
      <c r="AD979" s="22"/>
      <c r="AE979" s="22"/>
      <c r="AF979" s="22"/>
      <c r="AG979" s="22"/>
      <c r="AH979" s="22"/>
      <c r="AI979" s="22"/>
      <c r="AJ979" s="22"/>
      <c r="AK979" s="22"/>
      <c r="AL979" s="22"/>
      <c r="AM979" s="22"/>
      <c r="AN979" s="22"/>
      <c r="AO979" s="22"/>
      <c r="AP979" s="22"/>
      <c r="AQ979" s="22"/>
      <c r="AR979" s="22"/>
      <c r="AS979" s="22"/>
      <c r="AT979" s="22"/>
      <c r="AU979" s="22"/>
      <c r="AV979" s="22"/>
      <c r="AW979" s="22"/>
      <c r="AX979" s="22"/>
      <c r="AY979" s="22"/>
      <c r="AZ979" s="22"/>
      <c r="BA979" s="22"/>
      <c r="BB979" s="22"/>
      <c r="BC979" s="22"/>
    </row>
    <row r="980" spans="1:55" customFormat="1" ht="21" customHeight="1" x14ac:dyDescent="0.25">
      <c r="A980" s="22"/>
      <c r="B980" s="22"/>
      <c r="C980" s="22"/>
      <c r="D980" s="22"/>
      <c r="E980" s="23"/>
      <c r="F980" s="22"/>
      <c r="G980" s="22"/>
      <c r="H980" s="23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  <c r="AA980" s="23"/>
      <c r="AB980" s="23"/>
      <c r="AC980" s="22"/>
      <c r="AD980" s="22"/>
      <c r="AE980" s="22"/>
      <c r="AF980" s="22"/>
      <c r="AG980" s="22"/>
      <c r="AH980" s="22"/>
      <c r="AI980" s="22"/>
      <c r="AJ980" s="22"/>
      <c r="AK980" s="22"/>
      <c r="AL980" s="22"/>
      <c r="AM980" s="22"/>
      <c r="AN980" s="22"/>
      <c r="AO980" s="22"/>
      <c r="AP980" s="22"/>
      <c r="AQ980" s="22"/>
      <c r="AR980" s="22"/>
      <c r="AS980" s="22"/>
      <c r="AT980" s="22"/>
      <c r="AU980" s="22"/>
      <c r="AV980" s="22"/>
      <c r="AW980" s="22"/>
      <c r="AX980" s="22"/>
      <c r="AY980" s="22"/>
      <c r="AZ980" s="22"/>
      <c r="BA980" s="22"/>
      <c r="BB980" s="22"/>
      <c r="BC980" s="22"/>
    </row>
    <row r="981" spans="1:55" customFormat="1" ht="21" customHeight="1" x14ac:dyDescent="0.25">
      <c r="A981" s="22"/>
      <c r="B981" s="22"/>
      <c r="C981" s="22"/>
      <c r="D981" s="22"/>
      <c r="E981" s="23"/>
      <c r="F981" s="22"/>
      <c r="G981" s="22"/>
      <c r="H981" s="23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  <c r="AA981" s="23"/>
      <c r="AB981" s="23"/>
      <c r="AC981" s="22"/>
      <c r="AD981" s="22"/>
      <c r="AE981" s="22"/>
      <c r="AF981" s="22"/>
      <c r="AG981" s="22"/>
      <c r="AH981" s="22"/>
      <c r="AI981" s="22"/>
      <c r="AJ981" s="22"/>
      <c r="AK981" s="22"/>
      <c r="AL981" s="22"/>
      <c r="AM981" s="22"/>
      <c r="AN981" s="22"/>
      <c r="AO981" s="22"/>
      <c r="AP981" s="22"/>
      <c r="AQ981" s="22"/>
      <c r="AR981" s="22"/>
      <c r="AS981" s="22"/>
      <c r="AT981" s="22"/>
      <c r="AU981" s="22"/>
      <c r="AV981" s="22"/>
      <c r="AW981" s="22"/>
      <c r="AX981" s="22"/>
      <c r="AY981" s="22"/>
      <c r="AZ981" s="22"/>
      <c r="BA981" s="22"/>
      <c r="BB981" s="22"/>
      <c r="BC981" s="22"/>
    </row>
    <row r="982" spans="1:55" customFormat="1" ht="21" customHeight="1" x14ac:dyDescent="0.25">
      <c r="A982" s="22"/>
      <c r="B982" s="22"/>
      <c r="C982" s="22"/>
      <c r="D982" s="22"/>
      <c r="E982" s="23"/>
      <c r="F982" s="22"/>
      <c r="G982" s="22"/>
      <c r="H982" s="23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  <c r="AA982" s="23"/>
      <c r="AB982" s="23"/>
      <c r="AC982" s="22"/>
      <c r="AD982" s="22"/>
      <c r="AE982" s="22"/>
      <c r="AF982" s="22"/>
      <c r="AG982" s="22"/>
      <c r="AH982" s="22"/>
      <c r="AI982" s="22"/>
      <c r="AJ982" s="22"/>
      <c r="AK982" s="22"/>
      <c r="AL982" s="22"/>
      <c r="AM982" s="22"/>
      <c r="AN982" s="22"/>
      <c r="AO982" s="22"/>
      <c r="AP982" s="22"/>
      <c r="AQ982" s="22"/>
      <c r="AR982" s="22"/>
      <c r="AS982" s="22"/>
      <c r="AT982" s="22"/>
      <c r="AU982" s="22"/>
      <c r="AV982" s="22"/>
      <c r="AW982" s="22"/>
      <c r="AX982" s="22"/>
      <c r="AY982" s="22"/>
      <c r="AZ982" s="22"/>
      <c r="BA982" s="22"/>
      <c r="BB982" s="22"/>
      <c r="BC982" s="22"/>
    </row>
    <row r="983" spans="1:55" customFormat="1" ht="21" customHeight="1" x14ac:dyDescent="0.25">
      <c r="A983" s="22"/>
      <c r="B983" s="22"/>
      <c r="C983" s="22"/>
      <c r="D983" s="22"/>
      <c r="E983" s="23"/>
      <c r="F983" s="22"/>
      <c r="G983" s="22"/>
      <c r="H983" s="23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  <c r="AA983" s="23"/>
      <c r="AB983" s="23"/>
      <c r="AC983" s="22"/>
      <c r="AD983" s="22"/>
      <c r="AE983" s="22"/>
      <c r="AF983" s="22"/>
      <c r="AG983" s="22"/>
      <c r="AH983" s="22"/>
      <c r="AI983" s="22"/>
      <c r="AJ983" s="22"/>
      <c r="AK983" s="22"/>
      <c r="AL983" s="22"/>
      <c r="AM983" s="22"/>
      <c r="AN983" s="22"/>
      <c r="AO983" s="22"/>
      <c r="AP983" s="22"/>
      <c r="AQ983" s="22"/>
      <c r="AR983" s="22"/>
      <c r="AS983" s="22"/>
      <c r="AT983" s="22"/>
      <c r="AU983" s="22"/>
      <c r="AV983" s="22"/>
      <c r="AW983" s="22"/>
      <c r="AX983" s="22"/>
      <c r="AY983" s="22"/>
      <c r="AZ983" s="22"/>
      <c r="BA983" s="22"/>
      <c r="BB983" s="22"/>
      <c r="BC983" s="22"/>
    </row>
    <row r="984" spans="1:55" customFormat="1" ht="21" customHeight="1" x14ac:dyDescent="0.25">
      <c r="A984" s="22"/>
      <c r="B984" s="22"/>
      <c r="C984" s="22"/>
      <c r="D984" s="22"/>
      <c r="E984" s="23"/>
      <c r="F984" s="22"/>
      <c r="G984" s="22"/>
      <c r="H984" s="23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  <c r="AA984" s="23"/>
      <c r="AB984" s="23"/>
      <c r="AC984" s="22"/>
      <c r="AD984" s="22"/>
      <c r="AE984" s="22"/>
      <c r="AF984" s="22"/>
      <c r="AG984" s="22"/>
      <c r="AH984" s="22"/>
      <c r="AI984" s="22"/>
      <c r="AJ984" s="22"/>
      <c r="AK984" s="22"/>
      <c r="AL984" s="22"/>
      <c r="AM984" s="22"/>
      <c r="AN984" s="22"/>
      <c r="AO984" s="22"/>
      <c r="AP984" s="22"/>
      <c r="AQ984" s="22"/>
      <c r="AR984" s="22"/>
      <c r="AS984" s="22"/>
      <c r="AT984" s="22"/>
      <c r="AU984" s="22"/>
      <c r="AV984" s="22"/>
      <c r="AW984" s="22"/>
      <c r="AX984" s="22"/>
      <c r="AY984" s="22"/>
      <c r="AZ984" s="22"/>
      <c r="BA984" s="22"/>
      <c r="BB984" s="22"/>
      <c r="BC984" s="22"/>
    </row>
    <row r="985" spans="1:55" customFormat="1" ht="21" customHeight="1" x14ac:dyDescent="0.25">
      <c r="A985" s="22"/>
      <c r="B985" s="22"/>
      <c r="C985" s="22"/>
      <c r="D985" s="22"/>
      <c r="E985" s="23"/>
      <c r="F985" s="22"/>
      <c r="G985" s="22"/>
      <c r="H985" s="23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  <c r="AA985" s="23"/>
      <c r="AB985" s="23"/>
      <c r="AC985" s="22"/>
      <c r="AD985" s="22"/>
      <c r="AE985" s="22"/>
      <c r="AF985" s="22"/>
      <c r="AG985" s="22"/>
      <c r="AH985" s="22"/>
      <c r="AI985" s="22"/>
      <c r="AJ985" s="22"/>
      <c r="AK985" s="22"/>
      <c r="AL985" s="22"/>
      <c r="AM985" s="22"/>
      <c r="AN985" s="22"/>
      <c r="AO985" s="22"/>
      <c r="AP985" s="22"/>
      <c r="AQ985" s="22"/>
      <c r="AR985" s="22"/>
      <c r="AS985" s="22"/>
      <c r="AT985" s="22"/>
      <c r="AU985" s="22"/>
      <c r="AV985" s="22"/>
      <c r="AW985" s="22"/>
      <c r="AX985" s="22"/>
      <c r="AY985" s="22"/>
      <c r="AZ985" s="22"/>
      <c r="BA985" s="22"/>
      <c r="BB985" s="22"/>
      <c r="BC985" s="22"/>
    </row>
    <row r="986" spans="1:55" customFormat="1" ht="21" customHeight="1" x14ac:dyDescent="0.25">
      <c r="A986" s="22"/>
      <c r="B986" s="22"/>
      <c r="C986" s="22"/>
      <c r="D986" s="22"/>
      <c r="E986" s="23"/>
      <c r="F986" s="22"/>
      <c r="G986" s="22"/>
      <c r="H986" s="23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  <c r="AA986" s="23"/>
      <c r="AB986" s="23"/>
      <c r="AC986" s="22"/>
      <c r="AD986" s="22"/>
      <c r="AE986" s="22"/>
      <c r="AF986" s="22"/>
      <c r="AG986" s="22"/>
      <c r="AH986" s="22"/>
      <c r="AI986" s="22"/>
      <c r="AJ986" s="22"/>
      <c r="AK986" s="22"/>
      <c r="AL986" s="22"/>
      <c r="AM986" s="22"/>
      <c r="AN986" s="22"/>
      <c r="AO986" s="22"/>
      <c r="AP986" s="22"/>
      <c r="AQ986" s="22"/>
      <c r="AR986" s="22"/>
      <c r="AS986" s="22"/>
      <c r="AT986" s="22"/>
      <c r="AU986" s="22"/>
      <c r="AV986" s="22"/>
      <c r="AW986" s="22"/>
      <c r="AX986" s="22"/>
      <c r="AY986" s="22"/>
      <c r="AZ986" s="22"/>
      <c r="BA986" s="22"/>
      <c r="BB986" s="22"/>
      <c r="BC986" s="22"/>
    </row>
    <row r="987" spans="1:55" customFormat="1" ht="21" customHeight="1" x14ac:dyDescent="0.25">
      <c r="A987" s="22"/>
      <c r="B987" s="22"/>
      <c r="C987" s="22"/>
      <c r="D987" s="22"/>
      <c r="E987" s="23"/>
      <c r="F987" s="22"/>
      <c r="G987" s="22"/>
      <c r="H987" s="23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  <c r="AA987" s="23"/>
      <c r="AB987" s="23"/>
      <c r="AC987" s="22"/>
      <c r="AD987" s="22"/>
      <c r="AE987" s="22"/>
      <c r="AF987" s="22"/>
      <c r="AG987" s="22"/>
      <c r="AH987" s="22"/>
      <c r="AI987" s="22"/>
      <c r="AJ987" s="22"/>
      <c r="AK987" s="22"/>
      <c r="AL987" s="22"/>
      <c r="AM987" s="22"/>
      <c r="AN987" s="22"/>
      <c r="AO987" s="22"/>
      <c r="AP987" s="22"/>
      <c r="AQ987" s="22"/>
      <c r="AR987" s="22"/>
      <c r="AS987" s="22"/>
      <c r="AT987" s="22"/>
      <c r="AU987" s="22"/>
      <c r="AV987" s="22"/>
      <c r="AW987" s="22"/>
      <c r="AX987" s="22"/>
      <c r="AY987" s="22"/>
      <c r="AZ987" s="22"/>
      <c r="BA987" s="22"/>
      <c r="BB987" s="22"/>
      <c r="BC987" s="22"/>
    </row>
    <row r="988" spans="1:55" customFormat="1" ht="21" customHeight="1" x14ac:dyDescent="0.25">
      <c r="A988" s="22"/>
      <c r="B988" s="22"/>
      <c r="C988" s="22"/>
      <c r="D988" s="22"/>
      <c r="E988" s="23"/>
      <c r="F988" s="22"/>
      <c r="G988" s="22"/>
      <c r="H988" s="23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  <c r="AA988" s="23"/>
      <c r="AB988" s="23"/>
      <c r="AC988" s="22"/>
      <c r="AD988" s="22"/>
      <c r="AE988" s="22"/>
      <c r="AF988" s="22"/>
      <c r="AG988" s="22"/>
      <c r="AH988" s="22"/>
      <c r="AI988" s="22"/>
      <c r="AJ988" s="22"/>
      <c r="AK988" s="22"/>
      <c r="AL988" s="22"/>
      <c r="AM988" s="22"/>
      <c r="AN988" s="22"/>
      <c r="AO988" s="22"/>
      <c r="AP988" s="22"/>
      <c r="AQ988" s="22"/>
      <c r="AR988" s="22"/>
      <c r="AS988" s="22"/>
      <c r="AT988" s="22"/>
      <c r="AU988" s="22"/>
      <c r="AV988" s="22"/>
      <c r="AW988" s="22"/>
      <c r="AX988" s="22"/>
      <c r="AY988" s="22"/>
      <c r="AZ988" s="22"/>
      <c r="BA988" s="22"/>
      <c r="BB988" s="22"/>
      <c r="BC988" s="22"/>
    </row>
    <row r="989" spans="1:55" customFormat="1" ht="21" customHeight="1" x14ac:dyDescent="0.25">
      <c r="A989" s="22"/>
      <c r="B989" s="22"/>
      <c r="C989" s="22"/>
      <c r="D989" s="22"/>
      <c r="E989" s="23"/>
      <c r="F989" s="22"/>
      <c r="G989" s="22"/>
      <c r="H989" s="23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  <c r="AA989" s="23"/>
      <c r="AB989" s="23"/>
      <c r="AC989" s="22"/>
      <c r="AD989" s="22"/>
      <c r="AE989" s="22"/>
      <c r="AF989" s="22"/>
      <c r="AG989" s="22"/>
      <c r="AH989" s="22"/>
      <c r="AI989" s="22"/>
      <c r="AJ989" s="22"/>
      <c r="AK989" s="22"/>
      <c r="AL989" s="22"/>
      <c r="AM989" s="22"/>
      <c r="AN989" s="22"/>
      <c r="AO989" s="22"/>
      <c r="AP989" s="22"/>
      <c r="AQ989" s="22"/>
      <c r="AR989" s="22"/>
      <c r="AS989" s="22"/>
      <c r="AT989" s="22"/>
      <c r="AU989" s="22"/>
      <c r="AV989" s="22"/>
      <c r="AW989" s="22"/>
      <c r="AX989" s="22"/>
      <c r="AY989" s="22"/>
      <c r="AZ989" s="22"/>
      <c r="BA989" s="22"/>
      <c r="BB989" s="22"/>
      <c r="BC989" s="22"/>
    </row>
    <row r="990" spans="1:55" customFormat="1" ht="21" customHeight="1" x14ac:dyDescent="0.25">
      <c r="A990" s="22"/>
      <c r="B990" s="22"/>
      <c r="C990" s="22"/>
      <c r="D990" s="22"/>
      <c r="E990" s="23"/>
      <c r="F990" s="22"/>
      <c r="G990" s="22"/>
      <c r="H990" s="23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  <c r="AA990" s="23"/>
      <c r="AB990" s="23"/>
      <c r="AC990" s="22"/>
      <c r="AD990" s="22"/>
      <c r="AE990" s="22"/>
      <c r="AF990" s="22"/>
      <c r="AG990" s="22"/>
      <c r="AH990" s="22"/>
      <c r="AI990" s="22"/>
      <c r="AJ990" s="22"/>
      <c r="AK990" s="22"/>
      <c r="AL990" s="22"/>
      <c r="AM990" s="22"/>
      <c r="AN990" s="22"/>
      <c r="AO990" s="22"/>
      <c r="AP990" s="22"/>
      <c r="AQ990" s="22"/>
      <c r="AR990" s="22"/>
      <c r="AS990" s="22"/>
      <c r="AT990" s="22"/>
      <c r="AU990" s="22"/>
      <c r="AV990" s="22"/>
      <c r="AW990" s="22"/>
      <c r="AX990" s="22"/>
      <c r="AY990" s="22"/>
      <c r="AZ990" s="22"/>
      <c r="BA990" s="22"/>
      <c r="BB990" s="22"/>
      <c r="BC990" s="22"/>
    </row>
    <row r="991" spans="1:55" customFormat="1" ht="21" customHeight="1" x14ac:dyDescent="0.25">
      <c r="A991" s="22"/>
      <c r="B991" s="22"/>
      <c r="C991" s="22"/>
      <c r="D991" s="22"/>
      <c r="E991" s="23"/>
      <c r="F991" s="22"/>
      <c r="G991" s="22"/>
      <c r="H991" s="23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  <c r="AA991" s="23"/>
      <c r="AB991" s="23"/>
      <c r="AC991" s="22"/>
      <c r="AD991" s="22"/>
      <c r="AE991" s="22"/>
      <c r="AF991" s="22"/>
      <c r="AG991" s="22"/>
      <c r="AH991" s="22"/>
      <c r="AI991" s="22"/>
      <c r="AJ991" s="22"/>
      <c r="AK991" s="22"/>
      <c r="AL991" s="22"/>
      <c r="AM991" s="22"/>
      <c r="AN991" s="22"/>
      <c r="AO991" s="22"/>
      <c r="AP991" s="22"/>
      <c r="AQ991" s="22"/>
      <c r="AR991" s="22"/>
      <c r="AS991" s="22"/>
      <c r="AT991" s="22"/>
      <c r="AU991" s="22"/>
      <c r="AV991" s="22"/>
      <c r="AW991" s="22"/>
      <c r="AX991" s="22"/>
      <c r="AY991" s="22"/>
      <c r="AZ991" s="22"/>
      <c r="BA991" s="22"/>
      <c r="BB991" s="22"/>
      <c r="BC991" s="22"/>
    </row>
    <row r="992" spans="1:55" customFormat="1" ht="21" customHeight="1" x14ac:dyDescent="0.25">
      <c r="A992" s="22"/>
      <c r="B992" s="22"/>
      <c r="C992" s="22"/>
      <c r="D992" s="22"/>
      <c r="E992" s="23"/>
      <c r="F992" s="22"/>
      <c r="G992" s="22"/>
      <c r="H992" s="23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  <c r="AA992" s="23"/>
      <c r="AB992" s="23"/>
      <c r="AC992" s="22"/>
      <c r="AD992" s="22"/>
      <c r="AE992" s="22"/>
      <c r="AF992" s="22"/>
      <c r="AG992" s="22"/>
      <c r="AH992" s="22"/>
      <c r="AI992" s="22"/>
      <c r="AJ992" s="22"/>
      <c r="AK992" s="22"/>
      <c r="AL992" s="22"/>
      <c r="AM992" s="22"/>
      <c r="AN992" s="22"/>
      <c r="AO992" s="22"/>
      <c r="AP992" s="22"/>
      <c r="AQ992" s="22"/>
      <c r="AR992" s="22"/>
      <c r="AS992" s="22"/>
      <c r="AT992" s="22"/>
      <c r="AU992" s="22"/>
      <c r="AV992" s="22"/>
      <c r="AW992" s="22"/>
      <c r="AX992" s="22"/>
      <c r="AY992" s="22"/>
      <c r="AZ992" s="22"/>
      <c r="BA992" s="22"/>
      <c r="BB992" s="22"/>
      <c r="BC992" s="22"/>
    </row>
    <row r="993" spans="1:55" customFormat="1" ht="21" customHeight="1" x14ac:dyDescent="0.25">
      <c r="A993" s="22"/>
      <c r="B993" s="22"/>
      <c r="C993" s="22"/>
      <c r="D993" s="22"/>
      <c r="E993" s="23"/>
      <c r="F993" s="22"/>
      <c r="G993" s="22"/>
      <c r="H993" s="23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  <c r="AA993" s="23"/>
      <c r="AB993" s="23"/>
      <c r="AC993" s="22"/>
      <c r="AD993" s="22"/>
      <c r="AE993" s="22"/>
      <c r="AF993" s="22"/>
      <c r="AG993" s="22"/>
      <c r="AH993" s="22"/>
      <c r="AI993" s="22"/>
      <c r="AJ993" s="22"/>
      <c r="AK993" s="22"/>
      <c r="AL993" s="22"/>
      <c r="AM993" s="22"/>
      <c r="AN993" s="22"/>
      <c r="AO993" s="22"/>
      <c r="AP993" s="22"/>
      <c r="AQ993" s="22"/>
      <c r="AR993" s="22"/>
      <c r="AS993" s="22"/>
      <c r="AT993" s="22"/>
      <c r="AU993" s="22"/>
      <c r="AV993" s="22"/>
      <c r="AW993" s="22"/>
      <c r="AX993" s="22"/>
      <c r="AY993" s="22"/>
      <c r="AZ993" s="22"/>
      <c r="BA993" s="22"/>
      <c r="BB993" s="22"/>
      <c r="BC993" s="22"/>
    </row>
    <row r="994" spans="1:55" customFormat="1" ht="21" customHeight="1" x14ac:dyDescent="0.25">
      <c r="A994" s="22"/>
      <c r="B994" s="22"/>
      <c r="C994" s="22"/>
      <c r="D994" s="22"/>
      <c r="E994" s="23"/>
      <c r="F994" s="22"/>
      <c r="G994" s="22"/>
      <c r="H994" s="23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  <c r="AA994" s="23"/>
      <c r="AB994" s="23"/>
      <c r="AC994" s="22"/>
      <c r="AD994" s="22"/>
      <c r="AE994" s="22"/>
      <c r="AF994" s="22"/>
      <c r="AG994" s="22"/>
      <c r="AH994" s="22"/>
      <c r="AI994" s="22"/>
      <c r="AJ994" s="22"/>
      <c r="AK994" s="22"/>
      <c r="AL994" s="22"/>
      <c r="AM994" s="22"/>
      <c r="AN994" s="22"/>
      <c r="AO994" s="22"/>
      <c r="AP994" s="22"/>
      <c r="AQ994" s="22"/>
      <c r="AR994" s="22"/>
      <c r="AS994" s="22"/>
      <c r="AT994" s="22"/>
      <c r="AU994" s="22"/>
      <c r="AV994" s="22"/>
      <c r="AW994" s="22"/>
      <c r="AX994" s="22"/>
      <c r="AY994" s="22"/>
      <c r="AZ994" s="22"/>
      <c r="BA994" s="22"/>
      <c r="BB994" s="22"/>
      <c r="BC994" s="22"/>
    </row>
    <row r="995" spans="1:55" customFormat="1" ht="21" customHeight="1" x14ac:dyDescent="0.25">
      <c r="A995" s="22"/>
      <c r="B995" s="22"/>
      <c r="C995" s="22"/>
      <c r="D995" s="22"/>
      <c r="E995" s="23"/>
      <c r="F995" s="22"/>
      <c r="G995" s="22"/>
      <c r="H995" s="23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  <c r="AA995" s="23"/>
      <c r="AB995" s="23"/>
      <c r="AC995" s="22"/>
      <c r="AD995" s="22"/>
      <c r="AE995" s="22"/>
      <c r="AF995" s="22"/>
      <c r="AG995" s="22"/>
      <c r="AH995" s="22"/>
      <c r="AI995" s="22"/>
      <c r="AJ995" s="22"/>
      <c r="AK995" s="22"/>
      <c r="AL995" s="22"/>
      <c r="AM995" s="22"/>
      <c r="AN995" s="22"/>
      <c r="AO995" s="22"/>
      <c r="AP995" s="22"/>
      <c r="AQ995" s="22"/>
      <c r="AR995" s="22"/>
      <c r="AS995" s="22"/>
      <c r="AT995" s="22"/>
      <c r="AU995" s="22"/>
      <c r="AV995" s="22"/>
      <c r="AW995" s="22"/>
      <c r="AX995" s="22"/>
      <c r="AY995" s="22"/>
      <c r="AZ995" s="22"/>
      <c r="BA995" s="22"/>
      <c r="BB995" s="22"/>
      <c r="BC995" s="22"/>
    </row>
    <row r="996" spans="1:55" customFormat="1" ht="21" customHeight="1" x14ac:dyDescent="0.25">
      <c r="A996" s="22"/>
      <c r="B996" s="22"/>
      <c r="C996" s="22"/>
      <c r="D996" s="22"/>
      <c r="E996" s="23"/>
      <c r="F996" s="22"/>
      <c r="G996" s="22"/>
      <c r="H996" s="23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  <c r="AA996" s="23"/>
      <c r="AB996" s="23"/>
      <c r="AC996" s="22"/>
      <c r="AD996" s="22"/>
      <c r="AE996" s="22"/>
      <c r="AF996" s="22"/>
      <c r="AG996" s="22"/>
      <c r="AH996" s="22"/>
      <c r="AI996" s="22"/>
      <c r="AJ996" s="22"/>
      <c r="AK996" s="22"/>
      <c r="AL996" s="22"/>
      <c r="AM996" s="22"/>
      <c r="AN996" s="22"/>
      <c r="AO996" s="22"/>
      <c r="AP996" s="22"/>
      <c r="AQ996" s="22"/>
      <c r="AR996" s="22"/>
      <c r="AS996" s="22"/>
      <c r="AT996" s="22"/>
      <c r="AU996" s="22"/>
      <c r="AV996" s="22"/>
      <c r="AW996" s="22"/>
      <c r="AX996" s="22"/>
      <c r="AY996" s="22"/>
      <c r="AZ996" s="22"/>
      <c r="BA996" s="22"/>
      <c r="BB996" s="22"/>
      <c r="BC996" s="22"/>
    </row>
    <row r="997" spans="1:55" customFormat="1" ht="21" customHeight="1" x14ac:dyDescent="0.25">
      <c r="A997" s="22"/>
      <c r="B997" s="22"/>
      <c r="C997" s="22"/>
      <c r="D997" s="22"/>
      <c r="E997" s="23"/>
      <c r="F997" s="22"/>
      <c r="G997" s="22"/>
      <c r="H997" s="23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  <c r="AA997" s="23"/>
      <c r="AB997" s="23"/>
      <c r="AC997" s="22"/>
      <c r="AD997" s="22"/>
      <c r="AE997" s="22"/>
      <c r="AF997" s="22"/>
      <c r="AG997" s="22"/>
      <c r="AH997" s="22"/>
      <c r="AI997" s="22"/>
      <c r="AJ997" s="22"/>
      <c r="AK997" s="22"/>
      <c r="AL997" s="22"/>
      <c r="AM997" s="22"/>
      <c r="AN997" s="22"/>
      <c r="AO997" s="22"/>
      <c r="AP997" s="22"/>
      <c r="AQ997" s="22"/>
      <c r="AR997" s="22"/>
      <c r="AS997" s="22"/>
      <c r="AT997" s="22"/>
      <c r="AU997" s="22"/>
      <c r="AV997" s="22"/>
      <c r="AW997" s="22"/>
      <c r="AX997" s="22"/>
      <c r="AY997" s="22"/>
      <c r="AZ997" s="22"/>
      <c r="BA997" s="22"/>
      <c r="BB997" s="22"/>
      <c r="BC997" s="22"/>
    </row>
    <row r="998" spans="1:55" customFormat="1" ht="21" customHeight="1" x14ac:dyDescent="0.25">
      <c r="A998" s="22"/>
      <c r="B998" s="22"/>
      <c r="C998" s="22"/>
      <c r="D998" s="22"/>
      <c r="E998" s="23"/>
      <c r="F998" s="22"/>
      <c r="G998" s="22"/>
      <c r="H998" s="23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  <c r="AA998" s="23"/>
      <c r="AB998" s="23"/>
      <c r="AC998" s="22"/>
      <c r="AD998" s="22"/>
      <c r="AE998" s="22"/>
      <c r="AF998" s="22"/>
      <c r="AG998" s="22"/>
      <c r="AH998" s="22"/>
      <c r="AI998" s="22"/>
      <c r="AJ998" s="22"/>
      <c r="AK998" s="22"/>
      <c r="AL998" s="22"/>
      <c r="AM998" s="22"/>
      <c r="AN998" s="22"/>
      <c r="AO998" s="22"/>
      <c r="AP998" s="22"/>
      <c r="AQ998" s="22"/>
      <c r="AR998" s="22"/>
      <c r="AS998" s="22"/>
      <c r="AT998" s="22"/>
      <c r="AU998" s="22"/>
      <c r="AV998" s="22"/>
      <c r="AW998" s="22"/>
      <c r="AX998" s="22"/>
      <c r="AY998" s="22"/>
      <c r="AZ998" s="22"/>
      <c r="BA998" s="22"/>
      <c r="BB998" s="22"/>
      <c r="BC998" s="22"/>
    </row>
    <row r="999" spans="1:55" customFormat="1" ht="21" customHeight="1" x14ac:dyDescent="0.25">
      <c r="A999" s="22"/>
      <c r="B999" s="22"/>
      <c r="C999" s="22"/>
      <c r="D999" s="22"/>
      <c r="E999" s="23"/>
      <c r="F999" s="22"/>
      <c r="G999" s="22"/>
      <c r="H999" s="23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  <c r="AA999" s="23"/>
      <c r="AB999" s="23"/>
      <c r="AC999" s="22"/>
      <c r="AD999" s="22"/>
      <c r="AE999" s="22"/>
      <c r="AF999" s="22"/>
      <c r="AG999" s="22"/>
      <c r="AH999" s="22"/>
      <c r="AI999" s="22"/>
      <c r="AJ999" s="22"/>
      <c r="AK999" s="22"/>
      <c r="AL999" s="22"/>
      <c r="AM999" s="22"/>
      <c r="AN999" s="22"/>
      <c r="AO999" s="22"/>
      <c r="AP999" s="22"/>
      <c r="AQ999" s="22"/>
      <c r="AR999" s="22"/>
      <c r="AS999" s="22"/>
      <c r="AT999" s="22"/>
      <c r="AU999" s="22"/>
      <c r="AV999" s="22"/>
      <c r="AW999" s="22"/>
      <c r="AX999" s="22"/>
      <c r="AY999" s="22"/>
      <c r="AZ999" s="22"/>
      <c r="BA999" s="22"/>
      <c r="BB999" s="22"/>
      <c r="BC999" s="22"/>
    </row>
    <row r="1000" spans="1:55" customFormat="1" ht="21" customHeight="1" x14ac:dyDescent="0.25">
      <c r="A1000" s="22"/>
      <c r="B1000" s="22"/>
      <c r="C1000" s="22"/>
      <c r="D1000" s="22"/>
      <c r="E1000" s="23"/>
      <c r="F1000" s="22"/>
      <c r="G1000" s="22"/>
      <c r="H1000" s="23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  <c r="AA1000" s="23"/>
      <c r="AB1000" s="23"/>
      <c r="AC1000" s="22"/>
      <c r="AD1000" s="22"/>
      <c r="AE1000" s="22"/>
      <c r="AF1000" s="22"/>
      <c r="AG1000" s="22"/>
      <c r="AH1000" s="22"/>
      <c r="AI1000" s="22"/>
      <c r="AJ1000" s="22"/>
      <c r="AK1000" s="22"/>
      <c r="AL1000" s="22"/>
      <c r="AM1000" s="22"/>
      <c r="AN1000" s="22"/>
      <c r="AO1000" s="22"/>
      <c r="AP1000" s="22"/>
      <c r="AQ1000" s="22"/>
      <c r="AR1000" s="22"/>
      <c r="AS1000" s="22"/>
      <c r="AT1000" s="22"/>
      <c r="AU1000" s="22"/>
      <c r="AV1000" s="22"/>
      <c r="AW1000" s="22"/>
      <c r="AX1000" s="22"/>
      <c r="AY1000" s="22"/>
      <c r="AZ1000" s="22"/>
      <c r="BA1000" s="22"/>
      <c r="BB1000" s="22"/>
      <c r="BC1000" s="22"/>
    </row>
    <row r="1001" spans="1:55" customFormat="1" ht="21" customHeight="1" x14ac:dyDescent="0.25">
      <c r="A1001" s="22"/>
      <c r="B1001" s="22"/>
      <c r="C1001" s="22"/>
      <c r="D1001" s="22"/>
      <c r="E1001" s="23"/>
      <c r="F1001" s="22"/>
      <c r="G1001" s="22"/>
      <c r="H1001" s="23"/>
      <c r="I1001" s="22"/>
      <c r="J1001" s="22"/>
      <c r="K1001" s="22"/>
      <c r="L1001" s="22"/>
      <c r="M1001" s="22"/>
      <c r="N1001" s="22"/>
      <c r="O1001" s="22"/>
      <c r="P1001" s="22"/>
      <c r="Q1001" s="22"/>
      <c r="R1001" s="22"/>
      <c r="S1001" s="22"/>
      <c r="T1001" s="22"/>
      <c r="U1001" s="22"/>
      <c r="V1001" s="22"/>
      <c r="W1001" s="22"/>
      <c r="X1001" s="22"/>
      <c r="Y1001" s="22"/>
      <c r="Z1001" s="22"/>
      <c r="AA1001" s="23"/>
      <c r="AB1001" s="23"/>
      <c r="AC1001" s="22"/>
      <c r="AD1001" s="22"/>
      <c r="AE1001" s="22"/>
      <c r="AF1001" s="22"/>
      <c r="AG1001" s="22"/>
      <c r="AH1001" s="22"/>
      <c r="AI1001" s="22"/>
      <c r="AJ1001" s="22"/>
      <c r="AK1001" s="22"/>
      <c r="AL1001" s="22"/>
      <c r="AM1001" s="22"/>
      <c r="AN1001" s="22"/>
      <c r="AO1001" s="22"/>
      <c r="AP1001" s="22"/>
      <c r="AQ1001" s="22"/>
      <c r="AR1001" s="22"/>
      <c r="AS1001" s="22"/>
      <c r="AT1001" s="22"/>
      <c r="AU1001" s="22"/>
      <c r="AV1001" s="22"/>
      <c r="AW1001" s="22"/>
      <c r="AX1001" s="22"/>
      <c r="AY1001" s="22"/>
      <c r="AZ1001" s="22"/>
      <c r="BA1001" s="22"/>
      <c r="BB1001" s="22"/>
      <c r="BC1001" s="22"/>
    </row>
  </sheetData>
  <autoFilter ref="B22:BC668" xr:uid="{00000000-0009-0000-0000-000003000000}"/>
  <mergeCells count="21">
    <mergeCell ref="E21:E22"/>
    <mergeCell ref="B2:AR4"/>
    <mergeCell ref="D6:E7"/>
    <mergeCell ref="D8:E19"/>
    <mergeCell ref="B6:B7"/>
    <mergeCell ref="B21:B22"/>
    <mergeCell ref="C6:C7"/>
    <mergeCell ref="C21:C22"/>
    <mergeCell ref="D21:D22"/>
    <mergeCell ref="BA6:BB6"/>
    <mergeCell ref="G21:Q21"/>
    <mergeCell ref="R21:AB21"/>
    <mergeCell ref="AC21:AM21"/>
    <mergeCell ref="AN21:AX21"/>
    <mergeCell ref="AY21:AZ21"/>
    <mergeCell ref="BA21:BB21"/>
    <mergeCell ref="G6:Q6"/>
    <mergeCell ref="R6:AB6"/>
    <mergeCell ref="AC6:AM6"/>
    <mergeCell ref="AN6:AX6"/>
    <mergeCell ref="AY6:AZ6"/>
  </mergeCells>
  <phoneticPr fontId="34" type="noConversion"/>
  <conditionalFormatting sqref="D6 D8 D20:D22">
    <cfRule type="duplicateValues" dxfId="4" priority="1" stopIfTrue="1"/>
  </conditionalFormatting>
  <conditionalFormatting sqref="D23:D1001">
    <cfRule type="duplicateValues" dxfId="3" priority="2" stopIfTrue="1"/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F102"/>
  <sheetViews>
    <sheetView showGridLines="0" workbookViewId="0">
      <selection activeCell="E45" sqref="E45"/>
    </sheetView>
  </sheetViews>
  <sheetFormatPr defaultColWidth="32.81640625" defaultRowHeight="29" customHeight="1" x14ac:dyDescent="0.25"/>
  <cols>
    <col min="1" max="1" width="2.54296875" customWidth="1"/>
    <col min="2" max="2" width="51" customWidth="1"/>
    <col min="3" max="3" width="18.7265625" customWidth="1"/>
    <col min="4" max="4" width="8.453125" customWidth="1"/>
    <col min="5" max="5" width="79.1796875" customWidth="1"/>
    <col min="6" max="6" width="15.08984375" customWidth="1"/>
    <col min="7" max="7" width="32.81640625" customWidth="1"/>
  </cols>
  <sheetData>
    <row r="1" spans="2:6" ht="12" customHeight="1" x14ac:dyDescent="0.25"/>
    <row r="2" spans="2:6" ht="29" customHeight="1" x14ac:dyDescent="0.25">
      <c r="B2" s="14" t="s">
        <v>1144</v>
      </c>
      <c r="C2" s="14" t="s">
        <v>231</v>
      </c>
      <c r="E2" s="14" t="s">
        <v>1145</v>
      </c>
      <c r="F2" s="14" t="s">
        <v>231</v>
      </c>
    </row>
    <row r="3" spans="2:6" ht="29" customHeight="1" x14ac:dyDescent="0.25">
      <c r="B3" s="15" t="s">
        <v>1146</v>
      </c>
      <c r="C3" s="15" t="s">
        <v>1147</v>
      </c>
      <c r="E3" s="16" t="s">
        <v>1148</v>
      </c>
      <c r="F3" s="17" t="s">
        <v>254</v>
      </c>
    </row>
    <row r="4" spans="2:6" ht="29" customHeight="1" x14ac:dyDescent="0.25">
      <c r="B4" s="15" t="s">
        <v>1149</v>
      </c>
      <c r="C4" s="15" t="s">
        <v>1147</v>
      </c>
      <c r="E4" s="16" t="s">
        <v>1150</v>
      </c>
      <c r="F4" s="17" t="s">
        <v>254</v>
      </c>
    </row>
    <row r="5" spans="2:6" ht="29" customHeight="1" x14ac:dyDescent="0.25">
      <c r="B5" s="15" t="s">
        <v>1151</v>
      </c>
      <c r="C5" s="15" t="s">
        <v>1147</v>
      </c>
      <c r="E5" s="18" t="s">
        <v>1152</v>
      </c>
      <c r="F5" s="19" t="s">
        <v>251</v>
      </c>
    </row>
    <row r="6" spans="2:6" ht="29" customHeight="1" x14ac:dyDescent="0.25">
      <c r="B6" s="15" t="s">
        <v>1153</v>
      </c>
      <c r="C6" s="15" t="s">
        <v>1154</v>
      </c>
      <c r="E6" s="16" t="s">
        <v>1155</v>
      </c>
      <c r="F6" s="17" t="s">
        <v>254</v>
      </c>
    </row>
    <row r="7" spans="2:6" ht="29" customHeight="1" x14ac:dyDescent="0.25">
      <c r="B7" s="15" t="s">
        <v>1156</v>
      </c>
      <c r="C7" s="15" t="s">
        <v>1154</v>
      </c>
      <c r="E7" s="16" t="s">
        <v>1157</v>
      </c>
      <c r="F7" s="17" t="s">
        <v>254</v>
      </c>
    </row>
    <row r="8" spans="2:6" ht="29" customHeight="1" x14ac:dyDescent="0.25">
      <c r="B8" s="15" t="s">
        <v>1158</v>
      </c>
      <c r="C8" s="15" t="s">
        <v>1154</v>
      </c>
      <c r="E8" s="16" t="s">
        <v>1159</v>
      </c>
      <c r="F8" s="17" t="s">
        <v>254</v>
      </c>
    </row>
    <row r="9" spans="2:6" ht="29" customHeight="1" x14ac:dyDescent="0.25">
      <c r="B9" s="15" t="s">
        <v>1160</v>
      </c>
      <c r="C9" s="15" t="s">
        <v>1154</v>
      </c>
      <c r="E9" s="16" t="s">
        <v>1161</v>
      </c>
      <c r="F9" s="17" t="s">
        <v>254</v>
      </c>
    </row>
    <row r="10" spans="2:6" ht="29" customHeight="1" x14ac:dyDescent="0.25">
      <c r="B10" s="15" t="s">
        <v>1162</v>
      </c>
      <c r="C10" s="15" t="s">
        <v>1154</v>
      </c>
      <c r="E10" s="16" t="s">
        <v>1163</v>
      </c>
      <c r="F10" s="17" t="s">
        <v>254</v>
      </c>
    </row>
    <row r="11" spans="2:6" ht="29" customHeight="1" x14ac:dyDescent="0.25">
      <c r="B11" s="15" t="s">
        <v>1164</v>
      </c>
      <c r="C11" s="15" t="s">
        <v>1154</v>
      </c>
      <c r="E11" s="16" t="s">
        <v>1165</v>
      </c>
      <c r="F11" s="17" t="s">
        <v>254</v>
      </c>
    </row>
    <row r="12" spans="2:6" ht="29" customHeight="1" x14ac:dyDescent="0.25">
      <c r="B12" s="15" t="s">
        <v>1166</v>
      </c>
      <c r="C12" s="15" t="s">
        <v>1167</v>
      </c>
      <c r="E12" s="16" t="s">
        <v>1168</v>
      </c>
      <c r="F12" s="17" t="s">
        <v>254</v>
      </c>
    </row>
    <row r="13" spans="2:6" ht="29" customHeight="1" x14ac:dyDescent="0.25">
      <c r="B13" s="15" t="s">
        <v>1169</v>
      </c>
      <c r="C13" s="15" t="s">
        <v>1167</v>
      </c>
      <c r="E13" s="16" t="s">
        <v>1170</v>
      </c>
      <c r="F13" s="17" t="s">
        <v>247</v>
      </c>
    </row>
    <row r="14" spans="2:6" ht="29" customHeight="1" x14ac:dyDescent="0.25">
      <c r="B14" s="15" t="s">
        <v>1171</v>
      </c>
      <c r="C14" s="15" t="s">
        <v>1167</v>
      </c>
      <c r="E14" s="16" t="s">
        <v>1172</v>
      </c>
      <c r="F14" s="17" t="s">
        <v>247</v>
      </c>
    </row>
    <row r="15" spans="2:6" ht="29" customHeight="1" x14ac:dyDescent="0.25">
      <c r="B15" s="15" t="s">
        <v>1173</v>
      </c>
      <c r="C15" s="15" t="s">
        <v>1147</v>
      </c>
      <c r="E15" s="16" t="s">
        <v>1174</v>
      </c>
      <c r="F15" s="17" t="s">
        <v>247</v>
      </c>
    </row>
    <row r="16" spans="2:6" ht="29" customHeight="1" x14ac:dyDescent="0.25">
      <c r="B16" s="15" t="s">
        <v>1175</v>
      </c>
      <c r="C16" s="15" t="s">
        <v>1147</v>
      </c>
      <c r="E16" s="16" t="s">
        <v>1176</v>
      </c>
      <c r="F16" s="17" t="s">
        <v>254</v>
      </c>
    </row>
    <row r="17" spans="2:6" ht="29" customHeight="1" x14ac:dyDescent="0.25">
      <c r="B17" s="15" t="s">
        <v>1177</v>
      </c>
      <c r="C17" s="15" t="s">
        <v>1147</v>
      </c>
      <c r="E17" s="16" t="s">
        <v>1178</v>
      </c>
      <c r="F17" s="17" t="s">
        <v>247</v>
      </c>
    </row>
    <row r="18" spans="2:6" ht="29" customHeight="1" x14ac:dyDescent="0.25">
      <c r="B18" s="15" t="s">
        <v>1179</v>
      </c>
      <c r="C18" s="15" t="s">
        <v>1154</v>
      </c>
      <c r="E18" s="16" t="s">
        <v>1180</v>
      </c>
      <c r="F18" s="17" t="s">
        <v>247</v>
      </c>
    </row>
    <row r="19" spans="2:6" ht="29" customHeight="1" x14ac:dyDescent="0.25">
      <c r="B19" s="15" t="s">
        <v>1181</v>
      </c>
      <c r="C19" s="15" t="s">
        <v>1154</v>
      </c>
      <c r="E19" s="16" t="s">
        <v>1182</v>
      </c>
      <c r="F19" s="17" t="s">
        <v>254</v>
      </c>
    </row>
    <row r="20" spans="2:6" ht="29" customHeight="1" x14ac:dyDescent="0.25">
      <c r="B20" s="15" t="s">
        <v>1183</v>
      </c>
      <c r="C20" s="15" t="s">
        <v>1154</v>
      </c>
      <c r="E20" s="16" t="s">
        <v>1184</v>
      </c>
      <c r="F20" s="17" t="s">
        <v>254</v>
      </c>
    </row>
    <row r="21" spans="2:6" ht="29" customHeight="1" x14ac:dyDescent="0.25">
      <c r="B21" s="15" t="s">
        <v>1185</v>
      </c>
      <c r="C21" s="15" t="s">
        <v>1154</v>
      </c>
      <c r="E21" s="17" t="s">
        <v>1186</v>
      </c>
      <c r="F21" s="17" t="s">
        <v>254</v>
      </c>
    </row>
    <row r="22" spans="2:6" ht="29" customHeight="1" x14ac:dyDescent="0.25">
      <c r="B22" s="15" t="s">
        <v>1187</v>
      </c>
      <c r="C22" s="15" t="s">
        <v>1154</v>
      </c>
      <c r="E22" s="16" t="s">
        <v>1188</v>
      </c>
      <c r="F22" s="17" t="s">
        <v>248</v>
      </c>
    </row>
    <row r="23" spans="2:6" ht="29" customHeight="1" x14ac:dyDescent="0.25">
      <c r="B23" s="15" t="s">
        <v>1189</v>
      </c>
      <c r="C23" s="15" t="s">
        <v>1154</v>
      </c>
      <c r="E23" s="16" t="s">
        <v>1190</v>
      </c>
      <c r="F23" s="17" t="s">
        <v>254</v>
      </c>
    </row>
    <row r="24" spans="2:6" ht="29" customHeight="1" x14ac:dyDescent="0.25">
      <c r="B24" s="15" t="s">
        <v>1191</v>
      </c>
      <c r="C24" s="15" t="s">
        <v>1167</v>
      </c>
      <c r="E24" s="17" t="s">
        <v>1192</v>
      </c>
      <c r="F24" s="17" t="s">
        <v>254</v>
      </c>
    </row>
    <row r="25" spans="2:6" ht="29" customHeight="1" x14ac:dyDescent="0.25">
      <c r="B25" s="15" t="s">
        <v>1193</v>
      </c>
      <c r="C25" s="15" t="s">
        <v>1167</v>
      </c>
      <c r="E25" s="17" t="s">
        <v>1194</v>
      </c>
      <c r="F25" s="17" t="s">
        <v>254</v>
      </c>
    </row>
    <row r="26" spans="2:6" ht="29" customHeight="1" x14ac:dyDescent="0.25">
      <c r="B26" s="15" t="s">
        <v>1195</v>
      </c>
      <c r="C26" s="15" t="s">
        <v>1167</v>
      </c>
      <c r="E26" s="17" t="s">
        <v>1196</v>
      </c>
      <c r="F26" s="17" t="s">
        <v>254</v>
      </c>
    </row>
    <row r="27" spans="2:6" ht="29" customHeight="1" x14ac:dyDescent="0.25">
      <c r="B27" s="15" t="s">
        <v>1197</v>
      </c>
      <c r="C27" s="15" t="s">
        <v>1147</v>
      </c>
      <c r="E27" s="17" t="s">
        <v>1198</v>
      </c>
      <c r="F27" s="17" t="s">
        <v>249</v>
      </c>
    </row>
    <row r="28" spans="2:6" ht="29" customHeight="1" x14ac:dyDescent="0.25">
      <c r="B28" s="15" t="s">
        <v>1199</v>
      </c>
      <c r="C28" s="15" t="s">
        <v>1147</v>
      </c>
      <c r="E28" s="19" t="s">
        <v>1200</v>
      </c>
      <c r="F28" s="19" t="s">
        <v>251</v>
      </c>
    </row>
    <row r="29" spans="2:6" ht="29" customHeight="1" x14ac:dyDescent="0.25">
      <c r="B29" s="15" t="s">
        <v>1201</v>
      </c>
      <c r="C29" s="15" t="s">
        <v>1147</v>
      </c>
      <c r="E29" s="17" t="s">
        <v>1202</v>
      </c>
      <c r="F29" s="17" t="s">
        <v>254</v>
      </c>
    </row>
    <row r="30" spans="2:6" ht="29" customHeight="1" x14ac:dyDescent="0.25">
      <c r="B30" s="15" t="s">
        <v>1203</v>
      </c>
      <c r="C30" s="15" t="s">
        <v>1154</v>
      </c>
      <c r="E30" s="17" t="s">
        <v>1204</v>
      </c>
      <c r="F30" s="17" t="s">
        <v>254</v>
      </c>
    </row>
    <row r="31" spans="2:6" ht="29" customHeight="1" x14ac:dyDescent="0.25">
      <c r="B31" s="15" t="s">
        <v>1205</v>
      </c>
      <c r="C31" s="15" t="s">
        <v>1154</v>
      </c>
      <c r="E31" s="19" t="s">
        <v>1206</v>
      </c>
      <c r="F31" s="19" t="s">
        <v>251</v>
      </c>
    </row>
    <row r="32" spans="2:6" ht="29" customHeight="1" x14ac:dyDescent="0.25">
      <c r="B32" s="15" t="s">
        <v>1207</v>
      </c>
      <c r="C32" s="15" t="s">
        <v>1154</v>
      </c>
      <c r="E32" s="17" t="s">
        <v>1208</v>
      </c>
      <c r="F32" s="17" t="s">
        <v>254</v>
      </c>
    </row>
    <row r="33" spans="2:6" ht="29" customHeight="1" x14ac:dyDescent="0.25">
      <c r="B33" s="15" t="s">
        <v>1209</v>
      </c>
      <c r="C33" s="15" t="s">
        <v>1154</v>
      </c>
      <c r="E33" s="17" t="s">
        <v>1210</v>
      </c>
      <c r="F33" s="17" t="s">
        <v>254</v>
      </c>
    </row>
    <row r="34" spans="2:6" ht="29" customHeight="1" x14ac:dyDescent="0.25">
      <c r="B34" s="15" t="s">
        <v>1211</v>
      </c>
      <c r="C34" s="15" t="s">
        <v>1154</v>
      </c>
      <c r="E34" s="17" t="s">
        <v>1212</v>
      </c>
      <c r="F34" s="17" t="s">
        <v>254</v>
      </c>
    </row>
    <row r="35" spans="2:6" ht="29" customHeight="1" x14ac:dyDescent="0.25">
      <c r="B35" s="15" t="s">
        <v>1213</v>
      </c>
      <c r="C35" s="15" t="s">
        <v>1154</v>
      </c>
      <c r="E35" s="17" t="s">
        <v>1214</v>
      </c>
      <c r="F35" s="17" t="s">
        <v>254</v>
      </c>
    </row>
    <row r="36" spans="2:6" ht="29" customHeight="1" x14ac:dyDescent="0.25">
      <c r="B36" s="15" t="s">
        <v>1215</v>
      </c>
      <c r="C36" s="15" t="s">
        <v>1167</v>
      </c>
      <c r="E36" s="17" t="s">
        <v>1216</v>
      </c>
      <c r="F36" s="17" t="s">
        <v>254</v>
      </c>
    </row>
    <row r="37" spans="2:6" ht="29" customHeight="1" x14ac:dyDescent="0.25">
      <c r="B37" s="15" t="s">
        <v>1217</v>
      </c>
      <c r="C37" s="15" t="s">
        <v>1167</v>
      </c>
      <c r="E37" s="17" t="s">
        <v>1218</v>
      </c>
      <c r="F37" s="17" t="s">
        <v>249</v>
      </c>
    </row>
    <row r="38" spans="2:6" ht="29" customHeight="1" x14ac:dyDescent="0.25">
      <c r="B38" s="15" t="s">
        <v>1219</v>
      </c>
      <c r="C38" s="15" t="s">
        <v>1167</v>
      </c>
      <c r="E38" s="17" t="s">
        <v>1220</v>
      </c>
      <c r="F38" s="17" t="s">
        <v>254</v>
      </c>
    </row>
    <row r="39" spans="2:6" ht="29" customHeight="1" x14ac:dyDescent="0.25">
      <c r="B39" s="15" t="s">
        <v>1221</v>
      </c>
      <c r="C39" s="15" t="s">
        <v>1147</v>
      </c>
      <c r="E39" s="17" t="s">
        <v>1222</v>
      </c>
      <c r="F39" s="17" t="s">
        <v>254</v>
      </c>
    </row>
    <row r="40" spans="2:6" ht="29" customHeight="1" x14ac:dyDescent="0.25">
      <c r="B40" s="15" t="s">
        <v>1223</v>
      </c>
      <c r="C40" s="15" t="s">
        <v>1147</v>
      </c>
      <c r="E40" s="17" t="s">
        <v>1224</v>
      </c>
      <c r="F40" s="17" t="s">
        <v>254</v>
      </c>
    </row>
    <row r="41" spans="2:6" ht="29" customHeight="1" x14ac:dyDescent="0.25">
      <c r="B41" s="15" t="s">
        <v>1225</v>
      </c>
      <c r="C41" s="15" t="s">
        <v>1147</v>
      </c>
    </row>
    <row r="42" spans="2:6" ht="29" customHeight="1" x14ac:dyDescent="0.25">
      <c r="B42" s="15" t="s">
        <v>1226</v>
      </c>
      <c r="C42" s="15" t="s">
        <v>1154</v>
      </c>
    </row>
    <row r="43" spans="2:6" ht="29" customHeight="1" x14ac:dyDescent="0.25">
      <c r="B43" s="15" t="s">
        <v>1227</v>
      </c>
      <c r="C43" s="15" t="s">
        <v>1154</v>
      </c>
    </row>
    <row r="44" spans="2:6" ht="29" customHeight="1" x14ac:dyDescent="0.25">
      <c r="B44" s="15" t="s">
        <v>1228</v>
      </c>
      <c r="C44" s="15" t="s">
        <v>1154</v>
      </c>
    </row>
    <row r="45" spans="2:6" ht="29" customHeight="1" x14ac:dyDescent="0.25">
      <c r="B45" s="15" t="s">
        <v>1229</v>
      </c>
      <c r="C45" s="15" t="s">
        <v>1154</v>
      </c>
      <c r="E45" s="216" t="s">
        <v>1393</v>
      </c>
    </row>
    <row r="46" spans="2:6" ht="29" customHeight="1" x14ac:dyDescent="0.25">
      <c r="B46" s="15" t="s">
        <v>1230</v>
      </c>
      <c r="C46" s="15" t="s">
        <v>1154</v>
      </c>
    </row>
    <row r="47" spans="2:6" ht="29" customHeight="1" x14ac:dyDescent="0.25">
      <c r="B47" s="15" t="s">
        <v>1231</v>
      </c>
      <c r="C47" s="15" t="s">
        <v>1167</v>
      </c>
    </row>
    <row r="48" spans="2:6" ht="29" customHeight="1" x14ac:dyDescent="0.25">
      <c r="B48" s="15" t="s">
        <v>1232</v>
      </c>
      <c r="C48" s="15" t="s">
        <v>1167</v>
      </c>
    </row>
    <row r="49" spans="2:3" ht="29" customHeight="1" x14ac:dyDescent="0.25">
      <c r="B49" s="15" t="s">
        <v>1233</v>
      </c>
      <c r="C49" s="15" t="s">
        <v>1147</v>
      </c>
    </row>
    <row r="50" spans="2:3" ht="29" customHeight="1" x14ac:dyDescent="0.25">
      <c r="B50" s="15" t="s">
        <v>1234</v>
      </c>
      <c r="C50" s="15" t="s">
        <v>1147</v>
      </c>
    </row>
    <row r="51" spans="2:3" ht="29" customHeight="1" x14ac:dyDescent="0.25">
      <c r="B51" s="15" t="s">
        <v>1235</v>
      </c>
      <c r="C51" s="15" t="s">
        <v>1147</v>
      </c>
    </row>
    <row r="52" spans="2:3" ht="29" customHeight="1" x14ac:dyDescent="0.25">
      <c r="B52" s="15" t="s">
        <v>1236</v>
      </c>
      <c r="C52" s="15" t="s">
        <v>1154</v>
      </c>
    </row>
    <row r="53" spans="2:3" ht="29" customHeight="1" x14ac:dyDescent="0.25">
      <c r="B53" s="15" t="s">
        <v>1237</v>
      </c>
      <c r="C53" s="15" t="s">
        <v>1154</v>
      </c>
    </row>
    <row r="54" spans="2:3" ht="29" customHeight="1" x14ac:dyDescent="0.25">
      <c r="B54" s="15" t="s">
        <v>1238</v>
      </c>
      <c r="C54" s="15" t="s">
        <v>1154</v>
      </c>
    </row>
    <row r="55" spans="2:3" ht="29" customHeight="1" x14ac:dyDescent="0.25">
      <c r="B55" s="15" t="s">
        <v>1239</v>
      </c>
      <c r="C55" s="15" t="s">
        <v>1154</v>
      </c>
    </row>
    <row r="56" spans="2:3" ht="29" customHeight="1" x14ac:dyDescent="0.25">
      <c r="B56" s="15" t="s">
        <v>1240</v>
      </c>
      <c r="C56" s="15" t="s">
        <v>1154</v>
      </c>
    </row>
    <row r="57" spans="2:3" ht="29" customHeight="1" x14ac:dyDescent="0.25">
      <c r="B57" s="15" t="s">
        <v>1241</v>
      </c>
      <c r="C57" s="15" t="s">
        <v>1167</v>
      </c>
    </row>
    <row r="58" spans="2:3" ht="29" customHeight="1" x14ac:dyDescent="0.25">
      <c r="B58" s="15" t="s">
        <v>1242</v>
      </c>
      <c r="C58" s="15" t="s">
        <v>1167</v>
      </c>
    </row>
    <row r="59" spans="2:3" ht="29" customHeight="1" x14ac:dyDescent="0.25">
      <c r="B59" s="15" t="s">
        <v>1243</v>
      </c>
      <c r="C59" s="15" t="s">
        <v>1147</v>
      </c>
    </row>
    <row r="60" spans="2:3" ht="29" customHeight="1" x14ac:dyDescent="0.25">
      <c r="B60" s="15" t="s">
        <v>1244</v>
      </c>
      <c r="C60" s="15" t="s">
        <v>1147</v>
      </c>
    </row>
    <row r="61" spans="2:3" ht="29" customHeight="1" x14ac:dyDescent="0.25">
      <c r="B61" s="15" t="s">
        <v>1245</v>
      </c>
      <c r="C61" s="15" t="s">
        <v>1147</v>
      </c>
    </row>
    <row r="62" spans="2:3" ht="29" customHeight="1" x14ac:dyDescent="0.25">
      <c r="B62" s="15" t="s">
        <v>1246</v>
      </c>
      <c r="C62" s="15" t="s">
        <v>1154</v>
      </c>
    </row>
    <row r="63" spans="2:3" ht="29" customHeight="1" x14ac:dyDescent="0.25">
      <c r="B63" s="15" t="s">
        <v>1247</v>
      </c>
      <c r="C63" s="15" t="s">
        <v>1154</v>
      </c>
    </row>
    <row r="64" spans="2:3" ht="29" customHeight="1" x14ac:dyDescent="0.25">
      <c r="B64" s="15" t="s">
        <v>1248</v>
      </c>
      <c r="C64" s="15" t="s">
        <v>1154</v>
      </c>
    </row>
    <row r="65" spans="2:3" ht="29" customHeight="1" x14ac:dyDescent="0.25">
      <c r="B65" s="15" t="s">
        <v>1249</v>
      </c>
      <c r="C65" s="15" t="s">
        <v>1154</v>
      </c>
    </row>
    <row r="66" spans="2:3" ht="29" customHeight="1" x14ac:dyDescent="0.25">
      <c r="B66" s="15" t="s">
        <v>1250</v>
      </c>
      <c r="C66" s="15" t="s">
        <v>1154</v>
      </c>
    </row>
    <row r="67" spans="2:3" ht="29" customHeight="1" x14ac:dyDescent="0.25">
      <c r="B67" s="15" t="s">
        <v>1251</v>
      </c>
      <c r="C67" s="15" t="s">
        <v>1167</v>
      </c>
    </row>
    <row r="68" spans="2:3" ht="29" customHeight="1" x14ac:dyDescent="0.25">
      <c r="B68" s="15" t="s">
        <v>1252</v>
      </c>
      <c r="C68" s="15" t="s">
        <v>1167</v>
      </c>
    </row>
    <row r="69" spans="2:3" ht="29" customHeight="1" x14ac:dyDescent="0.25">
      <c r="B69" s="15" t="s">
        <v>1253</v>
      </c>
      <c r="C69" s="15" t="s">
        <v>1147</v>
      </c>
    </row>
    <row r="70" spans="2:3" ht="29" customHeight="1" x14ac:dyDescent="0.25">
      <c r="B70" s="15" t="s">
        <v>1254</v>
      </c>
      <c r="C70" s="15" t="s">
        <v>1147</v>
      </c>
    </row>
    <row r="71" spans="2:3" ht="29" customHeight="1" x14ac:dyDescent="0.25">
      <c r="B71" s="15" t="s">
        <v>1255</v>
      </c>
      <c r="C71" s="15" t="s">
        <v>1147</v>
      </c>
    </row>
    <row r="72" spans="2:3" ht="29" customHeight="1" x14ac:dyDescent="0.25">
      <c r="B72" s="15" t="s">
        <v>1256</v>
      </c>
      <c r="C72" s="15" t="s">
        <v>1154</v>
      </c>
    </row>
    <row r="73" spans="2:3" ht="29" customHeight="1" x14ac:dyDescent="0.25">
      <c r="B73" s="15" t="s">
        <v>1257</v>
      </c>
      <c r="C73" s="15" t="s">
        <v>1154</v>
      </c>
    </row>
    <row r="74" spans="2:3" ht="29" customHeight="1" x14ac:dyDescent="0.25">
      <c r="B74" s="15" t="s">
        <v>1258</v>
      </c>
      <c r="C74" s="15" t="s">
        <v>1154</v>
      </c>
    </row>
    <row r="75" spans="2:3" ht="29" customHeight="1" x14ac:dyDescent="0.25">
      <c r="B75" s="15" t="s">
        <v>1259</v>
      </c>
      <c r="C75" s="15" t="s">
        <v>1154</v>
      </c>
    </row>
    <row r="76" spans="2:3" ht="29" customHeight="1" x14ac:dyDescent="0.25">
      <c r="B76" s="15" t="s">
        <v>1260</v>
      </c>
      <c r="C76" s="15" t="s">
        <v>1154</v>
      </c>
    </row>
    <row r="77" spans="2:3" ht="29" customHeight="1" x14ac:dyDescent="0.25">
      <c r="B77" s="15" t="s">
        <v>1261</v>
      </c>
      <c r="C77" s="15" t="s">
        <v>1167</v>
      </c>
    </row>
    <row r="78" spans="2:3" ht="29" customHeight="1" x14ac:dyDescent="0.25">
      <c r="B78" s="15" t="s">
        <v>1262</v>
      </c>
      <c r="C78" s="15" t="s">
        <v>1167</v>
      </c>
    </row>
    <row r="79" spans="2:3" ht="29" customHeight="1" x14ac:dyDescent="0.25">
      <c r="B79" s="15" t="s">
        <v>1263</v>
      </c>
      <c r="C79" s="15" t="s">
        <v>1147</v>
      </c>
    </row>
    <row r="80" spans="2:3" ht="29" customHeight="1" x14ac:dyDescent="0.25">
      <c r="B80" s="15" t="s">
        <v>1264</v>
      </c>
      <c r="C80" s="15" t="s">
        <v>1147</v>
      </c>
    </row>
    <row r="81" spans="2:3" ht="29" customHeight="1" x14ac:dyDescent="0.25">
      <c r="B81" s="15" t="s">
        <v>1265</v>
      </c>
      <c r="C81" s="15" t="s">
        <v>1147</v>
      </c>
    </row>
    <row r="82" spans="2:3" ht="29" customHeight="1" x14ac:dyDescent="0.25">
      <c r="B82" s="15" t="s">
        <v>1266</v>
      </c>
      <c r="C82" s="15" t="s">
        <v>1154</v>
      </c>
    </row>
    <row r="83" spans="2:3" ht="29" customHeight="1" x14ac:dyDescent="0.25">
      <c r="B83" s="15" t="s">
        <v>1267</v>
      </c>
      <c r="C83" s="15" t="s">
        <v>1154</v>
      </c>
    </row>
    <row r="84" spans="2:3" ht="29" customHeight="1" x14ac:dyDescent="0.25">
      <c r="B84" s="15" t="s">
        <v>1268</v>
      </c>
      <c r="C84" s="15" t="s">
        <v>1154</v>
      </c>
    </row>
    <row r="85" spans="2:3" ht="29" customHeight="1" x14ac:dyDescent="0.25">
      <c r="B85" s="15" t="s">
        <v>1269</v>
      </c>
      <c r="C85" s="15" t="s">
        <v>1154</v>
      </c>
    </row>
    <row r="86" spans="2:3" ht="29" customHeight="1" x14ac:dyDescent="0.25">
      <c r="B86" s="15" t="s">
        <v>1270</v>
      </c>
      <c r="C86" s="15" t="s">
        <v>1154</v>
      </c>
    </row>
    <row r="87" spans="2:3" ht="29" customHeight="1" x14ac:dyDescent="0.25">
      <c r="B87" s="15" t="s">
        <v>1271</v>
      </c>
      <c r="C87" s="15" t="s">
        <v>1154</v>
      </c>
    </row>
    <row r="88" spans="2:3" ht="29" customHeight="1" x14ac:dyDescent="0.25">
      <c r="B88" s="15" t="s">
        <v>1272</v>
      </c>
      <c r="C88" s="15" t="s">
        <v>1167</v>
      </c>
    </row>
    <row r="89" spans="2:3" ht="29" customHeight="1" x14ac:dyDescent="0.25">
      <c r="B89" s="15" t="s">
        <v>1273</v>
      </c>
      <c r="C89" s="15" t="s">
        <v>1167</v>
      </c>
    </row>
    <row r="90" spans="2:3" ht="29" customHeight="1" x14ac:dyDescent="0.25">
      <c r="B90" s="15" t="s">
        <v>1274</v>
      </c>
      <c r="C90" s="15" t="s">
        <v>1167</v>
      </c>
    </row>
    <row r="91" spans="2:3" ht="29" customHeight="1" x14ac:dyDescent="0.25">
      <c r="B91" s="15" t="s">
        <v>1275</v>
      </c>
      <c r="C91" s="15" t="s">
        <v>1147</v>
      </c>
    </row>
    <row r="92" spans="2:3" ht="29" customHeight="1" x14ac:dyDescent="0.25">
      <c r="B92" s="15" t="s">
        <v>1276</v>
      </c>
      <c r="C92" s="15" t="s">
        <v>1147</v>
      </c>
    </row>
    <row r="93" spans="2:3" ht="29" customHeight="1" x14ac:dyDescent="0.25">
      <c r="B93" s="15" t="s">
        <v>1277</v>
      </c>
      <c r="C93" s="15" t="s">
        <v>1147</v>
      </c>
    </row>
    <row r="94" spans="2:3" ht="29" customHeight="1" x14ac:dyDescent="0.25">
      <c r="B94" s="15" t="s">
        <v>1278</v>
      </c>
      <c r="C94" s="15" t="s">
        <v>1154</v>
      </c>
    </row>
    <row r="95" spans="2:3" ht="29" customHeight="1" x14ac:dyDescent="0.25">
      <c r="B95" s="15" t="s">
        <v>1279</v>
      </c>
      <c r="C95" s="15" t="s">
        <v>1154</v>
      </c>
    </row>
    <row r="96" spans="2:3" ht="29" customHeight="1" x14ac:dyDescent="0.25">
      <c r="B96" s="15" t="s">
        <v>1280</v>
      </c>
      <c r="C96" s="15" t="s">
        <v>1154</v>
      </c>
    </row>
    <row r="97" spans="2:3" ht="29" customHeight="1" x14ac:dyDescent="0.25">
      <c r="B97" s="15" t="s">
        <v>1281</v>
      </c>
      <c r="C97" s="15" t="s">
        <v>1154</v>
      </c>
    </row>
    <row r="98" spans="2:3" ht="29" customHeight="1" x14ac:dyDescent="0.25">
      <c r="B98" s="15" t="s">
        <v>1282</v>
      </c>
      <c r="C98" s="15" t="s">
        <v>1154</v>
      </c>
    </row>
    <row r="99" spans="2:3" ht="29" customHeight="1" x14ac:dyDescent="0.25">
      <c r="B99" s="15" t="s">
        <v>1283</v>
      </c>
      <c r="C99" s="15" t="s">
        <v>1154</v>
      </c>
    </row>
    <row r="100" spans="2:3" ht="29" customHeight="1" x14ac:dyDescent="0.25">
      <c r="B100" s="15" t="s">
        <v>1284</v>
      </c>
      <c r="C100" s="15" t="s">
        <v>1167</v>
      </c>
    </row>
    <row r="101" spans="2:3" ht="29" customHeight="1" x14ac:dyDescent="0.25">
      <c r="B101" s="15" t="s">
        <v>1285</v>
      </c>
      <c r="C101" s="15" t="s">
        <v>1167</v>
      </c>
    </row>
    <row r="102" spans="2:3" ht="29" customHeight="1" x14ac:dyDescent="0.25">
      <c r="B102" s="15" t="s">
        <v>1286</v>
      </c>
      <c r="C102" s="15" t="s">
        <v>1167</v>
      </c>
    </row>
  </sheetData>
  <phoneticPr fontId="34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0FFA8-E566-4475-9F8F-15AA973EA493}">
  <dimension ref="B1:O56"/>
  <sheetViews>
    <sheetView showGridLines="0" workbookViewId="0">
      <selection activeCell="B57" sqref="B57"/>
    </sheetView>
  </sheetViews>
  <sheetFormatPr defaultColWidth="9.81640625" defaultRowHeight="12" x14ac:dyDescent="0.3"/>
  <cols>
    <col min="1" max="1" width="2.54296875" style="350" customWidth="1"/>
    <col min="2" max="2" width="47.7265625" style="350" customWidth="1"/>
    <col min="3" max="3" width="10.1796875" style="350" customWidth="1"/>
    <col min="4" max="4" width="11.54296875" style="351" customWidth="1"/>
    <col min="5" max="18" width="11.54296875" style="350" customWidth="1"/>
    <col min="19" max="16384" width="9.81640625" style="350"/>
  </cols>
  <sheetData>
    <row r="1" spans="2:15" ht="21" customHeight="1" x14ac:dyDescent="0.3"/>
    <row r="2" spans="2:15" x14ac:dyDescent="0.3">
      <c r="B2" s="367" t="s">
        <v>1491</v>
      </c>
      <c r="C2" s="367"/>
      <c r="D2" s="367"/>
      <c r="E2" s="367"/>
      <c r="F2" s="367"/>
      <c r="G2" s="367"/>
      <c r="H2" s="367"/>
      <c r="I2" s="367"/>
      <c r="J2" s="367"/>
      <c r="K2" s="367"/>
      <c r="L2" s="367"/>
      <c r="M2" s="367"/>
      <c r="N2" s="367"/>
    </row>
    <row r="3" spans="2:15" ht="28" customHeight="1" x14ac:dyDescent="0.3">
      <c r="B3" s="367"/>
      <c r="C3" s="367"/>
      <c r="D3" s="367"/>
      <c r="E3" s="367"/>
      <c r="F3" s="367"/>
      <c r="G3" s="367"/>
      <c r="H3" s="367"/>
      <c r="I3" s="367"/>
      <c r="J3" s="367"/>
      <c r="K3" s="367"/>
      <c r="L3" s="367"/>
      <c r="M3" s="367"/>
      <c r="N3" s="367"/>
    </row>
    <row r="5" spans="2:15" ht="10" customHeight="1" x14ac:dyDescent="0.3"/>
    <row r="6" spans="2:15" x14ac:dyDescent="0.3">
      <c r="B6" s="366" t="s">
        <v>1490</v>
      </c>
      <c r="C6" s="365"/>
      <c r="D6" s="364" t="s">
        <v>1489</v>
      </c>
      <c r="E6" s="363"/>
      <c r="F6" s="363"/>
      <c r="G6" s="363"/>
      <c r="H6" s="363"/>
      <c r="I6" s="363"/>
      <c r="J6" s="363"/>
      <c r="K6" s="363"/>
      <c r="L6" s="363"/>
      <c r="M6" s="363"/>
      <c r="N6" s="363"/>
      <c r="O6" s="362"/>
    </row>
    <row r="7" spans="2:15" x14ac:dyDescent="0.3">
      <c r="B7" s="361"/>
      <c r="C7" s="360" t="s">
        <v>3</v>
      </c>
      <c r="D7" s="359" t="s">
        <v>4</v>
      </c>
      <c r="E7" s="358" t="s">
        <v>5</v>
      </c>
      <c r="F7" s="358" t="s">
        <v>6</v>
      </c>
      <c r="G7" s="358" t="s">
        <v>7</v>
      </c>
      <c r="H7" s="358" t="s">
        <v>8</v>
      </c>
      <c r="I7" s="358" t="s">
        <v>9</v>
      </c>
      <c r="J7" s="358" t="s">
        <v>10</v>
      </c>
      <c r="K7" s="358" t="s">
        <v>11</v>
      </c>
      <c r="L7" s="358" t="s">
        <v>12</v>
      </c>
      <c r="M7" s="358" t="s">
        <v>13</v>
      </c>
      <c r="N7" s="358" t="s">
        <v>14</v>
      </c>
      <c r="O7" s="357" t="s">
        <v>1488</v>
      </c>
    </row>
    <row r="8" spans="2:15" ht="13" x14ac:dyDescent="0.3">
      <c r="B8" s="356" t="s">
        <v>1487</v>
      </c>
      <c r="C8" s="355"/>
      <c r="D8" s="355"/>
      <c r="E8" s="356">
        <v>25678</v>
      </c>
      <c r="F8" s="356">
        <v>112987</v>
      </c>
      <c r="G8" s="353"/>
      <c r="H8" s="353"/>
      <c r="I8" s="353"/>
      <c r="J8" s="353"/>
      <c r="K8" s="353"/>
      <c r="L8" s="353"/>
      <c r="M8" s="353"/>
      <c r="N8" s="353"/>
      <c r="O8" s="352">
        <v>3.4001479866033177</v>
      </c>
    </row>
    <row r="9" spans="2:15" ht="13" x14ac:dyDescent="0.3">
      <c r="B9" s="356" t="s">
        <v>1486</v>
      </c>
      <c r="C9" s="355"/>
      <c r="D9" s="355"/>
      <c r="E9" s="356">
        <v>32109</v>
      </c>
      <c r="F9" s="356">
        <v>105432</v>
      </c>
      <c r="G9" s="353"/>
      <c r="H9" s="353"/>
      <c r="I9" s="353"/>
      <c r="J9" s="353"/>
      <c r="K9" s="353"/>
      <c r="L9" s="353"/>
      <c r="M9" s="353"/>
      <c r="N9" s="353"/>
      <c r="O9" s="352">
        <v>2.2835653555078017</v>
      </c>
    </row>
    <row r="10" spans="2:15" ht="13" x14ac:dyDescent="0.3">
      <c r="B10" s="356" t="s">
        <v>1485</v>
      </c>
      <c r="C10" s="355"/>
      <c r="D10" s="355"/>
      <c r="E10" s="356">
        <v>31876</v>
      </c>
      <c r="F10" s="356">
        <v>99123</v>
      </c>
      <c r="G10" s="353"/>
      <c r="H10" s="353"/>
      <c r="I10" s="353"/>
      <c r="J10" s="353"/>
      <c r="K10" s="353"/>
      <c r="L10" s="353"/>
      <c r="M10" s="353"/>
      <c r="N10" s="353"/>
      <c r="O10" s="352">
        <v>2.1096436190237169</v>
      </c>
    </row>
    <row r="11" spans="2:15" ht="13" x14ac:dyDescent="0.3">
      <c r="B11" s="354" t="s">
        <v>1484</v>
      </c>
      <c r="C11" s="355"/>
      <c r="D11" s="355"/>
      <c r="E11" s="354">
        <v>35432</v>
      </c>
      <c r="F11" s="354">
        <v>98765</v>
      </c>
      <c r="G11" s="353"/>
      <c r="H11" s="353"/>
      <c r="I11" s="353"/>
      <c r="J11" s="353"/>
      <c r="K11" s="353"/>
      <c r="L11" s="353"/>
      <c r="M11" s="353"/>
      <c r="N11" s="353"/>
      <c r="O11" s="352">
        <v>1.7874520207721831</v>
      </c>
    </row>
    <row r="12" spans="2:15" ht="13" x14ac:dyDescent="0.3">
      <c r="B12" s="354" t="s">
        <v>1483</v>
      </c>
      <c r="C12" s="355"/>
      <c r="D12" s="355"/>
      <c r="E12" s="354">
        <v>30123</v>
      </c>
      <c r="F12" s="354">
        <v>97345</v>
      </c>
      <c r="G12" s="353"/>
      <c r="H12" s="353"/>
      <c r="I12" s="353"/>
      <c r="J12" s="353"/>
      <c r="K12" s="353"/>
      <c r="L12" s="353"/>
      <c r="M12" s="353"/>
      <c r="N12" s="353"/>
      <c r="O12" s="352">
        <v>2.2315838395910101</v>
      </c>
    </row>
    <row r="13" spans="2:15" ht="13" x14ac:dyDescent="0.3">
      <c r="B13" s="354" t="s">
        <v>1482</v>
      </c>
      <c r="C13" s="355"/>
      <c r="D13" s="355"/>
      <c r="E13" s="354">
        <v>31543</v>
      </c>
      <c r="F13" s="354">
        <v>95876</v>
      </c>
      <c r="G13" s="353"/>
      <c r="H13" s="353"/>
      <c r="I13" s="353"/>
      <c r="J13" s="353"/>
      <c r="K13" s="353"/>
      <c r="L13" s="353"/>
      <c r="M13" s="353"/>
      <c r="N13" s="353"/>
      <c r="O13" s="352">
        <v>2.0395333354468503</v>
      </c>
    </row>
    <row r="14" spans="2:15" ht="13" x14ac:dyDescent="0.3">
      <c r="B14" s="354" t="s">
        <v>1481</v>
      </c>
      <c r="C14" s="355"/>
      <c r="D14" s="355"/>
      <c r="E14" s="354">
        <v>28765</v>
      </c>
      <c r="F14" s="354">
        <v>87654</v>
      </c>
      <c r="G14" s="353"/>
      <c r="H14" s="353"/>
      <c r="I14" s="353"/>
      <c r="J14" s="353"/>
      <c r="K14" s="353"/>
      <c r="L14" s="353"/>
      <c r="M14" s="353"/>
      <c r="N14" s="353"/>
      <c r="O14" s="352">
        <v>2.0472449156961585</v>
      </c>
    </row>
    <row r="15" spans="2:15" ht="13" x14ac:dyDescent="0.3">
      <c r="B15" s="354" t="s">
        <v>1480</v>
      </c>
      <c r="C15" s="355"/>
      <c r="D15" s="355"/>
      <c r="E15" s="354">
        <v>23456</v>
      </c>
      <c r="F15" s="354">
        <v>78453</v>
      </c>
      <c r="G15" s="353"/>
      <c r="H15" s="353"/>
      <c r="I15" s="353"/>
      <c r="J15" s="353"/>
      <c r="K15" s="353"/>
      <c r="L15" s="353"/>
      <c r="M15" s="353"/>
      <c r="N15" s="353"/>
      <c r="O15" s="352">
        <v>2.3446879263301499</v>
      </c>
    </row>
    <row r="16" spans="2:15" ht="13" x14ac:dyDescent="0.3">
      <c r="B16" s="356" t="s">
        <v>1479</v>
      </c>
      <c r="C16" s="355"/>
      <c r="D16" s="355"/>
      <c r="E16" s="356">
        <v>8765</v>
      </c>
      <c r="F16" s="356">
        <v>67890</v>
      </c>
      <c r="G16" s="353"/>
      <c r="H16" s="353"/>
      <c r="I16" s="353"/>
      <c r="J16" s="353"/>
      <c r="K16" s="353"/>
      <c r="L16" s="353"/>
      <c r="M16" s="353"/>
      <c r="N16" s="353"/>
      <c r="O16" s="352">
        <v>6.7455790074158584</v>
      </c>
    </row>
    <row r="17" spans="2:15" ht="13" x14ac:dyDescent="0.3">
      <c r="B17" s="354" t="s">
        <v>1478</v>
      </c>
      <c r="C17" s="355"/>
      <c r="D17" s="355"/>
      <c r="E17" s="354">
        <v>8654</v>
      </c>
      <c r="F17" s="354">
        <v>65432</v>
      </c>
      <c r="G17" s="353"/>
      <c r="H17" s="353"/>
      <c r="I17" s="353"/>
      <c r="J17" s="353"/>
      <c r="K17" s="353"/>
      <c r="L17" s="353"/>
      <c r="M17" s="353"/>
      <c r="N17" s="353"/>
      <c r="O17" s="352">
        <v>6.5608966951698635</v>
      </c>
    </row>
    <row r="18" spans="2:15" ht="13" x14ac:dyDescent="0.3">
      <c r="B18" s="354" t="s">
        <v>1477</v>
      </c>
      <c r="C18" s="355"/>
      <c r="D18" s="355"/>
      <c r="E18" s="354">
        <v>8567</v>
      </c>
      <c r="F18" s="354">
        <v>63210</v>
      </c>
      <c r="G18" s="353"/>
      <c r="H18" s="353"/>
      <c r="I18" s="353"/>
      <c r="J18" s="353"/>
      <c r="K18" s="353"/>
      <c r="L18" s="353"/>
      <c r="M18" s="353"/>
      <c r="N18" s="353"/>
      <c r="O18" s="352">
        <v>6.378312127932765</v>
      </c>
    </row>
    <row r="19" spans="2:15" ht="13" x14ac:dyDescent="0.3">
      <c r="B19" s="354" t="s">
        <v>1476</v>
      </c>
      <c r="C19" s="355"/>
      <c r="D19" s="355"/>
      <c r="E19" s="354">
        <v>8543</v>
      </c>
      <c r="F19" s="354">
        <v>61789</v>
      </c>
      <c r="G19" s="353"/>
      <c r="H19" s="353"/>
      <c r="I19" s="353"/>
      <c r="J19" s="353"/>
      <c r="K19" s="353"/>
      <c r="L19" s="353"/>
      <c r="M19" s="353"/>
      <c r="N19" s="353"/>
      <c r="O19" s="352">
        <v>6.2327051387100552</v>
      </c>
    </row>
    <row r="20" spans="2:15" ht="13" x14ac:dyDescent="0.3">
      <c r="B20" s="356" t="s">
        <v>1475</v>
      </c>
      <c r="C20" s="355"/>
      <c r="D20" s="355"/>
      <c r="E20" s="356">
        <v>8432</v>
      </c>
      <c r="F20" s="356">
        <v>60123</v>
      </c>
      <c r="G20" s="353"/>
      <c r="H20" s="353"/>
      <c r="I20" s="353"/>
      <c r="J20" s="353"/>
      <c r="K20" s="353"/>
      <c r="L20" s="353"/>
      <c r="M20" s="353"/>
      <c r="N20" s="353"/>
      <c r="O20" s="352">
        <v>6.1303368121442121</v>
      </c>
    </row>
    <row r="21" spans="2:15" ht="13" x14ac:dyDescent="0.3">
      <c r="B21" s="356" t="s">
        <v>1474</v>
      </c>
      <c r="C21" s="355"/>
      <c r="D21" s="355"/>
      <c r="E21" s="356">
        <v>11012</v>
      </c>
      <c r="F21" s="356">
        <v>58912</v>
      </c>
      <c r="G21" s="353"/>
      <c r="H21" s="353"/>
      <c r="I21" s="353"/>
      <c r="J21" s="353"/>
      <c r="K21" s="353"/>
      <c r="L21" s="353"/>
      <c r="M21" s="353"/>
      <c r="N21" s="353"/>
      <c r="O21" s="352">
        <v>4.3498002179440611</v>
      </c>
    </row>
    <row r="22" spans="2:15" ht="13" x14ac:dyDescent="0.3">
      <c r="B22" s="356" t="s">
        <v>1473</v>
      </c>
      <c r="C22" s="355"/>
      <c r="D22" s="355"/>
      <c r="E22" s="356">
        <v>10987</v>
      </c>
      <c r="F22" s="356">
        <v>57109</v>
      </c>
      <c r="G22" s="353"/>
      <c r="H22" s="353"/>
      <c r="I22" s="353"/>
      <c r="J22" s="353"/>
      <c r="K22" s="353"/>
      <c r="L22" s="353"/>
      <c r="M22" s="353"/>
      <c r="N22" s="353"/>
      <c r="O22" s="352">
        <v>4.1978702102484755</v>
      </c>
    </row>
    <row r="23" spans="2:15" ht="13" x14ac:dyDescent="0.3">
      <c r="B23" s="356" t="s">
        <v>1472</v>
      </c>
      <c r="C23" s="355"/>
      <c r="D23" s="355"/>
      <c r="E23" s="356">
        <v>11234</v>
      </c>
      <c r="F23" s="356">
        <v>56789</v>
      </c>
      <c r="G23" s="353"/>
      <c r="H23" s="353"/>
      <c r="I23" s="353"/>
      <c r="J23" s="353"/>
      <c r="K23" s="353"/>
      <c r="L23" s="353"/>
      <c r="M23" s="353"/>
      <c r="N23" s="353"/>
      <c r="O23" s="352">
        <v>4.055100587502225</v>
      </c>
    </row>
    <row r="24" spans="2:15" ht="13" x14ac:dyDescent="0.3">
      <c r="B24" s="356" t="s">
        <v>1471</v>
      </c>
      <c r="C24" s="355"/>
      <c r="D24" s="355"/>
      <c r="E24" s="356">
        <v>9456</v>
      </c>
      <c r="F24" s="356">
        <v>49876</v>
      </c>
      <c r="G24" s="353"/>
      <c r="H24" s="353"/>
      <c r="I24" s="353"/>
      <c r="J24" s="353"/>
      <c r="K24" s="353"/>
      <c r="L24" s="353"/>
      <c r="M24" s="353"/>
      <c r="N24" s="353"/>
      <c r="O24" s="352">
        <v>4.2745346869712355</v>
      </c>
    </row>
    <row r="25" spans="2:15" ht="13" x14ac:dyDescent="0.3">
      <c r="B25" s="356" t="s">
        <v>1470</v>
      </c>
      <c r="C25" s="355"/>
      <c r="D25" s="355"/>
      <c r="E25" s="356">
        <v>10876</v>
      </c>
      <c r="F25" s="356">
        <v>48976</v>
      </c>
      <c r="G25" s="353"/>
      <c r="H25" s="353"/>
      <c r="I25" s="353"/>
      <c r="J25" s="353"/>
      <c r="K25" s="353"/>
      <c r="L25" s="353"/>
      <c r="M25" s="353"/>
      <c r="N25" s="353"/>
      <c r="O25" s="352">
        <v>3.5031261493196029</v>
      </c>
    </row>
    <row r="26" spans="2:15" ht="13" x14ac:dyDescent="0.3">
      <c r="B26" s="356" t="s">
        <v>1469</v>
      </c>
      <c r="C26" s="355"/>
      <c r="D26" s="355"/>
      <c r="E26" s="356">
        <v>9321</v>
      </c>
      <c r="F26" s="356">
        <v>47567</v>
      </c>
      <c r="G26" s="353"/>
      <c r="H26" s="353"/>
      <c r="I26" s="353"/>
      <c r="J26" s="353"/>
      <c r="K26" s="353"/>
      <c r="L26" s="353"/>
      <c r="M26" s="353"/>
      <c r="N26" s="353"/>
      <c r="O26" s="352">
        <v>4.1032078103207814</v>
      </c>
    </row>
    <row r="27" spans="2:15" ht="13" x14ac:dyDescent="0.3">
      <c r="B27" s="356" t="s">
        <v>1468</v>
      </c>
      <c r="C27" s="355"/>
      <c r="D27" s="355"/>
      <c r="E27" s="356">
        <v>8987</v>
      </c>
      <c r="F27" s="356">
        <v>38910</v>
      </c>
      <c r="G27" s="353"/>
      <c r="H27" s="353"/>
      <c r="I27" s="353"/>
      <c r="J27" s="353"/>
      <c r="K27" s="353"/>
      <c r="L27" s="353"/>
      <c r="M27" s="353"/>
      <c r="N27" s="353"/>
      <c r="O27" s="352">
        <v>3.3295871814843663</v>
      </c>
    </row>
    <row r="28" spans="2:15" ht="13" x14ac:dyDescent="0.3">
      <c r="B28" s="356" t="s">
        <v>1467</v>
      </c>
      <c r="C28" s="355"/>
      <c r="D28" s="355"/>
      <c r="E28" s="356">
        <v>18765</v>
      </c>
      <c r="F28" s="356">
        <v>35678</v>
      </c>
      <c r="G28" s="353"/>
      <c r="H28" s="353"/>
      <c r="I28" s="353"/>
      <c r="J28" s="353"/>
      <c r="K28" s="353"/>
      <c r="L28" s="353"/>
      <c r="M28" s="353"/>
      <c r="N28" s="353"/>
      <c r="O28" s="352">
        <v>0.90130562216893151</v>
      </c>
    </row>
    <row r="29" spans="2:15" ht="13" x14ac:dyDescent="0.3">
      <c r="B29" s="356" t="s">
        <v>1466</v>
      </c>
      <c r="C29" s="355"/>
      <c r="D29" s="355"/>
      <c r="E29" s="356">
        <v>14765</v>
      </c>
      <c r="F29" s="356">
        <v>31567</v>
      </c>
      <c r="G29" s="353"/>
      <c r="H29" s="353"/>
      <c r="I29" s="353"/>
      <c r="J29" s="353"/>
      <c r="K29" s="353"/>
      <c r="L29" s="353"/>
      <c r="M29" s="353"/>
      <c r="N29" s="353"/>
      <c r="O29" s="352">
        <v>1.137961395191331</v>
      </c>
    </row>
    <row r="30" spans="2:15" ht="13" x14ac:dyDescent="0.3">
      <c r="B30" s="356" t="s">
        <v>1465</v>
      </c>
      <c r="C30" s="355"/>
      <c r="D30" s="355"/>
      <c r="E30" s="356">
        <v>28976</v>
      </c>
      <c r="F30" s="356">
        <v>29102</v>
      </c>
      <c r="G30" s="353"/>
      <c r="H30" s="353"/>
      <c r="I30" s="353"/>
      <c r="J30" s="353"/>
      <c r="K30" s="353"/>
      <c r="L30" s="353"/>
      <c r="M30" s="353"/>
      <c r="N30" s="353"/>
      <c r="O30" s="352">
        <v>4.3484262838211496E-3</v>
      </c>
    </row>
    <row r="31" spans="2:15" ht="13" x14ac:dyDescent="0.3">
      <c r="B31" s="354" t="s">
        <v>1464</v>
      </c>
      <c r="C31" s="355"/>
      <c r="D31" s="355"/>
      <c r="E31" s="354">
        <v>58762</v>
      </c>
      <c r="F31" s="354">
        <v>23456</v>
      </c>
      <c r="G31" s="353"/>
      <c r="H31" s="353"/>
      <c r="I31" s="353"/>
      <c r="J31" s="353"/>
      <c r="K31" s="353"/>
      <c r="L31" s="353"/>
      <c r="M31" s="353"/>
      <c r="N31" s="353"/>
      <c r="O31" s="352">
        <v>-0.60083046867022905</v>
      </c>
    </row>
    <row r="32" spans="2:15" ht="13" x14ac:dyDescent="0.3">
      <c r="B32" s="356" t="s">
        <v>1463</v>
      </c>
      <c r="C32" s="355"/>
      <c r="D32" s="355"/>
      <c r="E32" s="356">
        <v>49117</v>
      </c>
      <c r="F32" s="356">
        <v>18781</v>
      </c>
      <c r="G32" s="353"/>
      <c r="H32" s="353"/>
      <c r="I32" s="353"/>
      <c r="J32" s="353"/>
      <c r="K32" s="353"/>
      <c r="L32" s="353"/>
      <c r="M32" s="353"/>
      <c r="N32" s="353"/>
      <c r="O32" s="352">
        <v>-0.61762729808416639</v>
      </c>
    </row>
    <row r="33" spans="2:15" ht="13" x14ac:dyDescent="0.3">
      <c r="B33" s="354" t="s">
        <v>1462</v>
      </c>
      <c r="C33" s="355"/>
      <c r="D33" s="355"/>
      <c r="E33" s="354">
        <v>10876</v>
      </c>
      <c r="F33" s="354">
        <v>3215</v>
      </c>
      <c r="G33" s="353"/>
      <c r="H33" s="353"/>
      <c r="I33" s="353"/>
      <c r="J33" s="353"/>
      <c r="K33" s="353"/>
      <c r="L33" s="353"/>
      <c r="M33" s="353"/>
      <c r="N33" s="353"/>
      <c r="O33" s="352">
        <v>-0.70439499816108864</v>
      </c>
    </row>
    <row r="34" spans="2:15" ht="13" x14ac:dyDescent="0.3">
      <c r="B34" s="354" t="s">
        <v>1461</v>
      </c>
      <c r="C34" s="355"/>
      <c r="D34" s="355"/>
      <c r="E34" s="354">
        <v>37889</v>
      </c>
      <c r="F34" s="354">
        <v>3127</v>
      </c>
      <c r="G34" s="353"/>
      <c r="H34" s="353"/>
      <c r="I34" s="353"/>
      <c r="J34" s="353"/>
      <c r="K34" s="353"/>
      <c r="L34" s="353"/>
      <c r="M34" s="353"/>
      <c r="N34" s="353"/>
      <c r="O34" s="352">
        <v>-0.91746945023621629</v>
      </c>
    </row>
    <row r="35" spans="2:15" ht="13" x14ac:dyDescent="0.3">
      <c r="B35" s="356" t="s">
        <v>1460</v>
      </c>
      <c r="C35" s="355"/>
      <c r="D35" s="355"/>
      <c r="E35" s="356">
        <v>10123</v>
      </c>
      <c r="F35" s="356">
        <v>3112</v>
      </c>
      <c r="G35" s="353"/>
      <c r="H35" s="353"/>
      <c r="I35" s="353"/>
      <c r="J35" s="353"/>
      <c r="K35" s="353"/>
      <c r="L35" s="353"/>
      <c r="M35" s="353"/>
      <c r="N35" s="353"/>
      <c r="O35" s="352">
        <v>-0.69258125061740583</v>
      </c>
    </row>
    <row r="36" spans="2:15" ht="13" x14ac:dyDescent="0.3">
      <c r="B36" s="356" t="s">
        <v>1459</v>
      </c>
      <c r="C36" s="355"/>
      <c r="D36" s="355"/>
      <c r="E36" s="356">
        <v>16421</v>
      </c>
      <c r="F36" s="356">
        <v>2871</v>
      </c>
      <c r="G36" s="353"/>
      <c r="H36" s="353"/>
      <c r="I36" s="353"/>
      <c r="J36" s="353"/>
      <c r="K36" s="353"/>
      <c r="L36" s="353"/>
      <c r="M36" s="353"/>
      <c r="N36" s="353"/>
      <c r="O36" s="352">
        <v>-0.82516290116314472</v>
      </c>
    </row>
    <row r="37" spans="2:15" ht="13" x14ac:dyDescent="0.3">
      <c r="B37" s="354" t="s">
        <v>1458</v>
      </c>
      <c r="C37" s="355"/>
      <c r="D37" s="355"/>
      <c r="E37" s="354">
        <v>10543</v>
      </c>
      <c r="F37" s="354">
        <v>2765</v>
      </c>
      <c r="G37" s="353"/>
      <c r="H37" s="353"/>
      <c r="I37" s="353"/>
      <c r="J37" s="353"/>
      <c r="K37" s="353"/>
      <c r="L37" s="353"/>
      <c r="M37" s="353"/>
      <c r="N37" s="353"/>
      <c r="O37" s="352">
        <v>-0.73774068102058243</v>
      </c>
    </row>
    <row r="38" spans="2:15" ht="13" x14ac:dyDescent="0.3">
      <c r="B38" s="356" t="s">
        <v>1457</v>
      </c>
      <c r="C38" s="355"/>
      <c r="D38" s="355"/>
      <c r="E38" s="356">
        <v>12987</v>
      </c>
      <c r="F38" s="356">
        <v>2678</v>
      </c>
      <c r="G38" s="353"/>
      <c r="H38" s="353"/>
      <c r="I38" s="353"/>
      <c r="J38" s="353"/>
      <c r="K38" s="353"/>
      <c r="L38" s="353"/>
      <c r="M38" s="353"/>
      <c r="N38" s="353"/>
      <c r="O38" s="352">
        <v>-0.79379379379379378</v>
      </c>
    </row>
    <row r="39" spans="2:15" ht="13" x14ac:dyDescent="0.3">
      <c r="B39" s="356" t="s">
        <v>1456</v>
      </c>
      <c r="C39" s="355"/>
      <c r="D39" s="355"/>
      <c r="E39" s="356">
        <v>10876</v>
      </c>
      <c r="F39" s="356">
        <v>2587</v>
      </c>
      <c r="G39" s="353"/>
      <c r="H39" s="353"/>
      <c r="I39" s="353"/>
      <c r="J39" s="353"/>
      <c r="K39" s="353"/>
      <c r="L39" s="353"/>
      <c r="M39" s="353"/>
      <c r="N39" s="353"/>
      <c r="O39" s="352">
        <v>-0.76213681500551678</v>
      </c>
    </row>
    <row r="40" spans="2:15" ht="13" x14ac:dyDescent="0.3">
      <c r="B40" s="356" t="s">
        <v>1455</v>
      </c>
      <c r="C40" s="355"/>
      <c r="D40" s="355"/>
      <c r="E40" s="356">
        <v>14987</v>
      </c>
      <c r="F40" s="356">
        <v>2456</v>
      </c>
      <c r="G40" s="353"/>
      <c r="H40" s="353"/>
      <c r="I40" s="353"/>
      <c r="J40" s="353"/>
      <c r="K40" s="353"/>
      <c r="L40" s="353"/>
      <c r="M40" s="353"/>
      <c r="N40" s="353"/>
      <c r="O40" s="352">
        <v>-0.83612464135584175</v>
      </c>
    </row>
    <row r="41" spans="2:15" ht="13" x14ac:dyDescent="0.3">
      <c r="B41" s="356" t="s">
        <v>1454</v>
      </c>
      <c r="C41" s="355"/>
      <c r="D41" s="355"/>
      <c r="E41" s="356">
        <v>11456</v>
      </c>
      <c r="F41" s="356">
        <v>2345</v>
      </c>
      <c r="G41" s="353"/>
      <c r="H41" s="353"/>
      <c r="I41" s="353"/>
      <c r="J41" s="353"/>
      <c r="K41" s="353"/>
      <c r="L41" s="353"/>
      <c r="M41" s="353"/>
      <c r="N41" s="353"/>
      <c r="O41" s="352">
        <v>-0.79530377094972071</v>
      </c>
    </row>
    <row r="42" spans="2:15" ht="13" x14ac:dyDescent="0.3">
      <c r="B42" s="356" t="s">
        <v>1453</v>
      </c>
      <c r="C42" s="355"/>
      <c r="D42" s="355"/>
      <c r="E42" s="356">
        <v>9121</v>
      </c>
      <c r="F42" s="356">
        <v>2341</v>
      </c>
      <c r="G42" s="353"/>
      <c r="H42" s="353"/>
      <c r="I42" s="353"/>
      <c r="J42" s="353"/>
      <c r="K42" s="353"/>
      <c r="L42" s="353"/>
      <c r="M42" s="353"/>
      <c r="N42" s="353"/>
      <c r="O42" s="352">
        <v>-0.74333954610240105</v>
      </c>
    </row>
    <row r="43" spans="2:15" ht="13" x14ac:dyDescent="0.3">
      <c r="B43" s="354" t="s">
        <v>1452</v>
      </c>
      <c r="C43" s="355"/>
      <c r="D43" s="355"/>
      <c r="E43" s="354">
        <v>9432</v>
      </c>
      <c r="F43" s="354">
        <v>2234</v>
      </c>
      <c r="G43" s="353"/>
      <c r="H43" s="353"/>
      <c r="I43" s="353"/>
      <c r="J43" s="353"/>
      <c r="K43" s="353"/>
      <c r="L43" s="353"/>
      <c r="M43" s="353"/>
      <c r="N43" s="353"/>
      <c r="O43" s="352">
        <v>-0.7631467345207803</v>
      </c>
    </row>
    <row r="44" spans="2:15" ht="13" x14ac:dyDescent="0.3">
      <c r="B44" s="356" t="s">
        <v>1451</v>
      </c>
      <c r="C44" s="355"/>
      <c r="D44" s="355"/>
      <c r="E44" s="356">
        <v>15123</v>
      </c>
      <c r="F44" s="356">
        <v>2109</v>
      </c>
      <c r="G44" s="353"/>
      <c r="H44" s="353"/>
      <c r="I44" s="353"/>
      <c r="J44" s="353"/>
      <c r="K44" s="353"/>
      <c r="L44" s="353"/>
      <c r="M44" s="353"/>
      <c r="N44" s="353"/>
      <c r="O44" s="352">
        <v>-0.86054354294782787</v>
      </c>
    </row>
    <row r="45" spans="2:15" ht="13" x14ac:dyDescent="0.3">
      <c r="B45" s="354" t="s">
        <v>1450</v>
      </c>
      <c r="C45" s="355"/>
      <c r="D45" s="355"/>
      <c r="E45" s="354">
        <v>10987</v>
      </c>
      <c r="F45" s="354">
        <v>2101</v>
      </c>
      <c r="G45" s="353"/>
      <c r="H45" s="353"/>
      <c r="I45" s="353"/>
      <c r="J45" s="353"/>
      <c r="K45" s="353"/>
      <c r="L45" s="353"/>
      <c r="M45" s="353"/>
      <c r="N45" s="353"/>
      <c r="O45" s="352">
        <v>-0.8087740056430327</v>
      </c>
    </row>
    <row r="46" spans="2:15" ht="13" x14ac:dyDescent="0.3">
      <c r="B46" s="356" t="s">
        <v>1449</v>
      </c>
      <c r="C46" s="355"/>
      <c r="D46" s="355"/>
      <c r="E46" s="356">
        <v>8012</v>
      </c>
      <c r="F46" s="356">
        <v>2056</v>
      </c>
      <c r="G46" s="353"/>
      <c r="H46" s="353"/>
      <c r="I46" s="353"/>
      <c r="J46" s="353"/>
      <c r="K46" s="353"/>
      <c r="L46" s="353"/>
      <c r="M46" s="353"/>
      <c r="N46" s="353"/>
      <c r="O46" s="352">
        <v>-0.74338492261607581</v>
      </c>
    </row>
    <row r="47" spans="2:15" ht="13" x14ac:dyDescent="0.3">
      <c r="B47" s="356" t="s">
        <v>1448</v>
      </c>
      <c r="C47" s="355"/>
      <c r="D47" s="355"/>
      <c r="E47" s="356">
        <v>9765</v>
      </c>
      <c r="F47" s="356">
        <v>2001</v>
      </c>
      <c r="G47" s="353"/>
      <c r="H47" s="353"/>
      <c r="I47" s="353"/>
      <c r="J47" s="353"/>
      <c r="K47" s="353"/>
      <c r="L47" s="353"/>
      <c r="M47" s="353"/>
      <c r="N47" s="353"/>
      <c r="O47" s="352">
        <v>-0.795084485407066</v>
      </c>
    </row>
    <row r="48" spans="2:15" ht="13" x14ac:dyDescent="0.3">
      <c r="B48" s="356" t="s">
        <v>1447</v>
      </c>
      <c r="C48" s="355"/>
      <c r="D48" s="355"/>
      <c r="E48" s="356">
        <v>8123</v>
      </c>
      <c r="F48" s="356">
        <v>1999</v>
      </c>
      <c r="G48" s="353"/>
      <c r="H48" s="353"/>
      <c r="I48" s="353"/>
      <c r="J48" s="353"/>
      <c r="K48" s="353"/>
      <c r="L48" s="353"/>
      <c r="M48" s="353"/>
      <c r="N48" s="353"/>
      <c r="O48" s="352">
        <v>-0.75390865443801558</v>
      </c>
    </row>
    <row r="49" spans="2:15" ht="13" x14ac:dyDescent="0.3">
      <c r="B49" s="354" t="s">
        <v>1446</v>
      </c>
      <c r="C49" s="355"/>
      <c r="D49" s="355"/>
      <c r="E49" s="354">
        <v>13546</v>
      </c>
      <c r="F49" s="354">
        <v>1987</v>
      </c>
      <c r="G49" s="353"/>
      <c r="H49" s="353"/>
      <c r="I49" s="353"/>
      <c r="J49" s="353"/>
      <c r="K49" s="353"/>
      <c r="L49" s="353"/>
      <c r="M49" s="353"/>
      <c r="N49" s="353"/>
      <c r="O49" s="352">
        <v>-0.85331463162557208</v>
      </c>
    </row>
    <row r="50" spans="2:15" ht="13" x14ac:dyDescent="0.3">
      <c r="B50" s="354" t="s">
        <v>1445</v>
      </c>
      <c r="C50" s="355"/>
      <c r="D50" s="355"/>
      <c r="E50" s="354">
        <v>12876</v>
      </c>
      <c r="F50" s="354">
        <v>1876</v>
      </c>
      <c r="G50" s="353"/>
      <c r="H50" s="353"/>
      <c r="I50" s="353"/>
      <c r="J50" s="353"/>
      <c r="K50" s="353"/>
      <c r="L50" s="353"/>
      <c r="M50" s="353"/>
      <c r="N50" s="353"/>
      <c r="O50" s="352">
        <v>-0.8543025784405095</v>
      </c>
    </row>
    <row r="51" spans="2:15" ht="13" x14ac:dyDescent="0.3">
      <c r="B51" s="354" t="s">
        <v>1444</v>
      </c>
      <c r="C51" s="355"/>
      <c r="D51" s="355"/>
      <c r="E51" s="354">
        <v>9123</v>
      </c>
      <c r="F51" s="354">
        <v>1789</v>
      </c>
      <c r="G51" s="353"/>
      <c r="H51" s="353"/>
      <c r="I51" s="353"/>
      <c r="J51" s="353"/>
      <c r="K51" s="353"/>
      <c r="L51" s="353"/>
      <c r="M51" s="353"/>
      <c r="N51" s="353"/>
      <c r="O51" s="352">
        <v>-0.80390222514523735</v>
      </c>
    </row>
    <row r="52" spans="2:15" ht="13" x14ac:dyDescent="0.3">
      <c r="B52" s="354" t="s">
        <v>1443</v>
      </c>
      <c r="C52" s="355"/>
      <c r="D52" s="355"/>
      <c r="E52" s="354">
        <v>13212</v>
      </c>
      <c r="F52" s="354">
        <v>1734</v>
      </c>
      <c r="G52" s="353"/>
      <c r="H52" s="353"/>
      <c r="I52" s="353"/>
      <c r="J52" s="353"/>
      <c r="K52" s="353"/>
      <c r="L52" s="353"/>
      <c r="M52" s="353"/>
      <c r="N52" s="353"/>
      <c r="O52" s="352">
        <v>-0.86875567665758402</v>
      </c>
    </row>
    <row r="53" spans="2:15" ht="13" x14ac:dyDescent="0.3">
      <c r="B53" s="354" t="s">
        <v>1442</v>
      </c>
      <c r="C53" s="355"/>
      <c r="D53" s="355"/>
      <c r="E53" s="354">
        <v>10121</v>
      </c>
      <c r="F53" s="354">
        <v>1689</v>
      </c>
      <c r="G53" s="353"/>
      <c r="H53" s="353"/>
      <c r="I53" s="353"/>
      <c r="J53" s="353"/>
      <c r="K53" s="353"/>
      <c r="L53" s="353"/>
      <c r="M53" s="353"/>
      <c r="N53" s="353"/>
      <c r="O53" s="352">
        <v>-0.833119256990416</v>
      </c>
    </row>
    <row r="54" spans="2:15" ht="13" x14ac:dyDescent="0.3">
      <c r="B54" s="354" t="s">
        <v>1441</v>
      </c>
      <c r="C54" s="355"/>
      <c r="D54" s="355"/>
      <c r="E54" s="354">
        <v>11765</v>
      </c>
      <c r="F54" s="354">
        <v>1567</v>
      </c>
      <c r="G54" s="353"/>
      <c r="H54" s="353"/>
      <c r="I54" s="353"/>
      <c r="J54" s="353"/>
      <c r="K54" s="353"/>
      <c r="L54" s="353"/>
      <c r="M54" s="353"/>
      <c r="N54" s="353"/>
      <c r="O54" s="352">
        <v>-0.86680832979175526</v>
      </c>
    </row>
    <row r="55" spans="2:15" ht="13" x14ac:dyDescent="0.3">
      <c r="B55" s="354" t="s">
        <v>1440</v>
      </c>
      <c r="C55" s="355"/>
      <c r="D55" s="355"/>
      <c r="E55" s="354">
        <v>11234</v>
      </c>
      <c r="F55" s="354">
        <v>1432</v>
      </c>
      <c r="G55" s="353"/>
      <c r="H55" s="353"/>
      <c r="I55" s="353"/>
      <c r="J55" s="353"/>
      <c r="K55" s="353"/>
      <c r="L55" s="353"/>
      <c r="M55" s="353"/>
      <c r="N55" s="353"/>
      <c r="O55" s="352">
        <v>-0.87252982018871283</v>
      </c>
    </row>
    <row r="56" spans="2:15" ht="13" x14ac:dyDescent="0.3">
      <c r="B56" s="354" t="s">
        <v>1439</v>
      </c>
      <c r="C56" s="355"/>
      <c r="D56" s="355"/>
      <c r="E56" s="354">
        <v>9234</v>
      </c>
      <c r="F56" s="354">
        <v>1345</v>
      </c>
      <c r="G56" s="353"/>
      <c r="H56" s="353"/>
      <c r="I56" s="353"/>
      <c r="J56" s="353"/>
      <c r="K56" s="353"/>
      <c r="L56" s="353"/>
      <c r="M56" s="353"/>
      <c r="N56" s="353"/>
      <c r="O56" s="352">
        <v>-0.85434264674030758</v>
      </c>
    </row>
  </sheetData>
  <autoFilter ref="B7:O56" xr:uid="{1EDEFFFA-8975-4BAF-BAAC-39A0BD165EEB}">
    <sortState xmlns:xlrd2="http://schemas.microsoft.com/office/spreadsheetml/2017/richdata2" ref="B9:O56">
      <sortCondition descending="1" ref="E7:E56"/>
    </sortState>
  </autoFilter>
  <mergeCells count="3">
    <mergeCell ref="B2:N3"/>
    <mergeCell ref="B6:B7"/>
    <mergeCell ref="D6:N6"/>
  </mergeCells>
  <phoneticPr fontId="3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6"/>
  <sheetViews>
    <sheetView topLeftCell="A7" workbookViewId="0">
      <selection activeCell="M3" sqref="M3"/>
    </sheetView>
  </sheetViews>
  <sheetFormatPr defaultColWidth="12.453125" defaultRowHeight="14" x14ac:dyDescent="0.25"/>
  <cols>
    <col min="1" max="1" width="32" customWidth="1"/>
    <col min="2" max="2" width="12.453125" customWidth="1"/>
  </cols>
  <sheetData>
    <row r="1" spans="1:11" ht="50" customHeight="1" x14ac:dyDescent="0.25">
      <c r="A1" s="199"/>
      <c r="B1" s="199"/>
      <c r="C1" s="199"/>
      <c r="D1" s="199"/>
      <c r="E1" s="199"/>
      <c r="F1" s="199"/>
      <c r="G1" s="199"/>
      <c r="H1" s="199"/>
      <c r="I1" s="199"/>
      <c r="J1" s="199"/>
      <c r="K1" s="199"/>
    </row>
    <row r="2" spans="1:11" ht="19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ht="14.5" x14ac:dyDescent="0.25">
      <c r="A3" s="2" t="s">
        <v>257</v>
      </c>
      <c r="B3" s="2" t="s">
        <v>1287</v>
      </c>
      <c r="C3" s="2" t="s">
        <v>1288</v>
      </c>
      <c r="D3" s="2" t="s">
        <v>1289</v>
      </c>
      <c r="E3" s="2" t="s">
        <v>1290</v>
      </c>
      <c r="F3" s="2" t="s">
        <v>1291</v>
      </c>
      <c r="G3" s="2" t="s">
        <v>1292</v>
      </c>
      <c r="H3" s="2" t="s">
        <v>1293</v>
      </c>
      <c r="I3" s="2" t="s">
        <v>1294</v>
      </c>
      <c r="J3" s="2" t="s">
        <v>1295</v>
      </c>
      <c r="K3" s="2" t="s">
        <v>1296</v>
      </c>
    </row>
    <row r="4" spans="1:11" ht="14.5" x14ac:dyDescent="0.25">
      <c r="A4" s="3" t="s">
        <v>1297</v>
      </c>
      <c r="B4" s="4">
        <v>4</v>
      </c>
      <c r="C4" s="4">
        <v>12</v>
      </c>
      <c r="D4" s="5">
        <v>10.266666666666699</v>
      </c>
      <c r="E4" s="5">
        <v>17.733333333333299</v>
      </c>
      <c r="F4" s="5">
        <v>9.3333333333333197</v>
      </c>
      <c r="G4" s="6">
        <v>4</v>
      </c>
      <c r="H4" s="7">
        <v>16</v>
      </c>
      <c r="I4" s="8">
        <v>13.0666666666667</v>
      </c>
      <c r="J4" s="8">
        <v>18.6666666666667</v>
      </c>
      <c r="K4" s="8">
        <v>16.8</v>
      </c>
    </row>
    <row r="5" spans="1:11" ht="14.5" x14ac:dyDescent="0.25">
      <c r="A5" s="3" t="s">
        <v>1298</v>
      </c>
      <c r="B5" s="4">
        <v>4</v>
      </c>
      <c r="C5" s="4">
        <v>8</v>
      </c>
      <c r="D5" s="5">
        <v>4.6666666666666803</v>
      </c>
      <c r="E5" s="5">
        <v>9.3333333333333197</v>
      </c>
      <c r="F5" s="5">
        <v>8.4</v>
      </c>
      <c r="G5" s="6">
        <v>0</v>
      </c>
      <c r="H5" s="7">
        <v>12</v>
      </c>
      <c r="I5" s="8">
        <v>7.4666666666666801</v>
      </c>
      <c r="J5" s="8">
        <v>38.266666666666701</v>
      </c>
      <c r="K5" s="8">
        <v>25.2</v>
      </c>
    </row>
    <row r="6" spans="1:11" ht="14.5" x14ac:dyDescent="0.25">
      <c r="A6" s="3" t="s">
        <v>1299</v>
      </c>
      <c r="B6" s="4">
        <v>16</v>
      </c>
      <c r="C6" s="4">
        <v>8</v>
      </c>
      <c r="D6" s="5">
        <v>10.266666666666699</v>
      </c>
      <c r="E6" s="5">
        <v>20.533333333333299</v>
      </c>
      <c r="F6" s="5">
        <v>13.0666666666667</v>
      </c>
      <c r="G6" s="6">
        <v>0</v>
      </c>
      <c r="H6" s="7">
        <v>16</v>
      </c>
      <c r="I6" s="8">
        <v>31.733333333333299</v>
      </c>
      <c r="J6" s="8">
        <v>8.4</v>
      </c>
      <c r="K6" s="8">
        <v>10.266666666666699</v>
      </c>
    </row>
    <row r="7" spans="1:11" ht="14.5" x14ac:dyDescent="0.25">
      <c r="A7" s="3" t="s">
        <v>1300</v>
      </c>
      <c r="B7" s="4">
        <v>16</v>
      </c>
      <c r="C7" s="4">
        <v>0</v>
      </c>
      <c r="D7" s="5">
        <v>10.266666666666699</v>
      </c>
      <c r="E7" s="5">
        <v>12.133333333333301</v>
      </c>
      <c r="F7" s="5">
        <v>5.6</v>
      </c>
      <c r="G7" s="6">
        <v>8</v>
      </c>
      <c r="H7" s="7">
        <v>4</v>
      </c>
      <c r="I7" s="8">
        <v>13.0666666666667</v>
      </c>
      <c r="J7" s="8">
        <v>35.466666666666697</v>
      </c>
      <c r="K7" s="8">
        <v>26.133333333333301</v>
      </c>
    </row>
    <row r="8" spans="1:11" ht="14.5" x14ac:dyDescent="0.25">
      <c r="A8" s="9" t="s">
        <v>1301</v>
      </c>
      <c r="B8" s="10">
        <v>116</v>
      </c>
      <c r="C8" s="10">
        <v>80</v>
      </c>
      <c r="D8" s="11">
        <v>193.2</v>
      </c>
      <c r="E8" s="11">
        <v>144.666666666667</v>
      </c>
      <c r="F8" s="11">
        <v>105.466666666667</v>
      </c>
      <c r="G8" s="12">
        <v>152</v>
      </c>
      <c r="H8" s="10">
        <v>120</v>
      </c>
      <c r="I8" s="11">
        <v>140.933333333333</v>
      </c>
      <c r="J8" s="11">
        <v>62.533333333333204</v>
      </c>
      <c r="K8" s="11">
        <v>65.333333333333201</v>
      </c>
    </row>
    <row r="9" spans="1:11" ht="14.5" x14ac:dyDescent="0.25">
      <c r="A9" s="3" t="s">
        <v>1302</v>
      </c>
      <c r="B9" s="4">
        <v>12</v>
      </c>
      <c r="C9" s="4">
        <v>4</v>
      </c>
      <c r="D9" s="5">
        <v>5.6</v>
      </c>
      <c r="E9" s="5">
        <v>13.0666666666667</v>
      </c>
      <c r="F9" s="5">
        <v>8.4</v>
      </c>
      <c r="G9" s="6">
        <v>12</v>
      </c>
      <c r="H9" s="7">
        <v>8</v>
      </c>
      <c r="I9" s="8">
        <v>22.4</v>
      </c>
      <c r="J9" s="8">
        <v>28</v>
      </c>
      <c r="K9" s="8">
        <v>22.4</v>
      </c>
    </row>
    <row r="10" spans="1:11" ht="14.5" x14ac:dyDescent="0.25">
      <c r="A10" s="3" t="s">
        <v>1303</v>
      </c>
      <c r="B10" s="4">
        <v>260</v>
      </c>
      <c r="C10" s="4">
        <v>152</v>
      </c>
      <c r="D10" s="5">
        <v>228.666666666667</v>
      </c>
      <c r="E10" s="5">
        <v>207.2</v>
      </c>
      <c r="F10" s="5">
        <v>540.4</v>
      </c>
      <c r="G10" s="6">
        <v>296</v>
      </c>
      <c r="H10" s="7">
        <v>268</v>
      </c>
      <c r="I10" s="8">
        <v>452.66666666666799</v>
      </c>
      <c r="J10" s="8">
        <v>451.73333333333198</v>
      </c>
      <c r="K10" s="8">
        <v>513.33333333333201</v>
      </c>
    </row>
    <row r="11" spans="1:11" ht="14.5" x14ac:dyDescent="0.25">
      <c r="A11" s="9" t="s">
        <v>1304</v>
      </c>
      <c r="B11" s="10">
        <v>508</v>
      </c>
      <c r="C11" s="10">
        <v>288</v>
      </c>
      <c r="D11" s="11">
        <v>502.13333333333202</v>
      </c>
      <c r="E11" s="11">
        <v>294</v>
      </c>
      <c r="F11" s="11">
        <v>126.933333333333</v>
      </c>
      <c r="G11" s="12">
        <v>3724</v>
      </c>
      <c r="H11" s="10">
        <v>2136</v>
      </c>
      <c r="I11" s="11">
        <v>57088.266666666801</v>
      </c>
      <c r="J11" s="11">
        <v>60465.066666666797</v>
      </c>
      <c r="K11" s="11">
        <v>67582.666666666802</v>
      </c>
    </row>
    <row r="12" spans="1:11" ht="14.5" x14ac:dyDescent="0.25">
      <c r="A12" s="3" t="s">
        <v>1305</v>
      </c>
      <c r="B12" s="4">
        <v>12</v>
      </c>
      <c r="C12" s="4">
        <v>4</v>
      </c>
      <c r="D12" s="5">
        <v>10.266666666666699</v>
      </c>
      <c r="E12" s="5">
        <v>12.133333333333301</v>
      </c>
      <c r="F12" s="5">
        <v>10.266666666666699</v>
      </c>
      <c r="G12" s="6">
        <v>8</v>
      </c>
      <c r="H12" s="7">
        <v>12</v>
      </c>
      <c r="I12" s="8">
        <v>28</v>
      </c>
      <c r="J12" s="8">
        <v>9.3333333333333197</v>
      </c>
      <c r="K12" s="8">
        <v>17.733333333333299</v>
      </c>
    </row>
    <row r="13" spans="1:11" ht="14.5" x14ac:dyDescent="0.25">
      <c r="A13" s="3" t="s">
        <v>1306</v>
      </c>
      <c r="B13" s="4">
        <v>16</v>
      </c>
      <c r="C13" s="4">
        <v>8</v>
      </c>
      <c r="D13" s="5">
        <v>14</v>
      </c>
      <c r="E13" s="5">
        <v>23.3333333333333</v>
      </c>
      <c r="F13" s="5">
        <v>8.4</v>
      </c>
      <c r="G13" s="6">
        <v>12</v>
      </c>
      <c r="H13" s="7">
        <v>12</v>
      </c>
      <c r="I13" s="8">
        <v>41.066666666666798</v>
      </c>
      <c r="J13" s="8">
        <v>30.8</v>
      </c>
      <c r="K13" s="8">
        <v>21.466666666666701</v>
      </c>
    </row>
    <row r="14" spans="1:11" ht="14.5" x14ac:dyDescent="0.25">
      <c r="A14" s="3" t="s">
        <v>1307</v>
      </c>
      <c r="B14" s="4">
        <v>24</v>
      </c>
      <c r="C14" s="4">
        <v>12</v>
      </c>
      <c r="D14" s="5">
        <v>22.4</v>
      </c>
      <c r="E14" s="5">
        <v>29.866666666666699</v>
      </c>
      <c r="F14" s="5">
        <v>21.466666666666701</v>
      </c>
      <c r="G14" s="6">
        <v>16</v>
      </c>
      <c r="H14" s="7">
        <v>4</v>
      </c>
      <c r="I14" s="8">
        <v>15.866666666666699</v>
      </c>
      <c r="J14" s="8">
        <v>23.3333333333333</v>
      </c>
      <c r="K14" s="8">
        <v>31.733333333333299</v>
      </c>
    </row>
    <row r="15" spans="1:11" ht="14.5" x14ac:dyDescent="0.25">
      <c r="A15" s="3" t="s">
        <v>1308</v>
      </c>
      <c r="B15" s="4">
        <v>20</v>
      </c>
      <c r="C15" s="4">
        <v>8</v>
      </c>
      <c r="D15" s="5">
        <v>12.133333333333301</v>
      </c>
      <c r="E15" s="5">
        <v>10.266666666666699</v>
      </c>
      <c r="F15" s="5">
        <v>7.4666666666666801</v>
      </c>
      <c r="G15" s="6">
        <v>8</v>
      </c>
      <c r="H15" s="7">
        <v>16</v>
      </c>
      <c r="I15" s="8">
        <v>33.6</v>
      </c>
      <c r="J15" s="8">
        <v>36.4</v>
      </c>
      <c r="K15" s="8">
        <v>18.6666666666667</v>
      </c>
    </row>
    <row r="16" spans="1:11" ht="14.5" x14ac:dyDescent="0.25">
      <c r="A16" s="3" t="s">
        <v>1309</v>
      </c>
      <c r="B16" s="4">
        <v>12</v>
      </c>
      <c r="C16" s="4">
        <v>8</v>
      </c>
      <c r="D16" s="5">
        <v>7.4666666666666801</v>
      </c>
      <c r="E16" s="5">
        <v>16.8</v>
      </c>
      <c r="F16" s="5">
        <v>10.266666666666699</v>
      </c>
      <c r="G16" s="6">
        <v>8</v>
      </c>
      <c r="H16" s="7">
        <v>8</v>
      </c>
      <c r="I16" s="8">
        <v>25.2</v>
      </c>
      <c r="J16" s="8">
        <v>43.866666666666802</v>
      </c>
      <c r="K16" s="8">
        <v>17.733333333333299</v>
      </c>
    </row>
    <row r="17" spans="1:11" ht="14.5" x14ac:dyDescent="0.25">
      <c r="A17" s="3" t="s">
        <v>1310</v>
      </c>
      <c r="B17" s="4">
        <v>36</v>
      </c>
      <c r="C17" s="4">
        <v>28</v>
      </c>
      <c r="D17" s="5">
        <v>65.333333333333201</v>
      </c>
      <c r="E17" s="5">
        <v>54.133333333333198</v>
      </c>
      <c r="F17" s="5">
        <v>56.933333333333202</v>
      </c>
      <c r="G17" s="6">
        <v>80</v>
      </c>
      <c r="H17" s="7">
        <v>80</v>
      </c>
      <c r="I17" s="8">
        <v>108.26666666666701</v>
      </c>
      <c r="J17" s="8">
        <v>91.466666666666796</v>
      </c>
      <c r="K17" s="8">
        <v>43.866666666666802</v>
      </c>
    </row>
    <row r="18" spans="1:11" ht="14.5" x14ac:dyDescent="0.25">
      <c r="A18" s="3" t="s">
        <v>1311</v>
      </c>
      <c r="B18" s="4">
        <v>0</v>
      </c>
      <c r="C18" s="4">
        <v>0</v>
      </c>
      <c r="D18" s="5">
        <v>0.93333333333333202</v>
      </c>
      <c r="E18" s="5">
        <v>0.93333333333333202</v>
      </c>
      <c r="F18" s="5">
        <v>0.93333333333333202</v>
      </c>
      <c r="G18" s="6">
        <v>4</v>
      </c>
      <c r="H18" s="7">
        <v>4</v>
      </c>
      <c r="I18" s="8">
        <v>23.3333333333333</v>
      </c>
      <c r="J18" s="8">
        <v>29.866666666666699</v>
      </c>
      <c r="K18" s="8">
        <v>26.133333333333301</v>
      </c>
    </row>
    <row r="19" spans="1:11" ht="14.5" x14ac:dyDescent="0.25">
      <c r="A19" s="3" t="s">
        <v>1312</v>
      </c>
      <c r="B19" s="4">
        <v>8</v>
      </c>
      <c r="C19" s="4">
        <v>8</v>
      </c>
      <c r="D19" s="5">
        <v>7.4666666666666801</v>
      </c>
      <c r="E19" s="5">
        <v>21.466666666666701</v>
      </c>
      <c r="F19" s="5">
        <v>10.266666666666699</v>
      </c>
      <c r="G19" s="6">
        <v>8</v>
      </c>
      <c r="H19" s="7">
        <v>12</v>
      </c>
      <c r="I19" s="8">
        <v>14</v>
      </c>
      <c r="J19" s="8">
        <v>28</v>
      </c>
      <c r="K19" s="8">
        <v>25.2</v>
      </c>
    </row>
    <row r="20" spans="1:11" ht="14.5" x14ac:dyDescent="0.25">
      <c r="A20" s="9" t="s">
        <v>1313</v>
      </c>
      <c r="B20" s="10">
        <v>92</v>
      </c>
      <c r="C20" s="10">
        <v>64</v>
      </c>
      <c r="D20" s="11">
        <v>148.4</v>
      </c>
      <c r="E20" s="11">
        <v>35.466666666666697</v>
      </c>
      <c r="F20" s="11">
        <v>10.266666666666699</v>
      </c>
      <c r="G20" s="12">
        <v>128</v>
      </c>
      <c r="H20" s="10">
        <v>56</v>
      </c>
      <c r="I20" s="11">
        <v>86.8</v>
      </c>
      <c r="J20" s="11">
        <v>56</v>
      </c>
      <c r="K20" s="11">
        <v>27.066666666666698</v>
      </c>
    </row>
    <row r="21" spans="1:11" ht="14.5" x14ac:dyDescent="0.25">
      <c r="A21" s="3" t="s">
        <v>1314</v>
      </c>
      <c r="B21" s="4">
        <v>12</v>
      </c>
      <c r="C21" s="4">
        <v>4</v>
      </c>
      <c r="D21" s="5">
        <v>0.93333333333333202</v>
      </c>
      <c r="E21" s="5">
        <v>13.0666666666667</v>
      </c>
      <c r="F21" s="5">
        <v>7.4666666666666801</v>
      </c>
      <c r="G21" s="6">
        <v>16</v>
      </c>
      <c r="H21" s="7">
        <v>12</v>
      </c>
      <c r="I21" s="8">
        <v>38.266666666666701</v>
      </c>
      <c r="J21" s="8">
        <v>22.4</v>
      </c>
      <c r="K21" s="8">
        <v>23.3333333333333</v>
      </c>
    </row>
    <row r="22" spans="1:11" ht="14.5" x14ac:dyDescent="0.25">
      <c r="A22" s="3" t="s">
        <v>1315</v>
      </c>
      <c r="B22" s="4">
        <v>16</v>
      </c>
      <c r="C22" s="4">
        <v>16</v>
      </c>
      <c r="D22" s="5">
        <v>16.8</v>
      </c>
      <c r="E22" s="5">
        <v>16.8</v>
      </c>
      <c r="F22" s="5">
        <v>16.8</v>
      </c>
      <c r="G22" s="6">
        <v>32</v>
      </c>
      <c r="H22" s="7">
        <v>44</v>
      </c>
      <c r="I22" s="8">
        <v>14</v>
      </c>
      <c r="J22" s="8">
        <v>21.466666666666701</v>
      </c>
      <c r="K22" s="8">
        <v>13.0666666666667</v>
      </c>
    </row>
    <row r="23" spans="1:11" ht="14.5" x14ac:dyDescent="0.25">
      <c r="A23" s="3" t="s">
        <v>1316</v>
      </c>
      <c r="B23" s="4">
        <v>12</v>
      </c>
      <c r="C23" s="4">
        <v>8</v>
      </c>
      <c r="D23" s="5">
        <v>0.93333333333333202</v>
      </c>
      <c r="E23" s="5">
        <v>23.3333333333333</v>
      </c>
      <c r="F23" s="5">
        <v>8.4</v>
      </c>
      <c r="G23" s="6">
        <v>16</v>
      </c>
      <c r="H23" s="7">
        <v>8</v>
      </c>
      <c r="I23" s="8">
        <v>14</v>
      </c>
      <c r="J23" s="8">
        <v>15.866666666666699</v>
      </c>
      <c r="K23" s="8">
        <v>27.066666666666698</v>
      </c>
    </row>
    <row r="24" spans="1:11" ht="14.5" x14ac:dyDescent="0.25">
      <c r="A24" s="3" t="s">
        <v>1317</v>
      </c>
      <c r="B24" s="4">
        <v>16</v>
      </c>
      <c r="C24" s="4">
        <v>4</v>
      </c>
      <c r="D24" s="5">
        <v>7.4666666666666801</v>
      </c>
      <c r="E24" s="5">
        <v>20.533333333333299</v>
      </c>
      <c r="F24" s="5">
        <v>13.0666666666667</v>
      </c>
      <c r="G24" s="6">
        <v>12</v>
      </c>
      <c r="H24" s="7">
        <v>16</v>
      </c>
      <c r="I24" s="8">
        <v>34.533333333333303</v>
      </c>
      <c r="J24" s="8">
        <v>16.8</v>
      </c>
      <c r="K24" s="8">
        <v>15.866666666666699</v>
      </c>
    </row>
    <row r="25" spans="1:11" ht="14.5" x14ac:dyDescent="0.25">
      <c r="A25" s="3" t="s">
        <v>1318</v>
      </c>
      <c r="B25" s="4">
        <v>8</v>
      </c>
      <c r="C25" s="4">
        <v>4</v>
      </c>
      <c r="D25" s="5">
        <v>5.6</v>
      </c>
      <c r="E25" s="5">
        <v>18.6666666666667</v>
      </c>
      <c r="F25" s="5">
        <v>12.133333333333301</v>
      </c>
      <c r="G25" s="6">
        <v>8</v>
      </c>
      <c r="H25" s="7">
        <v>16</v>
      </c>
      <c r="I25" s="8">
        <v>47.6</v>
      </c>
      <c r="J25" s="8">
        <v>34.533333333333303</v>
      </c>
      <c r="K25" s="8">
        <v>29.866666666666699</v>
      </c>
    </row>
    <row r="26" spans="1:11" ht="14.5" x14ac:dyDescent="0.25">
      <c r="A26" s="3" t="s">
        <v>1319</v>
      </c>
      <c r="B26" s="4">
        <v>8</v>
      </c>
      <c r="C26" s="4">
        <v>4</v>
      </c>
      <c r="D26" s="5">
        <v>7.4666666666666801</v>
      </c>
      <c r="E26" s="5">
        <v>12.133333333333301</v>
      </c>
      <c r="F26" s="5">
        <v>5.6</v>
      </c>
      <c r="G26" s="6">
        <v>8</v>
      </c>
      <c r="H26" s="7">
        <v>28</v>
      </c>
      <c r="I26" s="8">
        <v>29.866666666666699</v>
      </c>
      <c r="J26" s="8">
        <v>14</v>
      </c>
      <c r="K26" s="8">
        <v>27.066666666666698</v>
      </c>
    </row>
    <row r="27" spans="1:11" ht="14.5" x14ac:dyDescent="0.25">
      <c r="A27" s="3" t="s">
        <v>1320</v>
      </c>
      <c r="B27" s="4">
        <v>12</v>
      </c>
      <c r="C27" s="4">
        <v>12</v>
      </c>
      <c r="D27" s="5">
        <v>4.6666666666666803</v>
      </c>
      <c r="E27" s="5">
        <v>36.4</v>
      </c>
      <c r="F27" s="5">
        <v>25.2</v>
      </c>
      <c r="G27" s="6">
        <v>0</v>
      </c>
      <c r="H27" s="7">
        <v>16</v>
      </c>
      <c r="I27" s="8">
        <v>39.200000000000003</v>
      </c>
      <c r="J27" s="8">
        <v>29.866666666666699</v>
      </c>
      <c r="K27" s="8">
        <v>22.4</v>
      </c>
    </row>
    <row r="28" spans="1:11" ht="14.5" x14ac:dyDescent="0.25">
      <c r="A28" s="3" t="s">
        <v>1321</v>
      </c>
      <c r="B28" s="4">
        <v>24</v>
      </c>
      <c r="C28" s="4">
        <v>8</v>
      </c>
      <c r="D28" s="5">
        <v>31.733333333333299</v>
      </c>
      <c r="E28" s="5">
        <v>31.733333333333299</v>
      </c>
      <c r="F28" s="5">
        <v>16.8</v>
      </c>
      <c r="G28" s="6">
        <v>8</v>
      </c>
      <c r="H28" s="7">
        <v>16</v>
      </c>
      <c r="I28" s="8">
        <v>16.8</v>
      </c>
      <c r="J28" s="8">
        <v>34.533333333333303</v>
      </c>
      <c r="K28" s="8">
        <v>25.2</v>
      </c>
    </row>
    <row r="29" spans="1:11" ht="14.5" x14ac:dyDescent="0.25">
      <c r="A29" s="3" t="s">
        <v>1322</v>
      </c>
      <c r="B29" s="4">
        <v>8</v>
      </c>
      <c r="C29" s="4">
        <v>12</v>
      </c>
      <c r="D29" s="5">
        <v>15.866666666666699</v>
      </c>
      <c r="E29" s="5">
        <v>18.6666666666667</v>
      </c>
      <c r="F29" s="5">
        <v>10.266666666666699</v>
      </c>
      <c r="G29" s="6">
        <v>12</v>
      </c>
      <c r="H29" s="7">
        <v>16</v>
      </c>
      <c r="I29" s="8">
        <v>33.6</v>
      </c>
      <c r="J29" s="8">
        <v>17.733333333333299</v>
      </c>
      <c r="K29" s="8">
        <v>30.8</v>
      </c>
    </row>
    <row r="30" spans="1:11" ht="14.5" x14ac:dyDescent="0.25">
      <c r="A30" s="3" t="s">
        <v>1323</v>
      </c>
      <c r="B30" s="4">
        <v>12</v>
      </c>
      <c r="C30" s="4">
        <v>4</v>
      </c>
      <c r="D30" s="5">
        <v>0.93333333333333202</v>
      </c>
      <c r="E30" s="5">
        <v>20.533333333333299</v>
      </c>
      <c r="F30" s="5">
        <v>5.6</v>
      </c>
      <c r="G30" s="6">
        <v>4</v>
      </c>
      <c r="H30" s="7">
        <v>12</v>
      </c>
      <c r="I30" s="8">
        <v>17.733333333333299</v>
      </c>
      <c r="J30" s="8">
        <v>27.066666666666698</v>
      </c>
      <c r="K30" s="8">
        <v>41.066666666666798</v>
      </c>
    </row>
    <row r="31" spans="1:11" ht="14.5" x14ac:dyDescent="0.25">
      <c r="A31" s="3" t="s">
        <v>1324</v>
      </c>
      <c r="B31" s="4">
        <v>28</v>
      </c>
      <c r="C31" s="4">
        <v>16</v>
      </c>
      <c r="D31" s="5">
        <v>29.866666666666699</v>
      </c>
      <c r="E31" s="5">
        <v>44.8</v>
      </c>
      <c r="F31" s="5">
        <v>44.8</v>
      </c>
      <c r="G31" s="6">
        <v>16</v>
      </c>
      <c r="H31" s="7">
        <v>20</v>
      </c>
      <c r="I31" s="8">
        <v>17.733333333333299</v>
      </c>
      <c r="J31" s="8">
        <v>28</v>
      </c>
      <c r="K31" s="8">
        <v>23.3333333333333</v>
      </c>
    </row>
    <row r="32" spans="1:11" ht="14.5" x14ac:dyDescent="0.25">
      <c r="A32" s="3" t="s">
        <v>1325</v>
      </c>
      <c r="B32" s="4">
        <v>12</v>
      </c>
      <c r="C32" s="4">
        <v>4</v>
      </c>
      <c r="D32" s="5">
        <v>10.266666666666699</v>
      </c>
      <c r="E32" s="5">
        <v>17.733333333333299</v>
      </c>
      <c r="F32" s="5">
        <v>14</v>
      </c>
      <c r="G32" s="6">
        <v>0</v>
      </c>
      <c r="H32" s="7">
        <v>12</v>
      </c>
      <c r="I32" s="8">
        <v>22.4</v>
      </c>
      <c r="J32" s="8">
        <v>27.066666666666698</v>
      </c>
      <c r="K32" s="8">
        <v>25.2</v>
      </c>
    </row>
    <row r="33" spans="1:11" ht="14.5" x14ac:dyDescent="0.25">
      <c r="A33" s="3" t="s">
        <v>1326</v>
      </c>
      <c r="B33" s="4">
        <v>16</v>
      </c>
      <c r="C33" s="4">
        <v>8</v>
      </c>
      <c r="D33" s="5">
        <v>34.533333333333303</v>
      </c>
      <c r="E33" s="5">
        <v>33.6</v>
      </c>
      <c r="F33" s="5">
        <v>16.8</v>
      </c>
      <c r="G33" s="6">
        <v>0</v>
      </c>
      <c r="H33" s="7">
        <v>16</v>
      </c>
      <c r="I33" s="8">
        <v>31.733333333333299</v>
      </c>
      <c r="J33" s="8">
        <v>34.533333333333303</v>
      </c>
      <c r="K33" s="8">
        <v>31.733333333333299</v>
      </c>
    </row>
    <row r="34" spans="1:11" ht="14.5" x14ac:dyDescent="0.25">
      <c r="A34" s="3" t="s">
        <v>1327</v>
      </c>
      <c r="B34" s="4">
        <v>12</v>
      </c>
      <c r="C34" s="4">
        <v>8</v>
      </c>
      <c r="D34" s="5">
        <v>8.4</v>
      </c>
      <c r="E34" s="5">
        <v>12.133333333333301</v>
      </c>
      <c r="F34" s="5">
        <v>7.4666666666666801</v>
      </c>
      <c r="G34" s="6">
        <v>28</v>
      </c>
      <c r="H34" s="7">
        <v>48</v>
      </c>
      <c r="I34" s="8">
        <v>17.733333333333299</v>
      </c>
      <c r="J34" s="8">
        <v>18.6666666666667</v>
      </c>
      <c r="K34" s="8">
        <v>26.133333333333301</v>
      </c>
    </row>
    <row r="35" spans="1:11" ht="14.5" x14ac:dyDescent="0.25">
      <c r="A35" s="3" t="s">
        <v>1328</v>
      </c>
      <c r="B35" s="4">
        <v>148</v>
      </c>
      <c r="C35" s="4">
        <v>80</v>
      </c>
      <c r="D35" s="5">
        <v>136.26666666666699</v>
      </c>
      <c r="E35" s="5">
        <v>100.8</v>
      </c>
      <c r="F35" s="5">
        <v>82.133333333333198</v>
      </c>
      <c r="G35" s="6">
        <v>56</v>
      </c>
      <c r="H35" s="7">
        <v>40</v>
      </c>
      <c r="I35" s="8">
        <v>66.266666666666794</v>
      </c>
      <c r="J35" s="8">
        <v>52.266666666666801</v>
      </c>
      <c r="K35" s="8">
        <v>35.466666666666697</v>
      </c>
    </row>
    <row r="36" spans="1:11" ht="14.5" x14ac:dyDescent="0.25">
      <c r="A36" s="3" t="s">
        <v>1329</v>
      </c>
      <c r="B36" s="4">
        <v>8</v>
      </c>
      <c r="C36" s="4">
        <v>4</v>
      </c>
      <c r="D36" s="5">
        <v>8.4</v>
      </c>
      <c r="E36" s="5">
        <v>5.6</v>
      </c>
      <c r="F36" s="5">
        <v>8.4</v>
      </c>
      <c r="G36" s="6">
        <v>16</v>
      </c>
      <c r="H36" s="7">
        <v>8</v>
      </c>
      <c r="I36" s="8">
        <v>20.533333333333299</v>
      </c>
      <c r="J36" s="8">
        <v>14</v>
      </c>
      <c r="K36" s="8">
        <v>35.466666666666697</v>
      </c>
    </row>
    <row r="37" spans="1:11" ht="14.5" x14ac:dyDescent="0.25">
      <c r="A37" s="3" t="s">
        <v>1330</v>
      </c>
      <c r="B37" s="4">
        <v>20</v>
      </c>
      <c r="C37" s="4">
        <v>16</v>
      </c>
      <c r="D37" s="5">
        <v>28</v>
      </c>
      <c r="E37" s="5">
        <v>38.266666666666701</v>
      </c>
      <c r="F37" s="5">
        <v>20.533333333333299</v>
      </c>
      <c r="G37" s="6">
        <v>12</v>
      </c>
      <c r="H37" s="7">
        <v>16</v>
      </c>
      <c r="I37" s="8">
        <v>23.3333333333333</v>
      </c>
      <c r="J37" s="8">
        <v>20.533333333333299</v>
      </c>
      <c r="K37" s="8">
        <v>17.733333333333299</v>
      </c>
    </row>
    <row r="38" spans="1:11" ht="14.5" x14ac:dyDescent="0.25">
      <c r="A38" s="3" t="s">
        <v>1331</v>
      </c>
      <c r="B38" s="4">
        <v>12</v>
      </c>
      <c r="C38" s="4">
        <v>8</v>
      </c>
      <c r="D38" s="5">
        <v>7.4666666666666801</v>
      </c>
      <c r="E38" s="5">
        <v>13.0666666666667</v>
      </c>
      <c r="F38" s="5">
        <v>9.3333333333333197</v>
      </c>
      <c r="G38" s="6">
        <v>12</v>
      </c>
      <c r="H38" s="7">
        <v>16</v>
      </c>
      <c r="I38" s="8">
        <v>34.533333333333303</v>
      </c>
      <c r="J38" s="8">
        <v>18.6666666666667</v>
      </c>
      <c r="K38" s="8">
        <v>18.6666666666667</v>
      </c>
    </row>
    <row r="39" spans="1:11" ht="14.5" x14ac:dyDescent="0.25">
      <c r="A39" s="3" t="s">
        <v>1332</v>
      </c>
      <c r="B39" s="4">
        <v>8</v>
      </c>
      <c r="C39" s="4">
        <v>8</v>
      </c>
      <c r="D39" s="5">
        <v>0.93333333333333202</v>
      </c>
      <c r="E39" s="5">
        <v>25.2</v>
      </c>
      <c r="F39" s="5">
        <v>12.133333333333301</v>
      </c>
      <c r="G39" s="6">
        <v>4</v>
      </c>
      <c r="H39" s="7">
        <v>24</v>
      </c>
      <c r="I39" s="8">
        <v>27.066666666666698</v>
      </c>
      <c r="J39" s="8">
        <v>34.533333333333303</v>
      </c>
      <c r="K39" s="8">
        <v>17.733333333333299</v>
      </c>
    </row>
    <row r="40" spans="1:11" ht="14.5" x14ac:dyDescent="0.25">
      <c r="A40" s="3" t="s">
        <v>1333</v>
      </c>
      <c r="B40" s="4">
        <v>8</v>
      </c>
      <c r="C40" s="4">
        <v>8</v>
      </c>
      <c r="D40" s="5">
        <v>0.93333333333333202</v>
      </c>
      <c r="E40" s="5">
        <v>18.6666666666667</v>
      </c>
      <c r="F40" s="5">
        <v>14</v>
      </c>
      <c r="G40" s="6">
        <v>8</v>
      </c>
      <c r="H40" s="7">
        <v>16</v>
      </c>
      <c r="I40" s="8">
        <v>23.3333333333333</v>
      </c>
      <c r="J40" s="8">
        <v>28</v>
      </c>
      <c r="K40" s="8">
        <v>20.533333333333299</v>
      </c>
    </row>
    <row r="41" spans="1:11" ht="14.5" x14ac:dyDescent="0.25">
      <c r="A41" s="3" t="s">
        <v>1334</v>
      </c>
      <c r="B41" s="4">
        <v>28</v>
      </c>
      <c r="C41" s="4">
        <v>8</v>
      </c>
      <c r="D41" s="5">
        <v>15.866666666666699</v>
      </c>
      <c r="E41" s="5">
        <v>16.8</v>
      </c>
      <c r="F41" s="5">
        <v>16.8</v>
      </c>
      <c r="G41" s="6">
        <v>4</v>
      </c>
      <c r="H41" s="7">
        <v>24</v>
      </c>
      <c r="I41" s="8">
        <v>30.8</v>
      </c>
      <c r="J41" s="8">
        <v>38.266666666666701</v>
      </c>
      <c r="K41" s="8">
        <v>34.533333333333303</v>
      </c>
    </row>
    <row r="42" spans="1:11" ht="14.5" x14ac:dyDescent="0.25">
      <c r="A42" s="3" t="s">
        <v>1335</v>
      </c>
      <c r="B42" s="4">
        <v>12</v>
      </c>
      <c r="C42" s="4">
        <v>8</v>
      </c>
      <c r="D42" s="5">
        <v>7.4666666666666801</v>
      </c>
      <c r="E42" s="5">
        <v>15.866666666666699</v>
      </c>
      <c r="F42" s="5">
        <v>16.8</v>
      </c>
      <c r="G42" s="6">
        <v>8</v>
      </c>
      <c r="H42" s="7">
        <v>12</v>
      </c>
      <c r="I42" s="8">
        <v>39.200000000000003</v>
      </c>
      <c r="J42" s="8">
        <v>18.6666666666667</v>
      </c>
      <c r="K42" s="8">
        <v>29.866666666666699</v>
      </c>
    </row>
    <row r="43" spans="1:11" ht="14.5" x14ac:dyDescent="0.25">
      <c r="A43" s="3" t="s">
        <v>1336</v>
      </c>
      <c r="B43" s="4">
        <v>12</v>
      </c>
      <c r="C43" s="4">
        <v>8</v>
      </c>
      <c r="D43" s="5">
        <v>15.866666666666699</v>
      </c>
      <c r="E43" s="5">
        <v>28</v>
      </c>
      <c r="F43" s="5">
        <v>16.8</v>
      </c>
      <c r="G43" s="6">
        <v>16</v>
      </c>
      <c r="H43" s="7">
        <v>8</v>
      </c>
      <c r="I43" s="8">
        <v>23.3333333333333</v>
      </c>
      <c r="J43" s="8">
        <v>30.8</v>
      </c>
      <c r="K43" s="8">
        <v>17.733333333333299</v>
      </c>
    </row>
    <row r="44" spans="1:11" ht="14.5" x14ac:dyDescent="0.25">
      <c r="A44" s="3" t="s">
        <v>1337</v>
      </c>
      <c r="B44" s="4">
        <v>44</v>
      </c>
      <c r="C44" s="4">
        <v>24</v>
      </c>
      <c r="D44" s="5">
        <v>49.466666666666796</v>
      </c>
      <c r="E44" s="5">
        <v>46.666666666666799</v>
      </c>
      <c r="F44" s="5">
        <v>23.3333333333333</v>
      </c>
      <c r="G44" s="6">
        <v>48</v>
      </c>
      <c r="H44" s="7">
        <v>44</v>
      </c>
      <c r="I44" s="8">
        <v>43.866666666666802</v>
      </c>
      <c r="J44" s="8">
        <v>52.266666666666801</v>
      </c>
      <c r="K44" s="8">
        <v>65.333333333333201</v>
      </c>
    </row>
    <row r="45" spans="1:11" ht="14.5" x14ac:dyDescent="0.25">
      <c r="A45" s="3" t="s">
        <v>1338</v>
      </c>
      <c r="B45" s="4">
        <v>4</v>
      </c>
      <c r="C45" s="4">
        <v>12</v>
      </c>
      <c r="D45" s="5">
        <v>0.93333333333333202</v>
      </c>
      <c r="E45" s="5">
        <v>8.4</v>
      </c>
      <c r="F45" s="5">
        <v>10.266666666666699</v>
      </c>
      <c r="G45" s="6">
        <v>16</v>
      </c>
      <c r="H45" s="7">
        <v>4</v>
      </c>
      <c r="I45" s="8">
        <v>13.0666666666667</v>
      </c>
      <c r="J45" s="8">
        <v>18.6666666666667</v>
      </c>
      <c r="K45" s="8">
        <v>22.4</v>
      </c>
    </row>
    <row r="46" spans="1:11" ht="14.5" x14ac:dyDescent="0.25">
      <c r="A46" s="3" t="s">
        <v>1339</v>
      </c>
      <c r="B46" s="4">
        <v>12</v>
      </c>
      <c r="C46" s="4">
        <v>12</v>
      </c>
      <c r="D46" s="5">
        <v>5.6</v>
      </c>
      <c r="E46" s="5">
        <v>20.533333333333299</v>
      </c>
      <c r="F46" s="5">
        <v>5.6</v>
      </c>
      <c r="G46" s="6">
        <v>44</v>
      </c>
      <c r="H46" s="7">
        <v>44</v>
      </c>
      <c r="I46" s="8">
        <v>35.466666666666697</v>
      </c>
      <c r="J46" s="8">
        <v>27.066666666666698</v>
      </c>
      <c r="K46" s="8">
        <v>26.133333333333301</v>
      </c>
    </row>
    <row r="47" spans="1:11" ht="14.5" x14ac:dyDescent="0.25">
      <c r="A47" s="3" t="s">
        <v>1340</v>
      </c>
      <c r="B47" s="4">
        <v>8</v>
      </c>
      <c r="C47" s="4">
        <v>8</v>
      </c>
      <c r="D47" s="5">
        <v>10.266666666666699</v>
      </c>
      <c r="E47" s="5">
        <v>17.733333333333299</v>
      </c>
      <c r="F47" s="5">
        <v>12.133333333333301</v>
      </c>
      <c r="G47" s="6">
        <v>4</v>
      </c>
      <c r="H47" s="7">
        <v>20</v>
      </c>
      <c r="I47" s="8">
        <v>15.866666666666699</v>
      </c>
      <c r="J47" s="8">
        <v>18.6666666666667</v>
      </c>
      <c r="K47" s="8">
        <v>30.8</v>
      </c>
    </row>
    <row r="48" spans="1:11" ht="14.5" x14ac:dyDescent="0.25">
      <c r="A48" s="3" t="s">
        <v>1341</v>
      </c>
      <c r="B48" s="4">
        <v>24</v>
      </c>
      <c r="C48" s="4">
        <v>16</v>
      </c>
      <c r="D48" s="5">
        <v>20.533333333333299</v>
      </c>
      <c r="E48" s="5">
        <v>46.666666666666799</v>
      </c>
      <c r="F48" s="5">
        <v>25.2</v>
      </c>
      <c r="G48" s="6">
        <v>124</v>
      </c>
      <c r="H48" s="7">
        <v>104</v>
      </c>
      <c r="I48" s="8">
        <v>105.466666666667</v>
      </c>
      <c r="J48" s="8">
        <v>56</v>
      </c>
      <c r="K48" s="8">
        <v>70.933333333333195</v>
      </c>
    </row>
    <row r="49" spans="1:11" ht="14.5" x14ac:dyDescent="0.25">
      <c r="A49" s="3" t="s">
        <v>1342</v>
      </c>
      <c r="B49" s="4">
        <v>12</v>
      </c>
      <c r="C49" s="4">
        <v>8</v>
      </c>
      <c r="D49" s="5">
        <v>8.4</v>
      </c>
      <c r="E49" s="5">
        <v>18.6666666666667</v>
      </c>
      <c r="F49" s="5">
        <v>10.266666666666699</v>
      </c>
      <c r="G49" s="6">
        <v>8</v>
      </c>
      <c r="H49" s="7">
        <v>20</v>
      </c>
      <c r="I49" s="8">
        <v>14</v>
      </c>
      <c r="J49" s="8">
        <v>42.933333333333202</v>
      </c>
      <c r="K49" s="8">
        <v>27.066666666666698</v>
      </c>
    </row>
    <row r="50" spans="1:11" ht="14.5" x14ac:dyDescent="0.25">
      <c r="A50" s="3" t="s">
        <v>1343</v>
      </c>
      <c r="B50" s="4">
        <v>8</v>
      </c>
      <c r="C50" s="4">
        <v>12</v>
      </c>
      <c r="D50" s="5">
        <v>14</v>
      </c>
      <c r="E50" s="5">
        <v>17.733333333333299</v>
      </c>
      <c r="F50" s="5">
        <v>7.4666666666666801</v>
      </c>
      <c r="G50" s="6">
        <v>8</v>
      </c>
      <c r="H50" s="7">
        <v>4</v>
      </c>
      <c r="I50" s="8">
        <v>22.4</v>
      </c>
      <c r="J50" s="8">
        <v>29.866666666666699</v>
      </c>
      <c r="K50" s="8">
        <v>25.2</v>
      </c>
    </row>
    <row r="51" spans="1:11" ht="14.5" x14ac:dyDescent="0.25">
      <c r="A51" s="3" t="s">
        <v>1344</v>
      </c>
      <c r="B51" s="4">
        <v>4</v>
      </c>
      <c r="C51" s="4">
        <v>4</v>
      </c>
      <c r="D51" s="5">
        <v>5.6</v>
      </c>
      <c r="E51" s="5">
        <v>10.266666666666699</v>
      </c>
      <c r="F51" s="5">
        <v>15.866666666666699</v>
      </c>
      <c r="G51" s="6">
        <v>4</v>
      </c>
      <c r="H51" s="7">
        <v>12</v>
      </c>
      <c r="I51" s="8">
        <v>18.6666666666667</v>
      </c>
      <c r="J51" s="8">
        <v>12.133333333333301</v>
      </c>
      <c r="K51" s="8">
        <v>35.466666666666697</v>
      </c>
    </row>
    <row r="52" spans="1:11" ht="14.5" x14ac:dyDescent="0.25">
      <c r="A52" s="3" t="s">
        <v>1345</v>
      </c>
      <c r="B52" s="4">
        <v>4</v>
      </c>
      <c r="C52" s="4">
        <v>8</v>
      </c>
      <c r="D52" s="5">
        <v>4.6666666666666803</v>
      </c>
      <c r="E52" s="5">
        <v>14</v>
      </c>
      <c r="F52" s="5">
        <v>12.133333333333301</v>
      </c>
      <c r="G52" s="6">
        <v>8</v>
      </c>
      <c r="H52" s="7">
        <v>8</v>
      </c>
      <c r="I52" s="8">
        <v>22.4</v>
      </c>
      <c r="J52" s="8">
        <v>23.3333333333333</v>
      </c>
      <c r="K52" s="8">
        <v>25.2</v>
      </c>
    </row>
    <row r="53" spans="1:11" ht="14.5" x14ac:dyDescent="0.25">
      <c r="A53" s="3" t="s">
        <v>1346</v>
      </c>
      <c r="B53" s="4">
        <v>84</v>
      </c>
      <c r="C53" s="4">
        <v>44</v>
      </c>
      <c r="D53" s="5">
        <v>111.066666666667</v>
      </c>
      <c r="E53" s="5">
        <v>121.333333333333</v>
      </c>
      <c r="F53" s="5">
        <v>56</v>
      </c>
      <c r="G53" s="6">
        <v>40</v>
      </c>
      <c r="H53" s="7">
        <v>36</v>
      </c>
      <c r="I53" s="8">
        <v>44.8</v>
      </c>
      <c r="J53" s="8">
        <v>38.266666666666701</v>
      </c>
      <c r="K53" s="8">
        <v>36.4</v>
      </c>
    </row>
    <row r="54" spans="1:11" ht="14.5" x14ac:dyDescent="0.25">
      <c r="A54" s="3" t="s">
        <v>1347</v>
      </c>
      <c r="B54" s="4">
        <v>96</v>
      </c>
      <c r="C54" s="4">
        <v>72</v>
      </c>
      <c r="D54" s="5">
        <v>114.8</v>
      </c>
      <c r="E54" s="5">
        <v>80.266666666666794</v>
      </c>
      <c r="F54" s="5">
        <v>42.933333333333202</v>
      </c>
      <c r="G54" s="6">
        <v>48</v>
      </c>
      <c r="H54" s="7">
        <v>36</v>
      </c>
      <c r="I54" s="8">
        <v>51.333333333333201</v>
      </c>
      <c r="J54" s="8">
        <v>61.6</v>
      </c>
      <c r="K54" s="8">
        <v>42.933333333333202</v>
      </c>
    </row>
    <row r="55" spans="1:11" ht="14.5" x14ac:dyDescent="0.25">
      <c r="A55" s="3" t="s">
        <v>1348</v>
      </c>
      <c r="B55" s="4">
        <v>8</v>
      </c>
      <c r="C55" s="4">
        <v>0</v>
      </c>
      <c r="D55" s="5">
        <v>7.4666666666666801</v>
      </c>
      <c r="E55" s="5">
        <v>17.733333333333299</v>
      </c>
      <c r="F55" s="5">
        <v>9.3333333333333197</v>
      </c>
      <c r="G55" s="6">
        <v>4</v>
      </c>
      <c r="H55" s="7">
        <v>12</v>
      </c>
      <c r="I55" s="8">
        <v>14</v>
      </c>
      <c r="J55" s="8">
        <v>16.8</v>
      </c>
      <c r="K55" s="8">
        <v>18.6666666666667</v>
      </c>
    </row>
    <row r="56" spans="1:11" ht="14.5" x14ac:dyDescent="0.25">
      <c r="A56" s="3" t="s">
        <v>1349</v>
      </c>
      <c r="B56" s="4">
        <v>16</v>
      </c>
      <c r="C56" s="4">
        <v>12</v>
      </c>
      <c r="D56" s="5">
        <v>14</v>
      </c>
      <c r="E56" s="5">
        <v>20.533333333333299</v>
      </c>
      <c r="F56" s="5">
        <v>21.466666666666701</v>
      </c>
      <c r="G56" s="6">
        <v>24</v>
      </c>
      <c r="H56" s="7">
        <v>32</v>
      </c>
      <c r="I56" s="8">
        <v>47.6</v>
      </c>
      <c r="J56" s="8">
        <v>35.466666666666697</v>
      </c>
      <c r="K56" s="8">
        <v>44.8</v>
      </c>
    </row>
    <row r="57" spans="1:11" ht="14.5" x14ac:dyDescent="0.25">
      <c r="A57" s="3" t="s">
        <v>1350</v>
      </c>
      <c r="B57" s="4">
        <v>12</v>
      </c>
      <c r="C57" s="4">
        <v>8</v>
      </c>
      <c r="D57" s="5">
        <v>13.0666666666667</v>
      </c>
      <c r="E57" s="5">
        <v>16.8</v>
      </c>
      <c r="F57" s="5">
        <v>8.4</v>
      </c>
      <c r="G57" s="6">
        <v>0</v>
      </c>
      <c r="H57" s="7">
        <v>24</v>
      </c>
      <c r="I57" s="8">
        <v>10.266666666666699</v>
      </c>
      <c r="J57" s="8">
        <v>18.6666666666667</v>
      </c>
      <c r="K57" s="8">
        <v>27.066666666666698</v>
      </c>
    </row>
    <row r="58" spans="1:11" ht="14.5" x14ac:dyDescent="0.25">
      <c r="A58" s="3" t="s">
        <v>1351</v>
      </c>
      <c r="B58" s="4">
        <v>12</v>
      </c>
      <c r="C58" s="4">
        <v>8</v>
      </c>
      <c r="D58" s="5">
        <v>7.4666666666666801</v>
      </c>
      <c r="E58" s="5">
        <v>16.8</v>
      </c>
      <c r="F58" s="5">
        <v>9.3333333333333197</v>
      </c>
      <c r="G58" s="6">
        <v>16</v>
      </c>
      <c r="H58" s="7">
        <v>24</v>
      </c>
      <c r="I58" s="8">
        <v>13.0666666666667</v>
      </c>
      <c r="J58" s="8">
        <v>13.0666666666667</v>
      </c>
      <c r="K58" s="8">
        <v>31.733333333333299</v>
      </c>
    </row>
    <row r="59" spans="1:11" ht="14.5" x14ac:dyDescent="0.25">
      <c r="A59" s="3" t="s">
        <v>1352</v>
      </c>
      <c r="B59" s="4">
        <v>12</v>
      </c>
      <c r="C59" s="4">
        <v>8</v>
      </c>
      <c r="D59" s="5">
        <v>13.0666666666667</v>
      </c>
      <c r="E59" s="5">
        <v>21.466666666666701</v>
      </c>
      <c r="F59" s="5">
        <v>13.0666666666667</v>
      </c>
      <c r="G59" s="6">
        <v>0</v>
      </c>
      <c r="H59" s="7">
        <v>16</v>
      </c>
      <c r="I59" s="8">
        <v>28</v>
      </c>
      <c r="J59" s="8">
        <v>39.200000000000003</v>
      </c>
      <c r="K59" s="8">
        <v>15.866666666666699</v>
      </c>
    </row>
    <row r="60" spans="1:11" ht="14.5" x14ac:dyDescent="0.25">
      <c r="A60" s="3" t="s">
        <v>1353</v>
      </c>
      <c r="B60" s="4">
        <v>12</v>
      </c>
      <c r="C60" s="4">
        <v>4</v>
      </c>
      <c r="D60" s="5">
        <v>5.6</v>
      </c>
      <c r="E60" s="5">
        <v>16.8</v>
      </c>
      <c r="F60" s="5">
        <v>13.0666666666667</v>
      </c>
      <c r="G60" s="6">
        <v>4</v>
      </c>
      <c r="H60" s="7">
        <v>16</v>
      </c>
      <c r="I60" s="8">
        <v>13.0666666666667</v>
      </c>
      <c r="J60" s="8">
        <v>20.533333333333299</v>
      </c>
      <c r="K60" s="8">
        <v>8.4</v>
      </c>
    </row>
    <row r="61" spans="1:11" ht="14.5" x14ac:dyDescent="0.25">
      <c r="A61" s="3" t="s">
        <v>1354</v>
      </c>
      <c r="B61" s="4">
        <v>16</v>
      </c>
      <c r="C61" s="4">
        <v>12</v>
      </c>
      <c r="D61" s="5">
        <v>16.8</v>
      </c>
      <c r="E61" s="5">
        <v>17.733333333333299</v>
      </c>
      <c r="F61" s="5">
        <v>14</v>
      </c>
      <c r="G61" s="6">
        <v>32</v>
      </c>
      <c r="H61" s="7">
        <v>44</v>
      </c>
      <c r="I61" s="8">
        <v>26.133333333333301</v>
      </c>
      <c r="J61" s="8">
        <v>33.6</v>
      </c>
      <c r="K61" s="8">
        <v>26.133333333333301</v>
      </c>
    </row>
    <row r="62" spans="1:11" ht="14.5" x14ac:dyDescent="0.25">
      <c r="A62" s="3" t="s">
        <v>1355</v>
      </c>
      <c r="B62" s="4">
        <v>0</v>
      </c>
      <c r="C62" s="4">
        <v>12</v>
      </c>
      <c r="D62" s="5">
        <v>10.266666666666699</v>
      </c>
      <c r="E62" s="5">
        <v>18.6666666666667</v>
      </c>
      <c r="F62" s="5">
        <v>7.4666666666666801</v>
      </c>
      <c r="G62" s="6">
        <v>16</v>
      </c>
      <c r="H62" s="7">
        <v>24</v>
      </c>
      <c r="I62" s="8">
        <v>33.6</v>
      </c>
      <c r="J62" s="8">
        <v>21.466666666666701</v>
      </c>
      <c r="K62" s="8">
        <v>31.733333333333299</v>
      </c>
    </row>
    <row r="63" spans="1:11" ht="14.5" x14ac:dyDescent="0.25">
      <c r="A63" s="3" t="s">
        <v>1356</v>
      </c>
      <c r="B63" s="4">
        <v>0</v>
      </c>
      <c r="C63" s="4">
        <v>0</v>
      </c>
      <c r="D63" s="5">
        <v>5.6</v>
      </c>
      <c r="E63" s="5">
        <v>15.866666666666699</v>
      </c>
      <c r="F63" s="5">
        <v>15.866666666666699</v>
      </c>
      <c r="G63" s="6">
        <v>8</v>
      </c>
      <c r="H63" s="7">
        <v>12</v>
      </c>
      <c r="I63" s="8">
        <v>35.466666666666697</v>
      </c>
      <c r="J63" s="8">
        <v>44.8</v>
      </c>
      <c r="K63" s="8">
        <v>26.133333333333301</v>
      </c>
    </row>
    <row r="64" spans="1:11" ht="14.5" x14ac:dyDescent="0.25">
      <c r="A64" s="3" t="s">
        <v>1357</v>
      </c>
      <c r="B64" s="4">
        <v>8</v>
      </c>
      <c r="C64" s="4">
        <v>4</v>
      </c>
      <c r="D64" s="5">
        <v>5.6</v>
      </c>
      <c r="E64" s="5">
        <v>18.6666666666667</v>
      </c>
      <c r="F64" s="5">
        <v>10.266666666666699</v>
      </c>
      <c r="G64" s="6">
        <v>16</v>
      </c>
      <c r="H64" s="7">
        <v>8</v>
      </c>
      <c r="I64" s="8">
        <v>16.8</v>
      </c>
      <c r="J64" s="8">
        <v>12.133333333333301</v>
      </c>
      <c r="K64" s="8">
        <v>28</v>
      </c>
    </row>
    <row r="65" spans="1:11" ht="14.5" x14ac:dyDescent="0.25">
      <c r="A65" s="3" t="s">
        <v>1358</v>
      </c>
      <c r="B65" s="4">
        <v>40</v>
      </c>
      <c r="C65" s="4">
        <v>32</v>
      </c>
      <c r="D65" s="5">
        <v>56</v>
      </c>
      <c r="E65" s="5">
        <v>59.733333333333199</v>
      </c>
      <c r="F65" s="5">
        <v>33.6</v>
      </c>
      <c r="G65" s="6">
        <v>40</v>
      </c>
      <c r="H65" s="7">
        <v>68</v>
      </c>
      <c r="I65" s="8">
        <v>52.266666666666801</v>
      </c>
      <c r="J65" s="8">
        <v>73.733333333333206</v>
      </c>
      <c r="K65" s="8">
        <v>74.666666666666799</v>
      </c>
    </row>
    <row r="66" spans="1:11" ht="14.5" x14ac:dyDescent="0.25">
      <c r="A66" s="3" t="s">
        <v>1359</v>
      </c>
      <c r="B66" s="4">
        <v>8</v>
      </c>
      <c r="C66" s="4">
        <v>0</v>
      </c>
      <c r="D66" s="5">
        <v>12.133333333333301</v>
      </c>
      <c r="E66" s="5">
        <v>20.533333333333299</v>
      </c>
      <c r="F66" s="5">
        <v>0.93333333333333202</v>
      </c>
      <c r="G66" s="6">
        <v>4</v>
      </c>
      <c r="H66" s="7">
        <v>8</v>
      </c>
      <c r="I66" s="8">
        <v>25.2</v>
      </c>
      <c r="J66" s="8">
        <v>18.6666666666667</v>
      </c>
      <c r="K66" s="8">
        <v>28</v>
      </c>
    </row>
    <row r="67" spans="1:11" ht="14.5" x14ac:dyDescent="0.25">
      <c r="A67" s="3" t="s">
        <v>1360</v>
      </c>
      <c r="B67" s="4">
        <v>8</v>
      </c>
      <c r="C67" s="4">
        <v>0</v>
      </c>
      <c r="D67" s="5">
        <v>4.6666666666666803</v>
      </c>
      <c r="E67" s="5">
        <v>20.533333333333299</v>
      </c>
      <c r="F67" s="5">
        <v>9.3333333333333197</v>
      </c>
      <c r="G67" s="6">
        <v>20</v>
      </c>
      <c r="H67" s="7">
        <v>12</v>
      </c>
      <c r="I67" s="8">
        <v>14</v>
      </c>
      <c r="J67" s="8">
        <v>35.466666666666697</v>
      </c>
      <c r="K67" s="8">
        <v>9.3333333333333197</v>
      </c>
    </row>
    <row r="68" spans="1:11" ht="14.5" x14ac:dyDescent="0.25">
      <c r="A68" s="3" t="s">
        <v>1361</v>
      </c>
      <c r="B68" s="4">
        <v>24</v>
      </c>
      <c r="C68" s="4">
        <v>16</v>
      </c>
      <c r="D68" s="5">
        <v>13.0666666666667</v>
      </c>
      <c r="E68" s="5">
        <v>26.133333333333301</v>
      </c>
      <c r="F68" s="5">
        <v>14</v>
      </c>
      <c r="G68" s="6">
        <v>28</v>
      </c>
      <c r="H68" s="7">
        <v>24</v>
      </c>
      <c r="I68" s="8">
        <v>12.133333333333301</v>
      </c>
      <c r="J68" s="8">
        <v>22.4</v>
      </c>
      <c r="K68" s="8">
        <v>16.8</v>
      </c>
    </row>
    <row r="69" spans="1:11" ht="14.5" x14ac:dyDescent="0.25">
      <c r="A69" s="3" t="s">
        <v>1362</v>
      </c>
      <c r="B69" s="4">
        <v>12</v>
      </c>
      <c r="C69" s="4">
        <v>8</v>
      </c>
      <c r="D69" s="5">
        <v>5.6</v>
      </c>
      <c r="E69" s="5">
        <v>20.533333333333299</v>
      </c>
      <c r="F69" s="5">
        <v>8.4</v>
      </c>
      <c r="G69" s="6">
        <v>28</v>
      </c>
      <c r="H69" s="7">
        <v>12</v>
      </c>
      <c r="I69" s="8">
        <v>21.466666666666701</v>
      </c>
      <c r="J69" s="8">
        <v>33.6</v>
      </c>
      <c r="K69" s="8">
        <v>16.8</v>
      </c>
    </row>
    <row r="70" spans="1:11" ht="14.5" x14ac:dyDescent="0.25">
      <c r="A70" s="3" t="s">
        <v>1363</v>
      </c>
      <c r="B70" s="4">
        <v>20</v>
      </c>
      <c r="C70" s="4">
        <v>8</v>
      </c>
      <c r="D70" s="5">
        <v>21.466666666666701</v>
      </c>
      <c r="E70" s="5">
        <v>17.733333333333299</v>
      </c>
      <c r="F70" s="5">
        <v>9.3333333333333197</v>
      </c>
      <c r="G70" s="6">
        <v>24</v>
      </c>
      <c r="H70" s="7">
        <v>16</v>
      </c>
      <c r="I70" s="8">
        <v>28</v>
      </c>
      <c r="J70" s="8">
        <v>28</v>
      </c>
      <c r="K70" s="8">
        <v>36.4</v>
      </c>
    </row>
    <row r="71" spans="1:11" ht="14.5" x14ac:dyDescent="0.25">
      <c r="A71" s="3" t="s">
        <v>1364</v>
      </c>
      <c r="B71" s="4">
        <v>4</v>
      </c>
      <c r="C71" s="4">
        <v>8</v>
      </c>
      <c r="D71" s="5">
        <v>9.3333333333333197</v>
      </c>
      <c r="E71" s="5">
        <v>10.266666666666699</v>
      </c>
      <c r="F71" s="5">
        <v>12.133333333333301</v>
      </c>
      <c r="G71" s="6">
        <v>8</v>
      </c>
      <c r="H71" s="7">
        <v>0</v>
      </c>
      <c r="I71" s="8">
        <v>17.733333333333299</v>
      </c>
      <c r="J71" s="8">
        <v>21.466666666666701</v>
      </c>
      <c r="K71" s="8">
        <v>15.866666666666699</v>
      </c>
    </row>
    <row r="72" spans="1:11" ht="14.5" x14ac:dyDescent="0.25">
      <c r="A72" s="3" t="s">
        <v>1365</v>
      </c>
      <c r="B72" s="4">
        <v>8</v>
      </c>
      <c r="C72" s="4">
        <v>8</v>
      </c>
      <c r="D72" s="5">
        <v>16.8</v>
      </c>
      <c r="E72" s="5">
        <v>22.4</v>
      </c>
      <c r="F72" s="5">
        <v>10.266666666666699</v>
      </c>
      <c r="G72" s="6">
        <v>12</v>
      </c>
      <c r="H72" s="7">
        <v>16</v>
      </c>
      <c r="I72" s="8">
        <v>46.666666666666799</v>
      </c>
      <c r="J72" s="8">
        <v>17.733333333333299</v>
      </c>
      <c r="K72" s="8">
        <v>16.8</v>
      </c>
    </row>
    <row r="73" spans="1:11" ht="14.5" x14ac:dyDescent="0.25">
      <c r="A73" s="3" t="s">
        <v>1366</v>
      </c>
      <c r="B73" s="4">
        <v>16</v>
      </c>
      <c r="C73" s="4">
        <v>12</v>
      </c>
      <c r="D73" s="5">
        <v>15.866666666666699</v>
      </c>
      <c r="E73" s="5">
        <v>27.066666666666698</v>
      </c>
      <c r="F73" s="5">
        <v>13.0666666666667</v>
      </c>
      <c r="G73" s="6">
        <v>180</v>
      </c>
      <c r="H73" s="7">
        <v>188</v>
      </c>
      <c r="I73" s="8">
        <v>141.86666666666699</v>
      </c>
      <c r="J73" s="8">
        <v>88.666666666666799</v>
      </c>
      <c r="K73" s="8">
        <v>108.26666666666701</v>
      </c>
    </row>
    <row r="74" spans="1:11" ht="14.5" x14ac:dyDescent="0.25">
      <c r="A74" s="3" t="s">
        <v>1367</v>
      </c>
      <c r="B74" s="4">
        <v>12</v>
      </c>
      <c r="C74" s="4">
        <v>8</v>
      </c>
      <c r="D74" s="5">
        <v>0.93333333333333202</v>
      </c>
      <c r="E74" s="5">
        <v>13.0666666666667</v>
      </c>
      <c r="F74" s="5">
        <v>5.6</v>
      </c>
      <c r="G74" s="6">
        <v>4</v>
      </c>
      <c r="H74" s="7">
        <v>8</v>
      </c>
      <c r="I74" s="8">
        <v>33.6</v>
      </c>
      <c r="J74" s="8">
        <v>21.466666666666701</v>
      </c>
      <c r="K74" s="8">
        <v>22.4</v>
      </c>
    </row>
    <row r="75" spans="1:11" ht="14.5" x14ac:dyDescent="0.25">
      <c r="A75" s="3" t="s">
        <v>1368</v>
      </c>
      <c r="B75" s="4">
        <v>8</v>
      </c>
      <c r="C75" s="4">
        <v>0</v>
      </c>
      <c r="D75" s="5">
        <v>4.6666666666666803</v>
      </c>
      <c r="E75" s="5">
        <v>0.93333333333333202</v>
      </c>
      <c r="F75" s="5">
        <v>8.4</v>
      </c>
      <c r="G75" s="6">
        <v>16</v>
      </c>
      <c r="H75" s="7">
        <v>24</v>
      </c>
      <c r="I75" s="8">
        <v>31.733333333333299</v>
      </c>
      <c r="J75" s="8">
        <v>38.266666666666701</v>
      </c>
      <c r="K75" s="8">
        <v>14</v>
      </c>
    </row>
    <row r="76" spans="1:11" ht="14.5" x14ac:dyDescent="0.25">
      <c r="A76" s="3" t="s">
        <v>1369</v>
      </c>
      <c r="B76" s="4">
        <v>4</v>
      </c>
      <c r="C76" s="4">
        <v>8</v>
      </c>
      <c r="D76" s="5">
        <v>8.4</v>
      </c>
      <c r="E76" s="5">
        <v>7.4666666666666801</v>
      </c>
      <c r="F76" s="5">
        <v>9.3333333333333197</v>
      </c>
      <c r="G76" s="6">
        <v>8</v>
      </c>
      <c r="H76" s="7">
        <v>12</v>
      </c>
      <c r="I76" s="8">
        <v>14</v>
      </c>
      <c r="J76" s="8">
        <v>26.133333333333301</v>
      </c>
      <c r="K76" s="8">
        <v>26.133333333333301</v>
      </c>
    </row>
    <row r="77" spans="1:11" ht="14.5" x14ac:dyDescent="0.25">
      <c r="A77" s="3" t="s">
        <v>1370</v>
      </c>
      <c r="B77" s="4">
        <v>12</v>
      </c>
      <c r="C77" s="4">
        <v>4</v>
      </c>
      <c r="D77" s="5">
        <v>8.4</v>
      </c>
      <c r="E77" s="5">
        <v>18.6666666666667</v>
      </c>
      <c r="F77" s="5">
        <v>12.133333333333301</v>
      </c>
      <c r="G77" s="6">
        <v>0</v>
      </c>
      <c r="H77" s="7">
        <v>16</v>
      </c>
      <c r="I77" s="8">
        <v>22.4</v>
      </c>
      <c r="J77" s="8">
        <v>35.466666666666697</v>
      </c>
      <c r="K77" s="8">
        <v>26.133333333333301</v>
      </c>
    </row>
    <row r="78" spans="1:11" ht="14.5" x14ac:dyDescent="0.25">
      <c r="A78" s="3" t="s">
        <v>1371</v>
      </c>
      <c r="B78" s="4">
        <v>16</v>
      </c>
      <c r="C78" s="4">
        <v>12</v>
      </c>
      <c r="D78" s="5">
        <v>16.8</v>
      </c>
      <c r="E78" s="5">
        <v>21.466666666666701</v>
      </c>
      <c r="F78" s="5">
        <v>16.8</v>
      </c>
      <c r="G78" s="6">
        <v>8</v>
      </c>
      <c r="H78" s="7">
        <v>8</v>
      </c>
      <c r="I78" s="8">
        <v>29.866666666666699</v>
      </c>
      <c r="J78" s="8">
        <v>33.6</v>
      </c>
      <c r="K78" s="8">
        <v>25.2</v>
      </c>
    </row>
    <row r="79" spans="1:11" ht="14.5" x14ac:dyDescent="0.25">
      <c r="A79" s="3" t="s">
        <v>1372</v>
      </c>
      <c r="B79" s="4">
        <v>12</v>
      </c>
      <c r="C79" s="4">
        <v>12</v>
      </c>
      <c r="D79" s="5">
        <v>10.266666666666699</v>
      </c>
      <c r="E79" s="5">
        <v>29.866666666666699</v>
      </c>
      <c r="F79" s="5">
        <v>27.066666666666698</v>
      </c>
      <c r="G79" s="6">
        <v>24</v>
      </c>
      <c r="H79" s="7">
        <v>20</v>
      </c>
      <c r="I79" s="8">
        <v>33.6</v>
      </c>
      <c r="J79" s="8">
        <v>38.266666666666701</v>
      </c>
      <c r="K79" s="8">
        <v>30.8</v>
      </c>
    </row>
    <row r="80" spans="1:11" ht="14.5" x14ac:dyDescent="0.25">
      <c r="A80" s="3" t="s">
        <v>1373</v>
      </c>
      <c r="B80" s="4">
        <v>8</v>
      </c>
      <c r="C80" s="4">
        <v>8</v>
      </c>
      <c r="D80" s="5">
        <v>9.3333333333333197</v>
      </c>
      <c r="E80" s="5">
        <v>20.533333333333299</v>
      </c>
      <c r="F80" s="5">
        <v>16.8</v>
      </c>
      <c r="G80" s="6">
        <v>44</v>
      </c>
      <c r="H80" s="7">
        <v>32</v>
      </c>
      <c r="I80" s="8">
        <v>25.2</v>
      </c>
      <c r="J80" s="8">
        <v>22.4</v>
      </c>
      <c r="K80" s="8">
        <v>18.6666666666667</v>
      </c>
    </row>
    <row r="81" spans="1:11" ht="14.5" x14ac:dyDescent="0.25">
      <c r="A81" s="3" t="s">
        <v>1374</v>
      </c>
      <c r="B81" s="4">
        <v>16</v>
      </c>
      <c r="C81" s="4">
        <v>8</v>
      </c>
      <c r="D81" s="5">
        <v>5.6</v>
      </c>
      <c r="E81" s="5">
        <v>12.133333333333301</v>
      </c>
      <c r="F81" s="5">
        <v>5.6</v>
      </c>
      <c r="G81" s="6">
        <v>8</v>
      </c>
      <c r="H81" s="7">
        <v>16</v>
      </c>
      <c r="I81" s="8">
        <v>18.6666666666667</v>
      </c>
      <c r="J81" s="8">
        <v>8.4</v>
      </c>
      <c r="K81" s="8">
        <v>30.8</v>
      </c>
    </row>
    <row r="82" spans="1:11" ht="14.5" x14ac:dyDescent="0.25">
      <c r="A82" s="3" t="s">
        <v>1375</v>
      </c>
      <c r="B82" s="4">
        <v>16</v>
      </c>
      <c r="C82" s="4">
        <v>0</v>
      </c>
      <c r="D82" s="5">
        <v>7.4666666666666801</v>
      </c>
      <c r="E82" s="5">
        <v>9.3333333333333197</v>
      </c>
      <c r="F82" s="5">
        <v>12.133333333333301</v>
      </c>
      <c r="G82" s="6">
        <v>0</v>
      </c>
      <c r="H82" s="7">
        <v>12</v>
      </c>
      <c r="I82" s="8">
        <v>15.866666666666699</v>
      </c>
      <c r="J82" s="8">
        <v>28</v>
      </c>
      <c r="K82" s="8">
        <v>5.6</v>
      </c>
    </row>
    <row r="83" spans="1:11" ht="14.5" x14ac:dyDescent="0.25">
      <c r="A83" s="3" t="s">
        <v>1376</v>
      </c>
      <c r="B83" s="4">
        <v>40</v>
      </c>
      <c r="C83" s="4">
        <v>28</v>
      </c>
      <c r="D83" s="5">
        <v>42.933333333333202</v>
      </c>
      <c r="E83" s="5">
        <v>40.133333333333198</v>
      </c>
      <c r="F83" s="5">
        <v>15.866666666666699</v>
      </c>
      <c r="G83" s="6">
        <v>12</v>
      </c>
      <c r="H83" s="7">
        <v>24</v>
      </c>
      <c r="I83" s="8">
        <v>26.133333333333301</v>
      </c>
      <c r="J83" s="8">
        <v>31.733333333333299</v>
      </c>
      <c r="K83" s="8">
        <v>40.133333333333198</v>
      </c>
    </row>
    <row r="84" spans="1:11" ht="14.5" x14ac:dyDescent="0.25">
      <c r="A84" s="3" t="s">
        <v>1377</v>
      </c>
      <c r="B84" s="4">
        <v>12</v>
      </c>
      <c r="C84" s="4">
        <v>12</v>
      </c>
      <c r="D84" s="5">
        <v>5.6</v>
      </c>
      <c r="E84" s="5">
        <v>23.3333333333333</v>
      </c>
      <c r="F84" s="5">
        <v>22.4</v>
      </c>
      <c r="G84" s="6">
        <v>8</v>
      </c>
      <c r="H84" s="7">
        <v>12</v>
      </c>
      <c r="I84" s="8">
        <v>14</v>
      </c>
      <c r="J84" s="8">
        <v>18.6666666666667</v>
      </c>
      <c r="K84" s="8">
        <v>23.3333333333333</v>
      </c>
    </row>
    <row r="85" spans="1:11" ht="14.5" x14ac:dyDescent="0.25">
      <c r="A85" s="3" t="s">
        <v>1378</v>
      </c>
      <c r="B85" s="4">
        <v>8</v>
      </c>
      <c r="C85" s="4">
        <v>12</v>
      </c>
      <c r="D85" s="5">
        <v>13.0666666666667</v>
      </c>
      <c r="E85" s="5">
        <v>21.466666666666701</v>
      </c>
      <c r="F85" s="5">
        <v>20.533333333333299</v>
      </c>
      <c r="G85" s="6">
        <v>28</v>
      </c>
      <c r="H85" s="7">
        <v>40</v>
      </c>
      <c r="I85" s="8">
        <v>42.933333333333202</v>
      </c>
      <c r="J85" s="8">
        <v>53.2</v>
      </c>
      <c r="K85" s="8">
        <v>41.066666666666798</v>
      </c>
    </row>
    <row r="86" spans="1:11" ht="14.5" x14ac:dyDescent="0.25">
      <c r="A86" s="3" t="s">
        <v>1379</v>
      </c>
      <c r="B86" s="4">
        <v>20</v>
      </c>
      <c r="C86" s="4">
        <v>8</v>
      </c>
      <c r="D86" s="5">
        <v>7.4666666666666801</v>
      </c>
      <c r="E86" s="5">
        <v>9.3333333333333197</v>
      </c>
      <c r="F86" s="5">
        <v>9.3333333333333197</v>
      </c>
      <c r="G86" s="6">
        <v>28</v>
      </c>
      <c r="H86" s="7">
        <v>24</v>
      </c>
      <c r="I86" s="8">
        <v>15.866666666666699</v>
      </c>
      <c r="J86" s="8">
        <v>0.93333333333333202</v>
      </c>
      <c r="K86" s="8">
        <v>30.8</v>
      </c>
    </row>
    <row r="87" spans="1:11" ht="14.5" x14ac:dyDescent="0.25">
      <c r="A87" s="3" t="s">
        <v>1380</v>
      </c>
      <c r="B87" s="4">
        <v>8</v>
      </c>
      <c r="C87" s="4">
        <v>0</v>
      </c>
      <c r="D87" s="5">
        <v>5.6</v>
      </c>
      <c r="E87" s="5">
        <v>12.133333333333301</v>
      </c>
      <c r="F87" s="5">
        <v>13.0666666666667</v>
      </c>
      <c r="G87" s="6">
        <v>0</v>
      </c>
      <c r="H87" s="7">
        <v>12</v>
      </c>
      <c r="I87" s="8">
        <v>47.6</v>
      </c>
      <c r="J87" s="8">
        <v>27.066666666666698</v>
      </c>
      <c r="K87" s="8">
        <v>22.4</v>
      </c>
    </row>
    <row r="88" spans="1:11" ht="14.5" x14ac:dyDescent="0.25">
      <c r="A88" s="9" t="s">
        <v>1381</v>
      </c>
      <c r="B88" s="10">
        <v>520</v>
      </c>
      <c r="C88" s="10">
        <v>440</v>
      </c>
      <c r="D88" s="11">
        <v>664.53333333333205</v>
      </c>
      <c r="E88" s="11">
        <v>785.86666666666804</v>
      </c>
      <c r="F88" s="11">
        <v>832.53333333333205</v>
      </c>
      <c r="G88" s="12">
        <v>1708</v>
      </c>
      <c r="H88" s="10">
        <v>1324</v>
      </c>
      <c r="I88" s="11">
        <v>1568</v>
      </c>
      <c r="J88" s="11">
        <v>1675.3333333333301</v>
      </c>
      <c r="K88" s="11">
        <v>2048.6666666666702</v>
      </c>
    </row>
    <row r="89" spans="1:11" ht="14.5" x14ac:dyDescent="0.25">
      <c r="A89" s="3" t="s">
        <v>1382</v>
      </c>
      <c r="B89" s="4">
        <v>12</v>
      </c>
      <c r="C89" s="4">
        <v>8</v>
      </c>
      <c r="D89" s="5">
        <v>9.3333333333333197</v>
      </c>
      <c r="E89" s="5">
        <v>14</v>
      </c>
      <c r="F89" s="5">
        <v>23.3333333333333</v>
      </c>
      <c r="G89" s="6">
        <v>8</v>
      </c>
      <c r="H89" s="7">
        <v>4</v>
      </c>
      <c r="I89" s="8">
        <v>23.3333333333333</v>
      </c>
      <c r="J89" s="8">
        <v>20.533333333333299</v>
      </c>
      <c r="K89" s="8">
        <v>10.266666666666699</v>
      </c>
    </row>
    <row r="90" spans="1:11" ht="14.5" x14ac:dyDescent="0.25">
      <c r="A90" s="13" t="s">
        <v>1383</v>
      </c>
      <c r="B90" s="4">
        <v>96</v>
      </c>
      <c r="C90" s="4">
        <v>88</v>
      </c>
      <c r="D90" s="5">
        <v>53.2</v>
      </c>
      <c r="E90" s="5">
        <v>82.133333333333198</v>
      </c>
      <c r="F90" s="5">
        <v>47.6</v>
      </c>
      <c r="G90" s="6">
        <v>12</v>
      </c>
      <c r="H90" s="7">
        <v>24</v>
      </c>
      <c r="I90" s="8">
        <v>35.466666666666697</v>
      </c>
      <c r="J90" s="8">
        <v>54.133333333333198</v>
      </c>
      <c r="K90" s="8">
        <v>14</v>
      </c>
    </row>
    <row r="91" spans="1:11" ht="14.5" x14ac:dyDescent="0.25">
      <c r="A91" s="13" t="s">
        <v>1384</v>
      </c>
      <c r="B91" s="4">
        <v>12</v>
      </c>
      <c r="C91" s="4">
        <v>8</v>
      </c>
      <c r="D91" s="5">
        <v>10.266666666666699</v>
      </c>
      <c r="E91" s="5">
        <v>17.733333333333299</v>
      </c>
      <c r="F91" s="5">
        <v>7.4666666666666801</v>
      </c>
      <c r="G91" s="6">
        <v>20</v>
      </c>
      <c r="H91" s="7">
        <v>8</v>
      </c>
      <c r="I91" s="8">
        <v>30.8</v>
      </c>
      <c r="J91" s="8">
        <v>25.2</v>
      </c>
      <c r="K91" s="8">
        <v>10.266666666666699</v>
      </c>
    </row>
    <row r="92" spans="1:11" ht="14.5" x14ac:dyDescent="0.25">
      <c r="A92" s="13" t="s">
        <v>1385</v>
      </c>
      <c r="B92" s="4">
        <v>8</v>
      </c>
      <c r="C92" s="4">
        <v>12</v>
      </c>
      <c r="D92" s="5">
        <v>8.4</v>
      </c>
      <c r="E92" s="5">
        <v>9.3333333333333197</v>
      </c>
      <c r="F92" s="5">
        <v>5.6</v>
      </c>
      <c r="G92" s="6">
        <v>16</v>
      </c>
      <c r="H92" s="7">
        <v>8</v>
      </c>
      <c r="I92" s="8">
        <v>16.8</v>
      </c>
      <c r="J92" s="8">
        <v>29.866666666666699</v>
      </c>
      <c r="K92" s="8">
        <v>33.6</v>
      </c>
    </row>
    <row r="93" spans="1:11" ht="14.5" x14ac:dyDescent="0.25">
      <c r="A93" s="13" t="s">
        <v>1386</v>
      </c>
      <c r="B93" s="4">
        <v>20</v>
      </c>
      <c r="C93" s="4">
        <v>12</v>
      </c>
      <c r="D93" s="5">
        <v>12.133333333333301</v>
      </c>
      <c r="E93" s="5">
        <v>26.133333333333301</v>
      </c>
      <c r="F93" s="5">
        <v>10.266666666666699</v>
      </c>
      <c r="G93" s="6">
        <v>4</v>
      </c>
      <c r="H93" s="7">
        <v>8</v>
      </c>
      <c r="I93" s="8">
        <v>18.6666666666667</v>
      </c>
      <c r="J93" s="8">
        <v>33.6</v>
      </c>
      <c r="K93" s="8">
        <v>33.6</v>
      </c>
    </row>
    <row r="96" spans="1:11" ht="14.5" x14ac:dyDescent="0.25">
      <c r="A96" s="218" t="s">
        <v>1394</v>
      </c>
    </row>
  </sheetData>
  <mergeCells count="1">
    <mergeCell ref="A1:K1"/>
  </mergeCells>
  <phoneticPr fontId="34" type="noConversion"/>
  <conditionalFormatting sqref="A4:A93 A96">
    <cfRule type="duplicateValues" dxfId="2" priority="3"/>
  </conditionalFormatting>
  <conditionalFormatting sqref="B3:F3">
    <cfRule type="duplicateValues" dxfId="1" priority="2"/>
  </conditionalFormatting>
  <conditionalFormatting sqref="G3:K3">
    <cfRule type="duplicateValues" dxfId="0" priority="1"/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B3614-8AD5-4E04-A0D9-48CDB21496A8}">
  <dimension ref="B2:U69"/>
  <sheetViews>
    <sheetView zoomScale="112" zoomScaleNormal="112" workbookViewId="0">
      <selection activeCell="I45" sqref="I45"/>
    </sheetView>
  </sheetViews>
  <sheetFormatPr defaultRowHeight="14.5" x14ac:dyDescent="0.35"/>
  <cols>
    <col min="1" max="1" width="8.7265625" style="219"/>
    <col min="2" max="2" width="3.54296875" style="219" customWidth="1"/>
    <col min="3" max="3" width="34.26953125" style="219" customWidth="1"/>
    <col min="4" max="4" width="11.26953125" style="219" bestFit="1" customWidth="1"/>
    <col min="5" max="5" width="11.54296875" style="219" customWidth="1"/>
    <col min="6" max="6" width="1.26953125" style="219" customWidth="1"/>
    <col min="7" max="7" width="11.54296875" style="219" customWidth="1"/>
    <col min="8" max="8" width="11.26953125" style="219" bestFit="1" customWidth="1"/>
    <col min="9" max="9" width="11.1796875" style="219" bestFit="1" customWidth="1"/>
    <col min="10" max="10" width="11.26953125" style="219" bestFit="1" customWidth="1"/>
    <col min="11" max="12" width="11.1796875" style="219" bestFit="1" customWidth="1"/>
    <col min="13" max="13" width="11.1796875" style="219" hidden="1" customWidth="1"/>
    <col min="14" max="15" width="11.1796875" style="219" bestFit="1" customWidth="1"/>
    <col min="16" max="16" width="9.54296875" style="219" bestFit="1" customWidth="1"/>
    <col min="17" max="17" width="0.6328125" style="219" customWidth="1"/>
    <col min="18" max="18" width="9.54296875" style="219" bestFit="1" customWidth="1"/>
    <col min="19" max="20" width="10.36328125" style="219" bestFit="1" customWidth="1"/>
    <col min="21" max="21" width="11.1796875" style="219" bestFit="1" customWidth="1"/>
    <col min="22" max="22" width="9.6328125" style="219" customWidth="1"/>
    <col min="23" max="16384" width="8.7265625" style="219"/>
  </cols>
  <sheetData>
    <row r="2" spans="2:21" ht="49" hidden="1" customHeight="1" x14ac:dyDescent="0.35">
      <c r="C2" s="248" t="s">
        <v>1431</v>
      </c>
      <c r="E2" s="288" t="s">
        <v>1430</v>
      </c>
      <c r="O2" s="288" t="s">
        <v>1429</v>
      </c>
      <c r="S2" s="288" t="s">
        <v>1428</v>
      </c>
    </row>
    <row r="3" spans="2:21" hidden="1" x14ac:dyDescent="0.35">
      <c r="B3" s="287"/>
      <c r="C3" s="286" t="s">
        <v>1427</v>
      </c>
      <c r="D3" s="285" t="s">
        <v>1411</v>
      </c>
      <c r="E3" s="285"/>
      <c r="F3" s="285"/>
      <c r="G3" s="285"/>
      <c r="H3" s="285"/>
      <c r="I3" s="285"/>
      <c r="J3" s="285"/>
      <c r="K3" s="285"/>
      <c r="L3" s="285"/>
      <c r="M3" s="285"/>
      <c r="N3" s="285"/>
      <c r="O3" s="285"/>
      <c r="P3" s="284"/>
      <c r="Q3" s="283"/>
      <c r="R3" s="282" t="s">
        <v>1426</v>
      </c>
      <c r="S3" s="281"/>
      <c r="T3" s="281"/>
      <c r="U3" s="280"/>
    </row>
    <row r="4" spans="2:21" hidden="1" x14ac:dyDescent="0.35">
      <c r="B4" s="279"/>
      <c r="C4" s="278"/>
      <c r="D4" s="232" t="s">
        <v>1425</v>
      </c>
      <c r="E4" s="232" t="s">
        <v>4</v>
      </c>
      <c r="F4" s="232" t="s">
        <v>5</v>
      </c>
      <c r="G4" s="232" t="s">
        <v>6</v>
      </c>
      <c r="H4" s="232" t="s">
        <v>7</v>
      </c>
      <c r="I4" s="232" t="s">
        <v>8</v>
      </c>
      <c r="J4" s="232" t="s">
        <v>9</v>
      </c>
      <c r="K4" s="232" t="s">
        <v>10</v>
      </c>
      <c r="L4" s="232" t="s">
        <v>11</v>
      </c>
      <c r="M4" s="232" t="s">
        <v>12</v>
      </c>
      <c r="N4" s="232" t="s">
        <v>13</v>
      </c>
      <c r="O4" s="232" t="s">
        <v>14</v>
      </c>
      <c r="P4" s="276" t="s">
        <v>1424</v>
      </c>
      <c r="Q4" s="235"/>
      <c r="R4" s="277" t="s">
        <v>1425</v>
      </c>
      <c r="S4" s="232" t="s">
        <v>4</v>
      </c>
      <c r="T4" s="232" t="s">
        <v>5</v>
      </c>
      <c r="U4" s="276" t="s">
        <v>1424</v>
      </c>
    </row>
    <row r="5" spans="2:21" hidden="1" x14ac:dyDescent="0.35">
      <c r="B5" s="264">
        <v>1</v>
      </c>
      <c r="C5" s="275" t="s">
        <v>1423</v>
      </c>
      <c r="D5" s="262">
        <v>32949</v>
      </c>
      <c r="E5" s="262">
        <v>45104</v>
      </c>
      <c r="F5" s="262">
        <v>66511</v>
      </c>
      <c r="G5" s="262">
        <v>62784</v>
      </c>
      <c r="H5" s="262">
        <v>59926</v>
      </c>
      <c r="I5" s="262">
        <v>55786</v>
      </c>
      <c r="J5" s="262">
        <v>59849</v>
      </c>
      <c r="K5" s="262">
        <v>62111</v>
      </c>
      <c r="L5" s="262">
        <v>56351</v>
      </c>
      <c r="M5" s="262">
        <v>41693</v>
      </c>
      <c r="N5" s="262">
        <v>36386</v>
      </c>
      <c r="O5" s="262">
        <v>36887</v>
      </c>
      <c r="P5" s="261">
        <f>SUM(D5:O5)</f>
        <v>616337</v>
      </c>
      <c r="R5" s="263">
        <v>40268</v>
      </c>
      <c r="S5" s="262">
        <v>19300</v>
      </c>
      <c r="T5" s="262">
        <v>48530</v>
      </c>
      <c r="U5" s="261">
        <f>SUM(R5:T5)</f>
        <v>108098</v>
      </c>
    </row>
    <row r="6" spans="2:21" hidden="1" x14ac:dyDescent="0.35">
      <c r="B6" s="264">
        <v>2</v>
      </c>
      <c r="C6" s="250" t="s">
        <v>1421</v>
      </c>
      <c r="D6" s="270">
        <v>-0.21299999999999999</v>
      </c>
      <c r="E6" s="270">
        <v>1.216</v>
      </c>
      <c r="F6" s="270">
        <v>0.26900000000000002</v>
      </c>
      <c r="G6" s="270">
        <v>1.7000000000000001E-2</v>
      </c>
      <c r="H6" s="270">
        <v>-2.3E-2</v>
      </c>
      <c r="I6" s="270">
        <v>-3.5000000000000003E-2</v>
      </c>
      <c r="J6" s="270">
        <v>-0.11600000000000001</v>
      </c>
      <c r="K6" s="270">
        <v>0.08</v>
      </c>
      <c r="L6" s="270">
        <v>0.251</v>
      </c>
      <c r="M6" s="270">
        <v>-0.20300000000000001</v>
      </c>
      <c r="N6" s="270">
        <v>-0.34899999999999998</v>
      </c>
      <c r="O6" s="270">
        <v>-0.309</v>
      </c>
      <c r="P6" s="268">
        <v>-0.01</v>
      </c>
      <c r="R6" s="274">
        <v>0.222</v>
      </c>
      <c r="S6" s="270">
        <v>-0.57099999999999995</v>
      </c>
      <c r="T6" s="270">
        <v>-0.27</v>
      </c>
      <c r="U6" s="268">
        <v>-0.252</v>
      </c>
    </row>
    <row r="7" spans="2:21" hidden="1" x14ac:dyDescent="0.35">
      <c r="B7" s="264">
        <v>3</v>
      </c>
      <c r="C7" s="219" t="s">
        <v>1422</v>
      </c>
      <c r="D7" s="262">
        <f>D9+D16</f>
        <v>1838</v>
      </c>
      <c r="E7" s="262">
        <f>E9+E16</f>
        <v>3110</v>
      </c>
      <c r="F7" s="262">
        <f>F9+F16</f>
        <v>4319</v>
      </c>
      <c r="G7" s="262">
        <f>G9+G16</f>
        <v>4304</v>
      </c>
      <c r="H7" s="262">
        <f>H9+H16</f>
        <v>4197</v>
      </c>
      <c r="I7" s="262">
        <f>I9+I16</f>
        <v>7064</v>
      </c>
      <c r="J7" s="262">
        <f>J9+J16</f>
        <v>4103</v>
      </c>
      <c r="K7" s="262">
        <f>K9+K16</f>
        <v>4937</v>
      </c>
      <c r="L7" s="262">
        <f>L9+L16</f>
        <v>6197</v>
      </c>
      <c r="M7" s="262">
        <f>M9+M16</f>
        <v>5178</v>
      </c>
      <c r="N7" s="262">
        <f>N9+N16</f>
        <v>4755</v>
      </c>
      <c r="O7" s="262">
        <f>O9+O16</f>
        <v>4913</v>
      </c>
      <c r="P7" s="261">
        <f>P9+P16</f>
        <v>55199</v>
      </c>
      <c r="R7" s="263">
        <f>R9+R16</f>
        <v>5139</v>
      </c>
      <c r="S7" s="262">
        <f>S9+S16</f>
        <v>2505</v>
      </c>
      <c r="T7" s="262">
        <f>T9+T16</f>
        <v>7696</v>
      </c>
      <c r="U7" s="261">
        <f>U9+U16</f>
        <v>15340</v>
      </c>
    </row>
    <row r="8" spans="2:21" hidden="1" x14ac:dyDescent="0.35">
      <c r="B8" s="264">
        <v>4</v>
      </c>
      <c r="C8" s="250" t="s">
        <v>1421</v>
      </c>
      <c r="D8" s="270">
        <f>D7/D28-1</f>
        <v>-0.35644257703081228</v>
      </c>
      <c r="E8" s="270">
        <f>E7/E28-1</f>
        <v>0.77309007981755995</v>
      </c>
      <c r="F8" s="270">
        <f>F7/F28-1</f>
        <v>-7.3970840480274469E-2</v>
      </c>
      <c r="G8" s="270">
        <f>G7/G28-1</f>
        <v>-2.0867145838163736E-3</v>
      </c>
      <c r="H8" s="270">
        <f>H7/H28-1</f>
        <v>0.27143289912147828</v>
      </c>
      <c r="I8" s="270">
        <f>I7/I28-1</f>
        <v>1.2735757965883487</v>
      </c>
      <c r="J8" s="270">
        <f>J7/J28-1</f>
        <v>0.1810592976396086</v>
      </c>
      <c r="K8" s="270">
        <f>K7/K28-1</f>
        <v>-0.15664502903997268</v>
      </c>
      <c r="L8" s="270">
        <f>L7/L28-1</f>
        <v>0.30463157894736836</v>
      </c>
      <c r="M8" s="270">
        <f>M7/M28-1</f>
        <v>0.24861345551000724</v>
      </c>
      <c r="N8" s="270">
        <f>N7/N28-1</f>
        <v>0.30631868131868134</v>
      </c>
      <c r="O8" s="269">
        <f>O7/O28-1</f>
        <v>0.80624999999999991</v>
      </c>
      <c r="P8" s="268">
        <f>P7/P28-1</f>
        <v>0.23764573991031379</v>
      </c>
      <c r="Q8" s="273"/>
      <c r="R8" s="267">
        <f>R7/R28-1</f>
        <v>1.795973884657236</v>
      </c>
      <c r="S8" s="272">
        <f>S7/S28-1</f>
        <v>-0.19375603476021885</v>
      </c>
      <c r="T8" s="266">
        <f>T7/T28-1</f>
        <v>0.7802452000925284</v>
      </c>
      <c r="U8" s="265">
        <f>U7/U28-1</f>
        <v>0.64310197086546705</v>
      </c>
    </row>
    <row r="9" spans="2:21" hidden="1" x14ac:dyDescent="0.35">
      <c r="B9" s="264">
        <v>5</v>
      </c>
      <c r="C9" s="219" t="s">
        <v>1418</v>
      </c>
      <c r="D9" s="271">
        <f>SUM(D12:D14)</f>
        <v>38</v>
      </c>
      <c r="E9" s="271">
        <f>SUM(E12:E14)</f>
        <v>51</v>
      </c>
      <c r="F9" s="271">
        <f>SUM(F12:F14)</f>
        <v>45</v>
      </c>
      <c r="G9" s="271">
        <f>SUM(G12:G14)</f>
        <v>32</v>
      </c>
      <c r="H9" s="271">
        <f>SUM(H12:H14)</f>
        <v>44</v>
      </c>
      <c r="I9" s="271">
        <f>SUM(I12:I14)</f>
        <v>57</v>
      </c>
      <c r="J9" s="271">
        <f>SUM(J12:J14)</f>
        <v>49</v>
      </c>
      <c r="K9" s="271">
        <f>SUM(K12:K14)</f>
        <v>57</v>
      </c>
      <c r="L9" s="271">
        <f>SUM(L12:L14)</f>
        <v>57</v>
      </c>
      <c r="M9" s="271">
        <f>SUM(M12:M14)</f>
        <v>67</v>
      </c>
      <c r="N9" s="271">
        <f>SUM(N12:N14)</f>
        <v>65</v>
      </c>
      <c r="O9" s="271">
        <f>SUM(O12:O14)</f>
        <v>67</v>
      </c>
      <c r="P9" s="271">
        <f>SUM(P12:P14)</f>
        <v>629</v>
      </c>
      <c r="R9" s="263">
        <f>SUM(R11:R14)</f>
        <v>174</v>
      </c>
      <c r="S9" s="262">
        <f>SUM(S11:S14)</f>
        <v>117</v>
      </c>
      <c r="T9" s="262">
        <f>SUM(T11:T14)</f>
        <v>425</v>
      </c>
      <c r="U9" s="261">
        <f>SUM(U11:U14)</f>
        <v>716</v>
      </c>
    </row>
    <row r="10" spans="2:21" hidden="1" x14ac:dyDescent="0.35">
      <c r="B10" s="264"/>
      <c r="D10" s="271"/>
      <c r="E10" s="271"/>
      <c r="F10" s="271"/>
      <c r="G10" s="271"/>
      <c r="H10" s="271"/>
      <c r="I10" s="271"/>
      <c r="J10" s="271"/>
      <c r="K10" s="271"/>
      <c r="L10" s="271"/>
      <c r="M10" s="271"/>
      <c r="N10" s="271"/>
      <c r="O10" s="271"/>
      <c r="P10" s="261"/>
      <c r="R10" s="263"/>
      <c r="S10" s="262"/>
      <c r="T10" s="262"/>
      <c r="U10" s="261"/>
    </row>
    <row r="11" spans="2:21" hidden="1" x14ac:dyDescent="0.35">
      <c r="B11" s="264">
        <v>6</v>
      </c>
      <c r="C11" s="245" t="s">
        <v>1417</v>
      </c>
      <c r="D11" s="271">
        <v>14</v>
      </c>
      <c r="E11" s="271">
        <v>13</v>
      </c>
      <c r="F11" s="271">
        <v>41</v>
      </c>
      <c r="G11" s="271">
        <v>31</v>
      </c>
      <c r="H11" s="271">
        <v>30</v>
      </c>
      <c r="I11" s="271">
        <v>50</v>
      </c>
      <c r="J11" s="271">
        <v>86</v>
      </c>
      <c r="K11" s="271">
        <v>69</v>
      </c>
      <c r="L11" s="271">
        <v>75</v>
      </c>
      <c r="M11" s="271">
        <v>69</v>
      </c>
      <c r="N11" s="271">
        <v>52</v>
      </c>
      <c r="O11" s="271">
        <v>86</v>
      </c>
      <c r="P11" s="261">
        <f>SUM(D11:O11)</f>
        <v>616</v>
      </c>
      <c r="R11" s="263">
        <v>91</v>
      </c>
      <c r="S11" s="262">
        <v>66</v>
      </c>
      <c r="T11" s="262">
        <v>179</v>
      </c>
      <c r="U11" s="261">
        <f>SUM(R11:T11)</f>
        <v>336</v>
      </c>
    </row>
    <row r="12" spans="2:21" hidden="1" x14ac:dyDescent="0.35">
      <c r="B12" s="264">
        <v>7</v>
      </c>
      <c r="C12" s="245" t="s">
        <v>1414</v>
      </c>
      <c r="D12" s="271">
        <v>38</v>
      </c>
      <c r="E12" s="271">
        <v>48</v>
      </c>
      <c r="F12" s="271">
        <v>45</v>
      </c>
      <c r="G12" s="271">
        <v>31</v>
      </c>
      <c r="H12" s="271">
        <v>37</v>
      </c>
      <c r="I12" s="271">
        <v>51</v>
      </c>
      <c r="J12" s="271">
        <v>46</v>
      </c>
      <c r="K12" s="271">
        <v>50</v>
      </c>
      <c r="L12" s="271">
        <v>52</v>
      </c>
      <c r="M12" s="271">
        <v>56</v>
      </c>
      <c r="N12" s="271">
        <v>61</v>
      </c>
      <c r="O12" s="271">
        <v>60</v>
      </c>
      <c r="P12" s="261">
        <f>SUM(D12:O12)</f>
        <v>575</v>
      </c>
      <c r="R12" s="263">
        <v>76</v>
      </c>
      <c r="S12" s="262">
        <v>43</v>
      </c>
      <c r="T12" s="262">
        <v>81</v>
      </c>
      <c r="U12" s="261">
        <f>SUM(R12:T12)</f>
        <v>200</v>
      </c>
    </row>
    <row r="13" spans="2:21" hidden="1" x14ac:dyDescent="0.35">
      <c r="B13" s="264">
        <v>8</v>
      </c>
      <c r="C13" s="245" t="s">
        <v>1413</v>
      </c>
      <c r="D13" s="271">
        <v>0</v>
      </c>
      <c r="E13" s="271">
        <v>3</v>
      </c>
      <c r="F13" s="271">
        <v>0</v>
      </c>
      <c r="G13" s="271">
        <v>1</v>
      </c>
      <c r="H13" s="271">
        <v>5</v>
      </c>
      <c r="I13" s="271">
        <v>4</v>
      </c>
      <c r="J13" s="271">
        <v>1</v>
      </c>
      <c r="K13" s="271">
        <v>2</v>
      </c>
      <c r="L13" s="271">
        <v>3</v>
      </c>
      <c r="M13" s="271">
        <v>6</v>
      </c>
      <c r="N13" s="271">
        <v>4</v>
      </c>
      <c r="O13" s="271">
        <v>5</v>
      </c>
      <c r="P13" s="261">
        <f>SUM(D13:O13)</f>
        <v>34</v>
      </c>
      <c r="R13" s="263">
        <v>6</v>
      </c>
      <c r="S13" s="262">
        <v>6</v>
      </c>
      <c r="T13" s="262">
        <v>82</v>
      </c>
      <c r="U13" s="261">
        <f>SUM(R13:T13)</f>
        <v>94</v>
      </c>
    </row>
    <row r="14" spans="2:21" hidden="1" x14ac:dyDescent="0.35">
      <c r="B14" s="264">
        <v>9</v>
      </c>
      <c r="C14" s="245" t="s">
        <v>1412</v>
      </c>
      <c r="D14" s="271">
        <v>0</v>
      </c>
      <c r="E14" s="271">
        <v>0</v>
      </c>
      <c r="F14" s="271">
        <v>0</v>
      </c>
      <c r="G14" s="271">
        <v>0</v>
      </c>
      <c r="H14" s="271">
        <v>2</v>
      </c>
      <c r="I14" s="271">
        <v>2</v>
      </c>
      <c r="J14" s="271">
        <v>2</v>
      </c>
      <c r="K14" s="271">
        <v>5</v>
      </c>
      <c r="L14" s="271">
        <v>2</v>
      </c>
      <c r="M14" s="271">
        <v>5</v>
      </c>
      <c r="N14" s="271">
        <v>0</v>
      </c>
      <c r="O14" s="271">
        <v>2</v>
      </c>
      <c r="P14" s="261">
        <f>SUM(D14:O14)</f>
        <v>20</v>
      </c>
      <c r="R14" s="263">
        <v>1</v>
      </c>
      <c r="S14" s="262">
        <v>2</v>
      </c>
      <c r="T14" s="262">
        <v>83</v>
      </c>
      <c r="U14" s="261">
        <f>SUM(R14:T14)</f>
        <v>86</v>
      </c>
    </row>
    <row r="15" spans="2:21" hidden="1" x14ac:dyDescent="0.35">
      <c r="B15" s="264">
        <v>10</v>
      </c>
      <c r="C15" s="250" t="s">
        <v>1421</v>
      </c>
      <c r="D15" s="270">
        <f>D9/D29-1</f>
        <v>37</v>
      </c>
      <c r="E15" s="270">
        <f>E9/E29-1</f>
        <v>50</v>
      </c>
      <c r="F15" s="270">
        <f>F9/F29-1</f>
        <v>44</v>
      </c>
      <c r="G15" s="270">
        <f>G9/G29-1</f>
        <v>31</v>
      </c>
      <c r="H15" s="270">
        <f>H9/H29-1</f>
        <v>43</v>
      </c>
      <c r="I15" s="270">
        <f>I9/I29-1</f>
        <v>13.25</v>
      </c>
      <c r="J15" s="270">
        <f>J9/J29-1</f>
        <v>6</v>
      </c>
      <c r="K15" s="270">
        <f>K9/K29-1</f>
        <v>4.7</v>
      </c>
      <c r="L15" s="270">
        <f>L9/L29-1</f>
        <v>1.2799999999999998</v>
      </c>
      <c r="M15" s="270">
        <f>M9/M29-1</f>
        <v>1.161290322580645</v>
      </c>
      <c r="N15" s="270">
        <f>N9/N29-1</f>
        <v>0.91176470588235303</v>
      </c>
      <c r="O15" s="269">
        <f>O9/O29-1</f>
        <v>0.63414634146341453</v>
      </c>
      <c r="P15" s="268">
        <f>P9/P29-1</f>
        <v>3.0320512820512819</v>
      </c>
      <c r="R15" s="267">
        <f>R9/R29-1</f>
        <v>3.5789473684210522</v>
      </c>
      <c r="S15" s="266">
        <f>S9/S29-1</f>
        <v>1.2941176470588234</v>
      </c>
      <c r="T15" s="266">
        <f>T9/T29-1</f>
        <v>8.4444444444444446</v>
      </c>
      <c r="U15" s="265">
        <f>U9/U29-1</f>
        <v>2.5445544554455446</v>
      </c>
    </row>
    <row r="16" spans="2:21" hidden="1" x14ac:dyDescent="0.35">
      <c r="B16" s="264">
        <v>11</v>
      </c>
      <c r="C16" s="219" t="s">
        <v>1416</v>
      </c>
      <c r="D16" s="262">
        <f>SUM(D17:D19)</f>
        <v>1800</v>
      </c>
      <c r="E16" s="262">
        <f>SUM(E17:E19)</f>
        <v>3059</v>
      </c>
      <c r="F16" s="262">
        <f>SUM(F17:F19)</f>
        <v>4274</v>
      </c>
      <c r="G16" s="262">
        <f>SUM(G17:G19)</f>
        <v>4272</v>
      </c>
      <c r="H16" s="262">
        <f>SUM(H17:H19)</f>
        <v>4153</v>
      </c>
      <c r="I16" s="262">
        <f>SUM(I17:I19)</f>
        <v>7007</v>
      </c>
      <c r="J16" s="262">
        <f>SUM(J17:J19)</f>
        <v>4054</v>
      </c>
      <c r="K16" s="262">
        <f>SUM(K17:K19)</f>
        <v>4880</v>
      </c>
      <c r="L16" s="262">
        <f>SUM(L17:L19)</f>
        <v>6140</v>
      </c>
      <c r="M16" s="262">
        <f>SUM(M17:M19)</f>
        <v>5111</v>
      </c>
      <c r="N16" s="262">
        <f>SUM(N17:N19)</f>
        <v>4690</v>
      </c>
      <c r="O16" s="262">
        <f>SUM(O17:O19)</f>
        <v>4846</v>
      </c>
      <c r="P16" s="261">
        <f>SUM(P17:P19)</f>
        <v>54570</v>
      </c>
      <c r="R16" s="263">
        <f>SUM(R17:R19)</f>
        <v>4965</v>
      </c>
      <c r="S16" s="262">
        <f>SUM(S17:S19)</f>
        <v>2388</v>
      </c>
      <c r="T16" s="262">
        <f>SUM(T17:T19)</f>
        <v>7271</v>
      </c>
      <c r="U16" s="261">
        <f>SUM(U17:U19)</f>
        <v>14624</v>
      </c>
    </row>
    <row r="17" spans="2:21" hidden="1" x14ac:dyDescent="0.35">
      <c r="B17" s="264">
        <v>12</v>
      </c>
      <c r="C17" s="245" t="s">
        <v>1414</v>
      </c>
      <c r="D17" s="262">
        <v>1445</v>
      </c>
      <c r="E17" s="262">
        <v>2589</v>
      </c>
      <c r="F17" s="262">
        <v>3587</v>
      </c>
      <c r="G17" s="262">
        <v>3268</v>
      </c>
      <c r="H17" s="262">
        <v>3286</v>
      </c>
      <c r="I17" s="262">
        <v>4941</v>
      </c>
      <c r="J17" s="262">
        <v>3142</v>
      </c>
      <c r="K17" s="262">
        <v>3835</v>
      </c>
      <c r="L17" s="262">
        <v>4873</v>
      </c>
      <c r="M17" s="262">
        <v>4054</v>
      </c>
      <c r="N17" s="262">
        <v>3834</v>
      </c>
      <c r="O17" s="262">
        <v>3699</v>
      </c>
      <c r="P17" s="261">
        <v>42772</v>
      </c>
      <c r="R17" s="263">
        <v>3878</v>
      </c>
      <c r="S17" s="262">
        <v>1809</v>
      </c>
      <c r="T17" s="262">
        <v>5875</v>
      </c>
      <c r="U17" s="261">
        <f>SUM(R17:T17)</f>
        <v>11562</v>
      </c>
    </row>
    <row r="18" spans="2:21" hidden="1" x14ac:dyDescent="0.35">
      <c r="B18" s="264">
        <v>13</v>
      </c>
      <c r="C18" s="245" t="s">
        <v>1413</v>
      </c>
      <c r="D18" s="262">
        <v>309</v>
      </c>
      <c r="E18" s="262">
        <v>381</v>
      </c>
      <c r="F18" s="262">
        <v>553</v>
      </c>
      <c r="G18" s="262">
        <v>839</v>
      </c>
      <c r="H18" s="262">
        <v>690</v>
      </c>
      <c r="I18" s="262">
        <v>1339</v>
      </c>
      <c r="J18" s="262">
        <v>830</v>
      </c>
      <c r="K18" s="262">
        <v>986</v>
      </c>
      <c r="L18" s="262">
        <v>1008</v>
      </c>
      <c r="M18" s="262">
        <v>789</v>
      </c>
      <c r="N18" s="262">
        <v>665</v>
      </c>
      <c r="O18" s="262">
        <v>902</v>
      </c>
      <c r="P18" s="261">
        <v>9350</v>
      </c>
      <c r="R18" s="263">
        <v>765</v>
      </c>
      <c r="S18" s="262">
        <v>448</v>
      </c>
      <c r="T18" s="262">
        <v>1125</v>
      </c>
      <c r="U18" s="261">
        <f>SUM(R18:T18)</f>
        <v>2338</v>
      </c>
    </row>
    <row r="19" spans="2:21" hidden="1" x14ac:dyDescent="0.35">
      <c r="B19" s="264">
        <v>14</v>
      </c>
      <c r="C19" s="245" t="s">
        <v>1412</v>
      </c>
      <c r="D19" s="262">
        <v>46</v>
      </c>
      <c r="E19" s="262">
        <v>89</v>
      </c>
      <c r="F19" s="262">
        <v>134</v>
      </c>
      <c r="G19" s="262">
        <v>165</v>
      </c>
      <c r="H19" s="262">
        <v>177</v>
      </c>
      <c r="I19" s="262">
        <v>727</v>
      </c>
      <c r="J19" s="262">
        <v>82</v>
      </c>
      <c r="K19" s="262">
        <v>59</v>
      </c>
      <c r="L19" s="262">
        <v>259</v>
      </c>
      <c r="M19" s="262">
        <v>268</v>
      </c>
      <c r="N19" s="262">
        <v>191</v>
      </c>
      <c r="O19" s="262">
        <v>245</v>
      </c>
      <c r="P19" s="261">
        <v>2448</v>
      </c>
      <c r="R19" s="263">
        <v>322</v>
      </c>
      <c r="S19" s="262">
        <v>131</v>
      </c>
      <c r="T19" s="262">
        <v>271</v>
      </c>
      <c r="U19" s="261">
        <f>SUM(R19:T19)</f>
        <v>724</v>
      </c>
    </row>
    <row r="20" spans="2:21" hidden="1" x14ac:dyDescent="0.35">
      <c r="B20" s="260">
        <v>15</v>
      </c>
      <c r="C20" s="259" t="s">
        <v>1421</v>
      </c>
      <c r="D20" s="258">
        <f>D16/D35-1</f>
        <v>-0.11807937285644288</v>
      </c>
      <c r="E20" s="258">
        <f>E16/E35-1</f>
        <v>1.4590032154340835</v>
      </c>
      <c r="F20" s="258">
        <f>F16/F35-1</f>
        <v>0.41102674149884444</v>
      </c>
      <c r="G20" s="258">
        <f>G16/G35-1</f>
        <v>0.60480841472577018</v>
      </c>
      <c r="H20" s="258">
        <f>H16/H35-1</f>
        <v>0.84988864142538967</v>
      </c>
      <c r="I20" s="258">
        <f>I16/I35-1</f>
        <v>2.2896713615023474</v>
      </c>
      <c r="J20" s="258">
        <f>J16/J35-1</f>
        <v>0.84272727272727277</v>
      </c>
      <c r="K20" s="258">
        <f>K16/K35-1</f>
        <v>0.28488678251711419</v>
      </c>
      <c r="L20" s="258">
        <f>L16/L35-1</f>
        <v>0.88923076923076927</v>
      </c>
      <c r="M20" s="258">
        <f>M16/M35-1</f>
        <v>0.7557540364136035</v>
      </c>
      <c r="N20" s="258">
        <f>N16/N35-1</f>
        <v>0.6485061511423551</v>
      </c>
      <c r="O20" s="257">
        <f>O16/O35-1</f>
        <v>1.2077448747152619</v>
      </c>
      <c r="P20" s="256">
        <f>P16/P35-1</f>
        <v>0.78555068385576865</v>
      </c>
      <c r="Q20" s="255"/>
      <c r="R20" s="254">
        <f>R16/R34-1</f>
        <v>1.7583333333333333</v>
      </c>
      <c r="S20" s="253">
        <f>S16/S34-1</f>
        <v>-0.21858638743455494</v>
      </c>
      <c r="T20" s="252">
        <f>T16/T34-1</f>
        <v>0.69962599345488541</v>
      </c>
      <c r="U20" s="251">
        <f>U16/U34-1</f>
        <v>0.60105101817385598</v>
      </c>
    </row>
    <row r="21" spans="2:21" hidden="1" x14ac:dyDescent="0.35">
      <c r="B21" s="237">
        <v>16</v>
      </c>
      <c r="C21" s="219" t="s">
        <v>1415</v>
      </c>
      <c r="D21" s="244">
        <f>SUM(D22:D24)</f>
        <v>8201</v>
      </c>
      <c r="E21" s="244">
        <f>SUM(E22:E24)</f>
        <v>11600</v>
      </c>
      <c r="F21" s="244">
        <f>SUM(F22:F24)</f>
        <v>16490</v>
      </c>
      <c r="G21" s="244">
        <f>SUM(G22:G24)</f>
        <v>15568</v>
      </c>
      <c r="H21" s="244">
        <f>SUM(H22:H24)</f>
        <v>15121</v>
      </c>
      <c r="I21" s="244">
        <f>SUM(I22:I24)</f>
        <v>14728</v>
      </c>
      <c r="J21" s="244">
        <f>SUM(J22:J24)</f>
        <v>16711</v>
      </c>
      <c r="K21" s="244">
        <f>SUM(K22:K24)</f>
        <v>15233</v>
      </c>
      <c r="L21" s="244">
        <f>SUM(L22:L24)</f>
        <v>15533</v>
      </c>
      <c r="M21" s="244">
        <f>SUM(M22:M24)</f>
        <v>11542</v>
      </c>
      <c r="N21" s="244">
        <f>SUM(N22:N24)</f>
        <v>9818</v>
      </c>
      <c r="O21" s="244">
        <f>SUM(O22:O24)</f>
        <v>10168</v>
      </c>
      <c r="P21" s="244">
        <f>SUM(P22:P24)</f>
        <v>160713</v>
      </c>
      <c r="R21" s="244">
        <f>SUM(R22:R24)</f>
        <v>11438</v>
      </c>
      <c r="S21" s="244">
        <f>SUM(S22:S24)</f>
        <v>5318</v>
      </c>
      <c r="T21" s="244">
        <f>SUM(T22:T24)</f>
        <v>13709</v>
      </c>
      <c r="U21" s="244">
        <f>SUM(U22:U24)</f>
        <v>30465</v>
      </c>
    </row>
    <row r="22" spans="2:21" hidden="1" x14ac:dyDescent="0.35">
      <c r="B22" s="237">
        <v>17</v>
      </c>
      <c r="C22" s="245" t="s">
        <v>1414</v>
      </c>
      <c r="D22" s="244">
        <v>7247</v>
      </c>
      <c r="E22" s="244">
        <v>10312</v>
      </c>
      <c r="F22" s="244">
        <v>14710</v>
      </c>
      <c r="G22" s="244">
        <v>12881</v>
      </c>
      <c r="H22" s="244">
        <v>12646</v>
      </c>
      <c r="I22" s="244">
        <v>12339</v>
      </c>
      <c r="J22" s="244">
        <v>13670</v>
      </c>
      <c r="K22" s="244">
        <v>12609</v>
      </c>
      <c r="L22" s="244">
        <v>13038</v>
      </c>
      <c r="M22" s="244">
        <v>9830</v>
      </c>
      <c r="N22" s="244">
        <v>8507</v>
      </c>
      <c r="O22" s="244">
        <v>8491</v>
      </c>
      <c r="P22" s="244">
        <f>SUM(D22:O22)</f>
        <v>136280</v>
      </c>
      <c r="R22" s="244">
        <v>9462</v>
      </c>
      <c r="S22" s="244">
        <v>4306</v>
      </c>
      <c r="T22" s="244">
        <v>11456</v>
      </c>
      <c r="U22" s="244">
        <f>SUM(R22:T22)</f>
        <v>25224</v>
      </c>
    </row>
    <row r="23" spans="2:21" hidden="1" x14ac:dyDescent="0.35">
      <c r="B23" s="237">
        <v>18</v>
      </c>
      <c r="C23" s="245" t="s">
        <v>1413</v>
      </c>
      <c r="D23" s="244">
        <v>785</v>
      </c>
      <c r="E23" s="244">
        <v>967</v>
      </c>
      <c r="F23" s="244">
        <v>1379</v>
      </c>
      <c r="G23" s="244">
        <v>1960</v>
      </c>
      <c r="H23" s="244">
        <v>1748</v>
      </c>
      <c r="I23" s="244">
        <v>1811</v>
      </c>
      <c r="J23" s="244">
        <v>2093</v>
      </c>
      <c r="K23" s="244">
        <v>1781</v>
      </c>
      <c r="L23" s="244">
        <v>1736</v>
      </c>
      <c r="M23" s="244">
        <v>1160</v>
      </c>
      <c r="N23" s="244">
        <v>938</v>
      </c>
      <c r="O23" s="244">
        <v>1146</v>
      </c>
      <c r="P23" s="244">
        <f>SUM(D23:O23)</f>
        <v>17504</v>
      </c>
      <c r="R23" s="244">
        <v>1277</v>
      </c>
      <c r="S23" s="244">
        <v>751</v>
      </c>
      <c r="T23" s="244">
        <v>1677</v>
      </c>
      <c r="U23" s="244">
        <f>SUM(R23:T23)</f>
        <v>3705</v>
      </c>
    </row>
    <row r="24" spans="2:21" hidden="1" x14ac:dyDescent="0.35">
      <c r="B24" s="237">
        <v>19</v>
      </c>
      <c r="C24" s="245" t="s">
        <v>1412</v>
      </c>
      <c r="D24" s="244">
        <v>169</v>
      </c>
      <c r="E24" s="244">
        <v>321</v>
      </c>
      <c r="F24" s="244">
        <v>401</v>
      </c>
      <c r="G24" s="244">
        <v>727</v>
      </c>
      <c r="H24" s="244">
        <v>727</v>
      </c>
      <c r="I24" s="244">
        <v>578</v>
      </c>
      <c r="J24" s="244">
        <v>948</v>
      </c>
      <c r="K24" s="244">
        <v>843</v>
      </c>
      <c r="L24" s="244">
        <v>759</v>
      </c>
      <c r="M24" s="244">
        <v>552</v>
      </c>
      <c r="N24" s="244">
        <v>373</v>
      </c>
      <c r="O24" s="244">
        <v>531</v>
      </c>
      <c r="P24" s="244">
        <f>SUM(D24:O24)</f>
        <v>6929</v>
      </c>
      <c r="R24" s="244">
        <v>699</v>
      </c>
      <c r="S24" s="244">
        <v>261</v>
      </c>
      <c r="T24" s="244">
        <v>576</v>
      </c>
      <c r="U24" s="244">
        <f>SUM(R24:T24)</f>
        <v>1536</v>
      </c>
    </row>
    <row r="25" spans="2:21" hidden="1" x14ac:dyDescent="0.35">
      <c r="B25" s="237">
        <v>20</v>
      </c>
      <c r="C25" s="250" t="s">
        <v>1421</v>
      </c>
      <c r="D25" s="249">
        <f>D21/D38-1</f>
        <v>-0.15610207861699943</v>
      </c>
      <c r="E25" s="249">
        <f>E21/E38-1</f>
        <v>1.3843782117163412</v>
      </c>
      <c r="F25" s="249">
        <f>F21/F38-1</f>
        <v>0.44903339191564151</v>
      </c>
      <c r="G25" s="249">
        <f>G21/G38-1</f>
        <v>9.4873057177016662E-2</v>
      </c>
      <c r="H25" s="249">
        <f>H21/H38-1</f>
        <v>4.6653284418910479E-2</v>
      </c>
      <c r="I25" s="249">
        <f>I21/I38-1</f>
        <v>5.3354312687741379E-2</v>
      </c>
      <c r="J25" s="249">
        <f>J21/J38-1</f>
        <v>-8.4178221077437332E-2</v>
      </c>
      <c r="K25" s="249">
        <f>K21/K38-1</f>
        <v>-4.4173934868544928E-2</v>
      </c>
      <c r="L25" s="249">
        <f>L21/L38-1</f>
        <v>0.34066977386500952</v>
      </c>
      <c r="M25" s="249">
        <f>M21/M38-1</f>
        <v>-0.15101140125045975</v>
      </c>
      <c r="N25" s="249">
        <f>N21/N38-1</f>
        <v>-0.27590530275094038</v>
      </c>
      <c r="O25" s="249">
        <f>O21/O38-1</f>
        <v>-0.15210140093395597</v>
      </c>
      <c r="P25" s="249">
        <f>P21/P38-1</f>
        <v>4.6806099252900246E-2</v>
      </c>
      <c r="R25" s="231">
        <f>R21/R38-1</f>
        <v>0.39538855678906915</v>
      </c>
      <c r="S25" s="231">
        <f>S21/S38-1</f>
        <v>-0.54143312925756659</v>
      </c>
      <c r="T25" s="231">
        <f>T21/T38-1</f>
        <v>-0.1683955110706703</v>
      </c>
      <c r="U25" s="231">
        <f>U21/U38-1</f>
        <v>-0.1602580004961548</v>
      </c>
    </row>
    <row r="26" spans="2:21" hidden="1" x14ac:dyDescent="0.35">
      <c r="E26" s="243"/>
      <c r="F26" s="243"/>
      <c r="G26" s="243"/>
      <c r="H26" s="243"/>
      <c r="I26" s="243"/>
      <c r="J26" s="243"/>
      <c r="K26" s="243"/>
      <c r="L26" s="243"/>
      <c r="M26" s="243"/>
      <c r="N26" s="243"/>
      <c r="O26" s="243"/>
      <c r="P26" s="243"/>
    </row>
    <row r="27" spans="2:21" hidden="1" x14ac:dyDescent="0.35">
      <c r="C27" s="248" t="s">
        <v>1420</v>
      </c>
    </row>
    <row r="28" spans="2:21" hidden="1" x14ac:dyDescent="0.35">
      <c r="C28" s="219" t="s">
        <v>1419</v>
      </c>
      <c r="D28" s="247">
        <f>D29+D34</f>
        <v>2856</v>
      </c>
      <c r="E28" s="247">
        <f>E29+E34</f>
        <v>1754</v>
      </c>
      <c r="F28" s="247">
        <f>F29+F34</f>
        <v>4664</v>
      </c>
      <c r="G28" s="247">
        <f>G29+G34</f>
        <v>4313</v>
      </c>
      <c r="H28" s="247">
        <f>H29+H34</f>
        <v>3301</v>
      </c>
      <c r="I28" s="247">
        <f>I29+I34</f>
        <v>3107</v>
      </c>
      <c r="J28" s="247">
        <f>J29+J34</f>
        <v>3474</v>
      </c>
      <c r="K28" s="247">
        <f>K29+K34</f>
        <v>5854</v>
      </c>
      <c r="L28" s="247">
        <f>L29+L34</f>
        <v>4750</v>
      </c>
      <c r="M28" s="247">
        <f>M29+M34</f>
        <v>4147</v>
      </c>
      <c r="N28" s="247">
        <f>N29+N34</f>
        <v>3640</v>
      </c>
      <c r="O28" s="247">
        <f>O29+O34</f>
        <v>2720</v>
      </c>
      <c r="P28" s="247">
        <f>P29+P34</f>
        <v>44600</v>
      </c>
      <c r="Q28" s="247">
        <f>Q29+Q34</f>
        <v>0</v>
      </c>
      <c r="R28" s="247">
        <f>R29+R34</f>
        <v>1838</v>
      </c>
      <c r="S28" s="247">
        <f>S29+S34</f>
        <v>3107</v>
      </c>
      <c r="T28" s="247">
        <f>T29+T34</f>
        <v>4323</v>
      </c>
      <c r="U28" s="247">
        <f>U29+U34</f>
        <v>9336</v>
      </c>
    </row>
    <row r="29" spans="2:21" hidden="1" x14ac:dyDescent="0.35">
      <c r="C29" s="219" t="s">
        <v>1418</v>
      </c>
      <c r="D29" s="246">
        <f>SUM(D30:D32)</f>
        <v>1</v>
      </c>
      <c r="E29" s="246">
        <f>SUM(E30:E32)</f>
        <v>1</v>
      </c>
      <c r="F29" s="246">
        <f>SUM(F30:F32)</f>
        <v>1</v>
      </c>
      <c r="G29" s="246">
        <f>SUM(G30:G32)</f>
        <v>1</v>
      </c>
      <c r="H29" s="246">
        <f>SUM(H30:H32)</f>
        <v>1</v>
      </c>
      <c r="I29" s="246">
        <f>SUM(I30:I32)</f>
        <v>4</v>
      </c>
      <c r="J29" s="246">
        <f>SUM(J30:J32)</f>
        <v>7</v>
      </c>
      <c r="K29" s="246">
        <f>SUM(K30:K32)</f>
        <v>10</v>
      </c>
      <c r="L29" s="246">
        <f>SUM(L30:L32)</f>
        <v>25</v>
      </c>
      <c r="M29" s="246">
        <f>SUM(M30:M32)</f>
        <v>31</v>
      </c>
      <c r="N29" s="246">
        <f>SUM(N30:N32)</f>
        <v>34</v>
      </c>
      <c r="O29" s="246">
        <f>SUM(O30:O32)</f>
        <v>41</v>
      </c>
      <c r="P29" s="246">
        <f>SUM(P30:P32)</f>
        <v>156</v>
      </c>
      <c r="R29" s="246">
        <f>SUM(R31:R32)</f>
        <v>38</v>
      </c>
      <c r="S29" s="246">
        <f>SUM(S31:S32)</f>
        <v>51</v>
      </c>
      <c r="T29" s="246">
        <f>SUM(T31:T32)</f>
        <v>45</v>
      </c>
      <c r="U29" s="246">
        <f>SUM(U30:U33)</f>
        <v>202</v>
      </c>
    </row>
    <row r="30" spans="2:21" hidden="1" x14ac:dyDescent="0.35">
      <c r="C30" s="245" t="s">
        <v>1417</v>
      </c>
      <c r="D30" s="246">
        <v>1</v>
      </c>
      <c r="E30" s="246">
        <v>0</v>
      </c>
      <c r="F30" s="246">
        <v>0</v>
      </c>
      <c r="G30" s="246">
        <v>1</v>
      </c>
      <c r="H30" s="246">
        <v>1</v>
      </c>
      <c r="I30" s="246">
        <v>3</v>
      </c>
      <c r="J30" s="246">
        <v>4</v>
      </c>
      <c r="K30" s="246">
        <v>4</v>
      </c>
      <c r="L30" s="246">
        <v>6</v>
      </c>
      <c r="M30" s="246">
        <v>5</v>
      </c>
      <c r="N30" s="246">
        <v>4</v>
      </c>
      <c r="O30" s="246">
        <v>11</v>
      </c>
      <c r="P30" s="246">
        <v>40</v>
      </c>
      <c r="R30" s="246">
        <v>14</v>
      </c>
      <c r="S30" s="246">
        <v>13</v>
      </c>
      <c r="T30" s="246">
        <v>41</v>
      </c>
      <c r="U30" s="246">
        <f>SUM(R30:T30)</f>
        <v>68</v>
      </c>
    </row>
    <row r="31" spans="2:21" hidden="1" x14ac:dyDescent="0.35">
      <c r="C31" s="245" t="s">
        <v>1414</v>
      </c>
      <c r="D31" s="246">
        <v>0</v>
      </c>
      <c r="E31" s="246">
        <v>1</v>
      </c>
      <c r="F31" s="246">
        <v>1</v>
      </c>
      <c r="G31" s="246">
        <v>0</v>
      </c>
      <c r="H31" s="246">
        <v>0</v>
      </c>
      <c r="I31" s="246">
        <v>1</v>
      </c>
      <c r="J31" s="246">
        <v>3</v>
      </c>
      <c r="K31" s="246">
        <v>6</v>
      </c>
      <c r="L31" s="246">
        <v>19</v>
      </c>
      <c r="M31" s="246">
        <v>25</v>
      </c>
      <c r="N31" s="246">
        <v>28</v>
      </c>
      <c r="O31" s="246">
        <v>29</v>
      </c>
      <c r="P31" s="246">
        <v>112</v>
      </c>
      <c r="R31" s="246">
        <v>38</v>
      </c>
      <c r="S31" s="246">
        <v>48</v>
      </c>
      <c r="T31" s="246">
        <v>45</v>
      </c>
      <c r="U31" s="246">
        <f>SUM(R31:T31)</f>
        <v>131</v>
      </c>
    </row>
    <row r="32" spans="2:21" hidden="1" x14ac:dyDescent="0.35">
      <c r="C32" s="245" t="s">
        <v>1413</v>
      </c>
      <c r="D32" s="246">
        <v>0</v>
      </c>
      <c r="E32" s="246">
        <v>0</v>
      </c>
      <c r="F32" s="246">
        <v>0</v>
      </c>
      <c r="G32" s="246">
        <v>0</v>
      </c>
      <c r="H32" s="246">
        <v>0</v>
      </c>
      <c r="I32" s="246">
        <v>0</v>
      </c>
      <c r="J32" s="246">
        <v>0</v>
      </c>
      <c r="K32" s="246">
        <v>0</v>
      </c>
      <c r="L32" s="246">
        <v>0</v>
      </c>
      <c r="M32" s="246">
        <v>1</v>
      </c>
      <c r="N32" s="246">
        <v>2</v>
      </c>
      <c r="O32" s="246">
        <v>1</v>
      </c>
      <c r="P32" s="246">
        <v>4</v>
      </c>
      <c r="R32" s="246">
        <v>0</v>
      </c>
      <c r="S32" s="246">
        <v>3</v>
      </c>
      <c r="T32" s="246">
        <v>0</v>
      </c>
      <c r="U32" s="246">
        <f>SUM(R32:T32)</f>
        <v>3</v>
      </c>
    </row>
    <row r="33" spans="2:21" hidden="1" x14ac:dyDescent="0.35">
      <c r="C33" s="245" t="s">
        <v>1412</v>
      </c>
      <c r="D33" s="246"/>
      <c r="E33" s="246"/>
      <c r="F33" s="246"/>
      <c r="G33" s="246"/>
      <c r="H33" s="246"/>
      <c r="I33" s="246"/>
      <c r="J33" s="246"/>
      <c r="K33" s="246"/>
      <c r="L33" s="246"/>
      <c r="M33" s="246"/>
      <c r="N33" s="246"/>
      <c r="O33" s="246"/>
      <c r="P33" s="246"/>
      <c r="R33" s="246">
        <v>0</v>
      </c>
      <c r="S33" s="246">
        <v>0</v>
      </c>
      <c r="T33" s="246">
        <v>0</v>
      </c>
      <c r="U33" s="246">
        <f>SUM(R33:T33)</f>
        <v>0</v>
      </c>
    </row>
    <row r="34" spans="2:21" hidden="1" x14ac:dyDescent="0.35">
      <c r="C34" s="219" t="s">
        <v>1416</v>
      </c>
      <c r="D34" s="246">
        <f>SUM(D35:D37)</f>
        <v>2855</v>
      </c>
      <c r="E34" s="246">
        <f>SUM(E35:E37)</f>
        <v>1753</v>
      </c>
      <c r="F34" s="246">
        <f>SUM(F35:F37)</f>
        <v>4663</v>
      </c>
      <c r="G34" s="246">
        <f>SUM(G35:G37)</f>
        <v>4312</v>
      </c>
      <c r="H34" s="246">
        <f>SUM(H35:H37)</f>
        <v>3300</v>
      </c>
      <c r="I34" s="246">
        <f>SUM(I35:I37)</f>
        <v>3103</v>
      </c>
      <c r="J34" s="246">
        <f>SUM(J35:J37)</f>
        <v>3467</v>
      </c>
      <c r="K34" s="246">
        <f>SUM(K35:K37)</f>
        <v>5844</v>
      </c>
      <c r="L34" s="246">
        <f>SUM(L35:L37)</f>
        <v>4725</v>
      </c>
      <c r="M34" s="246">
        <f>SUM(M35:M37)</f>
        <v>4116</v>
      </c>
      <c r="N34" s="246">
        <f>SUM(N35:N37)</f>
        <v>3606</v>
      </c>
      <c r="O34" s="246">
        <f>SUM(O35:O37)</f>
        <v>2679</v>
      </c>
      <c r="P34" s="246">
        <f>SUM(P35:P37)</f>
        <v>44444</v>
      </c>
      <c r="R34" s="243">
        <f>SUM(R35:R37)</f>
        <v>1800</v>
      </c>
      <c r="S34" s="243">
        <f>SUM(S35:S37)</f>
        <v>3056</v>
      </c>
      <c r="T34" s="243">
        <f>SUM(T35:T37)</f>
        <v>4278</v>
      </c>
      <c r="U34" s="243">
        <f>SUM(U35:U37)</f>
        <v>9134</v>
      </c>
    </row>
    <row r="35" spans="2:21" hidden="1" x14ac:dyDescent="0.35">
      <c r="C35" s="245" t="s">
        <v>1414</v>
      </c>
      <c r="D35" s="246">
        <v>2041</v>
      </c>
      <c r="E35" s="246">
        <v>1244</v>
      </c>
      <c r="F35" s="246">
        <v>3029</v>
      </c>
      <c r="G35" s="246">
        <v>2662</v>
      </c>
      <c r="H35" s="246">
        <v>2245</v>
      </c>
      <c r="I35" s="246">
        <v>2130</v>
      </c>
      <c r="J35" s="246">
        <v>2200</v>
      </c>
      <c r="K35" s="246">
        <v>3798</v>
      </c>
      <c r="L35" s="246">
        <v>3250</v>
      </c>
      <c r="M35" s="246">
        <v>2911</v>
      </c>
      <c r="N35" s="246">
        <v>2845</v>
      </c>
      <c r="O35" s="246">
        <v>2195</v>
      </c>
      <c r="P35" s="246">
        <v>30562</v>
      </c>
      <c r="R35" s="243">
        <v>1445</v>
      </c>
      <c r="S35" s="243">
        <v>2588</v>
      </c>
      <c r="T35" s="243">
        <v>3588</v>
      </c>
      <c r="U35" s="243">
        <f>SUM(R35:T35)</f>
        <v>7621</v>
      </c>
    </row>
    <row r="36" spans="2:21" hidden="1" x14ac:dyDescent="0.35">
      <c r="C36" s="245" t="s">
        <v>1413</v>
      </c>
      <c r="D36" s="246">
        <v>473</v>
      </c>
      <c r="E36" s="246">
        <v>306</v>
      </c>
      <c r="F36" s="246">
        <v>828</v>
      </c>
      <c r="G36" s="246">
        <v>886</v>
      </c>
      <c r="H36" s="246">
        <v>556</v>
      </c>
      <c r="I36" s="246">
        <v>519</v>
      </c>
      <c r="J36" s="246">
        <v>691</v>
      </c>
      <c r="K36" s="246">
        <v>1273</v>
      </c>
      <c r="L36" s="246">
        <v>826</v>
      </c>
      <c r="M36" s="246">
        <v>671</v>
      </c>
      <c r="N36" s="246">
        <v>609</v>
      </c>
      <c r="O36" s="246">
        <v>402</v>
      </c>
      <c r="P36" s="246">
        <v>8046</v>
      </c>
      <c r="R36" s="243">
        <v>309</v>
      </c>
      <c r="S36" s="243">
        <v>379</v>
      </c>
      <c r="T36" s="243">
        <v>556</v>
      </c>
      <c r="U36" s="243">
        <f>SUM(R36:T36)</f>
        <v>1244</v>
      </c>
    </row>
    <row r="37" spans="2:21" hidden="1" x14ac:dyDescent="0.35">
      <c r="C37" s="245" t="s">
        <v>1412</v>
      </c>
      <c r="D37" s="244">
        <v>341</v>
      </c>
      <c r="E37" s="244">
        <v>203</v>
      </c>
      <c r="F37" s="244">
        <v>806</v>
      </c>
      <c r="G37" s="244">
        <v>764</v>
      </c>
      <c r="H37" s="244">
        <v>499</v>
      </c>
      <c r="I37" s="244">
        <v>454</v>
      </c>
      <c r="J37" s="244">
        <v>576</v>
      </c>
      <c r="K37" s="244">
        <v>773</v>
      </c>
      <c r="L37" s="244">
        <v>649</v>
      </c>
      <c r="M37" s="244">
        <v>534</v>
      </c>
      <c r="N37" s="244">
        <v>152</v>
      </c>
      <c r="O37" s="244">
        <v>82</v>
      </c>
      <c r="P37" s="244">
        <v>5836</v>
      </c>
      <c r="R37" s="243">
        <v>46</v>
      </c>
      <c r="S37" s="243">
        <v>89</v>
      </c>
      <c r="T37" s="243">
        <v>134</v>
      </c>
      <c r="U37" s="243">
        <f>SUM(R37:T37)</f>
        <v>269</v>
      </c>
    </row>
    <row r="38" spans="2:21" hidden="1" x14ac:dyDescent="0.35">
      <c r="C38" s="219" t="s">
        <v>1415</v>
      </c>
      <c r="D38" s="244">
        <f>SUM(D39:D41)</f>
        <v>9718</v>
      </c>
      <c r="E38" s="244">
        <f>SUM(E39:E41)</f>
        <v>4865</v>
      </c>
      <c r="F38" s="244">
        <f>SUM(F39:F41)</f>
        <v>11380</v>
      </c>
      <c r="G38" s="244">
        <f>SUM(G39:G41)</f>
        <v>14219</v>
      </c>
      <c r="H38" s="244">
        <f>SUM(H39:H41)</f>
        <v>14447</v>
      </c>
      <c r="I38" s="244">
        <f>SUM(I39:I41)</f>
        <v>13982</v>
      </c>
      <c r="J38" s="244">
        <f>SUM(J39:J41)</f>
        <v>18247</v>
      </c>
      <c r="K38" s="244">
        <f>SUM(K39:K41)</f>
        <v>15937</v>
      </c>
      <c r="L38" s="244">
        <f>SUM(L39:L41)</f>
        <v>11586</v>
      </c>
      <c r="M38" s="244">
        <f>SUM(M39:M41)</f>
        <v>13595</v>
      </c>
      <c r="N38" s="244">
        <f>SUM(N39:N41)</f>
        <v>13559</v>
      </c>
      <c r="O38" s="244">
        <f>SUM(O39:O41)</f>
        <v>11992</v>
      </c>
      <c r="P38" s="244">
        <f>SUM(P39:P41)</f>
        <v>153527</v>
      </c>
      <c r="R38" s="243">
        <f>SUM(R39:R41)</f>
        <v>8197</v>
      </c>
      <c r="S38" s="243">
        <f>SUM(S39:S41)</f>
        <v>11597</v>
      </c>
      <c r="T38" s="243">
        <f>SUM(T39:T41)</f>
        <v>16485</v>
      </c>
      <c r="U38" s="243">
        <f>SUM(U39:U41)</f>
        <v>36279</v>
      </c>
    </row>
    <row r="39" spans="2:21" hidden="1" x14ac:dyDescent="0.35">
      <c r="C39" s="245" t="s">
        <v>1414</v>
      </c>
      <c r="D39" s="244">
        <v>8879</v>
      </c>
      <c r="E39" s="244">
        <v>4370</v>
      </c>
      <c r="F39" s="244">
        <v>10133</v>
      </c>
      <c r="G39" s="244">
        <v>12466</v>
      </c>
      <c r="H39" s="244">
        <v>12992</v>
      </c>
      <c r="I39" s="244">
        <v>12606</v>
      </c>
      <c r="J39" s="244">
        <v>16508</v>
      </c>
      <c r="K39" s="244">
        <v>14017</v>
      </c>
      <c r="L39" s="244">
        <v>10426</v>
      </c>
      <c r="M39" s="244">
        <v>12256</v>
      </c>
      <c r="N39" s="244">
        <v>12166</v>
      </c>
      <c r="O39" s="244">
        <v>10810</v>
      </c>
      <c r="P39" s="244">
        <f>SUM(D39:O39)</f>
        <v>137629</v>
      </c>
      <c r="R39" s="243">
        <v>7245</v>
      </c>
      <c r="S39" s="243">
        <v>10310</v>
      </c>
      <c r="T39" s="243">
        <v>14705</v>
      </c>
      <c r="U39" s="243">
        <f>SUM(R39:T39)</f>
        <v>32260</v>
      </c>
    </row>
    <row r="40" spans="2:21" hidden="1" x14ac:dyDescent="0.35">
      <c r="C40" s="245" t="s">
        <v>1413</v>
      </c>
      <c r="D40" s="244">
        <v>801</v>
      </c>
      <c r="E40" s="244">
        <v>473</v>
      </c>
      <c r="F40" s="244">
        <v>1184</v>
      </c>
      <c r="G40" s="244">
        <v>1692</v>
      </c>
      <c r="H40" s="244">
        <v>1353</v>
      </c>
      <c r="I40" s="244">
        <v>1288</v>
      </c>
      <c r="J40" s="244">
        <v>1638</v>
      </c>
      <c r="K40" s="244">
        <v>1769</v>
      </c>
      <c r="L40" s="244">
        <v>983</v>
      </c>
      <c r="M40" s="244">
        <v>1006</v>
      </c>
      <c r="N40" s="244">
        <v>995</v>
      </c>
      <c r="O40" s="244">
        <v>887</v>
      </c>
      <c r="P40" s="244">
        <f>SUM(D40:O40)</f>
        <v>14069</v>
      </c>
      <c r="R40" s="243">
        <v>783</v>
      </c>
      <c r="S40" s="243">
        <v>966</v>
      </c>
      <c r="T40" s="243">
        <v>1379</v>
      </c>
      <c r="U40" s="243">
        <f>SUM(R40:T40)</f>
        <v>3128</v>
      </c>
    </row>
    <row r="41" spans="2:21" hidden="1" x14ac:dyDescent="0.35">
      <c r="C41" s="245" t="s">
        <v>1412</v>
      </c>
      <c r="D41" s="244">
        <v>38</v>
      </c>
      <c r="E41" s="244">
        <v>22</v>
      </c>
      <c r="F41" s="244">
        <v>63</v>
      </c>
      <c r="G41" s="244">
        <v>61</v>
      </c>
      <c r="H41" s="244">
        <v>102</v>
      </c>
      <c r="I41" s="244">
        <v>88</v>
      </c>
      <c r="J41" s="244">
        <v>101</v>
      </c>
      <c r="K41" s="244">
        <v>151</v>
      </c>
      <c r="L41" s="244">
        <v>177</v>
      </c>
      <c r="M41" s="244">
        <v>333</v>
      </c>
      <c r="N41" s="244">
        <v>398</v>
      </c>
      <c r="O41" s="244">
        <v>295</v>
      </c>
      <c r="P41" s="244">
        <f>SUM(D41:O41)</f>
        <v>1829</v>
      </c>
      <c r="R41" s="243">
        <v>169</v>
      </c>
      <c r="S41" s="243">
        <v>321</v>
      </c>
      <c r="T41" s="243">
        <v>401</v>
      </c>
      <c r="U41" s="243">
        <f>SUM(R41:T41)</f>
        <v>891</v>
      </c>
    </row>
    <row r="42" spans="2:21" x14ac:dyDescent="0.35">
      <c r="B42" s="224"/>
      <c r="C42" s="224"/>
      <c r="D42" s="242" t="s">
        <v>1411</v>
      </c>
      <c r="E42" s="241"/>
      <c r="G42" s="240" t="s">
        <v>1410</v>
      </c>
      <c r="H42" s="239"/>
      <c r="I42" s="239"/>
      <c r="J42" s="238"/>
      <c r="K42" s="237"/>
    </row>
    <row r="43" spans="2:21" x14ac:dyDescent="0.35">
      <c r="B43" s="224"/>
      <c r="C43" s="236"/>
      <c r="D43" s="233" t="s">
        <v>14</v>
      </c>
      <c r="E43" s="236" t="s">
        <v>15</v>
      </c>
      <c r="F43" s="235"/>
      <c r="G43" s="234" t="s">
        <v>3</v>
      </c>
      <c r="H43" s="233" t="s">
        <v>4</v>
      </c>
      <c r="I43" s="233" t="s">
        <v>5</v>
      </c>
      <c r="J43" s="233" t="s">
        <v>15</v>
      </c>
      <c r="K43" s="232" t="s">
        <v>1409</v>
      </c>
    </row>
    <row r="44" spans="2:21" x14ac:dyDescent="0.35">
      <c r="B44" s="224">
        <v>2</v>
      </c>
      <c r="C44" s="223" t="s">
        <v>1408</v>
      </c>
      <c r="D44" s="230">
        <v>152</v>
      </c>
      <c r="E44" s="230">
        <v>152</v>
      </c>
      <c r="G44" s="230">
        <v>210</v>
      </c>
      <c r="H44" s="221">
        <v>297</v>
      </c>
      <c r="I44" s="221">
        <v>297</v>
      </c>
      <c r="J44" s="221">
        <v>297</v>
      </c>
      <c r="K44" s="220">
        <f>J44/E44-1</f>
        <v>0.95394736842105265</v>
      </c>
    </row>
    <row r="45" spans="2:21" x14ac:dyDescent="0.35">
      <c r="B45" s="224">
        <v>4</v>
      </c>
      <c r="C45" s="223" t="s">
        <v>1407</v>
      </c>
      <c r="D45" s="230">
        <v>220</v>
      </c>
      <c r="E45" s="230">
        <v>220</v>
      </c>
      <c r="G45" s="230">
        <v>745</v>
      </c>
      <c r="H45" s="230">
        <v>839</v>
      </c>
      <c r="I45" s="230">
        <v>1063</v>
      </c>
      <c r="J45" s="230">
        <f>J46+J51</f>
        <v>1063</v>
      </c>
      <c r="K45" s="220">
        <f>J45/E45-1</f>
        <v>3.831818181818182</v>
      </c>
      <c r="M45" s="231">
        <f>220/(152*8)</f>
        <v>0.18092105263157895</v>
      </c>
    </row>
    <row r="46" spans="2:21" x14ac:dyDescent="0.35">
      <c r="B46" s="224">
        <v>5</v>
      </c>
      <c r="C46" s="223" t="s">
        <v>1406</v>
      </c>
      <c r="D46" s="230">
        <v>135</v>
      </c>
      <c r="E46" s="230">
        <v>135</v>
      </c>
      <c r="G46" s="230">
        <v>436</v>
      </c>
      <c r="H46" s="230">
        <v>496</v>
      </c>
      <c r="I46" s="230">
        <v>631</v>
      </c>
      <c r="J46" s="230">
        <f>SUM(J47,J48,J49,J50)</f>
        <v>631</v>
      </c>
      <c r="K46" s="220">
        <f>J46/E46-1</f>
        <v>3.674074074074074</v>
      </c>
    </row>
    <row r="47" spans="2:21" x14ac:dyDescent="0.35">
      <c r="B47" s="224">
        <v>6</v>
      </c>
      <c r="C47" s="228" t="s">
        <v>1401</v>
      </c>
      <c r="D47" s="230">
        <v>34</v>
      </c>
      <c r="E47" s="230">
        <v>34</v>
      </c>
      <c r="G47" s="230">
        <v>122</v>
      </c>
      <c r="H47" s="221">
        <v>141</v>
      </c>
      <c r="I47" s="221">
        <v>173</v>
      </c>
      <c r="J47" s="221">
        <v>173</v>
      </c>
      <c r="K47" s="220">
        <f>J47/E47-1</f>
        <v>4.0882352941176467</v>
      </c>
    </row>
    <row r="48" spans="2:21" x14ac:dyDescent="0.35">
      <c r="B48" s="224">
        <v>7</v>
      </c>
      <c r="C48" s="228" t="s">
        <v>1400</v>
      </c>
      <c r="D48" s="230">
        <v>29</v>
      </c>
      <c r="E48" s="230">
        <v>29</v>
      </c>
      <c r="G48" s="230">
        <v>105</v>
      </c>
      <c r="H48" s="221">
        <v>122</v>
      </c>
      <c r="I48" s="221">
        <v>198</v>
      </c>
      <c r="J48" s="221">
        <v>198</v>
      </c>
      <c r="K48" s="220">
        <f>J48/E48-1</f>
        <v>5.8275862068965516</v>
      </c>
    </row>
    <row r="49" spans="2:11" x14ac:dyDescent="0.35">
      <c r="B49" s="224">
        <v>8</v>
      </c>
      <c r="C49" s="228" t="s">
        <v>1399</v>
      </c>
      <c r="D49" s="230">
        <v>62</v>
      </c>
      <c r="E49" s="230">
        <v>62</v>
      </c>
      <c r="G49" s="230">
        <v>168</v>
      </c>
      <c r="H49" s="221">
        <v>175</v>
      </c>
      <c r="I49" s="221">
        <v>197</v>
      </c>
      <c r="J49" s="221">
        <v>197</v>
      </c>
      <c r="K49" s="220">
        <f>J49/E49-1</f>
        <v>2.1774193548387095</v>
      </c>
    </row>
    <row r="50" spans="2:11" x14ac:dyDescent="0.35">
      <c r="B50" s="224">
        <v>9</v>
      </c>
      <c r="C50" s="228" t="s">
        <v>1398</v>
      </c>
      <c r="D50" s="230">
        <v>10</v>
      </c>
      <c r="E50" s="230">
        <v>10</v>
      </c>
      <c r="G50" s="230">
        <v>41</v>
      </c>
      <c r="H50" s="221">
        <v>58</v>
      </c>
      <c r="I50" s="221">
        <v>63</v>
      </c>
      <c r="J50" s="221">
        <v>63</v>
      </c>
      <c r="K50" s="220">
        <f>J50/E50-1</f>
        <v>5.3</v>
      </c>
    </row>
    <row r="51" spans="2:11" x14ac:dyDescent="0.35">
      <c r="B51" s="224">
        <v>10</v>
      </c>
      <c r="C51" s="223" t="s">
        <v>1405</v>
      </c>
      <c r="D51" s="230">
        <v>85</v>
      </c>
      <c r="E51" s="230">
        <v>85</v>
      </c>
      <c r="G51" s="230">
        <v>309</v>
      </c>
      <c r="H51" s="230">
        <v>343</v>
      </c>
      <c r="I51" s="230">
        <v>432</v>
      </c>
      <c r="J51" s="230">
        <f>SUM(J52,J53,J54,J55)</f>
        <v>432</v>
      </c>
      <c r="K51" s="220">
        <f>J51/E51-1</f>
        <v>4.0823529411764703</v>
      </c>
    </row>
    <row r="52" spans="2:11" x14ac:dyDescent="0.35">
      <c r="B52" s="224">
        <v>11</v>
      </c>
      <c r="C52" s="228" t="s">
        <v>1401</v>
      </c>
      <c r="D52" s="230">
        <v>16</v>
      </c>
      <c r="E52" s="230">
        <v>16</v>
      </c>
      <c r="G52" s="230">
        <v>70</v>
      </c>
      <c r="H52" s="221">
        <v>76</v>
      </c>
      <c r="I52" s="221">
        <v>94</v>
      </c>
      <c r="J52" s="221">
        <v>94</v>
      </c>
      <c r="K52" s="220">
        <f>J52/E52-1</f>
        <v>4.875</v>
      </c>
    </row>
    <row r="53" spans="2:11" x14ac:dyDescent="0.35">
      <c r="B53" s="224">
        <v>12</v>
      </c>
      <c r="C53" s="228" t="s">
        <v>1400</v>
      </c>
      <c r="D53" s="230">
        <v>11</v>
      </c>
      <c r="E53" s="230">
        <v>11</v>
      </c>
      <c r="G53" s="230">
        <v>75</v>
      </c>
      <c r="H53" s="221">
        <v>81</v>
      </c>
      <c r="I53" s="221">
        <v>110</v>
      </c>
      <c r="J53" s="221">
        <v>110</v>
      </c>
      <c r="K53" s="220">
        <f>J53/E53-1</f>
        <v>9</v>
      </c>
    </row>
    <row r="54" spans="2:11" x14ac:dyDescent="0.35">
      <c r="B54" s="224">
        <v>13</v>
      </c>
      <c r="C54" s="228" t="s">
        <v>1399</v>
      </c>
      <c r="D54" s="230">
        <v>33</v>
      </c>
      <c r="E54" s="230">
        <v>33</v>
      </c>
      <c r="G54" s="230">
        <v>85</v>
      </c>
      <c r="H54" s="221">
        <v>88</v>
      </c>
      <c r="I54" s="221">
        <v>120</v>
      </c>
      <c r="J54" s="221">
        <v>120</v>
      </c>
      <c r="K54" s="220">
        <f>J54/E54-1</f>
        <v>2.6363636363636362</v>
      </c>
    </row>
    <row r="55" spans="2:11" x14ac:dyDescent="0.35">
      <c r="B55" s="224">
        <v>14</v>
      </c>
      <c r="C55" s="228" t="s">
        <v>1398</v>
      </c>
      <c r="D55" s="230">
        <v>25</v>
      </c>
      <c r="E55" s="230">
        <v>25</v>
      </c>
      <c r="G55" s="230">
        <v>79</v>
      </c>
      <c r="H55" s="221">
        <v>98</v>
      </c>
      <c r="I55" s="221">
        <v>108</v>
      </c>
      <c r="J55" s="221">
        <v>108</v>
      </c>
      <c r="K55" s="220">
        <f>J55/E55-1</f>
        <v>3.3200000000000003</v>
      </c>
    </row>
    <row r="56" spans="2:11" x14ac:dyDescent="0.35">
      <c r="B56" s="224"/>
      <c r="C56" s="223" t="s">
        <v>1404</v>
      </c>
      <c r="D56" s="229">
        <f>D45/(D44*8)</f>
        <v>0.18092105263157895</v>
      </c>
      <c r="E56" s="229">
        <f>E45/(E44*8)</f>
        <v>0.18092105263157895</v>
      </c>
      <c r="G56" s="229">
        <f>G45/(G44*8)</f>
        <v>0.44345238095238093</v>
      </c>
      <c r="H56" s="229">
        <f>H45/(H44*8)</f>
        <v>0.3531144781144781</v>
      </c>
      <c r="I56" s="229">
        <f>I45/(I44*8)</f>
        <v>0.44739057239057239</v>
      </c>
      <c r="J56" s="229">
        <f>J45/(J44*8)</f>
        <v>0.44739057239057239</v>
      </c>
      <c r="K56" s="226">
        <f>(J56-E56)*10000</f>
        <v>2664.6951975899347</v>
      </c>
    </row>
    <row r="57" spans="2:11" x14ac:dyDescent="0.35">
      <c r="B57" s="224">
        <v>15</v>
      </c>
      <c r="C57" s="223" t="s">
        <v>1403</v>
      </c>
      <c r="D57" s="227">
        <f>D46/(D44*4)</f>
        <v>0.22203947368421054</v>
      </c>
      <c r="E57" s="227">
        <f>E46/(E44*4)</f>
        <v>0.22203947368421054</v>
      </c>
      <c r="G57" s="227">
        <f>G46/(G44*4)</f>
        <v>0.51904761904761909</v>
      </c>
      <c r="H57" s="227">
        <f>H46/(H44*4)</f>
        <v>0.4175084175084175</v>
      </c>
      <c r="I57" s="227">
        <f>I46/(I44*4)</f>
        <v>0.53114478114478114</v>
      </c>
      <c r="J57" s="227">
        <f>J46/(J44*4)</f>
        <v>0.53114478114478114</v>
      </c>
      <c r="K57" s="226">
        <f>(J57-E57)*10000</f>
        <v>3091.0530746057061</v>
      </c>
    </row>
    <row r="58" spans="2:11" x14ac:dyDescent="0.35">
      <c r="B58" s="224">
        <v>16</v>
      </c>
      <c r="C58" s="228" t="s">
        <v>1401</v>
      </c>
      <c r="D58" s="227">
        <f>D47/D44</f>
        <v>0.22368421052631579</v>
      </c>
      <c r="E58" s="227">
        <f>E47/E44</f>
        <v>0.22368421052631579</v>
      </c>
      <c r="G58" s="227">
        <f>G47/G44</f>
        <v>0.580952380952381</v>
      </c>
      <c r="H58" s="227">
        <f>H47/H44</f>
        <v>0.47474747474747475</v>
      </c>
      <c r="I58" s="227">
        <f>I47/I44</f>
        <v>0.5824915824915825</v>
      </c>
      <c r="J58" s="227">
        <f>J47/J44</f>
        <v>0.5824915824915825</v>
      </c>
      <c r="K58" s="226">
        <f>(J58-E58)*10000</f>
        <v>3588.073719652667</v>
      </c>
    </row>
    <row r="59" spans="2:11" x14ac:dyDescent="0.35">
      <c r="B59" s="224">
        <v>17</v>
      </c>
      <c r="C59" s="228" t="s">
        <v>1400</v>
      </c>
      <c r="D59" s="227">
        <f>D48/D44</f>
        <v>0.19078947368421054</v>
      </c>
      <c r="E59" s="227">
        <f>E48/E44</f>
        <v>0.19078947368421054</v>
      </c>
      <c r="G59" s="227">
        <f>G48/G44</f>
        <v>0.5</v>
      </c>
      <c r="H59" s="227">
        <f>H48/H44</f>
        <v>0.41077441077441079</v>
      </c>
      <c r="I59" s="227">
        <f>I48/I44</f>
        <v>0.66666666666666663</v>
      </c>
      <c r="J59" s="227">
        <f>J48/J44</f>
        <v>0.66666666666666663</v>
      </c>
      <c r="K59" s="226">
        <f>(J59-E59)*10000</f>
        <v>4758.7719298245611</v>
      </c>
    </row>
    <row r="60" spans="2:11" x14ac:dyDescent="0.35">
      <c r="B60" s="224">
        <v>18</v>
      </c>
      <c r="C60" s="228" t="s">
        <v>1399</v>
      </c>
      <c r="D60" s="227">
        <f>D49/D44</f>
        <v>0.40789473684210525</v>
      </c>
      <c r="E60" s="227">
        <f>E49/E44</f>
        <v>0.40789473684210525</v>
      </c>
      <c r="G60" s="227">
        <f>G49/G44</f>
        <v>0.8</v>
      </c>
      <c r="H60" s="227">
        <f>H49/H44</f>
        <v>0.58922558922558921</v>
      </c>
      <c r="I60" s="227">
        <f>I49/I44</f>
        <v>0.66329966329966328</v>
      </c>
      <c r="J60" s="227">
        <f>J49/J44</f>
        <v>0.66329966329966328</v>
      </c>
      <c r="K60" s="226">
        <f>(J60-E60)*10000</f>
        <v>2554.0492645755803</v>
      </c>
    </row>
    <row r="61" spans="2:11" x14ac:dyDescent="0.35">
      <c r="B61" s="224">
        <v>19</v>
      </c>
      <c r="C61" s="228" t="s">
        <v>1398</v>
      </c>
      <c r="D61" s="227">
        <f>D50/D44</f>
        <v>6.5789473684210523E-2</v>
      </c>
      <c r="E61" s="227">
        <f>E50/E44</f>
        <v>6.5789473684210523E-2</v>
      </c>
      <c r="G61" s="227">
        <f>G50/G44</f>
        <v>0.19523809523809524</v>
      </c>
      <c r="H61" s="227">
        <f>H50/H44</f>
        <v>0.19528619528619529</v>
      </c>
      <c r="I61" s="227">
        <f>I50/I44</f>
        <v>0.21212121212121213</v>
      </c>
      <c r="J61" s="227">
        <f>J50/J44</f>
        <v>0.21212121212121213</v>
      </c>
      <c r="K61" s="226">
        <f>(J61-E61)*10000</f>
        <v>1463.3173843700158</v>
      </c>
    </row>
    <row r="62" spans="2:11" x14ac:dyDescent="0.35">
      <c r="B62" s="224">
        <v>20</v>
      </c>
      <c r="C62" s="223" t="s">
        <v>1402</v>
      </c>
      <c r="D62" s="227">
        <f>D51/(D44*4)</f>
        <v>0.13980263157894737</v>
      </c>
      <c r="E62" s="227">
        <f>E51/(E44*4)</f>
        <v>0.13980263157894737</v>
      </c>
      <c r="G62" s="227">
        <f>G51/(G44*4)</f>
        <v>0.36785714285714288</v>
      </c>
      <c r="H62" s="227">
        <f>H51/(H44*4)</f>
        <v>0.28872053872053871</v>
      </c>
      <c r="I62" s="227">
        <f>I51/(I44*4)</f>
        <v>0.36363636363636365</v>
      </c>
      <c r="J62" s="227">
        <f>J51/(J44*4)</f>
        <v>0.36363636363636365</v>
      </c>
      <c r="K62" s="226">
        <f>(J62-E62)*10000</f>
        <v>2238.3373205741627</v>
      </c>
    </row>
    <row r="63" spans="2:11" x14ac:dyDescent="0.35">
      <c r="B63" s="224">
        <v>21</v>
      </c>
      <c r="C63" s="228" t="s">
        <v>1401</v>
      </c>
      <c r="D63" s="227">
        <f>D52/D44</f>
        <v>0.10526315789473684</v>
      </c>
      <c r="E63" s="227">
        <f>E52/E44</f>
        <v>0.10526315789473684</v>
      </c>
      <c r="G63" s="227">
        <f>G52/G44</f>
        <v>0.33333333333333331</v>
      </c>
      <c r="H63" s="227">
        <f>H52/H44</f>
        <v>0.25589225589225589</v>
      </c>
      <c r="I63" s="227">
        <f>I52/I44</f>
        <v>0.3164983164983165</v>
      </c>
      <c r="J63" s="227">
        <f>J52/J44</f>
        <v>0.3164983164983165</v>
      </c>
      <c r="K63" s="226">
        <f>(J63-E63)*10000</f>
        <v>2112.3515860357966</v>
      </c>
    </row>
    <row r="64" spans="2:11" x14ac:dyDescent="0.35">
      <c r="B64" s="224">
        <v>22</v>
      </c>
      <c r="C64" s="228" t="s">
        <v>1400</v>
      </c>
      <c r="D64" s="227">
        <f>D53/D44</f>
        <v>7.2368421052631582E-2</v>
      </c>
      <c r="E64" s="227">
        <f>E53/E44</f>
        <v>7.2368421052631582E-2</v>
      </c>
      <c r="G64" s="227">
        <f>G53/G44</f>
        <v>0.35714285714285715</v>
      </c>
      <c r="H64" s="227">
        <f>H53/H44</f>
        <v>0.27272727272727271</v>
      </c>
      <c r="I64" s="227">
        <f>I53/I44</f>
        <v>0.37037037037037035</v>
      </c>
      <c r="J64" s="227">
        <f>J53/J44</f>
        <v>0.37037037037037035</v>
      </c>
      <c r="K64" s="226">
        <f>(J64-E64)*10000</f>
        <v>2980.0194931773876</v>
      </c>
    </row>
    <row r="65" spans="2:11" x14ac:dyDescent="0.35">
      <c r="B65" s="224">
        <v>23</v>
      </c>
      <c r="C65" s="228" t="s">
        <v>1399</v>
      </c>
      <c r="D65" s="227">
        <f>D54/D44</f>
        <v>0.21710526315789475</v>
      </c>
      <c r="E65" s="227">
        <f>E54/E44</f>
        <v>0.21710526315789475</v>
      </c>
      <c r="G65" s="227">
        <f>G54/G44</f>
        <v>0.40476190476190477</v>
      </c>
      <c r="H65" s="227">
        <f>H54/H44</f>
        <v>0.29629629629629628</v>
      </c>
      <c r="I65" s="227">
        <f>I54/I44</f>
        <v>0.40404040404040403</v>
      </c>
      <c r="J65" s="227">
        <f>J54/J44</f>
        <v>0.40404040404040403</v>
      </c>
      <c r="K65" s="226">
        <f>(J65-E65)*10000</f>
        <v>1869.3514088250929</v>
      </c>
    </row>
    <row r="66" spans="2:11" x14ac:dyDescent="0.35">
      <c r="B66" s="224">
        <v>24</v>
      </c>
      <c r="C66" s="228" t="s">
        <v>1398</v>
      </c>
      <c r="D66" s="227">
        <f>D55/D44</f>
        <v>0.16447368421052633</v>
      </c>
      <c r="E66" s="227">
        <f>E55/E44</f>
        <v>0.16447368421052633</v>
      </c>
      <c r="G66" s="227">
        <f>G55/G44</f>
        <v>0.37619047619047619</v>
      </c>
      <c r="H66" s="227">
        <f>H55/H44</f>
        <v>0.32996632996632996</v>
      </c>
      <c r="I66" s="227">
        <f>I55/I44</f>
        <v>0.36363636363636365</v>
      </c>
      <c r="J66" s="227">
        <f>J55/J44</f>
        <v>0.36363636363636365</v>
      </c>
      <c r="K66" s="226">
        <f>(J66-E66)*10000</f>
        <v>1991.6267942583731</v>
      </c>
    </row>
    <row r="67" spans="2:11" ht="15" customHeight="1" x14ac:dyDescent="0.35">
      <c r="B67" s="224">
        <v>25</v>
      </c>
      <c r="C67" s="225" t="s">
        <v>1397</v>
      </c>
      <c r="D67" s="221">
        <f>D68+D69</f>
        <v>106</v>
      </c>
      <c r="E67" s="221">
        <f>E68+E69</f>
        <v>106</v>
      </c>
      <c r="G67" s="222">
        <v>98</v>
      </c>
      <c r="H67" s="221">
        <f>H68+H69</f>
        <v>53</v>
      </c>
      <c r="I67" s="221">
        <f>I68+I69</f>
        <v>126</v>
      </c>
      <c r="J67" s="221">
        <f>SUM(G67:I67)</f>
        <v>277</v>
      </c>
      <c r="K67" s="220">
        <f>J67/E67-1</f>
        <v>1.6132075471698113</v>
      </c>
    </row>
    <row r="68" spans="2:11" x14ac:dyDescent="0.35">
      <c r="B68" s="224">
        <v>26</v>
      </c>
      <c r="C68" s="223" t="s">
        <v>1396</v>
      </c>
      <c r="D68" s="221">
        <v>39</v>
      </c>
      <c r="E68" s="221">
        <v>39</v>
      </c>
      <c r="G68" s="222">
        <v>72</v>
      </c>
      <c r="H68" s="221">
        <v>31</v>
      </c>
      <c r="I68" s="221">
        <v>106</v>
      </c>
      <c r="J68" s="221">
        <f>SUM(G68:I68)</f>
        <v>209</v>
      </c>
      <c r="K68" s="220">
        <f>J68/E68-1</f>
        <v>4.3589743589743586</v>
      </c>
    </row>
    <row r="69" spans="2:11" x14ac:dyDescent="0.35">
      <c r="B69" s="224">
        <v>32</v>
      </c>
      <c r="C69" s="223" t="s">
        <v>1395</v>
      </c>
      <c r="D69" s="221">
        <v>67</v>
      </c>
      <c r="E69" s="221">
        <v>67</v>
      </c>
      <c r="G69" s="222">
        <v>26</v>
      </c>
      <c r="H69" s="221">
        <v>22</v>
      </c>
      <c r="I69" s="221">
        <v>20</v>
      </c>
      <c r="J69" s="221">
        <f>SUM(G69:I69)</f>
        <v>68</v>
      </c>
      <c r="K69" s="220">
        <f>J69/E69-1</f>
        <v>1.4925373134328401E-2</v>
      </c>
    </row>
  </sheetData>
  <mergeCells count="5">
    <mergeCell ref="R3:U3"/>
    <mergeCell ref="C3:C4"/>
    <mergeCell ref="D3:O3"/>
    <mergeCell ref="G42:J42"/>
    <mergeCell ref="D42:E42"/>
  </mergeCells>
  <phoneticPr fontId="34" type="noConversion"/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27BEA-2CDA-4315-A27D-80B9C3AACBA9}">
  <dimension ref="B1:V39"/>
  <sheetViews>
    <sheetView zoomScale="118" zoomScaleNormal="118" workbookViewId="0">
      <pane xSplit="3" topLeftCell="D1" activePane="topRight" state="frozen"/>
      <selection pane="topRight" activeCell="Y29" sqref="Y29"/>
    </sheetView>
  </sheetViews>
  <sheetFormatPr defaultColWidth="9.81640625" defaultRowHeight="14.5" x14ac:dyDescent="0.35"/>
  <cols>
    <col min="1" max="1" width="1.90625" style="290" customWidth="1"/>
    <col min="2" max="2" width="5.54296875" style="289" customWidth="1"/>
    <col min="3" max="3" width="20.08984375" style="290" customWidth="1"/>
    <col min="4" max="20" width="9.1796875" style="290" customWidth="1"/>
    <col min="21" max="21" width="11.7265625" style="290" customWidth="1"/>
    <col min="22" max="22" width="9.90625" style="290" hidden="1" customWidth="1"/>
    <col min="23" max="16384" width="9.81640625" style="290"/>
  </cols>
  <sheetData>
    <row r="1" spans="2:22" ht="9" customHeight="1" x14ac:dyDescent="0.35"/>
    <row r="2" spans="2:22" ht="15" thickBot="1" x14ac:dyDescent="0.4">
      <c r="B2" s="291"/>
      <c r="C2" s="291"/>
      <c r="D2" s="292"/>
      <c r="E2" s="292"/>
      <c r="F2" s="292"/>
      <c r="G2" s="292"/>
      <c r="H2" s="292"/>
      <c r="I2" s="292"/>
      <c r="J2" s="292"/>
      <c r="K2" s="292"/>
      <c r="L2" s="292"/>
      <c r="M2" s="292"/>
      <c r="N2" s="292"/>
      <c r="O2" s="292"/>
      <c r="P2" s="292"/>
      <c r="Q2" s="291"/>
      <c r="R2" s="291"/>
      <c r="S2" s="291"/>
      <c r="T2" s="291"/>
      <c r="U2" s="291"/>
    </row>
    <row r="3" spans="2:22" x14ac:dyDescent="0.35">
      <c r="B3" s="293"/>
      <c r="C3" s="294"/>
      <c r="D3" s="295" t="s">
        <v>1411</v>
      </c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  <c r="P3" s="296"/>
      <c r="Q3" s="297" t="s">
        <v>1426</v>
      </c>
      <c r="R3" s="298"/>
      <c r="S3" s="298"/>
      <c r="T3" s="299"/>
      <c r="U3" s="300" t="s">
        <v>1424</v>
      </c>
    </row>
    <row r="4" spans="2:22" ht="15" customHeight="1" x14ac:dyDescent="0.35">
      <c r="B4" s="301" t="s">
        <v>1432</v>
      </c>
      <c r="C4" s="302"/>
      <c r="D4" s="303" t="s">
        <v>3</v>
      </c>
      <c r="E4" s="303" t="s">
        <v>4</v>
      </c>
      <c r="F4" s="304" t="s">
        <v>5</v>
      </c>
      <c r="G4" s="304" t="s">
        <v>6</v>
      </c>
      <c r="H4" s="304" t="s">
        <v>7</v>
      </c>
      <c r="I4" s="304" t="s">
        <v>8</v>
      </c>
      <c r="J4" s="304" t="s">
        <v>9</v>
      </c>
      <c r="K4" s="304" t="s">
        <v>10</v>
      </c>
      <c r="L4" s="304" t="s">
        <v>11</v>
      </c>
      <c r="M4" s="304" t="s">
        <v>12</v>
      </c>
      <c r="N4" s="304" t="s">
        <v>13</v>
      </c>
      <c r="O4" s="304" t="s">
        <v>14</v>
      </c>
      <c r="P4" s="305" t="s">
        <v>15</v>
      </c>
      <c r="Q4" s="306" t="s">
        <v>3</v>
      </c>
      <c r="R4" s="303" t="s">
        <v>4</v>
      </c>
      <c r="S4" s="303" t="s">
        <v>5</v>
      </c>
      <c r="T4" s="305" t="s">
        <v>15</v>
      </c>
      <c r="U4" s="307" t="s">
        <v>1433</v>
      </c>
    </row>
    <row r="5" spans="2:22" ht="15" thickBot="1" x14ac:dyDescent="0.4">
      <c r="B5" s="308"/>
      <c r="C5" s="309"/>
      <c r="D5" s="303"/>
      <c r="E5" s="303"/>
      <c r="F5" s="310"/>
      <c r="G5" s="310"/>
      <c r="H5" s="310"/>
      <c r="I5" s="310"/>
      <c r="J5" s="310"/>
      <c r="K5" s="310"/>
      <c r="L5" s="310"/>
      <c r="M5" s="310"/>
      <c r="N5" s="310"/>
      <c r="O5" s="310"/>
      <c r="P5" s="305"/>
      <c r="Q5" s="311"/>
      <c r="R5" s="304"/>
      <c r="S5" s="304"/>
      <c r="T5" s="312"/>
      <c r="U5" s="307"/>
    </row>
    <row r="6" spans="2:22" ht="15" x14ac:dyDescent="0.35">
      <c r="B6" s="308">
        <v>1</v>
      </c>
      <c r="C6" s="313" t="s">
        <v>1434</v>
      </c>
      <c r="D6" s="314">
        <v>1321</v>
      </c>
      <c r="E6" s="315">
        <v>2069</v>
      </c>
      <c r="F6" s="314">
        <v>4733</v>
      </c>
      <c r="G6" s="314">
        <v>3221</v>
      </c>
      <c r="H6" s="314">
        <v>3561</v>
      </c>
      <c r="I6" s="314">
        <v>3949</v>
      </c>
      <c r="J6" s="314">
        <v>5774</v>
      </c>
      <c r="K6" s="314">
        <v>8576</v>
      </c>
      <c r="L6" s="314">
        <v>5321</v>
      </c>
      <c r="M6" s="314">
        <v>6349</v>
      </c>
      <c r="N6" s="314">
        <v>7973</v>
      </c>
      <c r="O6" s="314">
        <v>5534</v>
      </c>
      <c r="P6" s="316">
        <f>SUM(D6:O6)</f>
        <v>58381</v>
      </c>
      <c r="Q6" s="317">
        <v>6288</v>
      </c>
      <c r="R6" s="318">
        <v>3858</v>
      </c>
      <c r="S6" s="318">
        <v>9750</v>
      </c>
      <c r="T6" s="319">
        <f>SUM(Q6:S6)</f>
        <v>19896</v>
      </c>
      <c r="U6" s="320">
        <f t="shared" ref="U6:U27" si="0">T6/V6-1</f>
        <v>1.4493413763387912</v>
      </c>
      <c r="V6" s="321">
        <f>SUM(D6:F6)</f>
        <v>8123</v>
      </c>
    </row>
    <row r="7" spans="2:22" ht="15" x14ac:dyDescent="0.35">
      <c r="B7" s="308">
        <v>2</v>
      </c>
      <c r="C7" s="322" t="s">
        <v>1435</v>
      </c>
      <c r="D7" s="314">
        <v>931</v>
      </c>
      <c r="E7" s="315">
        <v>1655</v>
      </c>
      <c r="F7" s="314">
        <v>3645</v>
      </c>
      <c r="G7" s="314">
        <v>2465</v>
      </c>
      <c r="H7" s="314">
        <v>2563</v>
      </c>
      <c r="I7" s="314">
        <v>2897</v>
      </c>
      <c r="J7" s="314">
        <v>4760</v>
      </c>
      <c r="K7" s="314">
        <v>6764</v>
      </c>
      <c r="L7" s="314">
        <v>4031</v>
      </c>
      <c r="M7" s="314">
        <v>5161</v>
      </c>
      <c r="N7" s="314">
        <v>6137</v>
      </c>
      <c r="O7" s="314">
        <v>3934</v>
      </c>
      <c r="P7" s="316">
        <f t="shared" ref="P7:P27" si="1">SUM(D7:O7)</f>
        <v>44943</v>
      </c>
      <c r="Q7" s="323">
        <v>4074</v>
      </c>
      <c r="R7" s="315">
        <v>2828</v>
      </c>
      <c r="S7" s="315">
        <v>7182</v>
      </c>
      <c r="T7" s="316">
        <f t="shared" ref="T7:T27" si="2">SUM(Q7:S7)</f>
        <v>14084</v>
      </c>
      <c r="U7" s="320">
        <f t="shared" si="0"/>
        <v>1.2603113464933395</v>
      </c>
      <c r="V7" s="321">
        <f t="shared" ref="V7:V27" si="3">SUM(D7:F7)</f>
        <v>6231</v>
      </c>
    </row>
    <row r="8" spans="2:22" ht="15" x14ac:dyDescent="0.35">
      <c r="B8" s="308">
        <v>3</v>
      </c>
      <c r="C8" s="324" t="s">
        <v>1401</v>
      </c>
      <c r="D8" s="325">
        <v>11</v>
      </c>
      <c r="E8" s="326">
        <v>476</v>
      </c>
      <c r="F8" s="326">
        <v>650</v>
      </c>
      <c r="G8" s="326">
        <v>493</v>
      </c>
      <c r="H8" s="326">
        <v>370</v>
      </c>
      <c r="I8" s="326">
        <v>369</v>
      </c>
      <c r="J8" s="326">
        <v>401</v>
      </c>
      <c r="K8" s="326">
        <v>317</v>
      </c>
      <c r="L8" s="326">
        <v>74</v>
      </c>
      <c r="M8" s="326">
        <v>11</v>
      </c>
      <c r="N8" s="326">
        <v>7</v>
      </c>
      <c r="O8" s="326">
        <v>7</v>
      </c>
      <c r="P8" s="316">
        <f t="shared" si="1"/>
        <v>3186</v>
      </c>
      <c r="Q8" s="327">
        <v>6</v>
      </c>
      <c r="R8" s="314">
        <v>4</v>
      </c>
      <c r="S8" s="314">
        <v>2</v>
      </c>
      <c r="T8" s="316">
        <f t="shared" si="2"/>
        <v>12</v>
      </c>
      <c r="U8" s="320">
        <f t="shared" si="0"/>
        <v>-0.98944591029023743</v>
      </c>
      <c r="V8" s="321">
        <f t="shared" si="3"/>
        <v>1137</v>
      </c>
    </row>
    <row r="9" spans="2:22" ht="15" x14ac:dyDescent="0.35">
      <c r="B9" s="308">
        <v>4</v>
      </c>
      <c r="C9" s="324" t="s">
        <v>1400</v>
      </c>
      <c r="D9" s="328">
        <v>0</v>
      </c>
      <c r="E9" s="329">
        <v>23</v>
      </c>
      <c r="F9" s="329">
        <v>150</v>
      </c>
      <c r="G9" s="329">
        <v>132</v>
      </c>
      <c r="H9" s="329">
        <v>74</v>
      </c>
      <c r="I9" s="329">
        <v>165</v>
      </c>
      <c r="J9" s="329">
        <v>172</v>
      </c>
      <c r="K9" s="329">
        <v>206</v>
      </c>
      <c r="L9" s="329">
        <v>133</v>
      </c>
      <c r="M9" s="329">
        <v>135</v>
      </c>
      <c r="N9" s="329">
        <v>252</v>
      </c>
      <c r="O9" s="329">
        <v>152</v>
      </c>
      <c r="P9" s="316">
        <f t="shared" si="1"/>
        <v>1594</v>
      </c>
      <c r="Q9" s="327">
        <v>238</v>
      </c>
      <c r="R9" s="314">
        <v>60</v>
      </c>
      <c r="S9" s="314">
        <v>128</v>
      </c>
      <c r="T9" s="316">
        <f t="shared" si="2"/>
        <v>426</v>
      </c>
      <c r="U9" s="320">
        <f t="shared" si="0"/>
        <v>1.4624277456647401</v>
      </c>
      <c r="V9" s="321">
        <f t="shared" si="3"/>
        <v>173</v>
      </c>
    </row>
    <row r="10" spans="2:22" ht="15" x14ac:dyDescent="0.35">
      <c r="B10" s="308">
        <v>5</v>
      </c>
      <c r="C10" s="324" t="s">
        <v>1399</v>
      </c>
      <c r="D10" s="328">
        <v>511</v>
      </c>
      <c r="E10" s="329">
        <v>546</v>
      </c>
      <c r="F10" s="329">
        <v>2119</v>
      </c>
      <c r="G10" s="329">
        <v>1453</v>
      </c>
      <c r="H10" s="329">
        <v>1444</v>
      </c>
      <c r="I10" s="329">
        <v>1635</v>
      </c>
      <c r="J10" s="329">
        <v>3270</v>
      </c>
      <c r="K10" s="329">
        <v>5495</v>
      </c>
      <c r="L10" s="329">
        <v>3556</v>
      </c>
      <c r="M10" s="329">
        <v>4741</v>
      </c>
      <c r="N10" s="329">
        <v>5359</v>
      </c>
      <c r="O10" s="329">
        <v>3483</v>
      </c>
      <c r="P10" s="316">
        <f t="shared" si="1"/>
        <v>33612</v>
      </c>
      <c r="Q10" s="327">
        <v>3528</v>
      </c>
      <c r="R10" s="314">
        <v>2584</v>
      </c>
      <c r="S10" s="314">
        <v>6814</v>
      </c>
      <c r="T10" s="316">
        <f t="shared" si="2"/>
        <v>12926</v>
      </c>
      <c r="U10" s="320">
        <f t="shared" si="0"/>
        <v>3.0698992443324933</v>
      </c>
      <c r="V10" s="321">
        <f t="shared" si="3"/>
        <v>3176</v>
      </c>
    </row>
    <row r="11" spans="2:22" ht="15" x14ac:dyDescent="0.35">
      <c r="B11" s="308">
        <v>6</v>
      </c>
      <c r="C11" s="324" t="s">
        <v>1398</v>
      </c>
      <c r="D11" s="328">
        <v>409</v>
      </c>
      <c r="E11" s="329">
        <v>610</v>
      </c>
      <c r="F11" s="329">
        <v>726</v>
      </c>
      <c r="G11" s="329">
        <v>387</v>
      </c>
      <c r="H11" s="329">
        <v>675</v>
      </c>
      <c r="I11" s="329">
        <v>728</v>
      </c>
      <c r="J11" s="329">
        <v>917</v>
      </c>
      <c r="K11" s="329">
        <v>746</v>
      </c>
      <c r="L11" s="329">
        <v>268</v>
      </c>
      <c r="M11" s="329">
        <v>274</v>
      </c>
      <c r="N11" s="329">
        <v>519</v>
      </c>
      <c r="O11" s="329">
        <v>292</v>
      </c>
      <c r="P11" s="316">
        <f t="shared" si="1"/>
        <v>6551</v>
      </c>
      <c r="Q11" s="327">
        <v>302</v>
      </c>
      <c r="R11" s="314">
        <v>180</v>
      </c>
      <c r="S11" s="314">
        <v>238</v>
      </c>
      <c r="T11" s="316">
        <f t="shared" si="2"/>
        <v>720</v>
      </c>
      <c r="U11" s="320">
        <f t="shared" si="0"/>
        <v>-0.58739255014326641</v>
      </c>
      <c r="V11" s="321">
        <f t="shared" si="3"/>
        <v>1745</v>
      </c>
    </row>
    <row r="12" spans="2:22" ht="15" x14ac:dyDescent="0.35">
      <c r="B12" s="308">
        <v>7</v>
      </c>
      <c r="C12" s="322" t="s">
        <v>1436</v>
      </c>
      <c r="D12" s="315">
        <v>390</v>
      </c>
      <c r="E12" s="315">
        <v>414</v>
      </c>
      <c r="F12" s="314">
        <v>1088</v>
      </c>
      <c r="G12" s="314">
        <v>756</v>
      </c>
      <c r="H12" s="314">
        <v>998</v>
      </c>
      <c r="I12" s="314">
        <v>1052</v>
      </c>
      <c r="J12" s="314">
        <v>1014</v>
      </c>
      <c r="K12" s="314">
        <v>1812</v>
      </c>
      <c r="L12" s="314">
        <v>1290</v>
      </c>
      <c r="M12" s="314">
        <v>1188</v>
      </c>
      <c r="N12" s="314">
        <v>1836</v>
      </c>
      <c r="O12" s="314">
        <v>1600</v>
      </c>
      <c r="P12" s="316">
        <f t="shared" si="1"/>
        <v>13438</v>
      </c>
      <c r="Q12" s="323">
        <v>2214</v>
      </c>
      <c r="R12" s="315">
        <v>1030</v>
      </c>
      <c r="S12" s="315">
        <v>2568</v>
      </c>
      <c r="T12" s="316">
        <f t="shared" si="2"/>
        <v>5812</v>
      </c>
      <c r="U12" s="320">
        <f t="shared" si="0"/>
        <v>2.0718816067653276</v>
      </c>
      <c r="V12" s="321">
        <f t="shared" si="3"/>
        <v>1892</v>
      </c>
    </row>
    <row r="13" spans="2:22" ht="15" x14ac:dyDescent="0.35">
      <c r="B13" s="308">
        <v>8</v>
      </c>
      <c r="C13" s="324" t="s">
        <v>1401</v>
      </c>
      <c r="D13" s="328">
        <v>10</v>
      </c>
      <c r="E13" s="329">
        <v>38</v>
      </c>
      <c r="F13" s="329">
        <v>12</v>
      </c>
      <c r="G13" s="329">
        <v>30</v>
      </c>
      <c r="H13" s="329">
        <v>26</v>
      </c>
      <c r="I13" s="329">
        <v>16</v>
      </c>
      <c r="J13" s="329">
        <v>16</v>
      </c>
      <c r="K13" s="329">
        <v>42</v>
      </c>
      <c r="L13" s="329">
        <v>4</v>
      </c>
      <c r="M13" s="329">
        <v>0</v>
      </c>
      <c r="N13" s="329">
        <v>14</v>
      </c>
      <c r="O13" s="329">
        <v>6</v>
      </c>
      <c r="P13" s="316">
        <f t="shared" si="1"/>
        <v>214</v>
      </c>
      <c r="Q13" s="327">
        <v>0</v>
      </c>
      <c r="R13" s="314">
        <v>2</v>
      </c>
      <c r="S13" s="314">
        <v>0</v>
      </c>
      <c r="T13" s="316">
        <f t="shared" si="2"/>
        <v>2</v>
      </c>
      <c r="U13" s="320">
        <f t="shared" si="0"/>
        <v>-0.96666666666666667</v>
      </c>
      <c r="V13" s="321">
        <f t="shared" si="3"/>
        <v>60</v>
      </c>
    </row>
    <row r="14" spans="2:22" ht="15" x14ac:dyDescent="0.35">
      <c r="B14" s="308">
        <v>9</v>
      </c>
      <c r="C14" s="324" t="s">
        <v>1400</v>
      </c>
      <c r="D14" s="328">
        <v>0</v>
      </c>
      <c r="E14" s="329">
        <v>12</v>
      </c>
      <c r="F14" s="329">
        <v>242</v>
      </c>
      <c r="G14" s="329">
        <v>124</v>
      </c>
      <c r="H14" s="329">
        <v>158</v>
      </c>
      <c r="I14" s="329">
        <v>90</v>
      </c>
      <c r="J14" s="329">
        <v>156</v>
      </c>
      <c r="K14" s="329">
        <v>88</v>
      </c>
      <c r="L14" s="329">
        <v>38</v>
      </c>
      <c r="M14" s="329">
        <v>18</v>
      </c>
      <c r="N14" s="329">
        <v>56</v>
      </c>
      <c r="O14" s="329">
        <v>36</v>
      </c>
      <c r="P14" s="316">
        <f t="shared" si="1"/>
        <v>1018</v>
      </c>
      <c r="Q14" s="327">
        <v>30</v>
      </c>
      <c r="R14" s="314">
        <v>4</v>
      </c>
      <c r="S14" s="314">
        <v>12</v>
      </c>
      <c r="T14" s="316">
        <f t="shared" si="2"/>
        <v>46</v>
      </c>
      <c r="U14" s="320">
        <f t="shared" si="0"/>
        <v>-0.81889763779527558</v>
      </c>
      <c r="V14" s="321">
        <f t="shared" si="3"/>
        <v>254</v>
      </c>
    </row>
    <row r="15" spans="2:22" ht="15" x14ac:dyDescent="0.35">
      <c r="B15" s="308">
        <v>10</v>
      </c>
      <c r="C15" s="324" t="s">
        <v>1399</v>
      </c>
      <c r="D15" s="328">
        <v>144</v>
      </c>
      <c r="E15" s="329">
        <v>140</v>
      </c>
      <c r="F15" s="329">
        <v>360</v>
      </c>
      <c r="G15" s="329">
        <v>226</v>
      </c>
      <c r="H15" s="329">
        <v>276</v>
      </c>
      <c r="I15" s="329">
        <v>344</v>
      </c>
      <c r="J15" s="329">
        <v>376</v>
      </c>
      <c r="K15" s="329">
        <v>872</v>
      </c>
      <c r="L15" s="329">
        <v>756</v>
      </c>
      <c r="M15" s="329">
        <v>618</v>
      </c>
      <c r="N15" s="329">
        <v>1094</v>
      </c>
      <c r="O15" s="329">
        <v>1040</v>
      </c>
      <c r="P15" s="316">
        <f t="shared" si="1"/>
        <v>6246</v>
      </c>
      <c r="Q15" s="327">
        <v>1616</v>
      </c>
      <c r="R15" s="314">
        <v>870</v>
      </c>
      <c r="S15" s="314">
        <v>2340</v>
      </c>
      <c r="T15" s="316">
        <f t="shared" si="2"/>
        <v>4826</v>
      </c>
      <c r="U15" s="320">
        <f t="shared" si="0"/>
        <v>6.4937888198757765</v>
      </c>
      <c r="V15" s="321">
        <f t="shared" si="3"/>
        <v>644</v>
      </c>
    </row>
    <row r="16" spans="2:22" ht="15" x14ac:dyDescent="0.35">
      <c r="B16" s="308">
        <v>11</v>
      </c>
      <c r="C16" s="324" t="s">
        <v>1398</v>
      </c>
      <c r="D16" s="328">
        <v>236</v>
      </c>
      <c r="E16" s="329">
        <v>224</v>
      </c>
      <c r="F16" s="329">
        <v>474</v>
      </c>
      <c r="G16" s="329">
        <v>376</v>
      </c>
      <c r="H16" s="329">
        <v>538</v>
      </c>
      <c r="I16" s="329">
        <v>602</v>
      </c>
      <c r="J16" s="329">
        <v>466</v>
      </c>
      <c r="K16" s="329">
        <v>810</v>
      </c>
      <c r="L16" s="329">
        <v>492</v>
      </c>
      <c r="M16" s="329">
        <v>552</v>
      </c>
      <c r="N16" s="329">
        <v>672</v>
      </c>
      <c r="O16" s="329">
        <v>518</v>
      </c>
      <c r="P16" s="316">
        <f t="shared" si="1"/>
        <v>5960</v>
      </c>
      <c r="Q16" s="327">
        <v>568</v>
      </c>
      <c r="R16" s="314">
        <v>154</v>
      </c>
      <c r="S16" s="314">
        <v>216</v>
      </c>
      <c r="T16" s="316">
        <f t="shared" si="2"/>
        <v>938</v>
      </c>
      <c r="U16" s="320">
        <f t="shared" si="0"/>
        <v>4.282655246252709E-3</v>
      </c>
      <c r="V16" s="321">
        <f t="shared" si="3"/>
        <v>934</v>
      </c>
    </row>
    <row r="17" spans="2:22" ht="15" x14ac:dyDescent="0.35">
      <c r="B17" s="308">
        <v>12</v>
      </c>
      <c r="C17" s="313" t="s">
        <v>1437</v>
      </c>
      <c r="D17" s="330">
        <v>13</v>
      </c>
      <c r="E17" s="330">
        <v>22</v>
      </c>
      <c r="F17" s="330">
        <v>49</v>
      </c>
      <c r="G17" s="330">
        <v>37</v>
      </c>
      <c r="H17" s="330">
        <v>40</v>
      </c>
      <c r="I17" s="330">
        <v>52</v>
      </c>
      <c r="J17" s="330">
        <v>80</v>
      </c>
      <c r="K17" s="330">
        <v>66</v>
      </c>
      <c r="L17" s="330">
        <v>67</v>
      </c>
      <c r="M17" s="330">
        <v>69</v>
      </c>
      <c r="N17" s="330">
        <v>59</v>
      </c>
      <c r="O17" s="330">
        <v>98</v>
      </c>
      <c r="P17" s="316">
        <f t="shared" si="1"/>
        <v>652</v>
      </c>
      <c r="Q17" s="331">
        <v>145</v>
      </c>
      <c r="R17" s="330">
        <v>96</v>
      </c>
      <c r="S17" s="330">
        <v>215</v>
      </c>
      <c r="T17" s="316">
        <f t="shared" si="2"/>
        <v>456</v>
      </c>
      <c r="U17" s="320">
        <f t="shared" si="0"/>
        <v>4.4285714285714288</v>
      </c>
      <c r="V17" s="321">
        <f t="shared" si="3"/>
        <v>84</v>
      </c>
    </row>
    <row r="18" spans="2:22" ht="15" x14ac:dyDescent="0.35">
      <c r="B18" s="308">
        <v>13</v>
      </c>
      <c r="C18" s="322" t="s">
        <v>1435</v>
      </c>
      <c r="D18" s="315">
        <v>14</v>
      </c>
      <c r="E18" s="315">
        <v>13</v>
      </c>
      <c r="F18" s="315">
        <v>41</v>
      </c>
      <c r="G18" s="315">
        <v>31</v>
      </c>
      <c r="H18" s="315">
        <v>30</v>
      </c>
      <c r="I18" s="315">
        <v>50</v>
      </c>
      <c r="J18" s="315">
        <v>86</v>
      </c>
      <c r="K18" s="315">
        <v>69</v>
      </c>
      <c r="L18" s="315">
        <v>75</v>
      </c>
      <c r="M18" s="315">
        <v>69</v>
      </c>
      <c r="N18" s="315">
        <v>52</v>
      </c>
      <c r="O18" s="315">
        <v>86</v>
      </c>
      <c r="P18" s="316">
        <f t="shared" si="1"/>
        <v>616</v>
      </c>
      <c r="Q18" s="323">
        <v>89</v>
      </c>
      <c r="R18" s="315">
        <v>65</v>
      </c>
      <c r="S18" s="315">
        <v>165</v>
      </c>
      <c r="T18" s="316">
        <f t="shared" si="2"/>
        <v>319</v>
      </c>
      <c r="U18" s="332">
        <f t="shared" si="0"/>
        <v>3.6911764705882355</v>
      </c>
      <c r="V18" s="321">
        <f t="shared" si="3"/>
        <v>68</v>
      </c>
    </row>
    <row r="19" spans="2:22" ht="15" x14ac:dyDescent="0.35">
      <c r="B19" s="308">
        <v>14</v>
      </c>
      <c r="C19" s="324" t="s">
        <v>1401</v>
      </c>
      <c r="D19" s="328">
        <v>0</v>
      </c>
      <c r="E19" s="329">
        <v>2</v>
      </c>
      <c r="F19" s="329">
        <v>5</v>
      </c>
      <c r="G19" s="329">
        <v>0</v>
      </c>
      <c r="H19" s="329">
        <v>1</v>
      </c>
      <c r="I19" s="329">
        <v>0</v>
      </c>
      <c r="J19" s="329">
        <v>1</v>
      </c>
      <c r="K19" s="329">
        <v>2</v>
      </c>
      <c r="L19" s="329">
        <v>0</v>
      </c>
      <c r="M19" s="329">
        <v>1</v>
      </c>
      <c r="N19" s="329">
        <v>0</v>
      </c>
      <c r="O19" s="329">
        <v>0</v>
      </c>
      <c r="P19" s="316">
        <f t="shared" si="1"/>
        <v>12</v>
      </c>
      <c r="Q19" s="333">
        <v>0</v>
      </c>
      <c r="R19" s="334">
        <v>0</v>
      </c>
      <c r="S19" s="334">
        <v>0</v>
      </c>
      <c r="T19" s="316">
        <f t="shared" si="2"/>
        <v>0</v>
      </c>
      <c r="U19" s="320">
        <f t="shared" si="0"/>
        <v>-1</v>
      </c>
      <c r="V19" s="321">
        <f t="shared" si="3"/>
        <v>7</v>
      </c>
    </row>
    <row r="20" spans="2:22" ht="15" x14ac:dyDescent="0.35">
      <c r="B20" s="308">
        <v>15</v>
      </c>
      <c r="C20" s="324" t="s">
        <v>1400</v>
      </c>
      <c r="D20" s="328"/>
      <c r="E20" s="329">
        <v>1</v>
      </c>
      <c r="F20" s="329">
        <v>2</v>
      </c>
      <c r="G20" s="329">
        <v>3</v>
      </c>
      <c r="H20" s="329">
        <v>0</v>
      </c>
      <c r="I20" s="329">
        <v>2</v>
      </c>
      <c r="J20" s="329">
        <v>1</v>
      </c>
      <c r="K20" s="329">
        <v>1</v>
      </c>
      <c r="L20" s="329">
        <v>6</v>
      </c>
      <c r="M20" s="329">
        <v>4</v>
      </c>
      <c r="N20" s="329">
        <v>3</v>
      </c>
      <c r="O20" s="329">
        <v>5</v>
      </c>
      <c r="P20" s="316">
        <f t="shared" si="1"/>
        <v>28</v>
      </c>
      <c r="Q20" s="333">
        <v>9</v>
      </c>
      <c r="R20" s="334">
        <v>6</v>
      </c>
      <c r="S20" s="334">
        <v>11</v>
      </c>
      <c r="T20" s="316">
        <f t="shared" si="2"/>
        <v>26</v>
      </c>
      <c r="U20" s="320">
        <f t="shared" si="0"/>
        <v>7.6666666666666661</v>
      </c>
      <c r="V20" s="321">
        <f t="shared" si="3"/>
        <v>3</v>
      </c>
    </row>
    <row r="21" spans="2:22" ht="15" x14ac:dyDescent="0.35">
      <c r="B21" s="308">
        <v>16</v>
      </c>
      <c r="C21" s="324" t="s">
        <v>1399</v>
      </c>
      <c r="D21" s="328">
        <v>7</v>
      </c>
      <c r="E21" s="329">
        <v>5</v>
      </c>
      <c r="F21" s="329">
        <v>21</v>
      </c>
      <c r="G21" s="329">
        <v>17</v>
      </c>
      <c r="H21" s="329">
        <v>17</v>
      </c>
      <c r="I21" s="329">
        <v>26</v>
      </c>
      <c r="J21" s="329">
        <v>53</v>
      </c>
      <c r="K21" s="329">
        <v>36</v>
      </c>
      <c r="L21" s="329">
        <v>32</v>
      </c>
      <c r="M21" s="329">
        <v>40</v>
      </c>
      <c r="N21" s="329">
        <v>32</v>
      </c>
      <c r="O21" s="329">
        <v>57</v>
      </c>
      <c r="P21" s="316">
        <f t="shared" si="1"/>
        <v>343</v>
      </c>
      <c r="Q21" s="333">
        <v>71</v>
      </c>
      <c r="R21" s="334">
        <v>50</v>
      </c>
      <c r="S21" s="334">
        <v>136</v>
      </c>
      <c r="T21" s="316">
        <f t="shared" si="2"/>
        <v>257</v>
      </c>
      <c r="U21" s="320">
        <f t="shared" si="0"/>
        <v>6.7878787878787881</v>
      </c>
      <c r="V21" s="321">
        <f t="shared" si="3"/>
        <v>33</v>
      </c>
    </row>
    <row r="22" spans="2:22" ht="15" x14ac:dyDescent="0.35">
      <c r="B22" s="308">
        <v>17</v>
      </c>
      <c r="C22" s="324" t="s">
        <v>1398</v>
      </c>
      <c r="D22" s="328">
        <v>5</v>
      </c>
      <c r="E22" s="329">
        <v>3</v>
      </c>
      <c r="F22" s="329">
        <v>8</v>
      </c>
      <c r="G22" s="329">
        <v>10</v>
      </c>
      <c r="H22" s="329">
        <v>9</v>
      </c>
      <c r="I22" s="329">
        <v>9</v>
      </c>
      <c r="J22" s="329">
        <v>15</v>
      </c>
      <c r="K22" s="329">
        <v>15</v>
      </c>
      <c r="L22" s="329">
        <v>15</v>
      </c>
      <c r="M22" s="329">
        <v>16</v>
      </c>
      <c r="N22" s="329">
        <v>6</v>
      </c>
      <c r="O22" s="329">
        <v>9</v>
      </c>
      <c r="P22" s="316">
        <f t="shared" si="1"/>
        <v>120</v>
      </c>
      <c r="Q22" s="333">
        <v>5</v>
      </c>
      <c r="R22" s="334">
        <v>6</v>
      </c>
      <c r="S22" s="334">
        <v>7</v>
      </c>
      <c r="T22" s="316">
        <f t="shared" si="2"/>
        <v>18</v>
      </c>
      <c r="U22" s="320">
        <f t="shared" si="0"/>
        <v>0.125</v>
      </c>
      <c r="V22" s="321">
        <f t="shared" si="3"/>
        <v>16</v>
      </c>
    </row>
    <row r="23" spans="2:22" ht="15" x14ac:dyDescent="0.35">
      <c r="B23" s="308">
        <v>18</v>
      </c>
      <c r="C23" s="322" t="s">
        <v>1436</v>
      </c>
      <c r="D23" s="315">
        <v>38</v>
      </c>
      <c r="E23" s="315">
        <v>51</v>
      </c>
      <c r="F23" s="315">
        <v>45</v>
      </c>
      <c r="G23" s="315">
        <v>32</v>
      </c>
      <c r="H23" s="315">
        <v>44</v>
      </c>
      <c r="I23" s="315">
        <v>57</v>
      </c>
      <c r="J23" s="315">
        <v>49</v>
      </c>
      <c r="K23" s="315">
        <v>57</v>
      </c>
      <c r="L23" s="315">
        <v>57</v>
      </c>
      <c r="M23" s="315">
        <v>67</v>
      </c>
      <c r="N23" s="315">
        <v>65</v>
      </c>
      <c r="O23" s="315">
        <v>67</v>
      </c>
      <c r="P23" s="316">
        <f t="shared" si="1"/>
        <v>629</v>
      </c>
      <c r="Q23" s="323">
        <v>91</v>
      </c>
      <c r="R23" s="315">
        <v>66</v>
      </c>
      <c r="S23" s="315">
        <v>179</v>
      </c>
      <c r="T23" s="316">
        <f t="shared" si="2"/>
        <v>336</v>
      </c>
      <c r="U23" s="332">
        <f t="shared" si="0"/>
        <v>1.5074626865671643</v>
      </c>
      <c r="V23" s="321">
        <f t="shared" si="3"/>
        <v>134</v>
      </c>
    </row>
    <row r="24" spans="2:22" ht="15" x14ac:dyDescent="0.35">
      <c r="B24" s="308">
        <v>19</v>
      </c>
      <c r="C24" s="324" t="s">
        <v>1401</v>
      </c>
      <c r="D24" s="328">
        <v>0</v>
      </c>
      <c r="E24" s="329">
        <v>2</v>
      </c>
      <c r="F24" s="329">
        <v>0</v>
      </c>
      <c r="G24" s="329">
        <v>0</v>
      </c>
      <c r="H24" s="329">
        <v>0</v>
      </c>
      <c r="I24" s="329">
        <v>0</v>
      </c>
      <c r="J24" s="329">
        <v>0</v>
      </c>
      <c r="K24" s="329">
        <v>0</v>
      </c>
      <c r="L24" s="329">
        <v>0</v>
      </c>
      <c r="M24" s="329"/>
      <c r="N24" s="329">
        <v>1</v>
      </c>
      <c r="O24" s="329">
        <v>0</v>
      </c>
      <c r="P24" s="316">
        <f t="shared" si="1"/>
        <v>3</v>
      </c>
      <c r="Q24" s="333">
        <v>0</v>
      </c>
      <c r="R24" s="334">
        <v>0</v>
      </c>
      <c r="S24" s="334">
        <v>0</v>
      </c>
      <c r="T24" s="316">
        <f t="shared" si="2"/>
        <v>0</v>
      </c>
      <c r="U24" s="320">
        <f t="shared" si="0"/>
        <v>-1</v>
      </c>
      <c r="V24" s="321">
        <f t="shared" si="3"/>
        <v>2</v>
      </c>
    </row>
    <row r="25" spans="2:22" ht="15" x14ac:dyDescent="0.35">
      <c r="B25" s="308">
        <v>20</v>
      </c>
      <c r="C25" s="324" t="s">
        <v>1400</v>
      </c>
      <c r="D25" s="328"/>
      <c r="E25" s="329">
        <v>1</v>
      </c>
      <c r="F25" s="329">
        <v>6</v>
      </c>
      <c r="G25" s="329">
        <v>3</v>
      </c>
      <c r="H25" s="329">
        <v>3</v>
      </c>
      <c r="I25" s="329">
        <v>5</v>
      </c>
      <c r="J25" s="329">
        <v>3</v>
      </c>
      <c r="K25" s="329">
        <v>1</v>
      </c>
      <c r="L25" s="329">
        <v>0</v>
      </c>
      <c r="M25" s="329">
        <v>0</v>
      </c>
      <c r="N25" s="329">
        <v>1</v>
      </c>
      <c r="O25" s="329">
        <v>1</v>
      </c>
      <c r="P25" s="316">
        <f t="shared" si="1"/>
        <v>24</v>
      </c>
      <c r="Q25" s="333">
        <v>1</v>
      </c>
      <c r="R25" s="334">
        <v>0</v>
      </c>
      <c r="S25" s="334">
        <v>1</v>
      </c>
      <c r="T25" s="316">
        <f t="shared" si="2"/>
        <v>2</v>
      </c>
      <c r="U25" s="320">
        <f t="shared" si="0"/>
        <v>-0.7142857142857143</v>
      </c>
      <c r="V25" s="321">
        <f t="shared" si="3"/>
        <v>7</v>
      </c>
    </row>
    <row r="26" spans="2:22" ht="15" x14ac:dyDescent="0.35">
      <c r="B26" s="308">
        <v>21</v>
      </c>
      <c r="C26" s="324" t="s">
        <v>1399</v>
      </c>
      <c r="D26" s="328">
        <v>1</v>
      </c>
      <c r="E26" s="329">
        <v>9</v>
      </c>
      <c r="F26" s="329">
        <v>7</v>
      </c>
      <c r="G26" s="329">
        <v>3</v>
      </c>
      <c r="H26" s="329">
        <v>10</v>
      </c>
      <c r="I26" s="329">
        <v>9</v>
      </c>
      <c r="J26" s="329">
        <v>7</v>
      </c>
      <c r="K26" s="329">
        <v>11</v>
      </c>
      <c r="L26" s="329">
        <v>12</v>
      </c>
      <c r="M26" s="329">
        <v>10</v>
      </c>
      <c r="N26" s="329">
        <v>15</v>
      </c>
      <c r="O26" s="329">
        <v>26</v>
      </c>
      <c r="P26" s="316">
        <f t="shared" si="1"/>
        <v>120</v>
      </c>
      <c r="Q26" s="333">
        <v>27</v>
      </c>
      <c r="R26" s="334">
        <v>18</v>
      </c>
      <c r="S26" s="334">
        <v>37</v>
      </c>
      <c r="T26" s="316">
        <f t="shared" si="2"/>
        <v>82</v>
      </c>
      <c r="U26" s="320">
        <f t="shared" si="0"/>
        <v>3.8235294117647056</v>
      </c>
      <c r="V26" s="321">
        <f t="shared" si="3"/>
        <v>17</v>
      </c>
    </row>
    <row r="27" spans="2:22" ht="15" x14ac:dyDescent="0.35">
      <c r="B27" s="308">
        <v>22</v>
      </c>
      <c r="C27" s="324" t="s">
        <v>1398</v>
      </c>
      <c r="D27" s="328">
        <v>23</v>
      </c>
      <c r="E27" s="329">
        <v>27</v>
      </c>
      <c r="F27" s="329">
        <v>26</v>
      </c>
      <c r="G27" s="329">
        <v>16</v>
      </c>
      <c r="H27" s="329">
        <v>34</v>
      </c>
      <c r="I27" s="329">
        <v>42</v>
      </c>
      <c r="J27" s="329">
        <v>40</v>
      </c>
      <c r="K27" s="329">
        <v>43</v>
      </c>
      <c r="L27" s="329">
        <v>41</v>
      </c>
      <c r="M27" s="329">
        <v>52</v>
      </c>
      <c r="N27" s="329">
        <v>46</v>
      </c>
      <c r="O27" s="329">
        <v>39</v>
      </c>
      <c r="P27" s="316">
        <f t="shared" si="1"/>
        <v>429</v>
      </c>
      <c r="Q27" s="333">
        <v>40</v>
      </c>
      <c r="R27" s="334">
        <v>22</v>
      </c>
      <c r="S27" s="334">
        <v>33</v>
      </c>
      <c r="T27" s="316">
        <f t="shared" si="2"/>
        <v>95</v>
      </c>
      <c r="U27" s="320">
        <f t="shared" si="0"/>
        <v>0.25</v>
      </c>
      <c r="V27" s="321">
        <f t="shared" si="3"/>
        <v>76</v>
      </c>
    </row>
    <row r="28" spans="2:22" ht="15" x14ac:dyDescent="0.35">
      <c r="B28" s="308">
        <v>23</v>
      </c>
      <c r="C28" s="313" t="s">
        <v>1438</v>
      </c>
      <c r="D28" s="335">
        <v>9.8410295230885701E-3</v>
      </c>
      <c r="E28" s="335">
        <v>1.0633156114064766E-2</v>
      </c>
      <c r="F28" s="335">
        <v>1.0352841749418973E-2</v>
      </c>
      <c r="G28" s="335">
        <v>1.1487115802545793E-2</v>
      </c>
      <c r="H28" s="335">
        <v>1.1232799775344004E-2</v>
      </c>
      <c r="I28" s="335">
        <v>1.316789060521651E-2</v>
      </c>
      <c r="J28" s="335">
        <v>1.3855213023900243E-2</v>
      </c>
      <c r="K28" s="335">
        <v>7.6958955223880594E-3</v>
      </c>
      <c r="L28" s="335">
        <v>1.259161811689532E-2</v>
      </c>
      <c r="M28" s="335">
        <v>1.0867853205229171E-2</v>
      </c>
      <c r="N28" s="335">
        <v>7.3999749153392698E-3</v>
      </c>
      <c r="O28" s="335">
        <v>1.7708709794000722E-2</v>
      </c>
      <c r="P28" s="336">
        <f>P17/P6</f>
        <v>1.1168016991829533E-2</v>
      </c>
      <c r="Q28" s="337">
        <f>Q17/Q6</f>
        <v>2.3059796437659034E-2</v>
      </c>
      <c r="R28" s="338">
        <f t="shared" ref="R28:T38" si="4">R17/R6</f>
        <v>2.4883359253499222E-2</v>
      </c>
      <c r="S28" s="338">
        <f t="shared" si="4"/>
        <v>2.205128205128205E-2</v>
      </c>
      <c r="T28" s="339">
        <f t="shared" si="4"/>
        <v>2.2919179734620022E-2</v>
      </c>
      <c r="U28" s="340">
        <f>(T28-V28)*10000</f>
        <v>125.78172717508117</v>
      </c>
      <c r="V28" s="341">
        <f>V17/V6</f>
        <v>1.0341007017111905E-2</v>
      </c>
    </row>
    <row r="29" spans="2:22" ht="15" x14ac:dyDescent="0.35">
      <c r="B29" s="308">
        <v>24</v>
      </c>
      <c r="C29" s="322" t="s">
        <v>1435</v>
      </c>
      <c r="D29" s="335">
        <v>1.288936627282492E-2</v>
      </c>
      <c r="E29" s="335">
        <v>6.6465256797583082E-3</v>
      </c>
      <c r="F29" s="335">
        <v>9.876543209876543E-3</v>
      </c>
      <c r="G29" s="335">
        <v>1.2170385395537525E-2</v>
      </c>
      <c r="H29" s="335">
        <v>1.0534529847834569E-2</v>
      </c>
      <c r="I29" s="335">
        <v>1.277183293061788E-2</v>
      </c>
      <c r="J29" s="335">
        <v>1.4705882352941176E-2</v>
      </c>
      <c r="K29" s="335">
        <v>7.9834417504435241E-3</v>
      </c>
      <c r="L29" s="335">
        <v>1.3148102207888861E-2</v>
      </c>
      <c r="M29" s="335">
        <v>1.1431893043983725E-2</v>
      </c>
      <c r="N29" s="335">
        <v>6.5178425941013526E-3</v>
      </c>
      <c r="O29" s="335">
        <v>1.753940010167768E-2</v>
      </c>
      <c r="P29" s="336">
        <f t="shared" ref="P29:Q38" si="5">P18/P7</f>
        <v>1.3706250139065039E-2</v>
      </c>
      <c r="Q29" s="337">
        <f t="shared" si="5"/>
        <v>2.1845851742758958E-2</v>
      </c>
      <c r="R29" s="338">
        <f t="shared" si="4"/>
        <v>2.2984441301272984E-2</v>
      </c>
      <c r="S29" s="338">
        <f t="shared" si="4"/>
        <v>2.2974101921470341E-2</v>
      </c>
      <c r="T29" s="339">
        <f t="shared" si="4"/>
        <v>2.2649815393354162E-2</v>
      </c>
      <c r="U29" s="340">
        <f t="shared" ref="U29:U38" si="6">(T29-V29)*10000</f>
        <v>117.36639338146331</v>
      </c>
      <c r="V29" s="341">
        <f t="shared" ref="V29:V38" si="7">V18/V7</f>
        <v>1.0913176055207831E-2</v>
      </c>
    </row>
    <row r="30" spans="2:22" ht="15" x14ac:dyDescent="0.35">
      <c r="B30" s="308">
        <v>25</v>
      </c>
      <c r="C30" s="324" t="s">
        <v>1401</v>
      </c>
      <c r="D30" s="335">
        <v>0</v>
      </c>
      <c r="E30" s="335">
        <v>4.2016806722689074E-3</v>
      </c>
      <c r="F30" s="335">
        <v>7.6923076923076927E-3</v>
      </c>
      <c r="G30" s="335">
        <v>0</v>
      </c>
      <c r="H30" s="335">
        <v>2.7027027027027029E-3</v>
      </c>
      <c r="I30" s="335">
        <v>0</v>
      </c>
      <c r="J30" s="335">
        <v>2.4937655860349127E-3</v>
      </c>
      <c r="K30" s="335">
        <v>6.3091482649842269E-3</v>
      </c>
      <c r="L30" s="335">
        <v>0</v>
      </c>
      <c r="M30" s="335">
        <v>9.0909090909090912E-2</v>
      </c>
      <c r="N30" s="335">
        <v>0</v>
      </c>
      <c r="O30" s="335">
        <v>0</v>
      </c>
      <c r="P30" s="336">
        <f t="shared" si="5"/>
        <v>3.766478342749529E-3</v>
      </c>
      <c r="Q30" s="337">
        <f t="shared" si="5"/>
        <v>0</v>
      </c>
      <c r="R30" s="338">
        <f t="shared" si="4"/>
        <v>0</v>
      </c>
      <c r="S30" s="338">
        <f t="shared" si="4"/>
        <v>0</v>
      </c>
      <c r="T30" s="339">
        <f t="shared" si="4"/>
        <v>0</v>
      </c>
      <c r="U30" s="340">
        <f t="shared" si="6"/>
        <v>-61.565523306948108</v>
      </c>
      <c r="V30" s="341">
        <f t="shared" si="7"/>
        <v>6.156552330694811E-3</v>
      </c>
    </row>
    <row r="31" spans="2:22" ht="15" x14ac:dyDescent="0.35">
      <c r="B31" s="308">
        <v>26</v>
      </c>
      <c r="C31" s="324" t="s">
        <v>1400</v>
      </c>
      <c r="D31" s="335" t="e">
        <v>#DIV/0!</v>
      </c>
      <c r="E31" s="335">
        <v>4.3478260869565216E-2</v>
      </c>
      <c r="F31" s="335">
        <v>1.3333333333333334E-2</v>
      </c>
      <c r="G31" s="335">
        <v>2.2727272727272728E-2</v>
      </c>
      <c r="H31" s="335">
        <v>0</v>
      </c>
      <c r="I31" s="335">
        <v>1.2121212121212121E-2</v>
      </c>
      <c r="J31" s="335">
        <v>5.8139534883720929E-3</v>
      </c>
      <c r="K31" s="335">
        <v>4.8543689320388345E-3</v>
      </c>
      <c r="L31" s="335">
        <v>4.5112781954887216E-2</v>
      </c>
      <c r="M31" s="335">
        <v>1.4814814814814815E-2</v>
      </c>
      <c r="N31" s="335">
        <v>7.9365079365079361E-3</v>
      </c>
      <c r="O31" s="335">
        <v>1.9736842105263157E-2</v>
      </c>
      <c r="P31" s="336">
        <f t="shared" si="5"/>
        <v>1.7565872020075281E-2</v>
      </c>
      <c r="Q31" s="337">
        <f t="shared" si="5"/>
        <v>3.7815126050420166E-2</v>
      </c>
      <c r="R31" s="338">
        <f t="shared" si="4"/>
        <v>0.1</v>
      </c>
      <c r="S31" s="338">
        <f t="shared" si="4"/>
        <v>8.59375E-2</v>
      </c>
      <c r="T31" s="339">
        <f t="shared" si="4"/>
        <v>6.1032863849765258E-2</v>
      </c>
      <c r="U31" s="340">
        <f t="shared" si="6"/>
        <v>436.91823387337513</v>
      </c>
      <c r="V31" s="341">
        <f t="shared" si="7"/>
        <v>1.7341040462427744E-2</v>
      </c>
    </row>
    <row r="32" spans="2:22" ht="15" x14ac:dyDescent="0.35">
      <c r="B32" s="308">
        <v>27</v>
      </c>
      <c r="C32" s="324" t="s">
        <v>1399</v>
      </c>
      <c r="D32" s="335">
        <v>1.3698630136986301E-2</v>
      </c>
      <c r="E32" s="335">
        <v>9.1575091575091579E-3</v>
      </c>
      <c r="F32" s="335">
        <v>9.9103350637092975E-3</v>
      </c>
      <c r="G32" s="335">
        <v>1.1699931176875429E-2</v>
      </c>
      <c r="H32" s="335">
        <v>1.1772853185595568E-2</v>
      </c>
      <c r="I32" s="335">
        <v>1.5902140672782873E-2</v>
      </c>
      <c r="J32" s="335">
        <v>1.6207951070336391E-2</v>
      </c>
      <c r="K32" s="335">
        <v>6.5514103730664238E-3</v>
      </c>
      <c r="L32" s="335">
        <v>8.9988751406074249E-3</v>
      </c>
      <c r="M32" s="335">
        <v>8.4370385994515917E-3</v>
      </c>
      <c r="N32" s="335">
        <v>5.9712632953909314E-3</v>
      </c>
      <c r="O32" s="335">
        <v>1.636520241171404E-2</v>
      </c>
      <c r="P32" s="336">
        <f t="shared" si="5"/>
        <v>1.0204688801618469E-2</v>
      </c>
      <c r="Q32" s="337">
        <f t="shared" si="5"/>
        <v>2.0124716553287982E-2</v>
      </c>
      <c r="R32" s="338">
        <f t="shared" si="4"/>
        <v>1.9349845201238391E-2</v>
      </c>
      <c r="S32" s="338">
        <f t="shared" si="4"/>
        <v>1.9958908130319929E-2</v>
      </c>
      <c r="T32" s="339">
        <f t="shared" si="4"/>
        <v>1.988240755067306E-2</v>
      </c>
      <c r="U32" s="340">
        <f t="shared" si="6"/>
        <v>94.919793390861599</v>
      </c>
      <c r="V32" s="341">
        <f t="shared" si="7"/>
        <v>1.0390428211586901E-2</v>
      </c>
    </row>
    <row r="33" spans="2:22" ht="15" x14ac:dyDescent="0.35">
      <c r="B33" s="308">
        <v>28</v>
      </c>
      <c r="C33" s="324" t="s">
        <v>1398</v>
      </c>
      <c r="D33" s="335">
        <v>1.2224938875305624E-2</v>
      </c>
      <c r="E33" s="335">
        <v>4.9180327868852463E-3</v>
      </c>
      <c r="F33" s="335">
        <v>1.1019283746556474E-2</v>
      </c>
      <c r="G33" s="335">
        <v>2.5839793281653745E-2</v>
      </c>
      <c r="H33" s="335">
        <v>1.3333333333333334E-2</v>
      </c>
      <c r="I33" s="335">
        <v>1.2362637362637362E-2</v>
      </c>
      <c r="J33" s="335">
        <v>1.6357688113413305E-2</v>
      </c>
      <c r="K33" s="335">
        <v>2.0107238605898123E-2</v>
      </c>
      <c r="L33" s="335">
        <v>5.5970149253731345E-2</v>
      </c>
      <c r="M33" s="335">
        <v>5.8394160583941604E-2</v>
      </c>
      <c r="N33" s="335">
        <v>1.1560693641618497E-2</v>
      </c>
      <c r="O33" s="335">
        <v>3.0821917808219176E-2</v>
      </c>
      <c r="P33" s="336">
        <f t="shared" si="5"/>
        <v>1.8317814074187148E-2</v>
      </c>
      <c r="Q33" s="337">
        <f t="shared" si="5"/>
        <v>1.6556291390728478E-2</v>
      </c>
      <c r="R33" s="338">
        <f t="shared" si="4"/>
        <v>3.3333333333333333E-2</v>
      </c>
      <c r="S33" s="338">
        <f t="shared" si="4"/>
        <v>2.9411764705882353E-2</v>
      </c>
      <c r="T33" s="339">
        <f t="shared" si="4"/>
        <v>2.5000000000000001E-2</v>
      </c>
      <c r="U33" s="340">
        <f t="shared" si="6"/>
        <v>158.30945558739256</v>
      </c>
      <c r="V33" s="341">
        <f t="shared" si="7"/>
        <v>9.1690544412607444E-3</v>
      </c>
    </row>
    <row r="34" spans="2:22" ht="15" x14ac:dyDescent="0.35">
      <c r="B34" s="308">
        <v>29</v>
      </c>
      <c r="C34" s="322" t="s">
        <v>1436</v>
      </c>
      <c r="D34" s="335">
        <v>2.5641025641025641E-3</v>
      </c>
      <c r="E34" s="335">
        <v>2.6570048309178744E-2</v>
      </c>
      <c r="F34" s="335">
        <v>1.1948529411764705E-2</v>
      </c>
      <c r="G34" s="335">
        <v>9.2592592592592587E-3</v>
      </c>
      <c r="H34" s="335">
        <v>1.3026052104208416E-2</v>
      </c>
      <c r="I34" s="335">
        <v>1.4258555133079848E-2</v>
      </c>
      <c r="J34" s="335">
        <v>9.8619329388560158E-3</v>
      </c>
      <c r="K34" s="335">
        <v>6.6225165562913907E-3</v>
      </c>
      <c r="L34" s="335">
        <v>1.0852713178294573E-2</v>
      </c>
      <c r="M34" s="335">
        <v>8.4175084175084174E-3</v>
      </c>
      <c r="N34" s="335">
        <v>1.0348583877995643E-2</v>
      </c>
      <c r="O34" s="335">
        <v>1.8124999999999999E-2</v>
      </c>
      <c r="P34" s="336">
        <f t="shared" si="5"/>
        <v>4.6807560648906087E-2</v>
      </c>
      <c r="Q34" s="337">
        <f t="shared" si="5"/>
        <v>4.110207768744354E-2</v>
      </c>
      <c r="R34" s="338">
        <f t="shared" si="4"/>
        <v>6.4077669902912623E-2</v>
      </c>
      <c r="S34" s="338">
        <f t="shared" si="4"/>
        <v>6.9704049844236754E-2</v>
      </c>
      <c r="T34" s="339">
        <f t="shared" si="4"/>
        <v>5.7811424638678596E-2</v>
      </c>
      <c r="U34" s="340">
        <f t="shared" si="6"/>
        <v>-130.13099674217807</v>
      </c>
      <c r="V34" s="341">
        <f t="shared" si="7"/>
        <v>7.0824524312896403E-2</v>
      </c>
    </row>
    <row r="35" spans="2:22" ht="15" x14ac:dyDescent="0.35">
      <c r="B35" s="308">
        <v>30</v>
      </c>
      <c r="C35" s="324" t="s">
        <v>1401</v>
      </c>
      <c r="D35" s="335">
        <v>0</v>
      </c>
      <c r="E35" s="335">
        <v>5.2631578947368418E-2</v>
      </c>
      <c r="F35" s="335">
        <v>0</v>
      </c>
      <c r="G35" s="335">
        <v>0</v>
      </c>
      <c r="H35" s="335">
        <v>0</v>
      </c>
      <c r="I35" s="335">
        <v>0</v>
      </c>
      <c r="J35" s="335">
        <v>0</v>
      </c>
      <c r="K35" s="335">
        <v>0</v>
      </c>
      <c r="L35" s="335">
        <v>0</v>
      </c>
      <c r="M35" s="335" t="e">
        <v>#DIV/0!</v>
      </c>
      <c r="N35" s="335">
        <v>7.1428571428571425E-2</v>
      </c>
      <c r="O35" s="335">
        <v>0</v>
      </c>
      <c r="P35" s="336">
        <f t="shared" si="5"/>
        <v>1.4018691588785047E-2</v>
      </c>
      <c r="Q35" s="337" t="e">
        <f t="shared" si="5"/>
        <v>#DIV/0!</v>
      </c>
      <c r="R35" s="338">
        <f t="shared" si="4"/>
        <v>0</v>
      </c>
      <c r="S35" s="338" t="e">
        <f t="shared" si="4"/>
        <v>#DIV/0!</v>
      </c>
      <c r="T35" s="339">
        <f t="shared" si="4"/>
        <v>0</v>
      </c>
      <c r="U35" s="340">
        <f t="shared" si="6"/>
        <v>-333.33333333333331</v>
      </c>
      <c r="V35" s="341">
        <f t="shared" si="7"/>
        <v>3.3333333333333333E-2</v>
      </c>
    </row>
    <row r="36" spans="2:22" ht="15" x14ac:dyDescent="0.35">
      <c r="B36" s="308">
        <v>31</v>
      </c>
      <c r="C36" s="324" t="s">
        <v>1400</v>
      </c>
      <c r="D36" s="335" t="e">
        <v>#DIV/0!</v>
      </c>
      <c r="E36" s="335">
        <v>8.3333333333333329E-2</v>
      </c>
      <c r="F36" s="335">
        <v>2.4793388429752067E-2</v>
      </c>
      <c r="G36" s="335">
        <v>2.4193548387096774E-2</v>
      </c>
      <c r="H36" s="335">
        <v>1.8987341772151899E-2</v>
      </c>
      <c r="I36" s="335">
        <v>5.5555555555555552E-2</v>
      </c>
      <c r="J36" s="335">
        <v>1.9230769230769232E-2</v>
      </c>
      <c r="K36" s="335">
        <v>1.1363636363636364E-2</v>
      </c>
      <c r="L36" s="335">
        <v>0</v>
      </c>
      <c r="M36" s="335">
        <v>0</v>
      </c>
      <c r="N36" s="335">
        <v>1.7857142857142856E-2</v>
      </c>
      <c r="O36" s="335">
        <v>2.7777777777777776E-2</v>
      </c>
      <c r="P36" s="336">
        <f t="shared" si="5"/>
        <v>2.3575638506876228E-2</v>
      </c>
      <c r="Q36" s="337">
        <f t="shared" si="5"/>
        <v>3.3333333333333333E-2</v>
      </c>
      <c r="R36" s="338">
        <f t="shared" si="4"/>
        <v>0</v>
      </c>
      <c r="S36" s="338">
        <f t="shared" si="4"/>
        <v>8.3333333333333329E-2</v>
      </c>
      <c r="T36" s="339">
        <f t="shared" si="4"/>
        <v>4.3478260869565216E-2</v>
      </c>
      <c r="U36" s="340">
        <f t="shared" si="6"/>
        <v>159.19205751454982</v>
      </c>
      <c r="V36" s="341">
        <f t="shared" si="7"/>
        <v>2.7559055118110236E-2</v>
      </c>
    </row>
    <row r="37" spans="2:22" ht="15" x14ac:dyDescent="0.35">
      <c r="B37" s="308">
        <v>32</v>
      </c>
      <c r="C37" s="324" t="s">
        <v>1399</v>
      </c>
      <c r="D37" s="335">
        <v>6.9444444444444441E-3</v>
      </c>
      <c r="E37" s="335">
        <v>0.05</v>
      </c>
      <c r="F37" s="335">
        <v>1.9444444444444445E-2</v>
      </c>
      <c r="G37" s="335">
        <v>1.3274336283185841E-2</v>
      </c>
      <c r="H37" s="335">
        <v>3.6231884057971016E-2</v>
      </c>
      <c r="I37" s="335">
        <v>2.616279069767442E-2</v>
      </c>
      <c r="J37" s="335">
        <v>1.8617021276595744E-2</v>
      </c>
      <c r="K37" s="335">
        <v>1.261467889908257E-2</v>
      </c>
      <c r="L37" s="335">
        <v>1.5873015873015872E-2</v>
      </c>
      <c r="M37" s="335">
        <v>1.6181229773462782E-2</v>
      </c>
      <c r="N37" s="335">
        <v>1.3711151736745886E-2</v>
      </c>
      <c r="O37" s="335">
        <v>2.5000000000000001E-2</v>
      </c>
      <c r="P37" s="336">
        <f t="shared" si="5"/>
        <v>1.921229586935639E-2</v>
      </c>
      <c r="Q37" s="337">
        <f t="shared" si="5"/>
        <v>1.6707920792079209E-2</v>
      </c>
      <c r="R37" s="338">
        <f t="shared" si="4"/>
        <v>2.0689655172413793E-2</v>
      </c>
      <c r="S37" s="338">
        <f t="shared" si="4"/>
        <v>1.5811965811965811E-2</v>
      </c>
      <c r="T37" s="339">
        <f t="shared" si="4"/>
        <v>1.6991297140489019E-2</v>
      </c>
      <c r="U37" s="340">
        <f t="shared" si="6"/>
        <v>-94.062183874612927</v>
      </c>
      <c r="V37" s="341">
        <f t="shared" si="7"/>
        <v>2.6397515527950312E-2</v>
      </c>
    </row>
    <row r="38" spans="2:22" ht="15.5" thickBot="1" x14ac:dyDescent="0.4">
      <c r="B38" s="342">
        <v>33</v>
      </c>
      <c r="C38" s="343" t="s">
        <v>1398</v>
      </c>
      <c r="D38" s="344">
        <v>0</v>
      </c>
      <c r="E38" s="344">
        <v>4.464285714285714E-3</v>
      </c>
      <c r="F38" s="344">
        <v>0</v>
      </c>
      <c r="G38" s="344">
        <v>2.6595744680851063E-3</v>
      </c>
      <c r="H38" s="344">
        <v>0</v>
      </c>
      <c r="I38" s="344">
        <v>1.6611295681063123E-3</v>
      </c>
      <c r="J38" s="344">
        <v>0</v>
      </c>
      <c r="K38" s="344">
        <v>0</v>
      </c>
      <c r="L38" s="344">
        <v>4.0650406504065045E-3</v>
      </c>
      <c r="M38" s="344">
        <v>0</v>
      </c>
      <c r="N38" s="344">
        <v>2.976190476190476E-3</v>
      </c>
      <c r="O38" s="344">
        <v>3.8610038610038611E-3</v>
      </c>
      <c r="P38" s="345">
        <f t="shared" si="5"/>
        <v>7.1979865771812077E-2</v>
      </c>
      <c r="Q38" s="346">
        <f t="shared" si="5"/>
        <v>7.0422535211267609E-2</v>
      </c>
      <c r="R38" s="347">
        <f t="shared" si="4"/>
        <v>0.14285714285714285</v>
      </c>
      <c r="S38" s="347">
        <f t="shared" si="4"/>
        <v>0.15277777777777779</v>
      </c>
      <c r="T38" s="348">
        <f t="shared" si="4"/>
        <v>0.10127931769722814</v>
      </c>
      <c r="U38" s="349">
        <f t="shared" si="6"/>
        <v>199.08868018427285</v>
      </c>
      <c r="V38" s="341">
        <f t="shared" si="7"/>
        <v>8.137044967880086E-2</v>
      </c>
    </row>
    <row r="39" spans="2:22" x14ac:dyDescent="0.35">
      <c r="B39" s="290"/>
    </row>
  </sheetData>
  <mergeCells count="21">
    <mergeCell ref="Q4:Q5"/>
    <mergeCell ref="R4:R5"/>
    <mergeCell ref="S4:S5"/>
    <mergeCell ref="T4:T5"/>
    <mergeCell ref="U4:U5"/>
    <mergeCell ref="K4:K5"/>
    <mergeCell ref="L4:L5"/>
    <mergeCell ref="M4:M5"/>
    <mergeCell ref="N4:N5"/>
    <mergeCell ref="O4:O5"/>
    <mergeCell ref="P4:P5"/>
    <mergeCell ref="D3:P3"/>
    <mergeCell ref="Q3:T3"/>
    <mergeCell ref="B4:C4"/>
    <mergeCell ref="D4:D5"/>
    <mergeCell ref="E4:E5"/>
    <mergeCell ref="F4:F5"/>
    <mergeCell ref="G4:G5"/>
    <mergeCell ref="H4:H5"/>
    <mergeCell ref="I4:I5"/>
    <mergeCell ref="J4:J5"/>
  </mergeCells>
  <phoneticPr fontId="3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1.GEO MAU</vt:lpstr>
      <vt:lpstr>2.信源分析</vt:lpstr>
      <vt:lpstr>3.GEO效果追踪</vt:lpstr>
      <vt:lpstr>4.类别提及分析</vt:lpstr>
      <vt:lpstr>5.新增度检索短语</vt:lpstr>
      <vt:lpstr>GEO Search volumn-Gemi 3.0</vt:lpstr>
      <vt:lpstr>6.SEO核心关键词</vt:lpstr>
      <vt:lpstr>GEO input Total</vt:lpstr>
      <vt:lpstr>GEO Performance by platform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</dc:creator>
  <cp:lastModifiedBy>Shi, Yujiao</cp:lastModifiedBy>
  <dcterms:created xsi:type="dcterms:W3CDTF">2026-06-18T01:04:00Z</dcterms:created>
  <dcterms:modified xsi:type="dcterms:W3CDTF">2026-06-24T06:55:41Z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3DF3288A0520D6CBB7F2316A017031C9_41</vt:lpwstr>
  </property>
  <property fmtid="{D5CDD505-2E9C-101B-9397-08002B2CF9AE}" pid="3" name="KSOReadingLayout">
    <vt:bool>true</vt:bool>
  </property>
  <property fmtid="{D5CDD505-2E9C-101B-9397-08002B2CF9AE}" pid="4" name="KSOProductBuildVer">
    <vt:lpwstr>2052-12.1.25205.25205</vt:lpwstr>
  </property>
  <property fmtid="{D5CDD505-2E9C-101B-9397-08002B2CF9AE}" pid="5" name="CalculationRule">
    <vt:i4>1</vt:i4>
  </property>
  <property fmtid="{D5CDD505-2E9C-101B-9397-08002B2CF9AE}" pid="6" name="MSIP_Label_19e68092-05df-4271-8e3e-b2a4c82ba797_Enabled">
    <vt:lpwstr>true</vt:lpwstr>
  </property>
  <property fmtid="{D5CDD505-2E9C-101B-9397-08002B2CF9AE}" pid="7" name="MSIP_Label_19e68092-05df-4271-8e3e-b2a4c82ba797_SetDate">
    <vt:lpwstr>2026-06-24T06:54:30Z</vt:lpwstr>
  </property>
  <property fmtid="{D5CDD505-2E9C-101B-9397-08002B2CF9AE}" pid="8" name="MSIP_Label_19e68092-05df-4271-8e3e-b2a4c82ba797_Method">
    <vt:lpwstr>Standard</vt:lpwstr>
  </property>
  <property fmtid="{D5CDD505-2E9C-101B-9397-08002B2CF9AE}" pid="9" name="MSIP_Label_19e68092-05df-4271-8e3e-b2a4c82ba797_Name">
    <vt:lpwstr>Amazon Confidential</vt:lpwstr>
  </property>
  <property fmtid="{D5CDD505-2E9C-101B-9397-08002B2CF9AE}" pid="10" name="MSIP_Label_19e68092-05df-4271-8e3e-b2a4c82ba797_SiteId">
    <vt:lpwstr>5280104a-472d-4538-9ccf-1e1d0efe8b1b</vt:lpwstr>
  </property>
  <property fmtid="{D5CDD505-2E9C-101B-9397-08002B2CF9AE}" pid="11" name="MSIP_Label_19e68092-05df-4271-8e3e-b2a4c82ba797_ActionId">
    <vt:lpwstr>7b394ee4-84a8-4b63-94d0-fba34af56050</vt:lpwstr>
  </property>
  <property fmtid="{D5CDD505-2E9C-101B-9397-08002B2CF9AE}" pid="12" name="MSIP_Label_19e68092-05df-4271-8e3e-b2a4c82ba797_ContentBits">
    <vt:lpwstr>0</vt:lpwstr>
  </property>
  <property fmtid="{D5CDD505-2E9C-101B-9397-08002B2CF9AE}" pid="13" name="MSIP_Label_19e68092-05df-4271-8e3e-b2a4c82ba797_Tag">
    <vt:lpwstr>10, 3, 0, 1</vt:lpwstr>
  </property>
</Properties>
</file>