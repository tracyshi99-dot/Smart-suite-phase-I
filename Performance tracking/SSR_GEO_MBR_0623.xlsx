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ujiashi\Desktop\"/>
    </mc:Choice>
  </mc:AlternateContent>
  <xr:revisionPtr revIDLastSave="0" documentId="13_ncr:1_{1410F3BB-B527-4679-8671-842B6AC1CB00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2" sheetId="2" r:id="rId1"/>
    <sheet name="Sheet1" sheetId="6" r:id="rId2"/>
    <sheet name="Sheet4" sheetId="4" r:id="rId3"/>
    <sheet name="Sheet3" sheetId="3" r:id="rId4"/>
    <sheet name="Sheet6" sheetId="7" r:id="rId5"/>
    <sheet name="Sheet5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" i="2" l="1"/>
</calcChain>
</file>

<file path=xl/sharedStrings.xml><?xml version="1.0" encoding="utf-8"?>
<sst xmlns="http://schemas.openxmlformats.org/spreadsheetml/2006/main" count="330" uniqueCount="150">
  <si>
    <t>Y2026</t>
  </si>
  <si>
    <t>Y2025</t>
  </si>
  <si>
    <t>YoY</t>
  </si>
  <si>
    <t>#</t>
  </si>
  <si>
    <t>Regstart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</si>
  <si>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</si>
  <si>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</si>
  <si>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</si>
  <si>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</si>
  <si>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</si>
  <si>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</si>
  <si>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</si>
  <si>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</si>
  <si>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</si>
  <si>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</si>
  <si>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</si>
  <si>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</si>
  <si>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Q1</t>
  </si>
  <si>
    <t>Q2</t>
  </si>
  <si>
    <t>Q3</t>
  </si>
  <si>
    <t>Q4</t>
  </si>
  <si>
    <t>YTD</t>
  </si>
  <si>
    <t>FY</t>
  </si>
  <si>
    <t>Q1'26 vs Q4'25</t>
  </si>
  <si>
    <t>GEO</t>
  </si>
  <si>
    <t>CN Website</t>
  </si>
  <si>
    <t>NA Website</t>
  </si>
  <si>
    <t>EU Website</t>
  </si>
  <si>
    <t>JP Website</t>
  </si>
  <si>
    <t>WW Website Direct</t>
  </si>
  <si>
    <t>GEO+WW Direct Total</t>
  </si>
  <si>
    <t>SSR Total</t>
  </si>
  <si>
    <t>Share of SSR Total</t>
  </si>
  <si>
    <t>Clean launch</t>
  </si>
  <si>
    <t>Regstart to clean launch</t>
  </si>
  <si>
    <t>#</t>
    <phoneticPr fontId="3" type="noConversion"/>
  </si>
  <si>
    <t>1,230bps</t>
    <phoneticPr fontId="3" type="noConversion"/>
  </si>
  <si>
    <t>1,121bps</t>
    <phoneticPr fontId="3" type="noConversion"/>
  </si>
  <si>
    <t>1. AI 检索影响的两大渠道定义</t>
  </si>
  <si>
    <t>我们识别了两个受 AI 检索直接影响的渠道：</t>
  </si>
  <si>
    <r>
      <t>GEO Channel</t>
    </r>
    <r>
      <rPr>
        <sz val="11"/>
        <color theme="1"/>
        <rFont val="宋体"/>
        <family val="2"/>
        <scheme val="minor"/>
      </rPr>
      <t>：可通过 track code 直接捕获的纯净数据，毋庸置疑</t>
    </r>
  </si>
  <si>
    <r>
      <t>WW Direct Channel</t>
    </r>
    <r>
      <rPr>
        <sz val="11"/>
        <color theme="1"/>
        <rFont val="宋体"/>
        <family val="2"/>
        <scheme val="minor"/>
      </rPr>
      <t>：高度受 AI 检索影响的渠道</t>
    </r>
  </si>
  <si>
    <t>2. WW Direct 的判定依据（建议用两点论证）</t>
  </si>
  <si>
    <t>判定依据：</t>
  </si>
  <si>
    <r>
      <t>1. 趋势高度一致</t>
    </r>
    <r>
      <rPr>
        <sz val="11"/>
        <color theme="1"/>
        <rFont val="宋体"/>
        <family val="2"/>
        <scheme val="minor"/>
      </rPr>
      <t>：从 2025 年起我们观察到 WW Direct 是唯一一个对比大盘逆势上涨的渠道，且其增长 trend 与 GEO channel 高度一致（见图）</t>
    </r>
  </si>
  <si>
    <r>
      <t>2. AI 平台行为验证</t>
    </r>
    <r>
      <rPr>
        <sz val="11"/>
        <color theme="1"/>
        <rFont val="宋体"/>
        <family val="2"/>
        <scheme val="minor"/>
      </rPr>
      <t>：我们在主流 AI 检索平台测试发现，回答注册相关问题时，结果更倾向于引用 sell.amazon.com 和 Seller Central 链接（均为 Direct 流量来源）</t>
    </r>
  </si>
  <si>
    <t>3. 核心 Metric 定义</t>
  </si>
  <si>
    <r>
      <t xml:space="preserve">基于以上原因，我们将 </t>
    </r>
    <r>
      <rPr>
        <b/>
        <sz val="11"/>
        <color theme="1"/>
        <rFont val="宋体"/>
        <family val="3"/>
        <charset val="134"/>
        <scheme val="minor"/>
      </rPr>
      <t>GEO + WW Direct</t>
    </r>
    <r>
      <rPr>
        <sz val="11"/>
        <color theme="1"/>
        <rFont val="宋体"/>
        <family val="2"/>
        <scheme val="minor"/>
      </rPr>
      <t xml:space="preserve"> 合并作为衡量 AI 检索影响的主要 metric。</t>
    </r>
  </si>
  <si>
    <t>4. 数据解读</t>
  </si>
  <si>
    <t>GEO Channel：</t>
  </si>
  <si>
    <r>
      <t xml:space="preserve">FY26 除 1-2 月受春节影响外，3-5 月稳定维持在 </t>
    </r>
    <r>
      <rPr>
        <b/>
        <sz val="11"/>
        <color theme="1"/>
        <rFont val="宋体"/>
        <family val="3"/>
        <charset val="134"/>
        <scheme val="minor"/>
      </rPr>
      <t>~250/月</t>
    </r>
  </si>
  <si>
    <r>
      <t xml:space="preserve">CN site 贡献约 </t>
    </r>
    <r>
      <rPr>
        <b/>
        <sz val="11"/>
        <color theme="1"/>
        <rFont val="宋体"/>
        <family val="3"/>
        <charset val="134"/>
        <scheme val="minor"/>
      </rPr>
      <t>60%</t>
    </r>
    <r>
      <rPr>
        <sz val="11"/>
        <color theme="1"/>
        <rFont val="宋体"/>
        <family val="2"/>
        <scheme val="minor"/>
      </rPr>
      <t>，其次是 NA site</t>
    </r>
  </si>
  <si>
    <r>
      <t xml:space="preserve">绝对值较小的原因：约 </t>
    </r>
    <r>
      <rPr>
        <b/>
        <sz val="11"/>
        <color theme="1"/>
        <rFont val="宋体"/>
        <family val="3"/>
        <charset val="134"/>
        <scheme val="minor"/>
      </rPr>
      <t>90% 的 AI 检索不带 refer tag</t>
    </r>
    <r>
      <rPr>
        <sz val="11"/>
        <color theme="1"/>
        <rFont val="宋体"/>
        <family val="2"/>
        <scheme val="minor"/>
      </rPr>
      <t>（浏览器打开 AI 平台的比例仅约 10%）</t>
    </r>
  </si>
  <si>
    <t>DeepSeek：100% 不带 code</t>
  </si>
  <si>
    <t>豆包：85% App 端不带 code</t>
  </si>
  <si>
    <t>因此大部分 AI 影响被计入 WW Direct channel</t>
  </si>
  <si>
    <t>WW Direct Channel：</t>
  </si>
  <si>
    <r>
      <t xml:space="preserve">FY26 3-5 月维持 </t>
    </r>
    <r>
      <rPr>
        <b/>
        <sz val="11"/>
        <color theme="1"/>
        <rFont val="宋体"/>
        <family val="3"/>
        <charset val="134"/>
        <scheme val="minor"/>
      </rPr>
      <t>7,000-8,000+/月</t>
    </r>
    <r>
      <rPr>
        <sz val="11"/>
        <color theme="1"/>
        <rFont val="宋体"/>
        <family val="2"/>
        <scheme val="minor"/>
      </rPr>
      <t xml:space="preserve"> 的绝对值</t>
    </r>
  </si>
  <si>
    <r>
      <t xml:space="preserve">对比 2025 同期或 Q4'25，基本实现 </t>
    </r>
    <r>
      <rPr>
        <b/>
        <sz val="11"/>
        <color theme="1"/>
        <rFont val="宋体"/>
        <family val="3"/>
        <charset val="134"/>
        <scheme val="minor"/>
      </rPr>
      <t>翻倍增长</t>
    </r>
  </si>
  <si>
    <t>5. 增长归因（智系列）</t>
  </si>
  <si>
    <r>
      <t xml:space="preserve">增长主要归功于 2025 年 12 月启动的 </t>
    </r>
    <r>
      <rPr>
        <b/>
        <sz val="11"/>
        <color theme="1"/>
        <rFont val="宋体"/>
        <family val="3"/>
        <charset val="134"/>
        <scheme val="minor"/>
      </rPr>
      <t>"智系列"AI 内容优化工具</t>
    </r>
    <r>
      <rPr>
        <sz val="11"/>
        <color theme="1"/>
        <rFont val="宋体"/>
        <family val="2"/>
        <scheme val="minor"/>
      </rPr>
      <t>：</t>
    </r>
  </si>
  <si>
    <r>
      <t xml:space="preserve">YTD 产出 </t>
    </r>
    <r>
      <rPr>
        <b/>
        <sz val="11"/>
        <color theme="1"/>
        <rFont val="宋体"/>
        <family val="3"/>
        <charset val="134"/>
        <scheme val="minor"/>
      </rPr>
      <t>600 篇文章</t>
    </r>
    <r>
      <rPr>
        <sz val="11"/>
        <color theme="1"/>
        <rFont val="宋体"/>
        <family val="2"/>
        <scheme val="minor"/>
      </rPr>
      <t xml:space="preserve">，覆盖近 </t>
    </r>
    <r>
      <rPr>
        <b/>
        <sz val="11"/>
        <color theme="1"/>
        <rFont val="宋体"/>
        <family val="3"/>
        <charset val="134"/>
        <scheme val="minor"/>
      </rPr>
      <t>600 个检索短语</t>
    </r>
    <r>
      <rPr>
        <sz val="11"/>
        <color theme="1"/>
        <rFont val="宋体"/>
        <family val="2"/>
        <scheme val="minor"/>
      </rPr>
      <t>（品牌 + 行业）</t>
    </r>
  </si>
  <si>
    <r>
      <t xml:space="preserve">检索答案中品牌引用率：75% → </t>
    </r>
    <r>
      <rPr>
        <b/>
        <sz val="11"/>
        <color theme="1"/>
        <rFont val="宋体"/>
        <family val="3"/>
        <charset val="134"/>
        <scheme val="minor"/>
      </rPr>
      <t>95%</t>
    </r>
  </si>
  <si>
    <r>
      <t xml:space="preserve">官网链接提及率：18% → </t>
    </r>
    <r>
      <rPr>
        <b/>
        <sz val="11"/>
        <color theme="1"/>
        <rFont val="宋体"/>
        <family val="3"/>
        <charset val="134"/>
        <scheme val="minor"/>
      </rPr>
      <t>45%</t>
    </r>
  </si>
  <si>
    <t>6. Next Steps</t>
  </si>
  <si>
    <r>
      <t xml:space="preserve">将智系列从 Quick Suite 迁移至 </t>
    </r>
    <r>
      <rPr>
        <b/>
        <sz val="11"/>
        <color theme="1"/>
        <rFont val="宋体"/>
        <family val="3"/>
        <charset val="134"/>
        <scheme val="minor"/>
      </rPr>
      <t>Kiro</t>
    </r>
    <r>
      <rPr>
        <sz val="11"/>
        <color theme="1"/>
        <rFont val="宋体"/>
        <family val="2"/>
        <scheme val="minor"/>
      </rPr>
      <t>，构建完整 AI workflow</t>
    </r>
  </si>
  <si>
    <r>
      <t xml:space="preserve">预计年底产出 </t>
    </r>
    <r>
      <rPr>
        <b/>
        <sz val="11"/>
        <color theme="1"/>
        <rFont val="宋体"/>
        <family val="3"/>
        <charset val="134"/>
        <scheme val="minor"/>
      </rPr>
      <t>3,600 篇文章</t>
    </r>
    <r>
      <rPr>
        <sz val="11"/>
        <color theme="1"/>
        <rFont val="宋体"/>
        <family val="2"/>
        <scheme val="minor"/>
      </rPr>
      <t xml:space="preserve">，覆盖 </t>
    </r>
    <r>
      <rPr>
        <b/>
        <sz val="11"/>
        <color theme="1"/>
        <rFont val="宋体"/>
        <family val="3"/>
        <charset val="134"/>
        <scheme val="minor"/>
      </rPr>
      <t>4,000+ 检索短语</t>
    </r>
    <r>
      <rPr>
        <sz val="11"/>
        <color theme="1"/>
        <rFont val="宋体"/>
        <family val="2"/>
        <scheme val="minor"/>
      </rPr>
      <t>（品牌 + 行业类）</t>
    </r>
  </si>
  <si>
    <t>⚠️ 可能被挑战的问题</t>
  </si>
  <si>
    <t>可能的挑战</t>
  </si>
  <si>
    <t>建议准备的回应</t>
  </si>
  <si>
    <t>"WW Direct 增长就一定是 AI 造成的吗？有没有其他因素？"</t>
  </si>
  <si>
    <t>准备排除法：其他 Direct 来源（书签、直接输入URL）的行为模式在 2025 前已稳定，2025年底突增与 AI 工具爆发时间点吻合</t>
  </si>
  <si>
    <t>"90% 不带 tag 的估算依据是什么？"</t>
  </si>
  <si>
    <t>说明来源：基于主流 AI 平台（DeepSeek、豆包、ChatGPT等）的浏览器/App 比例 + 各平台技术实现验证</t>
  </si>
  <si>
    <t>"Feb 份 WW Direct YoY 是下降的（-22%），怎么解释？"</t>
  </si>
  <si>
    <t>春节效应：2025年春节在2月，2026年也在1-2月，但日历天数分布不同导致波动，3月起即恢复强劲增长</t>
  </si>
  <si>
    <t>"3,600 篇文章的 ROI 是什么？"</t>
  </si>
  <si>
    <t>建议补充：per article 的 expected incremental reg start 或 conversion uplift 估算</t>
  </si>
  <si>
    <t>"GEO+WW Direct 只占大盘 ~15%，怎么看整体影响？"</t>
  </si>
  <si>
    <t>强调：这 15% 是 100% 增量（net new acquisition），且大盘 SSR Total 是下降的，这部分是唯一增长来源</t>
  </si>
  <si>
    <t>Speaking Notes — GEO MBR Call Out</t>
  </si>
  <si>
    <t>【开场定义】</t>
  </si>
  <si>
    <t>今天想 call out 一下 AI 检索对我们 SSR 漏斗的影响。我们追踪了两个核心渠道：</t>
  </si>
  <si>
    <r>
      <t>第一个是 GEO channel</t>
    </r>
    <r>
      <rPr>
        <sz val="11"/>
        <color theme="1"/>
        <rFont val="宋体"/>
        <family val="2"/>
        <scheme val="minor"/>
      </rPr>
      <t>——这是我们能通过 track code 直接捕获到的、确定来自 AI 检索的流量，数据非常干净</t>
    </r>
  </si>
  <si>
    <r>
      <t>第二个是 WW Direct channel</t>
    </r>
    <r>
      <rPr>
        <sz val="11"/>
        <color theme="1"/>
        <rFont val="宋体"/>
        <family val="2"/>
        <scheme val="minor"/>
      </rPr>
      <t>——我们判断这个渠道也高度受 AI 检索影响</t>
    </r>
  </si>
  <si>
    <t>【为什么是 WW Direct？两个证据】</t>
  </si>
  <si>
    <t>为什么我们认为 WW Direct 受 AI 检索影响？</t>
  </si>
  <si>
    <r>
      <t>第一</t>
    </r>
    <r>
      <rPr>
        <sz val="11"/>
        <color theme="1"/>
        <rFont val="宋体"/>
        <family val="2"/>
        <scheme val="minor"/>
      </rPr>
      <t>，从趋势看，WW Direct 是去年以来唯一逆势增长的渠道，而且它的增长节奏和 GEO 高度同步——从图里可以看到，两条线几乎同涨同跌。</t>
    </r>
  </si>
  <si>
    <r>
      <t>第二</t>
    </r>
    <r>
      <rPr>
        <sz val="11"/>
        <color theme="1"/>
        <rFont val="宋体"/>
        <family val="2"/>
        <scheme val="minor"/>
      </rPr>
      <t>，我们实测了主流 AI 平台，发现它们在回答注册相关问题时，倾向于推荐 sell.amazon.com 和 Seller Central 链接——这些链接点进来就是 Direct 流量。</t>
    </r>
  </si>
  <si>
    <t>【为什么 GEO 绝对值这么小？】</t>
  </si>
  <si>
    <t>看数据之前需要解释一个背景：GEO 的绝对值比较小，3到5月大概在 250 左右。</t>
  </si>
  <si>
    <r>
      <t xml:space="preserve">原因很简单——大约 </t>
    </r>
    <r>
      <rPr>
        <b/>
        <sz val="11"/>
        <color theme="1"/>
        <rFont val="宋体"/>
        <family val="3"/>
        <charset val="134"/>
        <scheme val="minor"/>
      </rPr>
      <t>90% 的 AI 检索是不带 refer tag 的</t>
    </r>
    <r>
      <rPr>
        <sz val="11"/>
        <color theme="1"/>
        <rFont val="宋体"/>
        <family val="2"/>
        <scheme val="minor"/>
      </rPr>
      <t>。只有通过浏览器打开 AI 平台才可能带 code，而目前浏览器使用比例只有约 10%。</t>
    </r>
  </si>
  <si>
    <t>举几个例子：DeepSeek 100% 不带 code，豆包 85% 是 App 端也不带。所以绝大部分 AI 带来的注册实际上被计入了 WW Direct。</t>
  </si>
  <si>
    <t>【数据表现】</t>
  </si>
  <si>
    <t>所以我们把 GEO 和 WW Direct 合并来看：</t>
  </si>
  <si>
    <r>
      <t>GEO</t>
    </r>
    <r>
      <rPr>
        <sz val="11"/>
        <color theme="1"/>
        <rFont val="宋体"/>
        <family val="2"/>
        <scheme val="minor"/>
      </rPr>
      <t>：FY26 3到5月稳定在 250 上下，CN site 贡献约 60%</t>
    </r>
  </si>
  <si>
    <r>
      <t>WW Direct</t>
    </r>
    <r>
      <rPr>
        <sz val="11"/>
        <color theme="1"/>
        <rFont val="宋体"/>
        <family val="2"/>
        <scheme val="minor"/>
      </rPr>
      <t>：3到5月维持在 7,000 到 8,000 的绝对值，对比去年同期和 Q4 基本翻倍</t>
    </r>
  </si>
  <si>
    <r>
      <t>合并 YTD</t>
    </r>
    <r>
      <rPr>
        <sz val="11"/>
        <color theme="1"/>
        <rFont val="宋体"/>
        <family val="2"/>
        <scheme val="minor"/>
      </rPr>
      <t>：31,000 reg start，占大盘约 15%——但注意，这部分是净增量，大盘其他渠道整体是下降的</t>
    </r>
  </si>
  <si>
    <t>【归因：智系列的贡献】</t>
  </si>
  <si>
    <r>
      <t>增长的驱动力来自我们去年 12 月启动的</t>
    </r>
    <r>
      <rPr>
        <b/>
        <sz val="11"/>
        <color theme="1"/>
        <rFont val="宋体"/>
        <family val="3"/>
        <charset val="134"/>
        <scheme val="minor"/>
      </rPr>
      <t>智系列</t>
    </r>
    <r>
      <rPr>
        <sz val="11"/>
        <color theme="1"/>
        <rFont val="宋体"/>
        <family val="2"/>
        <scheme val="minor"/>
      </rPr>
      <t xml:space="preserve"> AI 内容优化工具：</t>
    </r>
  </si>
  <si>
    <r>
      <t xml:space="preserve">到今年 YTD 已产出 </t>
    </r>
    <r>
      <rPr>
        <b/>
        <sz val="11"/>
        <color theme="1"/>
        <rFont val="宋体"/>
        <family val="3"/>
        <charset val="134"/>
        <scheme val="minor"/>
      </rPr>
      <t>600 篇文章</t>
    </r>
    <r>
      <rPr>
        <sz val="11"/>
        <color theme="1"/>
        <rFont val="宋体"/>
        <family val="2"/>
        <scheme val="minor"/>
      </rPr>
      <t>，覆盖约 600 个检索短语</t>
    </r>
  </si>
  <si>
    <r>
      <t xml:space="preserve">品牌引用率从 75% 提升到 </t>
    </r>
    <r>
      <rPr>
        <b/>
        <sz val="11"/>
        <color theme="1"/>
        <rFont val="宋体"/>
        <family val="3"/>
        <charset val="134"/>
        <scheme val="minor"/>
      </rPr>
      <t>95%</t>
    </r>
  </si>
  <si>
    <r>
      <t xml:space="preserve">官网链接提及率从 18% 提升到 </t>
    </r>
    <r>
      <rPr>
        <b/>
        <sz val="11"/>
        <color theme="1"/>
        <rFont val="宋体"/>
        <family val="3"/>
        <charset val="134"/>
        <scheme val="minor"/>
      </rPr>
      <t>45%</t>
    </r>
  </si>
  <si>
    <t>【Next Steps】</t>
  </si>
  <si>
    <t>下一步我们会把智系列从 Quick Suite 迁移到 Kiro，形成完整的自动化 workflow。预计到年底：</t>
  </si>
  <si>
    <r>
      <t xml:space="preserve">产出 </t>
    </r>
    <r>
      <rPr>
        <b/>
        <sz val="11"/>
        <color theme="1"/>
        <rFont val="宋体"/>
        <family val="3"/>
        <charset val="134"/>
        <scheme val="minor"/>
      </rPr>
      <t>3,600 篇文章</t>
    </r>
  </si>
  <si>
    <r>
      <t xml:space="preserve">覆盖 </t>
    </r>
    <r>
      <rPr>
        <b/>
        <sz val="11"/>
        <color theme="1"/>
        <rFont val="宋体"/>
        <family val="3"/>
        <charset val="134"/>
        <scheme val="minor"/>
      </rPr>
      <t>4,000+ 检索短语</t>
    </r>
    <r>
      <rPr>
        <sz val="11"/>
        <color theme="1"/>
        <rFont val="宋体"/>
        <family val="2"/>
        <scheme val="minor"/>
      </rPr>
      <t>，不仅包含品牌词，也包含行业类短语</t>
    </r>
  </si>
  <si>
    <t>【预判 Q&amp;A】</t>
  </si>
  <si>
    <t>如果有人问"WW Direct 增长确定是 AI 造成的吗？"——我们的回答是：其他 Direct 来源在 2025 年前就已经稳定了，突增时间点和 AI 工具爆发完全吻合，而且趋势和 GEO 高度同步。</t>
  </si>
  <si>
    <t>如果有人问"只占 15% 影响大吗？"——这 15% 是唯一的增长来源，大盘其他渠道都在下降。</t>
  </si>
  <si>
    <r>
      <t xml:space="preserve">以下是 </t>
    </r>
    <r>
      <rPr>
        <b/>
        <sz val="11"/>
        <color theme="1"/>
        <rFont val="宋体"/>
        <family val="3"/>
        <charset val="134"/>
        <scheme val="minor"/>
      </rPr>
      <t>WW Direct 归因 AI 检索的 5 条数据证据</t>
    </r>
    <r>
      <rPr>
        <sz val="11"/>
        <color theme="1"/>
        <rFont val="宋体"/>
        <family val="2"/>
        <scheme val="minor"/>
      </rPr>
      <t>，可以放 appendix 或备用 Q&amp;A：</t>
    </r>
  </si>
  <si>
    <t>数据支撑：WW Direct 受 AI 检索影响的证据</t>
  </si>
  <si>
    <t>Evidence 1：唯一逆势增长的渠道</t>
  </si>
  <si>
    <t>| 渠道        | YTD YoY (Jan-May) |</t>
  </si>
  <si>
    <t>| --------- | ----------------- |</t>
  </si>
  <si>
    <t>| SSR 大盘    | -20.8%            |</t>
  </si>
  <si>
    <t>| 其他所有渠道    | -28.0%            |</t>
  </si>
  <si>
    <t>| WW Direct | +70.7% ✅          |</t>
  </si>
  <si>
    <t>| GEO       | +214.8% ✅         |</t>
  </si>
  <si>
    <t>只有 GEO 和 WW Direct 在增长，其他全部下降。如果是品牌效应，应该所有渠道都涨——但事实不是。</t>
  </si>
  <si>
    <t>Evidence 2：趋势高度相关</t>
  </si>
  <si>
    <r>
      <t>Pearson 相关系数 r = 0.81</t>
    </r>
    <r>
      <rPr>
        <sz val="11"/>
        <color theme="1"/>
        <rFont val="宋体"/>
        <family val="2"/>
        <scheme val="minor"/>
      </rPr>
      <t>（强正相关）</t>
    </r>
  </si>
  <si>
    <r>
      <t xml:space="preserve">月环比涨跌方向一致率 </t>
    </r>
    <r>
      <rPr>
        <b/>
        <sz val="11"/>
        <color theme="1"/>
        <rFont val="宋体"/>
        <family val="3"/>
        <charset val="134"/>
        <scheme val="minor"/>
      </rPr>
      <t>75%</t>
    </r>
    <r>
      <rPr>
        <sz val="11"/>
        <color theme="1"/>
        <rFont val="宋体"/>
        <family val="2"/>
        <scheme val="minor"/>
      </rPr>
      <t>（12/16 个月同涨同跌）</t>
    </r>
  </si>
  <si>
    <t>Evidence 3：拐点与 AI 工具爆发时间精确吻合</t>
  </si>
  <si>
    <t>| 时间           | 事件             | WW Direct        |</t>
  </si>
  <si>
    <t>| ------------ | -------------- | ---------------- |</t>
  </si>
  <si>
    <t>| 2025 H1      | AI 检索早期        | avg 3,500/月      |</t>
  </si>
  <si>
    <t>| 2025.06      | DeepSeek R1 发布 | 跳升至 7,007        |</t>
  </si>
  <si>
    <t>| 2025 H2      | AI 用户增长期       | avg 5,300/月      |</t>
  </si>
  <si>
    <t>| 2025.12      | 智系列上线          | 4,846 → GEO 开始加速 |</t>
  </si>
  <si>
    <t>| 2026 Mar-May | 智系列全量覆盖        | avg 7,500+/月     |</t>
  </si>
  <si>
    <t>GEO</t>
    <phoneticPr fontId="3" type="noConversion"/>
  </si>
  <si>
    <t>Link</t>
    <phoneticPr fontId="3" type="noConversion"/>
  </si>
  <si>
    <t>Name</t>
    <phoneticPr fontId="3" type="noConversion"/>
  </si>
  <si>
    <t>Prompt Intelligencer</t>
  </si>
  <si>
    <t>Content Creator</t>
  </si>
  <si>
    <t>Content Optimizer</t>
  </si>
  <si>
    <t>Content Publisher</t>
  </si>
  <si>
    <t>Content Distributor</t>
  </si>
  <si>
    <t>Performance Analyzer</t>
  </si>
  <si>
    <t>Workflow Orchestrator</t>
  </si>
  <si>
    <t>S3 Memory Keeper</t>
  </si>
  <si>
    <t>https://w.amazon.com/bin/view/SmartSuite-GEO/#zhiku</t>
    <phoneticPr fontId="3" type="noConversion"/>
  </si>
  <si>
    <t>https://w.amazon.com/bin/view/SmartSuite-GEO/#zhizao</t>
    <phoneticPr fontId="3" type="noConversion"/>
  </si>
  <si>
    <t>https://w.amazon.com/bin/view/SmartSuite-GEO/#zhiyou</t>
    <phoneticPr fontId="3" type="noConversion"/>
  </si>
  <si>
    <t>https://w.amazon.com/bin/view/SmartSuite-GEO/#zhibu</t>
    <phoneticPr fontId="3" type="noConversion"/>
  </si>
  <si>
    <t>https://w.amazon.com/bin/view/SmartSuite-GEO/#zhichuan</t>
    <phoneticPr fontId="3" type="noConversion"/>
  </si>
  <si>
    <t>https://w.amazon.com/bin/view/SmartSuite-GEO/#zhixi</t>
    <phoneticPr fontId="3" type="noConversion"/>
  </si>
  <si>
    <t>https://w.amazon.com/bin/view/SmartSuite-GEO/#zhishu</t>
    <phoneticPr fontId="3" type="noConversion"/>
  </si>
  <si>
    <t>https://w.amazon.com/bin/view/SmartSuite-GEO/#s3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</si>
</sst>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[Red]\-#,##0;\-"/>
    <numFmt numFmtId="177" formatCode="0.0%;[Red]\-0.0%;\-"/>
    <numFmt numFmtId="178" formatCode="#,##0&quot; bps&quot;;[Red]\-#,##0&quot; bps&quot;;\-"/>
  </numFmts>
  <fonts count="12">
    <font>
      <sz val="11"/>
      <color theme="1"/>
      <name val="宋体"/>
      <family val="2"/>
      <scheme val="minor"/>
    </font>
    <font>
      <sz val="10"/>
      <name val="Calibri"/>
      <family val="2"/>
    </font>
    <font>
      <b/>
      <sz val="10"/>
      <color theme="0"/>
      <name val="Calibri"/>
      <family val="2"/>
    </font>
    <font>
      <sz val="9"/>
      <name val="宋体"/>
      <family val="3"/>
      <charset val="134"/>
      <scheme val="minor"/>
    </font>
    <font>
      <sz val="10"/>
      <color theme="0"/>
      <name val="Calibri"/>
      <family val="2"/>
    </font>
    <font>
      <b/>
      <sz val="13.5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1"/>
      <color theme="1"/>
      <name val="Aptos"/>
      <family val="2"/>
    </font>
    <font>
      <u/>
      <sz val="11"/>
      <color theme="10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Aptos"/>
      <family val="2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right" vertical="center"/>
    </xf>
    <xf numFmtId="177" fontId="1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right" vertical="center"/>
    </xf>
    <xf numFmtId="178" fontId="1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indent="1"/>
    </xf>
    <xf numFmtId="0" fontId="2" fillId="3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6" fillId="0" borderId="0" xfId="0" applyFont="1"/>
    <xf numFmtId="0" fontId="6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3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10" fillId="3" borderId="5" xfId="0" applyFont="1" applyFill="1" applyBorder="1"/>
    <xf numFmtId="0" fontId="11" fillId="3" borderId="5" xfId="0" applyFont="1" applyFill="1" applyBorder="1"/>
    <xf numFmtId="0" fontId="8" fillId="0" borderId="5" xfId="0" applyFont="1" applyBorder="1"/>
    <xf numFmtId="0" fontId="9" fillId="0" borderId="5" xfId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865280</xdr:colOff>
      <xdr:row>46</xdr:row>
      <xdr:rowOff>10831</xdr:rowOff>
    </xdr:from>
    <xdr:to>
      <xdr:col>34</xdr:col>
      <xdr:colOff>151006</xdr:colOff>
      <xdr:row>95</xdr:row>
      <xdr:rowOff>69715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0B9EFA-4614-0F0C-45A9-C9E7D6A61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756" y="8397477"/>
          <a:ext cx="13910085" cy="9165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0</xdr:rowOff>
    </xdr:from>
    <xdr:to>
      <xdr:col>28</xdr:col>
      <xdr:colOff>578208</xdr:colOff>
      <xdr:row>54</xdr:row>
      <xdr:rowOff>144180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17D98A-64CC-48C9-B7FC-DC1661EAB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66800"/>
          <a:ext cx="13989408" cy="8678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168112</xdr:colOff>
      <xdr:row>1</xdr:row>
      <xdr:rowOff>95250</xdr:rowOff>
    </xdr:from>
    <xdr:to>
      <xdr:col>19</xdr:col>
      <xdr:colOff>101600</xdr:colOff>
      <xdr:row>43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A49370-1C42-4254-B7BE-801690F54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112" y="273050"/>
          <a:ext cx="11515888" cy="7505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.amazon.com/bin/view/SmartSuite-GEO/" TargetMode="External"/><Relationship Id="rId3" Type="http://schemas.openxmlformats.org/officeDocument/2006/relationships/hyperlink" Target="https://w.amazon.com/bin/view/SmartSuite-GEO/" TargetMode="External"/><Relationship Id="rId7" Type="http://schemas.openxmlformats.org/officeDocument/2006/relationships/hyperlink" Target="https://w.amazon.com/bin/view/SmartSuite-GEO/" TargetMode="External"/><Relationship Id="rId2" Type="http://schemas.openxmlformats.org/officeDocument/2006/relationships/hyperlink" Target="https://w.amazon.com/bin/view/SmartSuite-GEO/" TargetMode="External"/><Relationship Id="rId1" Type="http://schemas.openxmlformats.org/officeDocument/2006/relationships/hyperlink" Target="https://w.amazon.com/bin/view/SmartSuite-GEO/" TargetMode="External"/><Relationship Id="rId6" Type="http://schemas.openxmlformats.org/officeDocument/2006/relationships/hyperlink" Target="https://w.amazon.com/bin/view/SmartSuite-GEO/" TargetMode="External"/><Relationship Id="rId5" Type="http://schemas.openxmlformats.org/officeDocument/2006/relationships/hyperlink" Target="https://w.amazon.com/bin/view/SmartSuite-GEO/" TargetMode="External"/><Relationship Id="rId4" Type="http://schemas.openxmlformats.org/officeDocument/2006/relationships/hyperlink" Target="https://w.amazon.com/bin/view/SmartSuite-GE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44"/>
  <sheetViews>
    <sheetView showGridLines="0" tabSelected="1" zoomScale="148" zoomScaleNormal="148" workbookViewId="0">
      <pane xSplit="2" ySplit="3" topLeftCell="C4" activePane="bottomRight" state="frozen"/>
      <selection pane="topRight"/>
      <selection pane="bottomLeft"/>
      <selection pane="bottomRight" activeCell="AI15" sqref="AI15:AK15"/>
    </sheetView>
  </sheetViews>
  <sheetFormatPr defaultRowHeight="14"/>
  <cols>
    <col min="1" max="1" width="5" customWidth="1"/>
    <col min="2" max="2" width="20.90625" customWidth="1"/>
    <col min="3" max="7" width="9" customWidth="1"/>
    <col min="8" max="14" width="9" hidden="1" customWidth="1"/>
    <col min="15" max="15" width="9" customWidth="1"/>
    <col min="16" max="18" width="9" hidden="1" customWidth="1"/>
    <col min="19" max="19" width="9" customWidth="1"/>
    <col min="20" max="20" width="9" hidden="1" customWidth="1"/>
    <col min="21" max="43" width="9" customWidth="1"/>
    <col min="44" max="50" width="9" hidden="1" customWidth="1"/>
    <col min="51" max="51" width="9" customWidth="1"/>
    <col min="52" max="54" width="9" hidden="1" customWidth="1"/>
    <col min="55" max="55" width="9" customWidth="1"/>
    <col min="56" max="56" width="9" hidden="1" customWidth="1"/>
  </cols>
  <sheetData>
    <row r="1" spans="1:57">
      <c r="A1" s="5"/>
      <c r="B1" s="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>
        <f>8.4/4.9-1</f>
        <v>0.71428571428571419</v>
      </c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ht="22" customHeight="1">
      <c r="A2" s="9"/>
      <c r="B2" s="8"/>
      <c r="C2" s="29" t="s">
        <v>0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1"/>
      <c r="U2" s="32" t="s">
        <v>1</v>
      </c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4"/>
      <c r="AM2" s="29" t="s">
        <v>2</v>
      </c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12"/>
    </row>
    <row r="3" spans="1:57" ht="22" customHeight="1">
      <c r="A3" s="9" t="s">
        <v>35</v>
      </c>
      <c r="B3" s="8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3" t="s">
        <v>9</v>
      </c>
      <c r="H3" s="13" t="s">
        <v>10</v>
      </c>
      <c r="I3" s="13" t="s">
        <v>11</v>
      </c>
      <c r="J3" s="13" t="s">
        <v>12</v>
      </c>
      <c r="K3" s="13" t="s">
        <v>13</v>
      </c>
      <c r="L3" s="13" t="s">
        <v>14</v>
      </c>
      <c r="M3" s="13" t="s">
        <v>15</v>
      </c>
      <c r="N3" s="13" t="s">
        <v>16</v>
      </c>
      <c r="O3" s="13" t="s">
        <v>17</v>
      </c>
      <c r="P3" s="13" t="s">
        <v>18</v>
      </c>
      <c r="Q3" s="13" t="s">
        <v>19</v>
      </c>
      <c r="R3" s="13" t="s">
        <v>20</v>
      </c>
      <c r="S3" s="13" t="s">
        <v>21</v>
      </c>
      <c r="T3" s="13" t="s">
        <v>22</v>
      </c>
      <c r="U3" s="13" t="s">
        <v>5</v>
      </c>
      <c r="V3" s="13" t="s">
        <v>6</v>
      </c>
      <c r="W3" s="13" t="s">
        <v>7</v>
      </c>
      <c r="X3" s="13" t="s">
        <v>8</v>
      </c>
      <c r="Y3" s="13" t="s">
        <v>9</v>
      </c>
      <c r="Z3" s="13" t="s">
        <v>10</v>
      </c>
      <c r="AA3" s="13" t="s">
        <v>11</v>
      </c>
      <c r="AB3" s="13" t="s">
        <v>12</v>
      </c>
      <c r="AC3" s="13" t="s">
        <v>13</v>
      </c>
      <c r="AD3" s="13" t="s">
        <v>14</v>
      </c>
      <c r="AE3" s="13" t="s">
        <v>15</v>
      </c>
      <c r="AF3" s="13" t="s">
        <v>16</v>
      </c>
      <c r="AG3" s="13" t="s">
        <v>17</v>
      </c>
      <c r="AH3" s="13" t="s">
        <v>18</v>
      </c>
      <c r="AI3" s="13" t="s">
        <v>19</v>
      </c>
      <c r="AJ3" s="13" t="s">
        <v>20</v>
      </c>
      <c r="AK3" s="13" t="s">
        <v>21</v>
      </c>
      <c r="AL3" s="13" t="s">
        <v>22</v>
      </c>
      <c r="AM3" s="13" t="s">
        <v>5</v>
      </c>
      <c r="AN3" s="13" t="s">
        <v>6</v>
      </c>
      <c r="AO3" s="13" t="s">
        <v>7</v>
      </c>
      <c r="AP3" s="13" t="s">
        <v>8</v>
      </c>
      <c r="AQ3" s="13" t="s">
        <v>9</v>
      </c>
      <c r="AR3" s="13" t="s">
        <v>10</v>
      </c>
      <c r="AS3" s="13" t="s">
        <v>11</v>
      </c>
      <c r="AT3" s="13" t="s">
        <v>12</v>
      </c>
      <c r="AU3" s="13" t="s">
        <v>13</v>
      </c>
      <c r="AV3" s="13" t="s">
        <v>14</v>
      </c>
      <c r="AW3" s="13" t="s">
        <v>15</v>
      </c>
      <c r="AX3" s="13" t="s">
        <v>16</v>
      </c>
      <c r="AY3" s="13" t="s">
        <v>17</v>
      </c>
      <c r="AZ3" s="13" t="s">
        <v>18</v>
      </c>
      <c r="BA3" s="13" t="s">
        <v>19</v>
      </c>
      <c r="BB3" s="13" t="s">
        <v>20</v>
      </c>
      <c r="BC3" s="13" t="s">
        <v>21</v>
      </c>
      <c r="BD3" s="13" t="s">
        <v>22</v>
      </c>
      <c r="BE3" s="12" t="s">
        <v>23</v>
      </c>
    </row>
    <row r="4" spans="1:57">
      <c r="A4" s="10">
        <v>1</v>
      </c>
      <c r="B4" s="1" t="s">
        <v>24</v>
      </c>
      <c r="C4" s="2">
        <v>172</v>
      </c>
      <c r="D4" s="2">
        <v>116</v>
      </c>
      <c r="E4" s="2">
        <v>256</v>
      </c>
      <c r="F4" s="2">
        <v>234</v>
      </c>
      <c r="G4" s="2">
        <v>264</v>
      </c>
      <c r="H4" s="2">
        <v>100</v>
      </c>
      <c r="I4" s="2"/>
      <c r="J4" s="2"/>
      <c r="K4" s="2"/>
      <c r="L4" s="2"/>
      <c r="M4" s="2"/>
      <c r="N4" s="2"/>
      <c r="O4" s="2">
        <v>544</v>
      </c>
      <c r="P4" s="2">
        <v>598</v>
      </c>
      <c r="Q4" s="2"/>
      <c r="R4" s="2"/>
      <c r="S4" s="2">
        <v>1042</v>
      </c>
      <c r="T4" s="2"/>
      <c r="U4" s="2">
        <v>51</v>
      </c>
      <c r="V4" s="2">
        <v>64</v>
      </c>
      <c r="W4" s="2">
        <v>81</v>
      </c>
      <c r="X4" s="2">
        <v>62</v>
      </c>
      <c r="Y4" s="2">
        <v>73</v>
      </c>
      <c r="Z4" s="2">
        <v>102</v>
      </c>
      <c r="AA4" s="2">
        <v>125</v>
      </c>
      <c r="AB4" s="2">
        <v>120</v>
      </c>
      <c r="AC4" s="2">
        <v>122</v>
      </c>
      <c r="AD4" s="2">
        <v>132</v>
      </c>
      <c r="AE4" s="2">
        <v>112</v>
      </c>
      <c r="AF4" s="2">
        <v>146</v>
      </c>
      <c r="AG4" s="2">
        <v>196</v>
      </c>
      <c r="AH4" s="2">
        <v>237</v>
      </c>
      <c r="AI4" s="2">
        <v>367</v>
      </c>
      <c r="AJ4" s="2">
        <v>390</v>
      </c>
      <c r="AK4" s="2">
        <v>331</v>
      </c>
      <c r="AL4" s="2">
        <v>1190</v>
      </c>
      <c r="AM4" s="3">
        <v>2.3725490196078431</v>
      </c>
      <c r="AN4" s="3">
        <v>0.8125</v>
      </c>
      <c r="AO4" s="3">
        <v>2.1604938271604941</v>
      </c>
      <c r="AP4" s="3">
        <v>2.774193548387097</v>
      </c>
      <c r="AQ4" s="3">
        <v>2.6164383561643829</v>
      </c>
      <c r="AR4" s="3">
        <v>-1.9607843137254902E-2</v>
      </c>
      <c r="AS4" s="3"/>
      <c r="AT4" s="3"/>
      <c r="AU4" s="3"/>
      <c r="AV4" s="3"/>
      <c r="AW4" s="3"/>
      <c r="AX4" s="3"/>
      <c r="AY4" s="3">
        <v>1.7755102040816331</v>
      </c>
      <c r="AZ4" s="3">
        <v>1.5232067510548519</v>
      </c>
      <c r="BA4" s="3"/>
      <c r="BB4" s="3"/>
      <c r="BC4" s="3">
        <v>2.1480362537764348</v>
      </c>
      <c r="BD4" s="3"/>
      <c r="BE4" s="3">
        <v>0.39487179487179491</v>
      </c>
    </row>
    <row r="5" spans="1:57">
      <c r="A5" s="10">
        <v>2</v>
      </c>
      <c r="B5" s="11" t="s">
        <v>25</v>
      </c>
      <c r="C5" s="2">
        <v>89</v>
      </c>
      <c r="D5" s="2">
        <v>65</v>
      </c>
      <c r="E5" s="2">
        <v>165</v>
      </c>
      <c r="F5" s="2">
        <v>164</v>
      </c>
      <c r="G5" s="2">
        <v>163</v>
      </c>
      <c r="H5" s="2">
        <v>61</v>
      </c>
      <c r="I5" s="2"/>
      <c r="J5" s="2"/>
      <c r="K5" s="2"/>
      <c r="L5" s="2"/>
      <c r="M5" s="2"/>
      <c r="N5" s="2"/>
      <c r="O5" s="2">
        <v>319</v>
      </c>
      <c r="P5" s="2">
        <v>388</v>
      </c>
      <c r="Q5" s="2"/>
      <c r="R5" s="2"/>
      <c r="S5" s="2">
        <v>646</v>
      </c>
      <c r="T5" s="2"/>
      <c r="U5" s="2">
        <v>13</v>
      </c>
      <c r="V5" s="2">
        <v>13</v>
      </c>
      <c r="W5" s="2">
        <v>36</v>
      </c>
      <c r="X5" s="2">
        <v>30</v>
      </c>
      <c r="Y5" s="2">
        <v>29</v>
      </c>
      <c r="Z5" s="2">
        <v>45</v>
      </c>
      <c r="AA5" s="2">
        <v>76</v>
      </c>
      <c r="AB5" s="2">
        <v>63</v>
      </c>
      <c r="AC5" s="2">
        <v>65</v>
      </c>
      <c r="AD5" s="2">
        <v>65</v>
      </c>
      <c r="AE5" s="2">
        <v>47</v>
      </c>
      <c r="AF5" s="2">
        <v>79</v>
      </c>
      <c r="AG5" s="2">
        <v>62</v>
      </c>
      <c r="AH5" s="2">
        <v>104</v>
      </c>
      <c r="AI5" s="2">
        <v>204</v>
      </c>
      <c r="AJ5" s="2">
        <v>191</v>
      </c>
      <c r="AK5" s="2">
        <v>121</v>
      </c>
      <c r="AL5" s="2">
        <v>561</v>
      </c>
      <c r="AM5" s="3">
        <v>5.8461538461538458</v>
      </c>
      <c r="AN5" s="3">
        <v>4</v>
      </c>
      <c r="AO5" s="3">
        <v>3.583333333333333</v>
      </c>
      <c r="AP5" s="3">
        <v>4.4666666666666668</v>
      </c>
      <c r="AQ5" s="3">
        <v>4.6206896551724137</v>
      </c>
      <c r="AR5" s="3">
        <v>0.35555555555555562</v>
      </c>
      <c r="AS5" s="3"/>
      <c r="AT5" s="3"/>
      <c r="AU5" s="3"/>
      <c r="AV5" s="3"/>
      <c r="AW5" s="3"/>
      <c r="AX5" s="3"/>
      <c r="AY5" s="3">
        <v>4.145161290322581</v>
      </c>
      <c r="AZ5" s="3">
        <v>2.7307692307692308</v>
      </c>
      <c r="BA5" s="3"/>
      <c r="BB5" s="3"/>
      <c r="BC5" s="3">
        <v>4.338842975206612</v>
      </c>
      <c r="BD5" s="3"/>
      <c r="BE5" s="3">
        <v>0.67015706806282727</v>
      </c>
    </row>
    <row r="6" spans="1:57">
      <c r="A6" s="10">
        <v>3</v>
      </c>
      <c r="B6" s="11" t="s">
        <v>26</v>
      </c>
      <c r="C6" s="2">
        <v>76</v>
      </c>
      <c r="D6" s="2">
        <v>43</v>
      </c>
      <c r="E6" s="2">
        <v>81</v>
      </c>
      <c r="F6" s="2">
        <v>65</v>
      </c>
      <c r="G6" s="2">
        <v>93</v>
      </c>
      <c r="H6" s="2">
        <v>36</v>
      </c>
      <c r="I6" s="2"/>
      <c r="J6" s="2"/>
      <c r="K6" s="2"/>
      <c r="L6" s="2"/>
      <c r="M6" s="2"/>
      <c r="N6" s="2"/>
      <c r="O6" s="2">
        <v>200</v>
      </c>
      <c r="P6" s="2">
        <v>194</v>
      </c>
      <c r="Q6" s="2"/>
      <c r="R6" s="2"/>
      <c r="S6" s="2">
        <v>358</v>
      </c>
      <c r="T6" s="2"/>
      <c r="U6" s="2">
        <v>38</v>
      </c>
      <c r="V6" s="2">
        <v>48</v>
      </c>
      <c r="W6" s="2">
        <v>45</v>
      </c>
      <c r="X6" s="2">
        <v>31</v>
      </c>
      <c r="Y6" s="2">
        <v>37</v>
      </c>
      <c r="Z6" s="2">
        <v>51</v>
      </c>
      <c r="AA6" s="2">
        <v>46</v>
      </c>
      <c r="AB6" s="2">
        <v>50</v>
      </c>
      <c r="AC6" s="2">
        <v>52</v>
      </c>
      <c r="AD6" s="2">
        <v>56</v>
      </c>
      <c r="AE6" s="2">
        <v>61</v>
      </c>
      <c r="AF6" s="2">
        <v>60</v>
      </c>
      <c r="AG6" s="2">
        <v>131</v>
      </c>
      <c r="AH6" s="2">
        <v>119</v>
      </c>
      <c r="AI6" s="2">
        <v>148</v>
      </c>
      <c r="AJ6" s="2">
        <v>177</v>
      </c>
      <c r="AK6" s="2">
        <v>199</v>
      </c>
      <c r="AL6" s="2">
        <v>575</v>
      </c>
      <c r="AM6" s="3">
        <v>1</v>
      </c>
      <c r="AN6" s="3">
        <v>-0.1041666666666667</v>
      </c>
      <c r="AO6" s="3">
        <v>0.8</v>
      </c>
      <c r="AP6" s="3">
        <v>1.096774193548387</v>
      </c>
      <c r="AQ6" s="3">
        <v>1.513513513513514</v>
      </c>
      <c r="AR6" s="3">
        <v>-0.29411764705882348</v>
      </c>
      <c r="AS6" s="3"/>
      <c r="AT6" s="3"/>
      <c r="AU6" s="3"/>
      <c r="AV6" s="3"/>
      <c r="AW6" s="3"/>
      <c r="AX6" s="3"/>
      <c r="AY6" s="3">
        <v>0.52671755725190839</v>
      </c>
      <c r="AZ6" s="3">
        <v>0.63025210084033612</v>
      </c>
      <c r="BA6" s="3"/>
      <c r="BB6" s="3"/>
      <c r="BC6" s="3">
        <v>0.79899497487437188</v>
      </c>
      <c r="BD6" s="3"/>
      <c r="BE6" s="3">
        <v>0.12994350282485881</v>
      </c>
    </row>
    <row r="7" spans="1:57">
      <c r="A7" s="10">
        <v>4</v>
      </c>
      <c r="B7" s="11" t="s">
        <v>27</v>
      </c>
      <c r="C7" s="2">
        <v>6</v>
      </c>
      <c r="D7" s="2">
        <v>6</v>
      </c>
      <c r="E7" s="2">
        <v>6</v>
      </c>
      <c r="F7" s="2">
        <v>3</v>
      </c>
      <c r="G7" s="2">
        <v>6</v>
      </c>
      <c r="H7" s="2">
        <v>2</v>
      </c>
      <c r="I7" s="2"/>
      <c r="J7" s="2"/>
      <c r="K7" s="2"/>
      <c r="L7" s="2"/>
      <c r="M7" s="2"/>
      <c r="N7" s="2"/>
      <c r="O7" s="2">
        <v>18</v>
      </c>
      <c r="P7" s="2">
        <v>11</v>
      </c>
      <c r="Q7" s="2"/>
      <c r="R7" s="2"/>
      <c r="S7" s="2">
        <v>27</v>
      </c>
      <c r="T7" s="2"/>
      <c r="U7" s="2">
        <v>0</v>
      </c>
      <c r="V7" s="2">
        <v>3</v>
      </c>
      <c r="W7" s="2">
        <v>0</v>
      </c>
      <c r="X7" s="2">
        <v>1</v>
      </c>
      <c r="Y7" s="2">
        <v>5</v>
      </c>
      <c r="Z7" s="2">
        <v>4</v>
      </c>
      <c r="AA7" s="2">
        <v>1</v>
      </c>
      <c r="AB7" s="2">
        <v>2</v>
      </c>
      <c r="AC7" s="2">
        <v>3</v>
      </c>
      <c r="AD7" s="2">
        <v>6</v>
      </c>
      <c r="AE7" s="2">
        <v>4</v>
      </c>
      <c r="AF7" s="2">
        <v>5</v>
      </c>
      <c r="AG7" s="2">
        <v>3</v>
      </c>
      <c r="AH7" s="2">
        <v>10</v>
      </c>
      <c r="AI7" s="2">
        <v>6</v>
      </c>
      <c r="AJ7" s="2">
        <v>15</v>
      </c>
      <c r="AK7" s="2">
        <v>9</v>
      </c>
      <c r="AL7" s="2">
        <v>34</v>
      </c>
      <c r="AM7" s="3"/>
      <c r="AN7" s="3">
        <v>1</v>
      </c>
      <c r="AO7" s="3"/>
      <c r="AP7" s="3">
        <v>2</v>
      </c>
      <c r="AQ7" s="3">
        <v>0.2</v>
      </c>
      <c r="AR7" s="3">
        <v>-0.5</v>
      </c>
      <c r="AS7" s="3"/>
      <c r="AT7" s="3"/>
      <c r="AU7" s="3"/>
      <c r="AV7" s="3"/>
      <c r="AW7" s="3"/>
      <c r="AX7" s="3"/>
      <c r="AY7" s="3">
        <v>5</v>
      </c>
      <c r="AZ7" s="3">
        <v>0.1</v>
      </c>
      <c r="BA7" s="3"/>
      <c r="BB7" s="3"/>
      <c r="BC7" s="3">
        <v>2</v>
      </c>
      <c r="BD7" s="3"/>
      <c r="BE7" s="3">
        <v>0.2</v>
      </c>
    </row>
    <row r="8" spans="1:57">
      <c r="A8" s="10">
        <v>5</v>
      </c>
      <c r="B8" s="11" t="s">
        <v>28</v>
      </c>
      <c r="C8" s="2">
        <v>1</v>
      </c>
      <c r="D8" s="2">
        <v>2</v>
      </c>
      <c r="E8" s="2">
        <v>4</v>
      </c>
      <c r="F8" s="2">
        <v>2</v>
      </c>
      <c r="G8" s="2">
        <v>2</v>
      </c>
      <c r="H8" s="2">
        <v>1</v>
      </c>
      <c r="I8" s="2"/>
      <c r="J8" s="2"/>
      <c r="K8" s="2"/>
      <c r="L8" s="2"/>
      <c r="M8" s="2"/>
      <c r="N8" s="2"/>
      <c r="O8" s="2">
        <v>7</v>
      </c>
      <c r="P8" s="2">
        <v>5</v>
      </c>
      <c r="Q8" s="2"/>
      <c r="R8" s="2"/>
      <c r="S8" s="2">
        <v>11</v>
      </c>
      <c r="T8" s="2"/>
      <c r="U8" s="2">
        <v>0</v>
      </c>
      <c r="V8" s="2">
        <v>0</v>
      </c>
      <c r="W8" s="2">
        <v>0</v>
      </c>
      <c r="X8" s="2">
        <v>0</v>
      </c>
      <c r="Y8" s="2">
        <v>2</v>
      </c>
      <c r="Z8" s="2">
        <v>2</v>
      </c>
      <c r="AA8" s="2">
        <v>2</v>
      </c>
      <c r="AB8" s="2">
        <v>5</v>
      </c>
      <c r="AC8" s="2">
        <v>2</v>
      </c>
      <c r="AD8" s="2">
        <v>5</v>
      </c>
      <c r="AE8" s="2">
        <v>0</v>
      </c>
      <c r="AF8" s="2">
        <v>2</v>
      </c>
      <c r="AG8" s="2">
        <v>0</v>
      </c>
      <c r="AH8" s="2">
        <v>4</v>
      </c>
      <c r="AI8" s="2">
        <v>9</v>
      </c>
      <c r="AJ8" s="2">
        <v>7</v>
      </c>
      <c r="AK8" s="2">
        <v>2</v>
      </c>
      <c r="AL8" s="2">
        <v>20</v>
      </c>
      <c r="AM8" s="3"/>
      <c r="AN8" s="3"/>
      <c r="AO8" s="3"/>
      <c r="AP8" s="3"/>
      <c r="AQ8" s="3">
        <v>0</v>
      </c>
      <c r="AR8" s="3">
        <v>-0.5</v>
      </c>
      <c r="AS8" s="3"/>
      <c r="AT8" s="3"/>
      <c r="AU8" s="3"/>
      <c r="AV8" s="3"/>
      <c r="AW8" s="3"/>
      <c r="AX8" s="3"/>
      <c r="AY8" s="3"/>
      <c r="AZ8" s="3">
        <v>0.25</v>
      </c>
      <c r="BA8" s="3"/>
      <c r="BB8" s="3"/>
      <c r="BC8" s="3">
        <v>4.5</v>
      </c>
      <c r="BD8" s="3"/>
      <c r="BE8" s="3">
        <v>0</v>
      </c>
    </row>
    <row r="9" spans="1:57">
      <c r="A9" s="10">
        <v>6</v>
      </c>
      <c r="B9" s="1" t="s">
        <v>29</v>
      </c>
      <c r="C9" s="2">
        <v>4964</v>
      </c>
      <c r="D9" s="2">
        <v>2390</v>
      </c>
      <c r="E9" s="2">
        <v>7268</v>
      </c>
      <c r="F9" s="2">
        <v>7205</v>
      </c>
      <c r="G9" s="2">
        <v>8137</v>
      </c>
      <c r="H9" s="2">
        <v>5605</v>
      </c>
      <c r="I9" s="2"/>
      <c r="J9" s="2"/>
      <c r="K9" s="2"/>
      <c r="L9" s="2"/>
      <c r="M9" s="2"/>
      <c r="N9" s="2"/>
      <c r="O9" s="2">
        <v>14622</v>
      </c>
      <c r="P9" s="2">
        <v>20947</v>
      </c>
      <c r="Q9" s="2"/>
      <c r="R9" s="2"/>
      <c r="S9" s="2">
        <v>29964</v>
      </c>
      <c r="T9" s="2"/>
      <c r="U9" s="2">
        <v>1800</v>
      </c>
      <c r="V9" s="2">
        <v>3059</v>
      </c>
      <c r="W9" s="2">
        <v>4274</v>
      </c>
      <c r="X9" s="2">
        <v>4272</v>
      </c>
      <c r="Y9" s="2">
        <v>4153</v>
      </c>
      <c r="Z9" s="2">
        <v>7007</v>
      </c>
      <c r="AA9" s="2">
        <v>4054</v>
      </c>
      <c r="AB9" s="2">
        <v>4880</v>
      </c>
      <c r="AC9" s="2">
        <v>6140</v>
      </c>
      <c r="AD9" s="2">
        <v>5111</v>
      </c>
      <c r="AE9" s="2">
        <v>4690</v>
      </c>
      <c r="AF9" s="2">
        <v>4846</v>
      </c>
      <c r="AG9" s="2">
        <v>9133</v>
      </c>
      <c r="AH9" s="2">
        <v>15432</v>
      </c>
      <c r="AI9" s="2">
        <v>15074</v>
      </c>
      <c r="AJ9" s="2">
        <v>14647</v>
      </c>
      <c r="AK9" s="2">
        <v>17558</v>
      </c>
      <c r="AL9" s="2">
        <v>54286</v>
      </c>
      <c r="AM9" s="3">
        <v>1.7577777777777781</v>
      </c>
      <c r="AN9" s="3">
        <v>-0.2186989212160837</v>
      </c>
      <c r="AO9" s="3">
        <v>0.70051474029012639</v>
      </c>
      <c r="AP9" s="3">
        <v>0.68656367041198507</v>
      </c>
      <c r="AQ9" s="3">
        <v>0.95930652540332295</v>
      </c>
      <c r="AR9" s="3">
        <v>-0.2000856286570572</v>
      </c>
      <c r="AS9" s="3"/>
      <c r="AT9" s="3"/>
      <c r="AU9" s="3"/>
      <c r="AV9" s="3"/>
      <c r="AW9" s="3"/>
      <c r="AX9" s="3"/>
      <c r="AY9" s="3">
        <v>0.60100733603416179</v>
      </c>
      <c r="AZ9" s="3">
        <v>0.35737428719543812</v>
      </c>
      <c r="BA9" s="3"/>
      <c r="BB9" s="3"/>
      <c r="BC9" s="3">
        <v>0.70657250256293425</v>
      </c>
      <c r="BD9" s="3"/>
      <c r="BE9" s="3">
        <v>-1.7068341639926269E-3</v>
      </c>
    </row>
    <row r="10" spans="1:57">
      <c r="A10" s="10">
        <v>7</v>
      </c>
      <c r="B10" s="11" t="s">
        <v>26</v>
      </c>
      <c r="C10" s="2">
        <v>3878</v>
      </c>
      <c r="D10" s="2">
        <v>1809</v>
      </c>
      <c r="E10" s="2">
        <v>5875</v>
      </c>
      <c r="F10" s="2">
        <v>5993</v>
      </c>
      <c r="G10" s="2">
        <v>6784</v>
      </c>
      <c r="H10" s="2">
        <v>4657</v>
      </c>
      <c r="I10" s="2"/>
      <c r="J10" s="2"/>
      <c r="K10" s="2"/>
      <c r="L10" s="2"/>
      <c r="M10" s="2"/>
      <c r="N10" s="2"/>
      <c r="O10" s="2">
        <v>11562</v>
      </c>
      <c r="P10" s="2">
        <v>17434</v>
      </c>
      <c r="Q10" s="2"/>
      <c r="R10" s="2"/>
      <c r="S10" s="2">
        <v>24339</v>
      </c>
      <c r="T10" s="2"/>
      <c r="U10" s="2">
        <v>1445</v>
      </c>
      <c r="V10" s="2">
        <v>2589</v>
      </c>
      <c r="W10" s="2">
        <v>3587</v>
      </c>
      <c r="X10" s="2">
        <v>3268</v>
      </c>
      <c r="Y10" s="2">
        <v>3286</v>
      </c>
      <c r="Z10" s="2">
        <v>4941</v>
      </c>
      <c r="AA10" s="2">
        <v>3142</v>
      </c>
      <c r="AB10" s="2">
        <v>3835</v>
      </c>
      <c r="AC10" s="2">
        <v>4873</v>
      </c>
      <c r="AD10" s="2">
        <v>4054</v>
      </c>
      <c r="AE10" s="2">
        <v>3834</v>
      </c>
      <c r="AF10" s="2">
        <v>3699</v>
      </c>
      <c r="AG10" s="2">
        <v>7621</v>
      </c>
      <c r="AH10" s="2">
        <v>11495</v>
      </c>
      <c r="AI10" s="2">
        <v>11850</v>
      </c>
      <c r="AJ10" s="2">
        <v>11587</v>
      </c>
      <c r="AK10" s="2">
        <v>14175</v>
      </c>
      <c r="AL10" s="2">
        <v>42553</v>
      </c>
      <c r="AM10" s="3">
        <v>1.6837370242214531</v>
      </c>
      <c r="AN10" s="3">
        <v>-0.30127462340672068</v>
      </c>
      <c r="AO10" s="3">
        <v>0.63785893504321156</v>
      </c>
      <c r="AP10" s="3">
        <v>0.83384332925336602</v>
      </c>
      <c r="AQ10" s="3">
        <v>1.064516129032258</v>
      </c>
      <c r="AR10" s="3">
        <v>-5.7478243270592998E-2</v>
      </c>
      <c r="AS10" s="3"/>
      <c r="AT10" s="3"/>
      <c r="AU10" s="3"/>
      <c r="AV10" s="3"/>
      <c r="AW10" s="3"/>
      <c r="AX10" s="3"/>
      <c r="AY10" s="3">
        <v>0.5171237370423829</v>
      </c>
      <c r="AZ10" s="3">
        <v>0.51665941713788599</v>
      </c>
      <c r="BA10" s="3"/>
      <c r="BB10" s="3"/>
      <c r="BC10" s="3">
        <v>0.71703703703703703</v>
      </c>
      <c r="BD10" s="3"/>
      <c r="BE10" s="3">
        <v>-2.1575904030378869E-3</v>
      </c>
    </row>
    <row r="11" spans="1:57">
      <c r="A11" s="10">
        <v>8</v>
      </c>
      <c r="B11" s="11" t="s">
        <v>27</v>
      </c>
      <c r="C11" s="2">
        <v>764</v>
      </c>
      <c r="D11" s="2">
        <v>450</v>
      </c>
      <c r="E11" s="2">
        <v>1122</v>
      </c>
      <c r="F11" s="2">
        <v>962</v>
      </c>
      <c r="G11" s="2">
        <v>1030</v>
      </c>
      <c r="H11" s="2">
        <v>582</v>
      </c>
      <c r="I11" s="2"/>
      <c r="J11" s="2"/>
      <c r="K11" s="2"/>
      <c r="L11" s="2"/>
      <c r="M11" s="2"/>
      <c r="N11" s="2"/>
      <c r="O11" s="2">
        <v>2336</v>
      </c>
      <c r="P11" s="2">
        <v>2574</v>
      </c>
      <c r="Q11" s="2"/>
      <c r="R11" s="2"/>
      <c r="S11" s="2">
        <v>4328</v>
      </c>
      <c r="T11" s="2"/>
      <c r="U11" s="2">
        <v>309</v>
      </c>
      <c r="V11" s="2">
        <v>381</v>
      </c>
      <c r="W11" s="2">
        <v>553</v>
      </c>
      <c r="X11" s="2">
        <v>839</v>
      </c>
      <c r="Y11" s="2">
        <v>690</v>
      </c>
      <c r="Z11" s="2" t="s">
        <v>131</v>
      </c>
      <c r="AA11" s="2">
        <v>830</v>
      </c>
      <c r="AB11" s="2">
        <v>986</v>
      </c>
      <c r="AC11" s="2">
        <v>1008</v>
      </c>
      <c r="AD11" s="2">
        <v>789</v>
      </c>
      <c r="AE11" s="2">
        <v>665</v>
      </c>
      <c r="AF11" s="2">
        <v>902</v>
      </c>
      <c r="AG11" s="2">
        <v>1243</v>
      </c>
      <c r="AH11" s="2">
        <v>2868</v>
      </c>
      <c r="AI11" s="2">
        <v>2824</v>
      </c>
      <c r="AJ11" s="2">
        <v>2356</v>
      </c>
      <c r="AK11" s="2">
        <v>2772</v>
      </c>
      <c r="AL11" s="2">
        <v>9291</v>
      </c>
      <c r="AM11" s="3">
        <v>1.472491909385113</v>
      </c>
      <c r="AN11" s="3">
        <v>0.18110236220472439</v>
      </c>
      <c r="AO11" s="3">
        <v>1.028933092224231</v>
      </c>
      <c r="AP11" s="3">
        <v>0.1466030989272944</v>
      </c>
      <c r="AQ11" s="3">
        <v>0.49275362318840582</v>
      </c>
      <c r="AR11" s="3">
        <v>-0.56534727408513819</v>
      </c>
      <c r="AS11" s="3"/>
      <c r="AT11" s="3"/>
      <c r="AU11" s="3"/>
      <c r="AV11" s="3"/>
      <c r="AW11" s="3"/>
      <c r="AX11" s="3"/>
      <c r="AY11" s="3">
        <v>0.87932421560740148</v>
      </c>
      <c r="AZ11" s="3">
        <v>-0.102510460251046</v>
      </c>
      <c r="BA11" s="3"/>
      <c r="BB11" s="3"/>
      <c r="BC11" s="3">
        <v>0.56132756132756134</v>
      </c>
      <c r="BD11" s="3"/>
      <c r="BE11" s="3">
        <v>-8.4889643463497456E-3</v>
      </c>
    </row>
    <row r="12" spans="1:57">
      <c r="A12" s="10">
        <v>9</v>
      </c>
      <c r="B12" s="11" t="s">
        <v>28</v>
      </c>
      <c r="C12" s="2">
        <v>322</v>
      </c>
      <c r="D12" s="2">
        <v>131</v>
      </c>
      <c r="E12" s="2">
        <v>271</v>
      </c>
      <c r="F12" s="2">
        <v>250</v>
      </c>
      <c r="G12" s="2">
        <v>323</v>
      </c>
      <c r="H12" s="2">
        <v>366</v>
      </c>
      <c r="I12" s="2"/>
      <c r="J12" s="2"/>
      <c r="K12" s="2"/>
      <c r="L12" s="2"/>
      <c r="M12" s="2"/>
      <c r="N12" s="2"/>
      <c r="O12" s="2">
        <v>724</v>
      </c>
      <c r="P12" s="2">
        <v>939</v>
      </c>
      <c r="Q12" s="2"/>
      <c r="R12" s="2"/>
      <c r="S12" s="2">
        <v>1297</v>
      </c>
      <c r="T12" s="2"/>
      <c r="U12" s="2">
        <v>46</v>
      </c>
      <c r="V12" s="2">
        <v>89</v>
      </c>
      <c r="W12" s="2">
        <v>134</v>
      </c>
      <c r="X12" s="2">
        <v>165</v>
      </c>
      <c r="Y12" s="2">
        <v>177</v>
      </c>
      <c r="Z12" s="2">
        <v>727</v>
      </c>
      <c r="AA12" s="2">
        <v>82</v>
      </c>
      <c r="AB12" s="2">
        <v>59</v>
      </c>
      <c r="AC12" s="2">
        <v>259</v>
      </c>
      <c r="AD12" s="2">
        <v>268</v>
      </c>
      <c r="AE12" s="2">
        <v>191</v>
      </c>
      <c r="AF12" s="2">
        <v>245</v>
      </c>
      <c r="AG12" s="2">
        <v>269</v>
      </c>
      <c r="AH12" s="2">
        <v>1069</v>
      </c>
      <c r="AI12" s="2">
        <v>400</v>
      </c>
      <c r="AJ12" s="2">
        <v>704</v>
      </c>
      <c r="AK12" s="2">
        <v>611</v>
      </c>
      <c r="AL12" s="2">
        <v>2442</v>
      </c>
      <c r="AM12" s="3">
        <v>6</v>
      </c>
      <c r="AN12" s="3">
        <v>0.47191011235955049</v>
      </c>
      <c r="AO12" s="3">
        <v>1.022388059701492</v>
      </c>
      <c r="AP12" s="3">
        <v>0.51515151515151514</v>
      </c>
      <c r="AQ12" s="3">
        <v>0.82485875706214684</v>
      </c>
      <c r="AR12" s="3">
        <v>-0.49656121045392021</v>
      </c>
      <c r="AS12" s="3"/>
      <c r="AT12" s="3"/>
      <c r="AU12" s="3"/>
      <c r="AV12" s="3"/>
      <c r="AW12" s="3"/>
      <c r="AX12" s="3"/>
      <c r="AY12" s="3">
        <v>1.6914498141263941</v>
      </c>
      <c r="AZ12" s="3">
        <v>-0.12160898035547241</v>
      </c>
      <c r="BA12" s="3"/>
      <c r="BB12" s="3"/>
      <c r="BC12" s="3">
        <v>1.1227495908346969</v>
      </c>
      <c r="BD12" s="3"/>
      <c r="BE12" s="3">
        <v>2.8409090909090912E-2</v>
      </c>
    </row>
    <row r="13" spans="1:57" ht="16" customHeight="1">
      <c r="A13" s="10">
        <v>10</v>
      </c>
      <c r="B13" s="1" t="s">
        <v>30</v>
      </c>
      <c r="C13" s="2">
        <v>5136</v>
      </c>
      <c r="D13" s="2">
        <v>2506</v>
      </c>
      <c r="E13" s="2">
        <v>7524</v>
      </c>
      <c r="F13" s="2">
        <v>7439</v>
      </c>
      <c r="G13" s="2">
        <v>8401</v>
      </c>
      <c r="H13" s="2">
        <v>5705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15166</v>
      </c>
      <c r="P13" s="2">
        <v>21545</v>
      </c>
      <c r="Q13" s="2"/>
      <c r="R13" s="2"/>
      <c r="S13" s="2">
        <v>31006</v>
      </c>
      <c r="T13" s="2"/>
      <c r="U13" s="2">
        <v>1851</v>
      </c>
      <c r="V13" s="2">
        <v>3123</v>
      </c>
      <c r="W13" s="2">
        <v>4355</v>
      </c>
      <c r="X13" s="2">
        <v>4334</v>
      </c>
      <c r="Y13" s="2">
        <v>4226</v>
      </c>
      <c r="Z13" s="2">
        <v>7109</v>
      </c>
      <c r="AA13" s="2">
        <v>4179</v>
      </c>
      <c r="AB13" s="2">
        <v>5000</v>
      </c>
      <c r="AC13" s="2">
        <v>6262</v>
      </c>
      <c r="AD13" s="2">
        <v>5243</v>
      </c>
      <c r="AE13" s="2">
        <v>4802</v>
      </c>
      <c r="AF13" s="2">
        <v>4992</v>
      </c>
      <c r="AG13" s="2">
        <v>9329</v>
      </c>
      <c r="AH13" s="2">
        <v>15669</v>
      </c>
      <c r="AI13" s="2">
        <v>15441</v>
      </c>
      <c r="AJ13" s="2">
        <v>15037</v>
      </c>
      <c r="AK13" s="2">
        <v>17889</v>
      </c>
      <c r="AL13" s="2">
        <v>55476</v>
      </c>
      <c r="AM13" s="3">
        <v>1.7747163695299839</v>
      </c>
      <c r="AN13" s="3">
        <v>-0.1975664425232149</v>
      </c>
      <c r="AO13" s="3">
        <v>0.72766934557979335</v>
      </c>
      <c r="AP13" s="3">
        <v>0.71642824180895248</v>
      </c>
      <c r="AQ13" s="3">
        <v>0.98793185044959775</v>
      </c>
      <c r="AR13" s="3">
        <v>-0.1974961316640878</v>
      </c>
      <c r="AS13" s="3"/>
      <c r="AT13" s="3"/>
      <c r="AU13" s="3"/>
      <c r="AV13" s="3"/>
      <c r="AW13" s="3"/>
      <c r="AX13" s="3"/>
      <c r="AY13" s="3">
        <v>0.62568335298531463</v>
      </c>
      <c r="AZ13" s="3">
        <v>0.37500797753526072</v>
      </c>
      <c r="BA13" s="3"/>
      <c r="BB13" s="3"/>
      <c r="BC13" s="3">
        <v>0.73324389289507519</v>
      </c>
      <c r="BD13" s="3"/>
      <c r="BE13" s="3">
        <v>8.5788388641351333E-3</v>
      </c>
    </row>
    <row r="14" spans="1:57" ht="16" hidden="1" customHeight="1">
      <c r="A14" s="10">
        <v>11</v>
      </c>
      <c r="B14" s="1" t="s">
        <v>31</v>
      </c>
      <c r="C14" s="2">
        <v>38061</v>
      </c>
      <c r="D14" s="2">
        <v>18090</v>
      </c>
      <c r="E14" s="2">
        <v>46317</v>
      </c>
      <c r="F14" s="2">
        <v>47290</v>
      </c>
      <c r="G14" s="2">
        <v>48853</v>
      </c>
      <c r="H14" s="2">
        <v>22934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102468</v>
      </c>
      <c r="P14" s="2">
        <v>119077</v>
      </c>
      <c r="Q14" s="2"/>
      <c r="R14" s="2"/>
      <c r="S14" s="2">
        <v>198611</v>
      </c>
      <c r="T14" s="2"/>
      <c r="U14" s="2">
        <v>31434</v>
      </c>
      <c r="V14" s="2">
        <v>43200</v>
      </c>
      <c r="W14" s="2">
        <v>62895</v>
      </c>
      <c r="X14" s="2">
        <v>57322</v>
      </c>
      <c r="Y14" s="2">
        <v>55886</v>
      </c>
      <c r="Z14" s="2">
        <v>51924</v>
      </c>
      <c r="AA14" s="2">
        <v>54661</v>
      </c>
      <c r="AB14" s="2">
        <v>56898</v>
      </c>
      <c r="AC14" s="2">
        <v>53228</v>
      </c>
      <c r="AD14" s="2">
        <v>39811</v>
      </c>
      <c r="AE14" s="2">
        <v>34944</v>
      </c>
      <c r="AF14" s="2">
        <v>35511</v>
      </c>
      <c r="AG14" s="2">
        <v>137529</v>
      </c>
      <c r="AH14" s="2">
        <v>165132</v>
      </c>
      <c r="AI14" s="2">
        <v>164787</v>
      </c>
      <c r="AJ14" s="2">
        <v>110266</v>
      </c>
      <c r="AK14" s="2">
        <v>250737</v>
      </c>
      <c r="AL14" s="2">
        <v>577714</v>
      </c>
      <c r="AM14" s="3">
        <v>0.210822676083222</v>
      </c>
      <c r="AN14" s="3">
        <v>-0.58125000000000004</v>
      </c>
      <c r="AO14" s="3">
        <v>-0.26358216074409729</v>
      </c>
      <c r="AP14" s="3">
        <v>-0.1750113394508217</v>
      </c>
      <c r="AQ14" s="3">
        <v>-0.12584547113767311</v>
      </c>
      <c r="AR14" s="3">
        <v>-0.55831600030814266</v>
      </c>
      <c r="AS14" s="3"/>
      <c r="AT14" s="3"/>
      <c r="AU14" s="3"/>
      <c r="AV14" s="3"/>
      <c r="AW14" s="3"/>
      <c r="AX14" s="3"/>
      <c r="AY14" s="3">
        <v>-0.25493532273193292</v>
      </c>
      <c r="AZ14" s="3">
        <v>-0.27889809364629509</v>
      </c>
      <c r="BA14" s="3"/>
      <c r="BB14" s="3"/>
      <c r="BC14" s="3">
        <v>-0.2078911369283353</v>
      </c>
      <c r="BD14" s="3"/>
      <c r="BE14" s="3">
        <v>-7.0719895525365936E-2</v>
      </c>
    </row>
    <row r="15" spans="1:57" ht="16" customHeight="1">
      <c r="A15" s="10">
        <v>12</v>
      </c>
      <c r="B15" s="1" t="s">
        <v>32</v>
      </c>
      <c r="C15" s="3">
        <v>0.13494127847402851</v>
      </c>
      <c r="D15" s="3">
        <v>0.13852957435046989</v>
      </c>
      <c r="E15" s="3">
        <v>0.16244575425869551</v>
      </c>
      <c r="F15" s="3">
        <v>0.1573059843518714</v>
      </c>
      <c r="G15" s="3">
        <v>0.1719648742144802</v>
      </c>
      <c r="H15" s="3">
        <v>0.24875730356675679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0.14800718273021821</v>
      </c>
      <c r="P15" s="3">
        <v>0.18093334565029351</v>
      </c>
      <c r="Q15" s="3"/>
      <c r="R15" s="3"/>
      <c r="S15" s="3">
        <v>0.15611421321074859</v>
      </c>
      <c r="T15" s="3"/>
      <c r="U15" s="3">
        <v>5.8885283451040278E-2</v>
      </c>
      <c r="V15" s="3">
        <v>7.2291666666666671E-2</v>
      </c>
      <c r="W15" s="3">
        <v>6.9242388107162725E-2</v>
      </c>
      <c r="X15" s="3">
        <v>7.5607969017131293E-2</v>
      </c>
      <c r="Y15" s="3">
        <v>7.5618222810721822E-2</v>
      </c>
      <c r="Z15" s="3">
        <v>0.13691164008936141</v>
      </c>
      <c r="AA15" s="3">
        <v>7.6453046962185106E-2</v>
      </c>
      <c r="AB15" s="3">
        <v>8.7876551021125529E-2</v>
      </c>
      <c r="AC15" s="3">
        <v>0.1176448485759375</v>
      </c>
      <c r="AD15" s="3">
        <v>0.13169726959885461</v>
      </c>
      <c r="AE15" s="3">
        <v>0.13741987179487181</v>
      </c>
      <c r="AF15" s="3">
        <v>0.14057615949987329</v>
      </c>
      <c r="AG15" s="3">
        <v>6.7832966138050885E-2</v>
      </c>
      <c r="AH15" s="3">
        <v>9.4887726182690216E-2</v>
      </c>
      <c r="AI15" s="3">
        <v>9.3702779952302057E-2</v>
      </c>
      <c r="AJ15" s="3">
        <v>0.1363702319844739</v>
      </c>
      <c r="AK15" s="3">
        <v>7.1345672956125344E-2</v>
      </c>
      <c r="AL15" s="3">
        <v>9.6026753722430136E-2</v>
      </c>
      <c r="AM15" s="7">
        <v>760.5599502298827</v>
      </c>
      <c r="AN15" s="7">
        <v>662.37907683803189</v>
      </c>
      <c r="AO15" s="7">
        <v>932.03366151532782</v>
      </c>
      <c r="AP15" s="7">
        <v>816.98015334740137</v>
      </c>
      <c r="AQ15" s="7">
        <v>963.46651403758347</v>
      </c>
      <c r="AR15" s="7">
        <v>1118.456634773954</v>
      </c>
      <c r="AS15" s="7">
        <v>-764.53046962185101</v>
      </c>
      <c r="AT15" s="7">
        <v>-878.76551021125533</v>
      </c>
      <c r="AU15" s="7">
        <v>-1176.448485759375</v>
      </c>
      <c r="AV15" s="7">
        <v>-1316.9726959885461</v>
      </c>
      <c r="AW15" s="7">
        <v>-1374.198717948718</v>
      </c>
      <c r="AX15" s="7">
        <v>-1405.761594998733</v>
      </c>
      <c r="AY15" s="7">
        <v>801.74216592167318</v>
      </c>
      <c r="AZ15" s="7">
        <v>860.45619467603296</v>
      </c>
      <c r="BA15" s="7"/>
      <c r="BB15" s="7"/>
      <c r="BC15" s="7">
        <v>847.68540254623304</v>
      </c>
      <c r="BD15" s="7"/>
      <c r="BE15" s="7">
        <v>116.36950745744311</v>
      </c>
    </row>
    <row r="16" spans="1:57">
      <c r="A16" s="5"/>
      <c r="B16" s="5"/>
      <c r="C16" s="6"/>
      <c r="D16" s="6"/>
      <c r="E16" s="6"/>
      <c r="F16" s="6"/>
      <c r="G16" s="6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4"/>
      <c r="U16" s="6"/>
      <c r="V16" s="6"/>
      <c r="W16" s="6"/>
      <c r="X16" s="6"/>
      <c r="Y16" s="6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6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</row>
    <row r="17" spans="1:57">
      <c r="A17" s="8"/>
      <c r="B17" s="8"/>
      <c r="C17" s="29" t="s">
        <v>0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1"/>
      <c r="U17" s="32" t="s">
        <v>1</v>
      </c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4"/>
      <c r="AM17" s="29" t="s">
        <v>2</v>
      </c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12"/>
    </row>
    <row r="18" spans="1:57">
      <c r="A18" s="8" t="s">
        <v>35</v>
      </c>
      <c r="B18" s="8" t="s">
        <v>33</v>
      </c>
      <c r="C18" s="13" t="s">
        <v>5</v>
      </c>
      <c r="D18" s="13" t="s">
        <v>6</v>
      </c>
      <c r="E18" s="13" t="s">
        <v>7</v>
      </c>
      <c r="F18" s="13" t="s">
        <v>8</v>
      </c>
      <c r="G18" s="13" t="s">
        <v>9</v>
      </c>
      <c r="H18" s="13" t="s">
        <v>10</v>
      </c>
      <c r="I18" s="13" t="s">
        <v>11</v>
      </c>
      <c r="J18" s="13" t="s">
        <v>12</v>
      </c>
      <c r="K18" s="13" t="s">
        <v>13</v>
      </c>
      <c r="L18" s="13" t="s">
        <v>14</v>
      </c>
      <c r="M18" s="13" t="s">
        <v>15</v>
      </c>
      <c r="N18" s="13" t="s">
        <v>16</v>
      </c>
      <c r="O18" s="13" t="s">
        <v>17</v>
      </c>
      <c r="P18" s="13" t="s">
        <v>18</v>
      </c>
      <c r="Q18" s="13" t="s">
        <v>19</v>
      </c>
      <c r="R18" s="13" t="s">
        <v>20</v>
      </c>
      <c r="S18" s="13" t="s">
        <v>21</v>
      </c>
      <c r="T18" s="13" t="s">
        <v>22</v>
      </c>
      <c r="U18" s="13" t="s">
        <v>5</v>
      </c>
      <c r="V18" s="13" t="s">
        <v>6</v>
      </c>
      <c r="W18" s="13" t="s">
        <v>7</v>
      </c>
      <c r="X18" s="13" t="s">
        <v>8</v>
      </c>
      <c r="Y18" s="13" t="s">
        <v>9</v>
      </c>
      <c r="Z18" s="13" t="s">
        <v>10</v>
      </c>
      <c r="AA18" s="13" t="s">
        <v>11</v>
      </c>
      <c r="AB18" s="13" t="s">
        <v>12</v>
      </c>
      <c r="AC18" s="13" t="s">
        <v>13</v>
      </c>
      <c r="AD18" s="13" t="s">
        <v>14</v>
      </c>
      <c r="AE18" s="13" t="s">
        <v>15</v>
      </c>
      <c r="AF18" s="13" t="s">
        <v>16</v>
      </c>
      <c r="AG18" s="13" t="s">
        <v>17</v>
      </c>
      <c r="AH18" s="13" t="s">
        <v>18</v>
      </c>
      <c r="AI18" s="13" t="s">
        <v>19</v>
      </c>
      <c r="AJ18" s="13" t="s">
        <v>20</v>
      </c>
      <c r="AK18" s="13" t="s">
        <v>21</v>
      </c>
      <c r="AL18" s="13" t="s">
        <v>22</v>
      </c>
      <c r="AM18" s="13" t="s">
        <v>5</v>
      </c>
      <c r="AN18" s="13" t="s">
        <v>6</v>
      </c>
      <c r="AO18" s="13" t="s">
        <v>7</v>
      </c>
      <c r="AP18" s="13" t="s">
        <v>8</v>
      </c>
      <c r="AQ18" s="13" t="s">
        <v>9</v>
      </c>
      <c r="AR18" s="13" t="s">
        <v>10</v>
      </c>
      <c r="AS18" s="13" t="s">
        <v>11</v>
      </c>
      <c r="AT18" s="13" t="s">
        <v>12</v>
      </c>
      <c r="AU18" s="13" t="s">
        <v>13</v>
      </c>
      <c r="AV18" s="13" t="s">
        <v>14</v>
      </c>
      <c r="AW18" s="13" t="s">
        <v>15</v>
      </c>
      <c r="AX18" s="13" t="s">
        <v>16</v>
      </c>
      <c r="AY18" s="13" t="s">
        <v>17</v>
      </c>
      <c r="AZ18" s="13" t="s">
        <v>18</v>
      </c>
      <c r="BA18" s="13" t="s">
        <v>19</v>
      </c>
      <c r="BB18" s="13" t="s">
        <v>20</v>
      </c>
      <c r="BC18" s="13" t="s">
        <v>21</v>
      </c>
      <c r="BD18" s="13" t="s">
        <v>22</v>
      </c>
      <c r="BE18" s="12" t="s">
        <v>23</v>
      </c>
    </row>
    <row r="19" spans="1:57">
      <c r="A19" s="10">
        <v>13</v>
      </c>
      <c r="B19" s="1" t="s">
        <v>24</v>
      </c>
      <c r="C19" s="2">
        <v>12</v>
      </c>
      <c r="D19" s="2">
        <v>7</v>
      </c>
      <c r="E19" s="2">
        <v>26</v>
      </c>
      <c r="F19" s="2">
        <v>21</v>
      </c>
      <c r="G19" s="2">
        <v>17</v>
      </c>
      <c r="H19" s="2">
        <v>0</v>
      </c>
      <c r="I19" s="2"/>
      <c r="J19" s="2"/>
      <c r="K19" s="2"/>
      <c r="L19" s="2"/>
      <c r="M19" s="2"/>
      <c r="N19" s="2"/>
      <c r="O19" s="2">
        <v>45</v>
      </c>
      <c r="P19" s="2">
        <v>38</v>
      </c>
      <c r="Q19" s="2"/>
      <c r="R19" s="2"/>
      <c r="S19" s="2">
        <v>83</v>
      </c>
      <c r="T19" s="2"/>
      <c r="U19" s="2">
        <v>3</v>
      </c>
      <c r="V19" s="2">
        <v>4</v>
      </c>
      <c r="W19" s="2">
        <v>8</v>
      </c>
      <c r="X19" s="2">
        <v>7</v>
      </c>
      <c r="Y19" s="2">
        <v>8</v>
      </c>
      <c r="Z19" s="2">
        <v>7</v>
      </c>
      <c r="AA19" s="2">
        <v>7</v>
      </c>
      <c r="AB19" s="2">
        <v>8</v>
      </c>
      <c r="AC19" s="2">
        <v>10</v>
      </c>
      <c r="AD19" s="2">
        <v>6</v>
      </c>
      <c r="AE19" s="2">
        <v>4</v>
      </c>
      <c r="AF19" s="2">
        <v>2</v>
      </c>
      <c r="AG19" s="2">
        <v>15</v>
      </c>
      <c r="AH19" s="2">
        <v>22</v>
      </c>
      <c r="AI19" s="2">
        <v>25</v>
      </c>
      <c r="AJ19" s="2">
        <v>12</v>
      </c>
      <c r="AK19" s="2">
        <v>30</v>
      </c>
      <c r="AL19" s="2">
        <v>74</v>
      </c>
      <c r="AM19" s="3">
        <v>3</v>
      </c>
      <c r="AN19" s="3">
        <v>0.75</v>
      </c>
      <c r="AO19" s="3">
        <v>2.25</v>
      </c>
      <c r="AP19" s="3">
        <v>2</v>
      </c>
      <c r="AQ19" s="3">
        <v>1.125</v>
      </c>
      <c r="AR19" s="3"/>
      <c r="AS19" s="3"/>
      <c r="AT19" s="3"/>
      <c r="AU19" s="3"/>
      <c r="AV19" s="3"/>
      <c r="AW19" s="3"/>
      <c r="AX19" s="3"/>
      <c r="AY19" s="3">
        <v>2</v>
      </c>
      <c r="AZ19" s="3">
        <v>0.72727272727272729</v>
      </c>
      <c r="BA19" s="3"/>
      <c r="BB19" s="3"/>
      <c r="BC19" s="3">
        <v>1.7666666666666671</v>
      </c>
      <c r="BD19" s="3"/>
      <c r="BE19" s="3">
        <v>2.75</v>
      </c>
    </row>
    <row r="20" spans="1:57">
      <c r="A20" s="10">
        <v>14</v>
      </c>
      <c r="B20" s="11" t="s">
        <v>25</v>
      </c>
      <c r="C20" s="2">
        <v>9</v>
      </c>
      <c r="D20" s="2">
        <v>6</v>
      </c>
      <c r="E20" s="2">
        <v>19</v>
      </c>
      <c r="F20" s="2">
        <v>18</v>
      </c>
      <c r="G20" s="2">
        <v>12</v>
      </c>
      <c r="H20" s="2">
        <v>0</v>
      </c>
      <c r="I20" s="2"/>
      <c r="J20" s="2"/>
      <c r="K20" s="2"/>
      <c r="L20" s="2"/>
      <c r="M20" s="2"/>
      <c r="N20" s="2"/>
      <c r="O20" s="2">
        <v>34</v>
      </c>
      <c r="P20" s="2">
        <v>30</v>
      </c>
      <c r="Q20" s="2"/>
      <c r="R20" s="2"/>
      <c r="S20" s="2">
        <v>64</v>
      </c>
      <c r="T20" s="2"/>
      <c r="U20" s="2">
        <v>2</v>
      </c>
      <c r="V20" s="2">
        <v>3</v>
      </c>
      <c r="W20" s="2">
        <v>7</v>
      </c>
      <c r="X20" s="2">
        <v>3</v>
      </c>
      <c r="Y20" s="2">
        <v>3</v>
      </c>
      <c r="Z20" s="2">
        <v>3</v>
      </c>
      <c r="AA20" s="2">
        <v>5</v>
      </c>
      <c r="AB20" s="2">
        <v>3</v>
      </c>
      <c r="AC20" s="2">
        <v>6</v>
      </c>
      <c r="AD20" s="2">
        <v>2</v>
      </c>
      <c r="AE20" s="2">
        <v>1</v>
      </c>
      <c r="AF20" s="2">
        <v>0</v>
      </c>
      <c r="AG20" s="2">
        <v>12</v>
      </c>
      <c r="AH20" s="2">
        <v>9</v>
      </c>
      <c r="AI20" s="2">
        <v>14</v>
      </c>
      <c r="AJ20" s="2">
        <v>3</v>
      </c>
      <c r="AK20" s="2">
        <v>18</v>
      </c>
      <c r="AL20" s="2">
        <v>38</v>
      </c>
      <c r="AM20" s="3">
        <v>3.5</v>
      </c>
      <c r="AN20" s="3">
        <v>1</v>
      </c>
      <c r="AO20" s="3">
        <v>1.714285714285714</v>
      </c>
      <c r="AP20" s="3">
        <v>5</v>
      </c>
      <c r="AQ20" s="3">
        <v>3</v>
      </c>
      <c r="AR20" s="3"/>
      <c r="AS20" s="3"/>
      <c r="AT20" s="3"/>
      <c r="AU20" s="3"/>
      <c r="AV20" s="3"/>
      <c r="AW20" s="3"/>
      <c r="AX20" s="3"/>
      <c r="AY20" s="3">
        <v>1.833333333333333</v>
      </c>
      <c r="AZ20" s="3">
        <v>2.333333333333333</v>
      </c>
      <c r="BA20" s="3"/>
      <c r="BB20" s="3"/>
      <c r="BC20" s="3">
        <v>2.5555555555555549</v>
      </c>
      <c r="BD20" s="3"/>
      <c r="BE20" s="3">
        <v>10.33333333333333</v>
      </c>
    </row>
    <row r="21" spans="1:57">
      <c r="A21" s="10">
        <v>15</v>
      </c>
      <c r="B21" s="11" t="s">
        <v>26</v>
      </c>
      <c r="C21" s="2">
        <v>3</v>
      </c>
      <c r="D21" s="2">
        <v>1</v>
      </c>
      <c r="E21" s="2">
        <v>6</v>
      </c>
      <c r="F21" s="2">
        <v>3</v>
      </c>
      <c r="G21" s="2">
        <v>4</v>
      </c>
      <c r="H21" s="2">
        <v>0</v>
      </c>
      <c r="I21" s="2"/>
      <c r="J21" s="2"/>
      <c r="K21" s="2"/>
      <c r="L21" s="2"/>
      <c r="M21" s="2"/>
      <c r="N21" s="2"/>
      <c r="O21" s="2">
        <v>10</v>
      </c>
      <c r="P21" s="2">
        <v>7</v>
      </c>
      <c r="Q21" s="2"/>
      <c r="R21" s="2"/>
      <c r="S21" s="2">
        <v>17</v>
      </c>
      <c r="T21" s="2"/>
      <c r="U21" s="2">
        <v>1</v>
      </c>
      <c r="V21" s="2">
        <v>1</v>
      </c>
      <c r="W21" s="2">
        <v>1</v>
      </c>
      <c r="X21" s="2">
        <v>4</v>
      </c>
      <c r="Y21" s="2">
        <v>4</v>
      </c>
      <c r="Z21" s="2">
        <v>4</v>
      </c>
      <c r="AA21" s="2">
        <v>2</v>
      </c>
      <c r="AB21" s="2">
        <v>4</v>
      </c>
      <c r="AC21" s="2">
        <v>4</v>
      </c>
      <c r="AD21" s="2">
        <v>3</v>
      </c>
      <c r="AE21" s="2">
        <v>2</v>
      </c>
      <c r="AF21" s="2">
        <v>2</v>
      </c>
      <c r="AG21" s="2">
        <v>3</v>
      </c>
      <c r="AH21" s="2">
        <v>12</v>
      </c>
      <c r="AI21" s="2">
        <v>10</v>
      </c>
      <c r="AJ21" s="2">
        <v>7</v>
      </c>
      <c r="AK21" s="2">
        <v>11</v>
      </c>
      <c r="AL21" s="2">
        <v>32</v>
      </c>
      <c r="AM21" s="3">
        <v>2</v>
      </c>
      <c r="AN21" s="3">
        <v>0</v>
      </c>
      <c r="AO21" s="3">
        <v>5</v>
      </c>
      <c r="AP21" s="3">
        <v>-0.25</v>
      </c>
      <c r="AQ21" s="3">
        <v>0</v>
      </c>
      <c r="AR21" s="3"/>
      <c r="AS21" s="3"/>
      <c r="AT21" s="3"/>
      <c r="AU21" s="3"/>
      <c r="AV21" s="3"/>
      <c r="AW21" s="3"/>
      <c r="AX21" s="3"/>
      <c r="AY21" s="3">
        <v>2.333333333333333</v>
      </c>
      <c r="AZ21" s="3">
        <v>-0.41666666666666669</v>
      </c>
      <c r="BA21" s="3"/>
      <c r="BB21" s="3"/>
      <c r="BC21" s="3">
        <v>0.54545454545454541</v>
      </c>
      <c r="BD21" s="3"/>
      <c r="BE21" s="3">
        <v>0.42857142857142849</v>
      </c>
    </row>
    <row r="22" spans="1:57">
      <c r="A22" s="10">
        <v>16</v>
      </c>
      <c r="B22" s="11" t="s">
        <v>27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/>
      <c r="J22" s="2"/>
      <c r="K22" s="2"/>
      <c r="L22" s="2"/>
      <c r="M22" s="2"/>
      <c r="N22" s="2"/>
      <c r="O22" s="2">
        <v>0</v>
      </c>
      <c r="P22" s="2">
        <v>0</v>
      </c>
      <c r="Q22" s="2"/>
      <c r="R22" s="2"/>
      <c r="S22" s="2">
        <v>0</v>
      </c>
      <c r="T22" s="2"/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1</v>
      </c>
      <c r="AF22" s="2">
        <v>0</v>
      </c>
      <c r="AG22" s="2">
        <v>0</v>
      </c>
      <c r="AH22" s="2">
        <v>0</v>
      </c>
      <c r="AI22" s="2">
        <v>0</v>
      </c>
      <c r="AJ22" s="2">
        <v>1</v>
      </c>
      <c r="AK22" s="2">
        <v>0</v>
      </c>
      <c r="AL22" s="2">
        <v>1</v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>
        <v>-1</v>
      </c>
    </row>
    <row r="23" spans="1:57">
      <c r="A23" s="10">
        <v>17</v>
      </c>
      <c r="B23" s="11" t="s">
        <v>28</v>
      </c>
      <c r="C23" s="2">
        <v>0</v>
      </c>
      <c r="D23" s="2">
        <v>0</v>
      </c>
      <c r="E23" s="2">
        <v>1</v>
      </c>
      <c r="F23" s="2">
        <v>0</v>
      </c>
      <c r="G23" s="2">
        <v>1</v>
      </c>
      <c r="H23" s="2">
        <v>0</v>
      </c>
      <c r="I23" s="2"/>
      <c r="J23" s="2"/>
      <c r="K23" s="2"/>
      <c r="L23" s="2"/>
      <c r="M23" s="2"/>
      <c r="N23" s="2"/>
      <c r="O23" s="2">
        <v>1</v>
      </c>
      <c r="P23" s="2">
        <v>1</v>
      </c>
      <c r="Q23" s="2"/>
      <c r="R23" s="2"/>
      <c r="S23" s="2">
        <v>2</v>
      </c>
      <c r="T23" s="2"/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0</v>
      </c>
      <c r="AA23" s="2">
        <v>0</v>
      </c>
      <c r="AB23" s="2">
        <v>1</v>
      </c>
      <c r="AC23" s="2">
        <v>0</v>
      </c>
      <c r="AD23" s="2">
        <v>1</v>
      </c>
      <c r="AE23" s="2">
        <v>0</v>
      </c>
      <c r="AF23" s="2">
        <v>0</v>
      </c>
      <c r="AG23" s="2">
        <v>0</v>
      </c>
      <c r="AH23" s="2">
        <v>1</v>
      </c>
      <c r="AI23" s="2">
        <v>1</v>
      </c>
      <c r="AJ23" s="2">
        <v>1</v>
      </c>
      <c r="AK23" s="2">
        <v>1</v>
      </c>
      <c r="AL23" s="2">
        <v>3</v>
      </c>
      <c r="AM23" s="3"/>
      <c r="AN23" s="3"/>
      <c r="AO23" s="3"/>
      <c r="AP23" s="3"/>
      <c r="AQ23" s="3">
        <v>0</v>
      </c>
      <c r="AR23" s="3"/>
      <c r="AS23" s="3"/>
      <c r="AT23" s="3"/>
      <c r="AU23" s="3"/>
      <c r="AV23" s="3"/>
      <c r="AW23" s="3"/>
      <c r="AX23" s="3"/>
      <c r="AY23" s="3"/>
      <c r="AZ23" s="3">
        <v>0</v>
      </c>
      <c r="BA23" s="3"/>
      <c r="BB23" s="3"/>
      <c r="BC23" s="3">
        <v>1</v>
      </c>
      <c r="BD23" s="3"/>
      <c r="BE23" s="3">
        <v>0</v>
      </c>
    </row>
    <row r="24" spans="1:57">
      <c r="A24" s="10">
        <v>18</v>
      </c>
      <c r="B24" s="1" t="s">
        <v>29</v>
      </c>
      <c r="C24" s="2">
        <v>894</v>
      </c>
      <c r="D24" s="2">
        <v>461</v>
      </c>
      <c r="E24" s="2">
        <v>1709</v>
      </c>
      <c r="F24" s="2">
        <v>1532</v>
      </c>
      <c r="G24" s="2">
        <v>1718</v>
      </c>
      <c r="H24" s="2">
        <v>293</v>
      </c>
      <c r="I24" s="2"/>
      <c r="J24" s="2"/>
      <c r="K24" s="2"/>
      <c r="L24" s="2"/>
      <c r="M24" s="2"/>
      <c r="N24" s="2"/>
      <c r="O24" s="2">
        <v>3064</v>
      </c>
      <c r="P24" s="2">
        <v>3543</v>
      </c>
      <c r="Q24" s="2"/>
      <c r="R24" s="2"/>
      <c r="S24" s="2">
        <v>6314</v>
      </c>
      <c r="T24" s="2"/>
      <c r="U24" s="2">
        <v>269</v>
      </c>
      <c r="V24" s="2">
        <v>369</v>
      </c>
      <c r="W24" s="2">
        <v>488</v>
      </c>
      <c r="X24" s="2">
        <v>663</v>
      </c>
      <c r="Y24" s="2">
        <v>491</v>
      </c>
      <c r="Z24" s="2">
        <v>931</v>
      </c>
      <c r="AA24" s="2">
        <v>639</v>
      </c>
      <c r="AB24" s="2">
        <v>988</v>
      </c>
      <c r="AC24" s="2">
        <v>1393</v>
      </c>
      <c r="AD24" s="2">
        <v>985</v>
      </c>
      <c r="AE24" s="2">
        <v>880</v>
      </c>
      <c r="AF24" s="2">
        <v>520</v>
      </c>
      <c r="AG24" s="2">
        <v>1126</v>
      </c>
      <c r="AH24" s="2">
        <v>2085</v>
      </c>
      <c r="AI24" s="2">
        <v>3020</v>
      </c>
      <c r="AJ24" s="2">
        <v>2385</v>
      </c>
      <c r="AK24" s="2">
        <v>2280</v>
      </c>
      <c r="AL24" s="2">
        <v>8616</v>
      </c>
      <c r="AM24" s="3">
        <v>2.3234200743494422</v>
      </c>
      <c r="AN24" s="3">
        <v>0.24932249322493219</v>
      </c>
      <c r="AO24" s="3">
        <v>2.502049180327869</v>
      </c>
      <c r="AP24" s="3">
        <v>1.3107088989441931</v>
      </c>
      <c r="AQ24" s="3">
        <v>2.4989816700611001</v>
      </c>
      <c r="AR24" s="3">
        <v>-0.68528464017185819</v>
      </c>
      <c r="AS24" s="3"/>
      <c r="AT24" s="3"/>
      <c r="AU24" s="3"/>
      <c r="AV24" s="3"/>
      <c r="AW24" s="3"/>
      <c r="AX24" s="3"/>
      <c r="AY24" s="3">
        <v>1.7211367673179401</v>
      </c>
      <c r="AZ24" s="3">
        <v>0.69928057553956835</v>
      </c>
      <c r="BA24" s="3"/>
      <c r="BB24" s="3"/>
      <c r="BC24" s="3">
        <v>1.7692982456140349</v>
      </c>
      <c r="BD24" s="3"/>
      <c r="BE24" s="3">
        <v>0.28469601677148848</v>
      </c>
    </row>
    <row r="25" spans="1:57" ht="15" customHeight="1">
      <c r="A25" s="10">
        <v>19</v>
      </c>
      <c r="B25" s="11" t="s">
        <v>26</v>
      </c>
      <c r="C25" s="2">
        <v>613</v>
      </c>
      <c r="D25" s="2">
        <v>311</v>
      </c>
      <c r="E25" s="2">
        <v>1259</v>
      </c>
      <c r="F25" s="2">
        <v>1199</v>
      </c>
      <c r="G25" s="2">
        <v>1466</v>
      </c>
      <c r="H25" s="2">
        <v>252</v>
      </c>
      <c r="I25" s="2"/>
      <c r="J25" s="2"/>
      <c r="K25" s="2"/>
      <c r="L25" s="2"/>
      <c r="M25" s="2"/>
      <c r="N25" s="2"/>
      <c r="O25" s="2">
        <v>2183</v>
      </c>
      <c r="P25" s="2">
        <v>2917</v>
      </c>
      <c r="Q25" s="2"/>
      <c r="R25" s="2"/>
      <c r="S25" s="2">
        <v>4848</v>
      </c>
      <c r="T25" s="2"/>
      <c r="U25" s="2">
        <v>189</v>
      </c>
      <c r="V25" s="2">
        <v>271</v>
      </c>
      <c r="W25" s="2">
        <v>373</v>
      </c>
      <c r="X25" s="2">
        <v>424</v>
      </c>
      <c r="Y25" s="2">
        <v>329</v>
      </c>
      <c r="Z25" s="2">
        <v>540</v>
      </c>
      <c r="AA25" s="2">
        <v>420</v>
      </c>
      <c r="AB25" s="2">
        <v>714</v>
      </c>
      <c r="AC25" s="2">
        <v>1091</v>
      </c>
      <c r="AD25" s="2">
        <v>722</v>
      </c>
      <c r="AE25" s="2">
        <v>708</v>
      </c>
      <c r="AF25" s="2">
        <v>401</v>
      </c>
      <c r="AG25" s="2">
        <v>833</v>
      </c>
      <c r="AH25" s="2">
        <v>1293</v>
      </c>
      <c r="AI25" s="2">
        <v>2225</v>
      </c>
      <c r="AJ25" s="2">
        <v>1831</v>
      </c>
      <c r="AK25" s="2">
        <v>1586</v>
      </c>
      <c r="AL25" s="2">
        <v>6182</v>
      </c>
      <c r="AM25" s="3">
        <v>2.2433862433862428</v>
      </c>
      <c r="AN25" s="3">
        <v>0.14760147601476009</v>
      </c>
      <c r="AO25" s="3">
        <v>2.375335120643431</v>
      </c>
      <c r="AP25" s="3">
        <v>1.827830188679245</v>
      </c>
      <c r="AQ25" s="3">
        <v>3.4559270516717331</v>
      </c>
      <c r="AR25" s="3">
        <v>-0.53333333333333333</v>
      </c>
      <c r="AS25" s="3"/>
      <c r="AT25" s="3"/>
      <c r="AU25" s="3"/>
      <c r="AV25" s="3"/>
      <c r="AW25" s="3"/>
      <c r="AX25" s="3"/>
      <c r="AY25" s="3">
        <v>1.620648259303721</v>
      </c>
      <c r="AZ25" s="3">
        <v>1.2559938128383601</v>
      </c>
      <c r="BA25" s="3"/>
      <c r="BB25" s="3"/>
      <c r="BC25" s="3">
        <v>2.0567465321563678</v>
      </c>
      <c r="BD25" s="3"/>
      <c r="BE25" s="3">
        <v>0.19224467504096121</v>
      </c>
    </row>
    <row r="26" spans="1:57" ht="15" customHeight="1">
      <c r="A26" s="10">
        <v>20</v>
      </c>
      <c r="B26" s="11" t="s">
        <v>27</v>
      </c>
      <c r="C26" s="2">
        <v>235</v>
      </c>
      <c r="D26" s="2">
        <v>137</v>
      </c>
      <c r="E26" s="2">
        <v>402</v>
      </c>
      <c r="F26" s="2">
        <v>293</v>
      </c>
      <c r="G26" s="2">
        <v>198</v>
      </c>
      <c r="H26" s="2">
        <v>28</v>
      </c>
      <c r="I26" s="2"/>
      <c r="J26" s="2"/>
      <c r="K26" s="2"/>
      <c r="L26" s="2"/>
      <c r="M26" s="2"/>
      <c r="N26" s="2"/>
      <c r="O26" s="2">
        <v>774</v>
      </c>
      <c r="P26" s="2">
        <v>519</v>
      </c>
      <c r="Q26" s="2"/>
      <c r="R26" s="2"/>
      <c r="S26" s="2">
        <v>1265</v>
      </c>
      <c r="T26" s="2"/>
      <c r="U26" s="2">
        <v>72</v>
      </c>
      <c r="V26" s="2">
        <v>84</v>
      </c>
      <c r="W26" s="2">
        <v>94</v>
      </c>
      <c r="X26" s="2">
        <v>198</v>
      </c>
      <c r="Y26" s="2">
        <v>136</v>
      </c>
      <c r="Z26" s="2">
        <v>257</v>
      </c>
      <c r="AA26" s="2">
        <v>205</v>
      </c>
      <c r="AB26" s="2">
        <v>262</v>
      </c>
      <c r="AC26" s="2">
        <v>240</v>
      </c>
      <c r="AD26" s="2">
        <v>215</v>
      </c>
      <c r="AE26" s="2">
        <v>143</v>
      </c>
      <c r="AF26" s="2">
        <v>111</v>
      </c>
      <c r="AG26" s="2">
        <v>250</v>
      </c>
      <c r="AH26" s="2">
        <v>591</v>
      </c>
      <c r="AI26" s="2">
        <v>707</v>
      </c>
      <c r="AJ26" s="2">
        <v>469</v>
      </c>
      <c r="AK26" s="2">
        <v>584</v>
      </c>
      <c r="AL26" s="2">
        <v>2017</v>
      </c>
      <c r="AM26" s="3">
        <v>2.2638888888888888</v>
      </c>
      <c r="AN26" s="3">
        <v>0.63095238095238093</v>
      </c>
      <c r="AO26" s="3">
        <v>3.2765957446808511</v>
      </c>
      <c r="AP26" s="3">
        <v>0.47979797979797978</v>
      </c>
      <c r="AQ26" s="3">
        <v>0.45588235294117652</v>
      </c>
      <c r="AR26" s="3">
        <v>-0.8910505836575876</v>
      </c>
      <c r="AS26" s="3"/>
      <c r="AT26" s="3"/>
      <c r="AU26" s="3"/>
      <c r="AV26" s="3"/>
      <c r="AW26" s="3"/>
      <c r="AX26" s="3"/>
      <c r="AY26" s="3">
        <v>2.0960000000000001</v>
      </c>
      <c r="AZ26" s="3">
        <v>-0.12182741116751269</v>
      </c>
      <c r="BA26" s="3"/>
      <c r="BB26" s="3"/>
      <c r="BC26" s="3">
        <v>1.1660958904109591</v>
      </c>
      <c r="BD26" s="3"/>
      <c r="BE26" s="3">
        <v>0.65031982942430699</v>
      </c>
    </row>
    <row r="27" spans="1:57" ht="15" customHeight="1">
      <c r="A27" s="10">
        <v>21</v>
      </c>
      <c r="B27" s="11" t="s">
        <v>28</v>
      </c>
      <c r="C27" s="2">
        <v>46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2">
        <v>8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3">
        <v>4.75</v>
      </c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>
        <v>0.25882352941176467</v>
      </c>
    </row>
    <row r="28" spans="1:57" ht="15" customHeight="1">
      <c r="A28" s="10">
        <v>22</v>
      </c>
      <c r="B28" s="1" t="s">
        <v>30</v>
      </c>
      <c r="C28" s="2">
        <v>906</v>
      </c>
      <c r="D28" s="2">
        <v>468</v>
      </c>
      <c r="E28" s="2">
        <v>1735</v>
      </c>
      <c r="F28" s="2">
        <v>1553</v>
      </c>
      <c r="G28" s="2">
        <v>1735</v>
      </c>
      <c r="H28" s="2">
        <v>293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3109</v>
      </c>
      <c r="P28" s="2">
        <v>3581</v>
      </c>
      <c r="Q28" s="2"/>
      <c r="R28" s="2"/>
      <c r="S28" s="2">
        <v>6397</v>
      </c>
      <c r="T28" s="2"/>
      <c r="U28" s="2">
        <v>272</v>
      </c>
      <c r="V28" s="2">
        <v>373</v>
      </c>
      <c r="W28" s="2">
        <v>496</v>
      </c>
      <c r="X28" s="2">
        <v>670</v>
      </c>
      <c r="Y28" s="2">
        <v>499</v>
      </c>
      <c r="Z28" s="2">
        <v>938</v>
      </c>
      <c r="AA28" s="2">
        <v>646</v>
      </c>
      <c r="AB28" s="2">
        <v>996</v>
      </c>
      <c r="AC28" s="2">
        <v>1403</v>
      </c>
      <c r="AD28" s="2">
        <v>991</v>
      </c>
      <c r="AE28" s="2">
        <v>884</v>
      </c>
      <c r="AF28" s="2">
        <v>522</v>
      </c>
      <c r="AG28" s="2">
        <v>1141</v>
      </c>
      <c r="AH28" s="2">
        <v>2107</v>
      </c>
      <c r="AI28" s="2">
        <v>3045</v>
      </c>
      <c r="AJ28" s="2">
        <v>2397</v>
      </c>
      <c r="AK28" s="2">
        <v>2310</v>
      </c>
      <c r="AL28" s="2">
        <v>8690</v>
      </c>
      <c r="AM28" s="3">
        <v>2.3308823529411771</v>
      </c>
      <c r="AN28" s="3">
        <v>0.2546916890080429</v>
      </c>
      <c r="AO28" s="3">
        <v>2.497983870967742</v>
      </c>
      <c r="AP28" s="3">
        <v>1.317910447761194</v>
      </c>
      <c r="AQ28" s="3">
        <v>2.4769539078156311</v>
      </c>
      <c r="AR28" s="3">
        <v>-0.68763326226012789</v>
      </c>
      <c r="AS28" s="3"/>
      <c r="AT28" s="3"/>
      <c r="AU28" s="3"/>
      <c r="AV28" s="3"/>
      <c r="AW28" s="3"/>
      <c r="AX28" s="3"/>
      <c r="AY28" s="3">
        <v>1.724802804557406</v>
      </c>
      <c r="AZ28" s="3">
        <v>0.69957285239677269</v>
      </c>
      <c r="BA28" s="3"/>
      <c r="BB28" s="3"/>
      <c r="BC28" s="3">
        <v>1.7692640692640691</v>
      </c>
      <c r="BD28" s="3"/>
      <c r="BE28" s="3">
        <v>0.29703796412181888</v>
      </c>
    </row>
    <row r="29" spans="1:57" ht="15" hidden="1" customHeight="1">
      <c r="A29" s="10">
        <v>23</v>
      </c>
      <c r="B29" s="1" t="s">
        <v>31</v>
      </c>
      <c r="C29" s="2">
        <v>8534</v>
      </c>
      <c r="D29" s="2">
        <v>4501</v>
      </c>
      <c r="E29" s="2">
        <v>12665</v>
      </c>
      <c r="F29" s="2">
        <v>12077</v>
      </c>
      <c r="G29" s="2">
        <v>11073</v>
      </c>
      <c r="H29" s="2">
        <v>991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25700</v>
      </c>
      <c r="P29" s="2">
        <v>24141</v>
      </c>
      <c r="Q29" s="2"/>
      <c r="R29" s="2"/>
      <c r="S29" s="2">
        <v>48850</v>
      </c>
      <c r="T29" s="2"/>
      <c r="U29" s="2">
        <v>4078</v>
      </c>
      <c r="V29" s="2">
        <v>5852</v>
      </c>
      <c r="W29" s="2">
        <v>7649</v>
      </c>
      <c r="X29" s="2">
        <v>8225</v>
      </c>
      <c r="Y29" s="2">
        <v>7762</v>
      </c>
      <c r="Z29" s="2">
        <v>7913</v>
      </c>
      <c r="AA29" s="2">
        <v>10520</v>
      </c>
      <c r="AB29" s="2">
        <v>12304</v>
      </c>
      <c r="AC29" s="2">
        <v>13105</v>
      </c>
      <c r="AD29" s="2">
        <v>9265</v>
      </c>
      <c r="AE29" s="2">
        <v>7232</v>
      </c>
      <c r="AF29" s="2">
        <v>4080</v>
      </c>
      <c r="AG29" s="2">
        <v>17579</v>
      </c>
      <c r="AH29" s="2">
        <v>23900</v>
      </c>
      <c r="AI29" s="2">
        <v>35929</v>
      </c>
      <c r="AJ29" s="2">
        <v>20577</v>
      </c>
      <c r="AK29" s="2">
        <v>33566</v>
      </c>
      <c r="AL29" s="2">
        <v>97985</v>
      </c>
      <c r="AM29" s="3">
        <v>1.0926924963217259</v>
      </c>
      <c r="AN29" s="3">
        <v>-0.23086124401913879</v>
      </c>
      <c r="AO29" s="3">
        <v>0.65577199633939076</v>
      </c>
      <c r="AP29" s="3">
        <v>0.46832826747720357</v>
      </c>
      <c r="AQ29" s="3">
        <v>0.42656531821695443</v>
      </c>
      <c r="AR29" s="3">
        <v>-0.87476304814861616</v>
      </c>
      <c r="AS29" s="3"/>
      <c r="AT29" s="3"/>
      <c r="AU29" s="3"/>
      <c r="AV29" s="3"/>
      <c r="AW29" s="3"/>
      <c r="AX29" s="3"/>
      <c r="AY29" s="3">
        <v>0.46197167074350082</v>
      </c>
      <c r="AZ29" s="3">
        <v>1.00836820083682E-2</v>
      </c>
      <c r="BA29" s="3"/>
      <c r="BB29" s="3"/>
      <c r="BC29" s="3">
        <v>0.45534171483048319</v>
      </c>
      <c r="BD29" s="3"/>
      <c r="BE29" s="3">
        <v>0.24896729358021091</v>
      </c>
    </row>
    <row r="30" spans="1:57" ht="15" customHeight="1">
      <c r="A30" s="10">
        <v>24</v>
      </c>
      <c r="B30" s="1" t="s">
        <v>32</v>
      </c>
      <c r="C30" s="3">
        <v>0.1061635809702367</v>
      </c>
      <c r="D30" s="3">
        <v>0.1039768940235503</v>
      </c>
      <c r="E30" s="3">
        <v>0.136991709435452</v>
      </c>
      <c r="F30" s="3">
        <v>0.1285915376335183</v>
      </c>
      <c r="G30" s="3">
        <v>0.15668743791203829</v>
      </c>
      <c r="H30" s="3">
        <v>0.2956609485368315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0.1209727626459144</v>
      </c>
      <c r="P30" s="3">
        <v>0.14833685431423721</v>
      </c>
      <c r="Q30" s="3"/>
      <c r="R30" s="3"/>
      <c r="S30" s="3">
        <v>0.13095189355168879</v>
      </c>
      <c r="T30" s="3"/>
      <c r="U30" s="3">
        <v>6.6699362432564982E-2</v>
      </c>
      <c r="V30" s="3">
        <v>6.3738892686261109E-2</v>
      </c>
      <c r="W30" s="3">
        <v>6.484507778794614E-2</v>
      </c>
      <c r="X30" s="3">
        <v>8.1458966565349539E-2</v>
      </c>
      <c r="Y30" s="3">
        <v>6.4287554753929402E-2</v>
      </c>
      <c r="Z30" s="3">
        <v>0.1185391128522684</v>
      </c>
      <c r="AA30" s="3">
        <v>6.1406844106463881E-2</v>
      </c>
      <c r="AB30" s="3">
        <v>8.094928478543563E-2</v>
      </c>
      <c r="AC30" s="3">
        <v>0.107058374666158</v>
      </c>
      <c r="AD30" s="3">
        <v>0.10696168375607119</v>
      </c>
      <c r="AE30" s="3">
        <v>0.12223451327433631</v>
      </c>
      <c r="AF30" s="3">
        <v>0.1279411764705882</v>
      </c>
      <c r="AG30" s="3">
        <v>6.490699129643325E-2</v>
      </c>
      <c r="AH30" s="3">
        <v>8.8158995815899588E-2</v>
      </c>
      <c r="AI30" s="3">
        <v>8.4750480113557292E-2</v>
      </c>
      <c r="AJ30" s="3">
        <v>0.1164892841522088</v>
      </c>
      <c r="AK30" s="3">
        <v>6.881963892033606E-2</v>
      </c>
      <c r="AL30" s="3">
        <v>8.8687043935296223E-2</v>
      </c>
      <c r="AM30" s="7">
        <v>394.64218537671718</v>
      </c>
      <c r="AN30" s="7">
        <v>402.38001337289222</v>
      </c>
      <c r="AO30" s="7">
        <v>721.46631647505887</v>
      </c>
      <c r="AP30" s="7">
        <v>471.32571068168733</v>
      </c>
      <c r="AQ30" s="7">
        <v>923.99883158108889</v>
      </c>
      <c r="AR30" s="7">
        <v>1771.218356845631</v>
      </c>
      <c r="AS30" s="7">
        <v>-614.06844106463882</v>
      </c>
      <c r="AT30" s="7">
        <v>-809.49284785435634</v>
      </c>
      <c r="AU30" s="7">
        <v>-1070.5837466615801</v>
      </c>
      <c r="AV30" s="7">
        <v>-1069.6168375607119</v>
      </c>
      <c r="AW30" s="7">
        <v>-1222.3451327433629</v>
      </c>
      <c r="AX30" s="7">
        <v>-1279.411764705882</v>
      </c>
      <c r="AY30" s="7">
        <v>560.65771349481156</v>
      </c>
      <c r="AZ30" s="7">
        <v>601.77858498337594</v>
      </c>
      <c r="BA30" s="7"/>
      <c r="BB30" s="7"/>
      <c r="BC30" s="7">
        <v>621.32254631352782</v>
      </c>
      <c r="BD30" s="7"/>
      <c r="BE30" s="7">
        <v>44.834784937056313</v>
      </c>
    </row>
    <row r="31" spans="1:57">
      <c r="A31" s="5"/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</row>
    <row r="32" spans="1:57">
      <c r="A32" s="8"/>
      <c r="B32" s="8"/>
      <c r="C32" s="29" t="s">
        <v>0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1"/>
      <c r="U32" s="32" t="s">
        <v>1</v>
      </c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4"/>
      <c r="AM32" s="29" t="s">
        <v>2</v>
      </c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12"/>
    </row>
    <row r="33" spans="1:57">
      <c r="A33" s="8" t="s">
        <v>3</v>
      </c>
      <c r="B33" s="8" t="s">
        <v>34</v>
      </c>
      <c r="C33" s="13" t="s">
        <v>5</v>
      </c>
      <c r="D33" s="13" t="s">
        <v>6</v>
      </c>
      <c r="E33" s="13" t="s">
        <v>7</v>
      </c>
      <c r="F33" s="13" t="s">
        <v>8</v>
      </c>
      <c r="G33" s="13" t="s">
        <v>9</v>
      </c>
      <c r="H33" s="13" t="s">
        <v>10</v>
      </c>
      <c r="I33" s="13" t="s">
        <v>11</v>
      </c>
      <c r="J33" s="13" t="s">
        <v>12</v>
      </c>
      <c r="K33" s="13" t="s">
        <v>13</v>
      </c>
      <c r="L33" s="13" t="s">
        <v>14</v>
      </c>
      <c r="M33" s="13" t="s">
        <v>15</v>
      </c>
      <c r="N33" s="13" t="s">
        <v>16</v>
      </c>
      <c r="O33" s="13" t="s">
        <v>17</v>
      </c>
      <c r="P33" s="13" t="s">
        <v>18</v>
      </c>
      <c r="Q33" s="13" t="s">
        <v>19</v>
      </c>
      <c r="R33" s="13" t="s">
        <v>20</v>
      </c>
      <c r="S33" s="13" t="s">
        <v>21</v>
      </c>
      <c r="T33" s="13" t="s">
        <v>22</v>
      </c>
      <c r="U33" s="13" t="s">
        <v>5</v>
      </c>
      <c r="V33" s="13" t="s">
        <v>6</v>
      </c>
      <c r="W33" s="13" t="s">
        <v>7</v>
      </c>
      <c r="X33" s="13" t="s">
        <v>8</v>
      </c>
      <c r="Y33" s="13" t="s">
        <v>9</v>
      </c>
      <c r="Z33" s="13" t="s">
        <v>10</v>
      </c>
      <c r="AA33" s="13" t="s">
        <v>11</v>
      </c>
      <c r="AB33" s="13" t="s">
        <v>12</v>
      </c>
      <c r="AC33" s="13" t="s">
        <v>13</v>
      </c>
      <c r="AD33" s="13" t="s">
        <v>14</v>
      </c>
      <c r="AE33" s="13" t="s">
        <v>15</v>
      </c>
      <c r="AF33" s="13" t="s">
        <v>16</v>
      </c>
      <c r="AG33" s="13" t="s">
        <v>17</v>
      </c>
      <c r="AH33" s="13" t="s">
        <v>18</v>
      </c>
      <c r="AI33" s="13" t="s">
        <v>19</v>
      </c>
      <c r="AJ33" s="13" t="s">
        <v>20</v>
      </c>
      <c r="AK33" s="13" t="s">
        <v>21</v>
      </c>
      <c r="AL33" s="13" t="s">
        <v>22</v>
      </c>
      <c r="AM33" s="13" t="s">
        <v>5</v>
      </c>
      <c r="AN33" s="13" t="s">
        <v>6</v>
      </c>
      <c r="AO33" s="13" t="s">
        <v>7</v>
      </c>
      <c r="AP33" s="13" t="s">
        <v>8</v>
      </c>
      <c r="AQ33" s="13" t="s">
        <v>9</v>
      </c>
      <c r="AR33" s="13" t="s">
        <v>10</v>
      </c>
      <c r="AS33" s="13" t="s">
        <v>11</v>
      </c>
      <c r="AT33" s="13" t="s">
        <v>12</v>
      </c>
      <c r="AU33" s="13" t="s">
        <v>13</v>
      </c>
      <c r="AV33" s="13" t="s">
        <v>14</v>
      </c>
      <c r="AW33" s="13" t="s">
        <v>15</v>
      </c>
      <c r="AX33" s="13" t="s">
        <v>16</v>
      </c>
      <c r="AY33" s="13" t="s">
        <v>17</v>
      </c>
      <c r="AZ33" s="13" t="s">
        <v>18</v>
      </c>
      <c r="BA33" s="13" t="s">
        <v>19</v>
      </c>
      <c r="BB33" s="13" t="s">
        <v>20</v>
      </c>
      <c r="BC33" s="13" t="s">
        <v>21</v>
      </c>
      <c r="BD33" s="13" t="s">
        <v>22</v>
      </c>
      <c r="BE33" s="12" t="s">
        <v>23</v>
      </c>
    </row>
    <row r="34" spans="1:57">
      <c r="A34" s="10">
        <v>25</v>
      </c>
      <c r="B34" s="1" t="s">
        <v>24</v>
      </c>
      <c r="C34" s="3">
        <v>6.9767441860465115E-2</v>
      </c>
      <c r="D34" s="3">
        <v>6.0344827586206899E-2</v>
      </c>
      <c r="E34" s="3">
        <v>0.1015625</v>
      </c>
      <c r="F34" s="3">
        <v>8.9743589743589744E-2</v>
      </c>
      <c r="G34" s="3">
        <v>6.4393939393939392E-2</v>
      </c>
      <c r="H34" s="3">
        <v>0</v>
      </c>
      <c r="I34" s="3"/>
      <c r="J34" s="3"/>
      <c r="K34" s="3"/>
      <c r="L34" s="3"/>
      <c r="M34" s="3"/>
      <c r="N34" s="3"/>
      <c r="O34" s="3">
        <v>8.2720588235294115E-2</v>
      </c>
      <c r="P34" s="3">
        <v>6.354515050167224E-2</v>
      </c>
      <c r="Q34" s="3"/>
      <c r="R34" s="3"/>
      <c r="S34" s="3">
        <v>7.9654510556621885E-2</v>
      </c>
      <c r="T34" s="3"/>
      <c r="U34" s="3">
        <v>5.8823529411764712E-2</v>
      </c>
      <c r="V34" s="3">
        <v>6.25E-2</v>
      </c>
      <c r="W34" s="3">
        <v>9.8765432098765427E-2</v>
      </c>
      <c r="X34" s="3">
        <v>0.1129032258064516</v>
      </c>
      <c r="Y34" s="3">
        <v>0.1095890410958904</v>
      </c>
      <c r="Z34" s="3">
        <v>6.8627450980392163E-2</v>
      </c>
      <c r="AA34" s="3">
        <v>5.6000000000000001E-2</v>
      </c>
      <c r="AB34" s="3">
        <v>6.6666666666666666E-2</v>
      </c>
      <c r="AC34" s="3">
        <v>8.1967213114754092E-2</v>
      </c>
      <c r="AD34" s="3">
        <v>4.5454545454545463E-2</v>
      </c>
      <c r="AE34" s="3">
        <v>3.5714285714285712E-2</v>
      </c>
      <c r="AF34" s="3">
        <v>1.3698630136986301E-2</v>
      </c>
      <c r="AG34" s="3">
        <v>7.6530612244897961E-2</v>
      </c>
      <c r="AH34" s="3">
        <v>9.2827004219409287E-2</v>
      </c>
      <c r="AI34" s="3">
        <v>6.8119891008174394E-2</v>
      </c>
      <c r="AJ34" s="3">
        <v>3.0769230769230771E-2</v>
      </c>
      <c r="AK34" s="3">
        <v>9.0634441087613288E-2</v>
      </c>
      <c r="AL34" s="3">
        <v>6.2184873949579833E-2</v>
      </c>
      <c r="AM34" s="7">
        <v>109.43912448700409</v>
      </c>
      <c r="AN34" s="7">
        <v>-21.551724137931011</v>
      </c>
      <c r="AO34" s="7">
        <v>27.97067901234573</v>
      </c>
      <c r="AP34" s="7">
        <v>-231.5963606286187</v>
      </c>
      <c r="AQ34" s="7">
        <v>-451.95101701951012</v>
      </c>
      <c r="AR34" s="7">
        <v>-686.27450980392166</v>
      </c>
      <c r="AS34" s="7">
        <v>-560</v>
      </c>
      <c r="AT34" s="7">
        <v>-666.66666666666663</v>
      </c>
      <c r="AU34" s="7">
        <v>-819.67213114754088</v>
      </c>
      <c r="AV34" s="7">
        <v>-454.54545454545462</v>
      </c>
      <c r="AW34" s="7">
        <v>-357.14285714285711</v>
      </c>
      <c r="AX34" s="7">
        <v>-136.98630136986301</v>
      </c>
      <c r="AY34" s="7">
        <v>61.899759903961552</v>
      </c>
      <c r="AZ34" s="7">
        <v>-292.81853717737039</v>
      </c>
      <c r="BA34" s="7"/>
      <c r="BB34" s="7"/>
      <c r="BC34" s="7">
        <v>-109.799305309914</v>
      </c>
      <c r="BD34" s="7"/>
      <c r="BE34" s="7">
        <v>519.51357466063348</v>
      </c>
    </row>
    <row r="35" spans="1:57">
      <c r="A35" s="10">
        <v>26</v>
      </c>
      <c r="B35" s="11" t="s">
        <v>25</v>
      </c>
      <c r="C35" s="3">
        <v>0.101123595505618</v>
      </c>
      <c r="D35" s="3">
        <v>9.2307692307692313E-2</v>
      </c>
      <c r="E35" s="3">
        <v>0.1151515151515152</v>
      </c>
      <c r="F35" s="3">
        <v>0.1097560975609756</v>
      </c>
      <c r="G35" s="3">
        <v>7.3619631901840496E-2</v>
      </c>
      <c r="H35" s="3">
        <v>0</v>
      </c>
      <c r="I35" s="3"/>
      <c r="J35" s="3"/>
      <c r="K35" s="3"/>
      <c r="L35" s="3"/>
      <c r="M35" s="3"/>
      <c r="N35" s="3"/>
      <c r="O35" s="3">
        <v>0.10658307210031349</v>
      </c>
      <c r="P35" s="3">
        <v>7.7319587628865982E-2</v>
      </c>
      <c r="Q35" s="3"/>
      <c r="R35" s="3"/>
      <c r="S35" s="3">
        <v>9.9071207430340563E-2</v>
      </c>
      <c r="T35" s="3"/>
      <c r="U35" s="3">
        <v>0.15384615384615391</v>
      </c>
      <c r="V35" s="3">
        <v>0.23076923076923081</v>
      </c>
      <c r="W35" s="3">
        <v>0.19444444444444439</v>
      </c>
      <c r="X35" s="3">
        <v>0.1</v>
      </c>
      <c r="Y35" s="3">
        <v>0.10344827586206901</v>
      </c>
      <c r="Z35" s="3">
        <v>6.6666666666666666E-2</v>
      </c>
      <c r="AA35" s="3">
        <v>6.5789473684210523E-2</v>
      </c>
      <c r="AB35" s="3">
        <v>4.7619047619047623E-2</v>
      </c>
      <c r="AC35" s="3">
        <v>9.2307692307692313E-2</v>
      </c>
      <c r="AD35" s="3">
        <v>3.0769230769230771E-2</v>
      </c>
      <c r="AE35" s="3">
        <v>2.1276595744680851E-2</v>
      </c>
      <c r="AF35" s="3">
        <v>0</v>
      </c>
      <c r="AG35" s="3">
        <v>0.19354838709677419</v>
      </c>
      <c r="AH35" s="3">
        <v>8.6538461538461536E-2</v>
      </c>
      <c r="AI35" s="3">
        <v>6.8627450980392163E-2</v>
      </c>
      <c r="AJ35" s="3">
        <v>1.5706806282722509E-2</v>
      </c>
      <c r="AK35" s="3">
        <v>0.1487603305785124</v>
      </c>
      <c r="AL35" s="3">
        <v>6.7736185383244205E-2</v>
      </c>
      <c r="AM35" s="7">
        <v>-527.22558340535875</v>
      </c>
      <c r="AN35" s="7">
        <v>-1384.615384615385</v>
      </c>
      <c r="AO35" s="7">
        <v>-792.92929292929296</v>
      </c>
      <c r="AP35" s="7">
        <v>97.560975609756042</v>
      </c>
      <c r="AQ35" s="7">
        <v>-298.2864396022847</v>
      </c>
      <c r="AR35" s="7">
        <v>-666.66666666666663</v>
      </c>
      <c r="AS35" s="7">
        <v>-657.8947368421052</v>
      </c>
      <c r="AT35" s="7">
        <v>-476.19047619047609</v>
      </c>
      <c r="AU35" s="7">
        <v>-923.07692307692309</v>
      </c>
      <c r="AV35" s="7">
        <v>-307.69230769230768</v>
      </c>
      <c r="AW35" s="7">
        <v>-212.7659574468085</v>
      </c>
      <c r="AX35" s="7"/>
      <c r="AY35" s="7">
        <v>-869.65314996460711</v>
      </c>
      <c r="AZ35" s="7">
        <v>-92.18873909595554</v>
      </c>
      <c r="BA35" s="7"/>
      <c r="BB35" s="7"/>
      <c r="BC35" s="7">
        <v>-496.89123148171842</v>
      </c>
      <c r="BD35" s="7"/>
      <c r="BE35" s="7">
        <v>908.76265817590968</v>
      </c>
    </row>
    <row r="36" spans="1:57">
      <c r="A36" s="10">
        <v>27</v>
      </c>
      <c r="B36" s="11" t="s">
        <v>26</v>
      </c>
      <c r="C36" s="3">
        <v>3.9473684210526307E-2</v>
      </c>
      <c r="D36" s="3">
        <v>2.3255813953488368E-2</v>
      </c>
      <c r="E36" s="3">
        <v>7.407407407407407E-2</v>
      </c>
      <c r="F36" s="3">
        <v>4.6153846153846163E-2</v>
      </c>
      <c r="G36" s="3">
        <v>4.3010752688172053E-2</v>
      </c>
      <c r="H36" s="3">
        <v>0</v>
      </c>
      <c r="I36" s="3"/>
      <c r="J36" s="3"/>
      <c r="K36" s="3"/>
      <c r="L36" s="3"/>
      <c r="M36" s="3"/>
      <c r="N36" s="3"/>
      <c r="O36" s="3">
        <v>0.05</v>
      </c>
      <c r="P36" s="3">
        <v>3.608247422680412E-2</v>
      </c>
      <c r="Q36" s="3"/>
      <c r="R36" s="3"/>
      <c r="S36" s="3">
        <v>4.7486033519553071E-2</v>
      </c>
      <c r="T36" s="3"/>
      <c r="U36" s="3">
        <v>2.6315789473684209E-2</v>
      </c>
      <c r="V36" s="3">
        <v>2.0833333333333329E-2</v>
      </c>
      <c r="W36" s="3">
        <v>2.222222222222222E-2</v>
      </c>
      <c r="X36" s="3">
        <v>0.1290322580645161</v>
      </c>
      <c r="Y36" s="3">
        <v>0.1081081081081081</v>
      </c>
      <c r="Z36" s="3">
        <v>7.8431372549019607E-2</v>
      </c>
      <c r="AA36" s="3">
        <v>4.3478260869565223E-2</v>
      </c>
      <c r="AB36" s="3">
        <v>0.08</v>
      </c>
      <c r="AC36" s="3">
        <v>7.6923076923076927E-2</v>
      </c>
      <c r="AD36" s="3">
        <v>5.3571428571428568E-2</v>
      </c>
      <c r="AE36" s="3">
        <v>3.2786885245901641E-2</v>
      </c>
      <c r="AF36" s="3">
        <v>3.3333333333333333E-2</v>
      </c>
      <c r="AG36" s="3">
        <v>2.2900763358778629E-2</v>
      </c>
      <c r="AH36" s="3">
        <v>0.1008403361344538</v>
      </c>
      <c r="AI36" s="3">
        <v>6.7567567567567571E-2</v>
      </c>
      <c r="AJ36" s="3">
        <v>3.954802259887006E-2</v>
      </c>
      <c r="AK36" s="3">
        <v>5.5276381909547742E-2</v>
      </c>
      <c r="AL36" s="3">
        <v>5.565217391304348E-2</v>
      </c>
      <c r="AM36" s="7">
        <v>131.57894736842101</v>
      </c>
      <c r="AN36" s="7">
        <v>24.2248062015504</v>
      </c>
      <c r="AO36" s="7">
        <v>518.51851851851848</v>
      </c>
      <c r="AP36" s="7">
        <v>-828.78411910669968</v>
      </c>
      <c r="AQ36" s="7">
        <v>-650.97355419936071</v>
      </c>
      <c r="AR36" s="7">
        <v>-784.31372549019602</v>
      </c>
      <c r="AS36" s="7">
        <v>-434.78260869565219</v>
      </c>
      <c r="AT36" s="7">
        <v>-800</v>
      </c>
      <c r="AU36" s="7">
        <v>-769.23076923076928</v>
      </c>
      <c r="AV36" s="7">
        <v>-535.71428571428567</v>
      </c>
      <c r="AW36" s="7">
        <v>-327.86885245901641</v>
      </c>
      <c r="AX36" s="7">
        <v>-333.33333333333331</v>
      </c>
      <c r="AY36" s="7">
        <v>270.99236641221381</v>
      </c>
      <c r="AZ36" s="7">
        <v>-647.57861907649669</v>
      </c>
      <c r="BA36" s="7"/>
      <c r="BB36" s="7"/>
      <c r="BC36" s="7">
        <v>-77.903483899946707</v>
      </c>
      <c r="BD36" s="7"/>
      <c r="BE36" s="7">
        <v>104.5197740112994</v>
      </c>
    </row>
    <row r="37" spans="1:57">
      <c r="A37" s="10">
        <v>28</v>
      </c>
      <c r="B37" s="11" t="s">
        <v>27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>
        <v>0</v>
      </c>
      <c r="P37" s="3">
        <v>0</v>
      </c>
      <c r="Q37" s="3"/>
      <c r="R37" s="3"/>
      <c r="S37" s="3">
        <v>0</v>
      </c>
      <c r="T37" s="3"/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0.25</v>
      </c>
      <c r="AF37" s="3">
        <v>0</v>
      </c>
      <c r="AG37" s="3">
        <v>0</v>
      </c>
      <c r="AH37" s="3">
        <v>0</v>
      </c>
      <c r="AI37" s="3">
        <v>0</v>
      </c>
      <c r="AJ37" s="3">
        <v>6.6666666666666666E-2</v>
      </c>
      <c r="AK37" s="3">
        <v>0</v>
      </c>
      <c r="AL37" s="3">
        <v>2.9411764705882349E-2</v>
      </c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>
        <v>-2500</v>
      </c>
      <c r="AX37" s="7"/>
      <c r="AY37" s="7">
        <v>0</v>
      </c>
      <c r="AZ37" s="7">
        <v>0</v>
      </c>
      <c r="BA37" s="7"/>
      <c r="BB37" s="7"/>
      <c r="BC37" s="7">
        <v>0</v>
      </c>
      <c r="BD37" s="7"/>
      <c r="BE37" s="7">
        <v>-666.66666666666663</v>
      </c>
    </row>
    <row r="38" spans="1:57">
      <c r="A38" s="10">
        <v>29</v>
      </c>
      <c r="B38" s="11" t="s">
        <v>28</v>
      </c>
      <c r="C38" s="3">
        <v>0</v>
      </c>
      <c r="D38" s="3">
        <v>0</v>
      </c>
      <c r="E38" s="3">
        <v>0.25</v>
      </c>
      <c r="F38" s="3">
        <v>0</v>
      </c>
      <c r="G38" s="3">
        <v>0.5</v>
      </c>
      <c r="H38" s="3">
        <v>0</v>
      </c>
      <c r="I38" s="3"/>
      <c r="J38" s="3"/>
      <c r="K38" s="3"/>
      <c r="L38" s="3"/>
      <c r="M38" s="3"/>
      <c r="N38" s="3"/>
      <c r="O38" s="3">
        <v>0.14285714285714279</v>
      </c>
      <c r="P38" s="3">
        <v>0.2</v>
      </c>
      <c r="Q38" s="3"/>
      <c r="R38" s="3"/>
      <c r="S38" s="3">
        <v>0.1818181818181818</v>
      </c>
      <c r="T38" s="3"/>
      <c r="U38" s="3">
        <v>0</v>
      </c>
      <c r="V38" s="3">
        <v>0</v>
      </c>
      <c r="W38" s="3">
        <v>0</v>
      </c>
      <c r="X38" s="3">
        <v>0</v>
      </c>
      <c r="Y38" s="3">
        <v>0.5</v>
      </c>
      <c r="Z38" s="3">
        <v>0</v>
      </c>
      <c r="AA38" s="3">
        <v>0</v>
      </c>
      <c r="AB38" s="3">
        <v>0.2</v>
      </c>
      <c r="AC38" s="3">
        <v>0</v>
      </c>
      <c r="AD38" s="3">
        <v>0.2</v>
      </c>
      <c r="AE38" s="3">
        <v>0</v>
      </c>
      <c r="AF38" s="3">
        <v>0</v>
      </c>
      <c r="AG38" s="3">
        <v>0</v>
      </c>
      <c r="AH38" s="3">
        <v>0.25</v>
      </c>
      <c r="AI38" s="3">
        <v>0.1111111111111111</v>
      </c>
      <c r="AJ38" s="3">
        <v>0.14285714285714279</v>
      </c>
      <c r="AK38" s="3">
        <v>0.5</v>
      </c>
      <c r="AL38" s="3">
        <v>0.15</v>
      </c>
      <c r="AM38" s="7"/>
      <c r="AN38" s="7"/>
      <c r="AO38" s="7">
        <v>2500</v>
      </c>
      <c r="AP38" s="7"/>
      <c r="AQ38" s="7">
        <v>0</v>
      </c>
      <c r="AR38" s="7"/>
      <c r="AS38" s="7"/>
      <c r="AT38" s="7">
        <v>-2000</v>
      </c>
      <c r="AU38" s="7"/>
      <c r="AV38" s="7">
        <v>-2000</v>
      </c>
      <c r="AW38" s="7"/>
      <c r="AX38" s="7"/>
      <c r="AY38" s="7">
        <v>1428.571428571428</v>
      </c>
      <c r="AZ38" s="7">
        <v>-499.99999999999989</v>
      </c>
      <c r="BA38" s="7"/>
      <c r="BB38" s="7"/>
      <c r="BC38" s="7">
        <v>-3181.818181818182</v>
      </c>
      <c r="BD38" s="7"/>
      <c r="BE38" s="7">
        <v>0</v>
      </c>
    </row>
    <row r="39" spans="1:57">
      <c r="A39" s="10">
        <v>30</v>
      </c>
      <c r="B39" s="1" t="s">
        <v>29</v>
      </c>
      <c r="C39" s="3">
        <v>0.18009669621273169</v>
      </c>
      <c r="D39" s="3">
        <v>0.19288702928870291</v>
      </c>
      <c r="E39" s="3">
        <v>0.2351403412217942</v>
      </c>
      <c r="F39" s="3">
        <v>0.21263011797362941</v>
      </c>
      <c r="G39" s="3">
        <v>0.2111343246896891</v>
      </c>
      <c r="H39" s="3">
        <v>5.2274754683318457E-2</v>
      </c>
      <c r="I39" s="3"/>
      <c r="J39" s="3"/>
      <c r="K39" s="3"/>
      <c r="L39" s="3"/>
      <c r="M39" s="3"/>
      <c r="N39" s="3"/>
      <c r="O39" s="3">
        <v>0.20954725755710571</v>
      </c>
      <c r="P39" s="3">
        <v>0.1691411657993985</v>
      </c>
      <c r="Q39" s="3"/>
      <c r="R39" s="3"/>
      <c r="S39" s="3">
        <v>0.21071953010278999</v>
      </c>
      <c r="T39" s="3"/>
      <c r="U39" s="3">
        <v>0.14944444444444441</v>
      </c>
      <c r="V39" s="3">
        <v>0.12062765609676369</v>
      </c>
      <c r="W39" s="3">
        <v>0.1141787552643893</v>
      </c>
      <c r="X39" s="3">
        <v>0.15519662921348321</v>
      </c>
      <c r="Y39" s="3">
        <v>0.11822778714182521</v>
      </c>
      <c r="Z39" s="3">
        <v>0.13286713286713289</v>
      </c>
      <c r="AA39" s="3">
        <v>0.1576221016280217</v>
      </c>
      <c r="AB39" s="3">
        <v>0.2024590163934426</v>
      </c>
      <c r="AC39" s="3">
        <v>0.2268729641693811</v>
      </c>
      <c r="AD39" s="3">
        <v>0.19272158090393271</v>
      </c>
      <c r="AE39" s="3">
        <v>0.18763326226012789</v>
      </c>
      <c r="AF39" s="3">
        <v>0.1073049938093273</v>
      </c>
      <c r="AG39" s="3">
        <v>0.1232891711376328</v>
      </c>
      <c r="AH39" s="3">
        <v>0.13510886469673411</v>
      </c>
      <c r="AI39" s="3">
        <v>0.2003449648401221</v>
      </c>
      <c r="AJ39" s="3">
        <v>0.16283197924489659</v>
      </c>
      <c r="AK39" s="3">
        <v>0.12985533659870141</v>
      </c>
      <c r="AL39" s="3">
        <v>0.15871495413182041</v>
      </c>
      <c r="AM39" s="7">
        <v>306.52251768287232</v>
      </c>
      <c r="AN39" s="7">
        <v>722.59373191939289</v>
      </c>
      <c r="AO39" s="7">
        <v>1209.615859574048</v>
      </c>
      <c r="AP39" s="7">
        <v>574.33488760146281</v>
      </c>
      <c r="AQ39" s="7">
        <v>929.06537547863877</v>
      </c>
      <c r="AR39" s="7">
        <v>-805.92378183814401</v>
      </c>
      <c r="AS39" s="7">
        <v>-1576.2210162802171</v>
      </c>
      <c r="AT39" s="7">
        <v>-2024.5901639344261</v>
      </c>
      <c r="AU39" s="7">
        <v>-2268.7296416938111</v>
      </c>
      <c r="AV39" s="7">
        <v>-1927.215809039327</v>
      </c>
      <c r="AW39" s="7">
        <v>-1876.3326226012789</v>
      </c>
      <c r="AX39" s="7">
        <v>-1073.0499380932731</v>
      </c>
      <c r="AY39" s="7">
        <v>862.58086419472977</v>
      </c>
      <c r="AZ39" s="7">
        <v>340.32301102664422</v>
      </c>
      <c r="BA39" s="7"/>
      <c r="BB39" s="7"/>
      <c r="BC39" s="7">
        <v>808.64193504088576</v>
      </c>
      <c r="BD39" s="7"/>
      <c r="BE39" s="7">
        <v>467.15278312209182</v>
      </c>
    </row>
    <row r="40" spans="1:57">
      <c r="A40" s="10">
        <v>31</v>
      </c>
      <c r="B40" s="11" t="s">
        <v>26</v>
      </c>
      <c r="C40" s="3">
        <v>0.1580711707065498</v>
      </c>
      <c r="D40" s="3">
        <v>0.17191818684356</v>
      </c>
      <c r="E40" s="3">
        <v>0.21429787234042549</v>
      </c>
      <c r="F40" s="3">
        <v>0.20006674453529119</v>
      </c>
      <c r="G40" s="3">
        <v>0.21609669811320761</v>
      </c>
      <c r="H40" s="3">
        <v>5.4112089327893492E-2</v>
      </c>
      <c r="I40" s="3"/>
      <c r="J40" s="3"/>
      <c r="K40" s="3"/>
      <c r="L40" s="3"/>
      <c r="M40" s="3"/>
      <c r="N40" s="3"/>
      <c r="O40" s="3">
        <v>0.18880816467739139</v>
      </c>
      <c r="P40" s="3">
        <v>0.1673167374096593</v>
      </c>
      <c r="Q40" s="3"/>
      <c r="R40" s="3"/>
      <c r="S40" s="3">
        <v>0.19918649081720699</v>
      </c>
      <c r="T40" s="3"/>
      <c r="U40" s="3">
        <v>0.13079584775086511</v>
      </c>
      <c r="V40" s="3">
        <v>0.1046736191579761</v>
      </c>
      <c r="W40" s="3">
        <v>0.10398661834402009</v>
      </c>
      <c r="X40" s="3">
        <v>0.12974296205630359</v>
      </c>
      <c r="Y40" s="3">
        <v>0.1001217285453439</v>
      </c>
      <c r="Z40" s="3">
        <v>0.10928961748633879</v>
      </c>
      <c r="AA40" s="3">
        <v>0.13367281985996179</v>
      </c>
      <c r="AB40" s="3">
        <v>0.1861799217731421</v>
      </c>
      <c r="AC40" s="3">
        <v>0.2238867227580546</v>
      </c>
      <c r="AD40" s="3">
        <v>0.1780957079427726</v>
      </c>
      <c r="AE40" s="3">
        <v>0.18466353677621281</v>
      </c>
      <c r="AF40" s="3">
        <v>0.10840767775074341</v>
      </c>
      <c r="AG40" s="3">
        <v>0.1093032410444824</v>
      </c>
      <c r="AH40" s="3">
        <v>0.1124836885602436</v>
      </c>
      <c r="AI40" s="3">
        <v>0.18776371308016879</v>
      </c>
      <c r="AJ40" s="3">
        <v>0.15802192111849489</v>
      </c>
      <c r="AK40" s="3">
        <v>0.1118871252204586</v>
      </c>
      <c r="AL40" s="3">
        <v>0.1452776537494419</v>
      </c>
      <c r="AM40" s="7">
        <v>272.75322955684709</v>
      </c>
      <c r="AN40" s="7">
        <v>672.44567685583911</v>
      </c>
      <c r="AO40" s="7">
        <v>1103.1125399640539</v>
      </c>
      <c r="AP40" s="7">
        <v>703.23782478987596</v>
      </c>
      <c r="AQ40" s="7">
        <v>1159.749695678637</v>
      </c>
      <c r="AR40" s="7">
        <v>-551.77528158445307</v>
      </c>
      <c r="AS40" s="7">
        <v>-1336.7281985996181</v>
      </c>
      <c r="AT40" s="7">
        <v>-1861.7992177314211</v>
      </c>
      <c r="AU40" s="7">
        <v>-2238.8672275805461</v>
      </c>
      <c r="AV40" s="7">
        <v>-1780.9570794277261</v>
      </c>
      <c r="AW40" s="7">
        <v>-1846.635367762128</v>
      </c>
      <c r="AX40" s="7">
        <v>-1084.0767775074339</v>
      </c>
      <c r="AY40" s="7">
        <v>795.04923632909095</v>
      </c>
      <c r="AZ40" s="7">
        <v>548.33048849415718</v>
      </c>
      <c r="BA40" s="7"/>
      <c r="BB40" s="7"/>
      <c r="BC40" s="7">
        <v>872.99365596748407</v>
      </c>
      <c r="BD40" s="7"/>
      <c r="BE40" s="7">
        <v>307.86243558896592</v>
      </c>
    </row>
    <row r="41" spans="1:57">
      <c r="A41" s="10">
        <v>32</v>
      </c>
      <c r="B41" s="11" t="s">
        <v>27</v>
      </c>
      <c r="C41" s="3">
        <v>0.30759162303664922</v>
      </c>
      <c r="D41" s="3">
        <v>0.30444444444444452</v>
      </c>
      <c r="E41" s="3">
        <v>0.35828877005347592</v>
      </c>
      <c r="F41" s="3">
        <v>0.30457380457380462</v>
      </c>
      <c r="G41" s="3">
        <v>0.19223300970873791</v>
      </c>
      <c r="H41" s="3">
        <v>4.8109965635738827E-2</v>
      </c>
      <c r="I41" s="3"/>
      <c r="J41" s="3"/>
      <c r="K41" s="3"/>
      <c r="L41" s="3"/>
      <c r="M41" s="3"/>
      <c r="N41" s="3"/>
      <c r="O41" s="3">
        <v>0.33133561643835618</v>
      </c>
      <c r="P41" s="3">
        <v>0.2016317016317016</v>
      </c>
      <c r="Q41" s="3"/>
      <c r="R41" s="3"/>
      <c r="S41" s="3">
        <v>0.29228280961183001</v>
      </c>
      <c r="T41" s="3"/>
      <c r="U41" s="3">
        <v>0.23300970873786411</v>
      </c>
      <c r="V41" s="3">
        <v>0.22047244094488189</v>
      </c>
      <c r="W41" s="3">
        <v>0.16998191681735991</v>
      </c>
      <c r="X41" s="3">
        <v>0.23599523241954709</v>
      </c>
      <c r="Y41" s="3">
        <v>0.1971014492753623</v>
      </c>
      <c r="Z41" s="3">
        <v>0.19193427931292009</v>
      </c>
      <c r="AA41" s="3">
        <v>0.24698795180722891</v>
      </c>
      <c r="AB41" s="3">
        <v>0.26572008113590262</v>
      </c>
      <c r="AC41" s="3">
        <v>0.23809523809523811</v>
      </c>
      <c r="AD41" s="3">
        <v>0.27249683143219272</v>
      </c>
      <c r="AE41" s="3">
        <v>0.21503759398496239</v>
      </c>
      <c r="AF41" s="3">
        <v>0.123059866962306</v>
      </c>
      <c r="AG41" s="3">
        <v>0.20112630732099759</v>
      </c>
      <c r="AH41" s="3">
        <v>0.20606694560669461</v>
      </c>
      <c r="AI41" s="3">
        <v>0.25035410764872518</v>
      </c>
      <c r="AJ41" s="3">
        <v>0.19906621392190149</v>
      </c>
      <c r="AK41" s="3">
        <v>0.21067821067821069</v>
      </c>
      <c r="AL41" s="3">
        <v>0.2170918092777957</v>
      </c>
      <c r="AM41" s="7">
        <v>745.81914298785136</v>
      </c>
      <c r="AN41" s="7">
        <v>839.72003499562572</v>
      </c>
      <c r="AO41" s="7">
        <v>1883.068532361161</v>
      </c>
      <c r="AP41" s="7">
        <v>685.78572154257472</v>
      </c>
      <c r="AQ41" s="7">
        <v>-48.684395666244718</v>
      </c>
      <c r="AR41" s="7">
        <v>-1438.2431367718129</v>
      </c>
      <c r="AS41" s="7">
        <v>-2469.8795180722891</v>
      </c>
      <c r="AT41" s="7">
        <v>-2657.2008113590259</v>
      </c>
      <c r="AU41" s="7">
        <v>-2380.9523809523812</v>
      </c>
      <c r="AV41" s="7">
        <v>-2724.9683143219272</v>
      </c>
      <c r="AW41" s="7">
        <v>-2150.375939849624</v>
      </c>
      <c r="AX41" s="7">
        <v>-1230.59866962306</v>
      </c>
      <c r="AY41" s="7">
        <v>1302.0930911735859</v>
      </c>
      <c r="AZ41" s="7">
        <v>-44.352439749929253</v>
      </c>
      <c r="BA41" s="7"/>
      <c r="BB41" s="7"/>
      <c r="BC41" s="7">
        <v>816.04598933619263</v>
      </c>
      <c r="BD41" s="7"/>
      <c r="BE41" s="7">
        <v>1322.6940251645469</v>
      </c>
    </row>
    <row r="42" spans="1:57">
      <c r="A42" s="10">
        <v>33</v>
      </c>
      <c r="B42" s="11" t="s">
        <v>28</v>
      </c>
      <c r="C42" s="3">
        <v>0.14285714285714279</v>
      </c>
      <c r="D42" s="3">
        <v>9.9236641221374045E-2</v>
      </c>
      <c r="E42" s="3">
        <v>0.17712177121771219</v>
      </c>
      <c r="F42" s="3">
        <v>0.16</v>
      </c>
      <c r="G42" s="3">
        <v>0.16718266253869971</v>
      </c>
      <c r="H42" s="3">
        <v>3.5519125683060107E-2</v>
      </c>
      <c r="I42" s="3"/>
      <c r="J42" s="3"/>
      <c r="K42" s="3"/>
      <c r="L42" s="3"/>
      <c r="M42" s="3"/>
      <c r="N42" s="3"/>
      <c r="O42" s="3">
        <v>0.1477900552486188</v>
      </c>
      <c r="P42" s="3">
        <v>0.11395101171459</v>
      </c>
      <c r="Q42" s="3"/>
      <c r="R42" s="3"/>
      <c r="S42" s="3">
        <v>0.15497301464919039</v>
      </c>
      <c r="T42" s="3"/>
      <c r="U42" s="3">
        <v>0.17391304347826089</v>
      </c>
      <c r="V42" s="3">
        <v>0.15730337078651679</v>
      </c>
      <c r="W42" s="3">
        <v>0.1567164179104478</v>
      </c>
      <c r="X42" s="3">
        <v>0.2484848484848485</v>
      </c>
      <c r="Y42" s="3">
        <v>0.14689265536723159</v>
      </c>
      <c r="Z42" s="3">
        <v>0.18431911966987621</v>
      </c>
      <c r="AA42" s="3">
        <v>0.17073170731707321</v>
      </c>
      <c r="AB42" s="3">
        <v>0.20338983050847459</v>
      </c>
      <c r="AC42" s="3">
        <v>0.2393822393822394</v>
      </c>
      <c r="AD42" s="3">
        <v>0.17910447761194029</v>
      </c>
      <c r="AE42" s="3">
        <v>0.15183246073298429</v>
      </c>
      <c r="AF42" s="3">
        <v>3.2653061224489799E-2</v>
      </c>
      <c r="AG42" s="3">
        <v>0.1598513011152416</v>
      </c>
      <c r="AH42" s="3">
        <v>0.18802619270346119</v>
      </c>
      <c r="AI42" s="3">
        <v>0.22</v>
      </c>
      <c r="AJ42" s="3">
        <v>0.1207386363636364</v>
      </c>
      <c r="AK42" s="3">
        <v>0.18003273322422261</v>
      </c>
      <c r="AL42" s="3">
        <v>0.17076167076167079</v>
      </c>
      <c r="AM42" s="7">
        <v>-310.55900621118008</v>
      </c>
      <c r="AN42" s="7">
        <v>-580.66729565142805</v>
      </c>
      <c r="AO42" s="7">
        <v>204.05353307264389</v>
      </c>
      <c r="AP42" s="7">
        <v>-884.84848484848476</v>
      </c>
      <c r="AQ42" s="7">
        <v>202.90007171468031</v>
      </c>
      <c r="AR42" s="7">
        <v>-1487.9999398681609</v>
      </c>
      <c r="AS42" s="7">
        <v>-1707.3170731707321</v>
      </c>
      <c r="AT42" s="7">
        <v>-2033.898305084746</v>
      </c>
      <c r="AU42" s="7">
        <v>-2393.8223938223941</v>
      </c>
      <c r="AV42" s="7">
        <v>-1791.044776119403</v>
      </c>
      <c r="AW42" s="7">
        <v>-1518.324607329843</v>
      </c>
      <c r="AX42" s="7">
        <v>-326.53061224489801</v>
      </c>
      <c r="AY42" s="7">
        <v>-120.61245866622831</v>
      </c>
      <c r="AZ42" s="7">
        <v>-740.75180988871193</v>
      </c>
      <c r="BA42" s="7"/>
      <c r="BB42" s="7"/>
      <c r="BC42" s="7">
        <v>-250.59718575032139</v>
      </c>
      <c r="BD42" s="7"/>
      <c r="BE42" s="7">
        <v>270.51418884982428</v>
      </c>
    </row>
    <row r="43" spans="1:57">
      <c r="A43" s="10">
        <v>34</v>
      </c>
      <c r="B43" s="1" t="s">
        <v>30</v>
      </c>
      <c r="C43" s="3">
        <v>0.17640186915887851</v>
      </c>
      <c r="D43" s="3">
        <v>0.1867517956903432</v>
      </c>
      <c r="E43" s="3">
        <v>0.23059542796384899</v>
      </c>
      <c r="F43" s="3">
        <v>0.2087646189003898</v>
      </c>
      <c r="G43" s="3">
        <v>0.20652303297226521</v>
      </c>
      <c r="H43" s="3">
        <v>5.1358457493426823E-2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0.20499802189107211</v>
      </c>
      <c r="P43" s="3">
        <v>0.16621025760037131</v>
      </c>
      <c r="Q43" s="3"/>
      <c r="R43" s="3"/>
      <c r="S43" s="3">
        <v>0.2063149067922338</v>
      </c>
      <c r="T43" s="3"/>
      <c r="U43" s="3">
        <v>0.1469475958941113</v>
      </c>
      <c r="V43" s="3">
        <v>0.1194364393211655</v>
      </c>
      <c r="W43" s="3">
        <v>0.1138920780711826</v>
      </c>
      <c r="X43" s="3">
        <v>0.15459160129210889</v>
      </c>
      <c r="Y43" s="3">
        <v>0.1180785612872693</v>
      </c>
      <c r="Z43" s="3">
        <v>0.1319454212969475</v>
      </c>
      <c r="AA43" s="3">
        <v>0.15458243598947119</v>
      </c>
      <c r="AB43" s="3">
        <v>0.19919999999999999</v>
      </c>
      <c r="AC43" s="3">
        <v>0.22404982433727241</v>
      </c>
      <c r="AD43" s="3">
        <v>0.1890139233263399</v>
      </c>
      <c r="AE43" s="3">
        <v>0.18408996251561849</v>
      </c>
      <c r="AF43" s="3">
        <v>0.1045673076923077</v>
      </c>
      <c r="AG43" s="3">
        <v>0.12230678529317179</v>
      </c>
      <c r="AH43" s="3">
        <v>0.13446933435445779</v>
      </c>
      <c r="AI43" s="3">
        <v>0.19720225374004269</v>
      </c>
      <c r="AJ43" s="3">
        <v>0.15940679656846449</v>
      </c>
      <c r="AK43" s="3">
        <v>0.12912963273520039</v>
      </c>
      <c r="AL43" s="3">
        <v>0.15664431465859111</v>
      </c>
      <c r="AM43" s="7">
        <v>294.5427326476721</v>
      </c>
      <c r="AN43" s="7">
        <v>673.1535636917763</v>
      </c>
      <c r="AO43" s="7">
        <v>1167.0334989266651</v>
      </c>
      <c r="AP43" s="7">
        <v>541.73017608280918</v>
      </c>
      <c r="AQ43" s="7">
        <v>884.44471684995915</v>
      </c>
      <c r="AR43" s="7">
        <v>-805.869638035207</v>
      </c>
      <c r="AS43" s="7">
        <v>-1545.824359894712</v>
      </c>
      <c r="AT43" s="7">
        <v>-1992</v>
      </c>
      <c r="AU43" s="7">
        <v>-2240.498243372725</v>
      </c>
      <c r="AV43" s="7">
        <v>-1890.1392332633991</v>
      </c>
      <c r="AW43" s="7">
        <v>-1840.899625156185</v>
      </c>
      <c r="AX43" s="7">
        <v>-1045.6730769230769</v>
      </c>
      <c r="AY43" s="7">
        <v>826.91236597900297</v>
      </c>
      <c r="AZ43" s="7">
        <v>317.40923245913461</v>
      </c>
      <c r="BA43" s="7"/>
      <c r="BB43" s="7"/>
      <c r="BC43" s="7">
        <v>771.85274057033371</v>
      </c>
      <c r="BD43" s="7"/>
      <c r="BE43" s="7">
        <v>455.91225322607681</v>
      </c>
    </row>
    <row r="44" spans="1:57">
      <c r="A44" s="10">
        <v>35</v>
      </c>
      <c r="B44" s="1" t="s">
        <v>31</v>
      </c>
      <c r="C44" s="3">
        <v>0.2242190168413862</v>
      </c>
      <c r="D44" s="3">
        <v>0.2488114980652294</v>
      </c>
      <c r="E44" s="3">
        <v>0.27344171686421831</v>
      </c>
      <c r="F44" s="3">
        <v>0.255381687460351</v>
      </c>
      <c r="G44" s="3">
        <v>0.22665957054837979</v>
      </c>
      <c r="H44" s="3">
        <v>4.3210953169965989E-2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0.25081000897841282</v>
      </c>
      <c r="P44" s="3">
        <v>0.20273436515867879</v>
      </c>
      <c r="Q44" s="3"/>
      <c r="R44" s="3"/>
      <c r="S44" s="3">
        <v>0.24595817955702351</v>
      </c>
      <c r="T44" s="3"/>
      <c r="U44" s="3">
        <v>0.12973213717630591</v>
      </c>
      <c r="V44" s="3">
        <v>0.13546296296296301</v>
      </c>
      <c r="W44" s="3">
        <v>0.1216153907305827</v>
      </c>
      <c r="X44" s="3">
        <v>0.1434876661665678</v>
      </c>
      <c r="Y44" s="3">
        <v>0.13888988297605839</v>
      </c>
      <c r="Z44" s="3">
        <v>0.15239580925968721</v>
      </c>
      <c r="AA44" s="3">
        <v>0.1924589744058835</v>
      </c>
      <c r="AB44" s="3">
        <v>0.2162466167527857</v>
      </c>
      <c r="AC44" s="3">
        <v>0.24620500488464719</v>
      </c>
      <c r="AD44" s="3">
        <v>0.23272462384768031</v>
      </c>
      <c r="AE44" s="3">
        <v>0.20695970695970689</v>
      </c>
      <c r="AF44" s="3">
        <v>0.1148939765143195</v>
      </c>
      <c r="AG44" s="3">
        <v>0.12782031426099219</v>
      </c>
      <c r="AH44" s="3">
        <v>0.1447326986895332</v>
      </c>
      <c r="AI44" s="3">
        <v>0.218</v>
      </c>
      <c r="AJ44" s="3">
        <v>0.187</v>
      </c>
      <c r="AK44" s="3">
        <v>0.13386935314692289</v>
      </c>
      <c r="AL44" s="3">
        <v>0.17</v>
      </c>
      <c r="AM44" s="7">
        <v>944.86879665080289</v>
      </c>
      <c r="AN44" s="7">
        <v>1133.485351022664</v>
      </c>
      <c r="AO44" s="7">
        <v>1518.263261336356</v>
      </c>
      <c r="AP44" s="7">
        <v>1118.940212937832</v>
      </c>
      <c r="AQ44" s="7">
        <v>877.69687572321448</v>
      </c>
      <c r="AR44" s="7">
        <v>-1091.848560897213</v>
      </c>
      <c r="AS44" s="7">
        <v>-1924.5897440588351</v>
      </c>
      <c r="AT44" s="7">
        <v>-2162.4661675278571</v>
      </c>
      <c r="AU44" s="7">
        <v>-2462.0500488464718</v>
      </c>
      <c r="AV44" s="7">
        <v>-2327.2462384768028</v>
      </c>
      <c r="AW44" s="7">
        <v>-2069.59706959707</v>
      </c>
      <c r="AX44" s="7">
        <v>-1148.939765143195</v>
      </c>
      <c r="AY44" s="7" t="s">
        <v>36</v>
      </c>
      <c r="AZ44" s="7"/>
      <c r="BA44" s="7"/>
      <c r="BB44" s="7"/>
      <c r="BC44" s="7" t="s">
        <v>37</v>
      </c>
      <c r="BD44" s="7"/>
      <c r="BE44" s="7">
        <v>641.97635263940481</v>
      </c>
    </row>
  </sheetData>
  <mergeCells count="9">
    <mergeCell ref="C32:T32"/>
    <mergeCell ref="U32:AL32"/>
    <mergeCell ref="AM32:BD32"/>
    <mergeCell ref="C2:T2"/>
    <mergeCell ref="U2:AL2"/>
    <mergeCell ref="AM2:BD2"/>
    <mergeCell ref="C17:T17"/>
    <mergeCell ref="U17:AL17"/>
    <mergeCell ref="AM17:BD17"/>
  </mergeCells>
  <phoneticPr fontId="3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8044-D037-4BB7-B9AF-A9417080313E}">
  <dimension ref="A1"/>
  <sheetViews>
    <sheetView workbookViewId="0">
      <selection activeCell="G7" sqref="G7"/>
    </sheetView>
  </sheetViews>
  <sheetFormatPr defaultRowHeight="14"/>
  <sheetData/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2D0A-8A13-485A-ABC4-A30D1D3F8A50}">
  <dimension ref="H6:H40"/>
  <sheetViews>
    <sheetView workbookViewId="0">
      <selection activeCell="M9" sqref="M9"/>
    </sheetView>
  </sheetViews>
  <sheetFormatPr defaultRowHeight="14"/>
  <cols>
    <col min="8" max="8" width="93.26953125" customWidth="1"/>
  </cols>
  <sheetData>
    <row r="6" spans="8:8">
      <c r="H6" t="s">
        <v>110</v>
      </c>
    </row>
    <row r="10" spans="8:8">
      <c r="H10" s="17" t="s">
        <v>111</v>
      </c>
    </row>
    <row r="12" spans="8:8">
      <c r="H12" s="17" t="s">
        <v>112</v>
      </c>
    </row>
    <row r="14" spans="8:8">
      <c r="H14" s="24" t="s">
        <v>113</v>
      </c>
    </row>
    <row r="15" spans="8:8">
      <c r="H15" s="24" t="s">
        <v>114</v>
      </c>
    </row>
    <row r="16" spans="8:8">
      <c r="H16" s="24" t="s">
        <v>115</v>
      </c>
    </row>
    <row r="17" spans="8:8">
      <c r="H17" s="24" t="s">
        <v>116</v>
      </c>
    </row>
    <row r="18" spans="8:8">
      <c r="H18" s="24" t="s">
        <v>117</v>
      </c>
    </row>
    <row r="19" spans="8:8">
      <c r="H19" s="24" t="s">
        <v>118</v>
      </c>
    </row>
    <row r="20" spans="8:8">
      <c r="H20" s="15"/>
    </row>
    <row r="21" spans="8:8">
      <c r="H21" s="15" t="s">
        <v>119</v>
      </c>
    </row>
    <row r="25" spans="8:8">
      <c r="H25" s="17" t="s">
        <v>120</v>
      </c>
    </row>
    <row r="26" spans="8:8">
      <c r="H26" s="15"/>
    </row>
    <row r="27" spans="8:8">
      <c r="H27" s="19" t="s">
        <v>121</v>
      </c>
    </row>
    <row r="28" spans="8:8">
      <c r="H28" s="15" t="s">
        <v>122</v>
      </c>
    </row>
    <row r="32" spans="8:8">
      <c r="H32" s="17" t="s">
        <v>123</v>
      </c>
    </row>
    <row r="34" spans="8:8">
      <c r="H34" s="24" t="s">
        <v>124</v>
      </c>
    </row>
    <row r="35" spans="8:8">
      <c r="H35" s="24" t="s">
        <v>125</v>
      </c>
    </row>
    <row r="36" spans="8:8">
      <c r="H36" s="24" t="s">
        <v>126</v>
      </c>
    </row>
    <row r="37" spans="8:8">
      <c r="H37" s="24" t="s">
        <v>127</v>
      </c>
    </row>
    <row r="38" spans="8:8">
      <c r="H38" s="24" t="s">
        <v>128</v>
      </c>
    </row>
    <row r="39" spans="8:8">
      <c r="H39" s="24" t="s">
        <v>129</v>
      </c>
    </row>
    <row r="40" spans="8:8">
      <c r="H40" s="24" t="s">
        <v>130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B138C-301A-41C6-B935-52138D871517}">
  <dimension ref="E3:N69"/>
  <sheetViews>
    <sheetView workbookViewId="0">
      <selection activeCell="N51" sqref="N51"/>
    </sheetView>
  </sheetViews>
  <sheetFormatPr defaultRowHeight="14"/>
  <cols>
    <col min="5" max="5" width="38.7265625" customWidth="1"/>
    <col min="6" max="6" width="63.54296875" customWidth="1"/>
  </cols>
  <sheetData>
    <row r="3" spans="5:14" ht="17">
      <c r="E3" s="14" t="s">
        <v>38</v>
      </c>
      <c r="N3" s="17" t="s">
        <v>80</v>
      </c>
    </row>
    <row r="4" spans="5:14">
      <c r="E4" s="15"/>
    </row>
    <row r="5" spans="5:14">
      <c r="E5" s="15" t="s">
        <v>39</v>
      </c>
    </row>
    <row r="6" spans="5:14">
      <c r="E6" s="16"/>
    </row>
    <row r="7" spans="5:14">
      <c r="E7" s="18" t="s">
        <v>40</v>
      </c>
      <c r="N7" s="17" t="s">
        <v>81</v>
      </c>
    </row>
    <row r="8" spans="5:14">
      <c r="E8" s="18" t="s">
        <v>41</v>
      </c>
    </row>
    <row r="9" spans="5:14">
      <c r="N9" t="s">
        <v>82</v>
      </c>
    </row>
    <row r="10" spans="5:14" ht="17">
      <c r="E10" s="14" t="s">
        <v>42</v>
      </c>
      <c r="N10" s="15"/>
    </row>
    <row r="11" spans="5:14">
      <c r="E11" s="15"/>
      <c r="N11" s="19" t="s">
        <v>83</v>
      </c>
    </row>
    <row r="12" spans="5:14">
      <c r="E12" s="19" t="s">
        <v>43</v>
      </c>
      <c r="N12" s="19" t="s">
        <v>84</v>
      </c>
    </row>
    <row r="13" spans="5:14">
      <c r="E13" s="16"/>
    </row>
    <row r="14" spans="5:14">
      <c r="E14" s="18" t="s">
        <v>44</v>
      </c>
    </row>
    <row r="15" spans="5:14">
      <c r="E15" s="18" t="s">
        <v>45</v>
      </c>
    </row>
    <row r="16" spans="5:14">
      <c r="N16" s="17" t="s">
        <v>85</v>
      </c>
    </row>
    <row r="17" spans="5:14" ht="17">
      <c r="E17" s="14" t="s">
        <v>46</v>
      </c>
    </row>
    <row r="18" spans="5:14">
      <c r="E18" s="15"/>
      <c r="N18" t="s">
        <v>86</v>
      </c>
    </row>
    <row r="19" spans="5:14">
      <c r="E19" s="15" t="s">
        <v>47</v>
      </c>
    </row>
    <row r="20" spans="5:14">
      <c r="N20" s="17" t="s">
        <v>87</v>
      </c>
    </row>
    <row r="21" spans="5:14" ht="17">
      <c r="E21" s="14" t="s">
        <v>48</v>
      </c>
    </row>
    <row r="22" spans="5:14">
      <c r="E22" s="15"/>
      <c r="N22" s="17" t="s">
        <v>88</v>
      </c>
    </row>
    <row r="23" spans="5:14">
      <c r="E23" s="19" t="s">
        <v>49</v>
      </c>
    </row>
    <row r="24" spans="5:14">
      <c r="E24" s="16"/>
    </row>
    <row r="25" spans="5:14">
      <c r="E25" s="16" t="s">
        <v>50</v>
      </c>
    </row>
    <row r="26" spans="5:14">
      <c r="E26" s="16" t="s">
        <v>51</v>
      </c>
      <c r="N26" s="17" t="s">
        <v>89</v>
      </c>
    </row>
    <row r="27" spans="5:14">
      <c r="E27" s="16" t="s">
        <v>52</v>
      </c>
    </row>
    <row r="28" spans="5:14">
      <c r="E28" s="20" t="s">
        <v>53</v>
      </c>
      <c r="N28" t="s">
        <v>90</v>
      </c>
    </row>
    <row r="29" spans="5:14">
      <c r="E29" s="20" t="s">
        <v>54</v>
      </c>
    </row>
    <row r="30" spans="5:14">
      <c r="E30" s="16" t="s">
        <v>55</v>
      </c>
      <c r="N30" t="s">
        <v>91</v>
      </c>
    </row>
    <row r="31" spans="5:14">
      <c r="E31" s="15"/>
    </row>
    <row r="32" spans="5:14">
      <c r="E32" s="19" t="s">
        <v>56</v>
      </c>
      <c r="N32" t="s">
        <v>92</v>
      </c>
    </row>
    <row r="33" spans="5:14">
      <c r="E33" s="16"/>
    </row>
    <row r="34" spans="5:14">
      <c r="E34" s="16" t="s">
        <v>57</v>
      </c>
    </row>
    <row r="35" spans="5:14">
      <c r="E35" s="16" t="s">
        <v>58</v>
      </c>
    </row>
    <row r="36" spans="5:14">
      <c r="N36" s="17" t="s">
        <v>93</v>
      </c>
    </row>
    <row r="37" spans="5:14" ht="17">
      <c r="E37" s="14" t="s">
        <v>59</v>
      </c>
    </row>
    <row r="38" spans="5:14">
      <c r="E38" s="15"/>
      <c r="N38" t="s">
        <v>94</v>
      </c>
    </row>
    <row r="39" spans="5:14">
      <c r="E39" s="15" t="s">
        <v>60</v>
      </c>
      <c r="N39" s="15"/>
    </row>
    <row r="40" spans="5:14">
      <c r="E40" s="16"/>
      <c r="N40" s="19" t="s">
        <v>95</v>
      </c>
    </row>
    <row r="41" spans="5:14">
      <c r="E41" s="16" t="s">
        <v>61</v>
      </c>
      <c r="N41" s="19" t="s">
        <v>96</v>
      </c>
    </row>
    <row r="42" spans="5:14">
      <c r="E42" s="16" t="s">
        <v>62</v>
      </c>
      <c r="N42" s="19" t="s">
        <v>97</v>
      </c>
    </row>
    <row r="43" spans="5:14">
      <c r="E43" s="16" t="s">
        <v>63</v>
      </c>
    </row>
    <row r="45" spans="5:14" ht="17">
      <c r="E45" s="14" t="s">
        <v>64</v>
      </c>
    </row>
    <row r="46" spans="5:14">
      <c r="E46" s="16"/>
      <c r="N46" s="17" t="s">
        <v>98</v>
      </c>
    </row>
    <row r="47" spans="5:14">
      <c r="E47" s="16" t="s">
        <v>65</v>
      </c>
    </row>
    <row r="48" spans="5:14">
      <c r="E48" s="16" t="s">
        <v>66</v>
      </c>
      <c r="N48" t="s">
        <v>99</v>
      </c>
    </row>
    <row r="49" spans="5:14">
      <c r="N49" s="15"/>
    </row>
    <row r="50" spans="5:14">
      <c r="N50" s="15" t="s">
        <v>100</v>
      </c>
    </row>
    <row r="51" spans="5:14">
      <c r="N51" s="15" t="s">
        <v>101</v>
      </c>
    </row>
    <row r="52" spans="5:14" ht="17">
      <c r="E52" s="14" t="s">
        <v>67</v>
      </c>
      <c r="N52" s="15" t="s">
        <v>102</v>
      </c>
    </row>
    <row r="54" spans="5:14">
      <c r="E54" s="21" t="s">
        <v>68</v>
      </c>
      <c r="F54" s="21" t="s">
        <v>69</v>
      </c>
    </row>
    <row r="55" spans="5:14" ht="28">
      <c r="E55" s="23" t="s">
        <v>70</v>
      </c>
      <c r="F55" s="22" t="s">
        <v>71</v>
      </c>
    </row>
    <row r="56" spans="5:14" ht="28">
      <c r="E56" s="23" t="s">
        <v>72</v>
      </c>
      <c r="F56" s="22" t="s">
        <v>73</v>
      </c>
      <c r="N56" s="17" t="s">
        <v>103</v>
      </c>
    </row>
    <row r="57" spans="5:14" ht="28">
      <c r="E57" s="23" t="s">
        <v>74</v>
      </c>
      <c r="F57" s="22" t="s">
        <v>75</v>
      </c>
    </row>
    <row r="58" spans="5:14" ht="28">
      <c r="E58" s="23" t="s">
        <v>76</v>
      </c>
      <c r="F58" s="22" t="s">
        <v>77</v>
      </c>
      <c r="N58" t="s">
        <v>104</v>
      </c>
    </row>
    <row r="59" spans="5:14" ht="28">
      <c r="E59" s="23" t="s">
        <v>78</v>
      </c>
      <c r="F59" s="22" t="s">
        <v>79</v>
      </c>
      <c r="N59" s="15"/>
    </row>
    <row r="60" spans="5:14">
      <c r="N60" s="15" t="s">
        <v>105</v>
      </c>
    </row>
    <row r="61" spans="5:14">
      <c r="N61" s="15" t="s">
        <v>106</v>
      </c>
    </row>
    <row r="65" spans="14:14">
      <c r="N65" s="17" t="s">
        <v>107</v>
      </c>
    </row>
    <row r="67" spans="14:14">
      <c r="N67" t="s">
        <v>108</v>
      </c>
    </row>
    <row r="69" spans="14:14">
      <c r="N69" t="s">
        <v>109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B221-2373-4E2B-A84D-E388697ECA86}">
  <dimension ref="A1"/>
  <sheetViews>
    <sheetView workbookViewId="0">
      <selection activeCell="B4" sqref="B4"/>
    </sheetView>
  </sheetViews>
  <sheetFormatPr defaultRowHeight="14"/>
  <sheetData/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886E-8BBC-4CB5-9165-56AA1754494E}">
  <dimension ref="H12:J20"/>
  <sheetViews>
    <sheetView workbookViewId="0">
      <selection activeCell="D29" sqref="D29"/>
    </sheetView>
  </sheetViews>
  <sheetFormatPr defaultRowHeight="14"/>
  <cols>
    <col min="8" max="8" width="3" customWidth="1"/>
    <col min="9" max="9" width="33" customWidth="1"/>
    <col min="10" max="10" width="84.81640625" customWidth="1"/>
  </cols>
  <sheetData>
    <row r="12" spans="8:10" ht="15">
      <c r="H12" s="25" t="s">
        <v>35</v>
      </c>
      <c r="I12" s="26" t="s">
        <v>133</v>
      </c>
      <c r="J12" s="26" t="s">
        <v>132</v>
      </c>
    </row>
    <row r="13" spans="8:10" ht="15">
      <c r="H13" s="25">
        <v>1</v>
      </c>
      <c r="I13" s="27" t="s">
        <v>134</v>
      </c>
      <c r="J13" s="28" t="s">
        <v>142</v>
      </c>
    </row>
    <row r="14" spans="8:10" ht="15">
      <c r="H14" s="25">
        <v>2</v>
      </c>
      <c r="I14" s="27" t="s">
        <v>135</v>
      </c>
      <c r="J14" s="28" t="s">
        <v>143</v>
      </c>
    </row>
    <row r="15" spans="8:10" ht="15">
      <c r="H15" s="25">
        <v>3</v>
      </c>
      <c r="I15" s="27" t="s">
        <v>136</v>
      </c>
      <c r="J15" s="28" t="s">
        <v>144</v>
      </c>
    </row>
    <row r="16" spans="8:10" ht="15">
      <c r="H16" s="25">
        <v>4</v>
      </c>
      <c r="I16" s="27" t="s">
        <v>137</v>
      </c>
      <c r="J16" s="28" t="s">
        <v>145</v>
      </c>
    </row>
    <row r="17" spans="8:10" ht="15">
      <c r="H17" s="25">
        <v>5</v>
      </c>
      <c r="I17" s="27" t="s">
        <v>138</v>
      </c>
      <c r="J17" s="28" t="s">
        <v>146</v>
      </c>
    </row>
    <row r="18" spans="8:10" ht="15">
      <c r="H18" s="25">
        <v>6</v>
      </c>
      <c r="I18" s="27" t="s">
        <v>139</v>
      </c>
      <c r="J18" s="28" t="s">
        <v>147</v>
      </c>
    </row>
    <row r="19" spans="8:10" ht="15">
      <c r="H19" s="25">
        <v>7</v>
      </c>
      <c r="I19" s="27" t="s">
        <v>140</v>
      </c>
      <c r="J19" s="28" t="s">
        <v>148</v>
      </c>
    </row>
    <row r="20" spans="8:10" ht="15">
      <c r="H20" s="25">
        <v>8</v>
      </c>
      <c r="I20" s="27" t="s">
        <v>141</v>
      </c>
      <c r="J20" s="28" t="s">
        <v>149</v>
      </c>
    </row>
  </sheetData>
  <phoneticPr fontId="3" type="noConversion"/>
  <hyperlinks>
    <hyperlink ref="J13" r:id="rId1" location="zhiku" xr:uid="{CF3D8F5C-8C0D-491E-9A23-C350B6BFD3B1}"/>
    <hyperlink ref="J14" r:id="rId2" location="zhizao" xr:uid="{EABE9EC4-CC69-4C64-AA6C-72F0A4B489CE}"/>
    <hyperlink ref="J15" r:id="rId3" location="zhiyou" xr:uid="{560BC81D-D40C-4CD4-9269-49F06EF83776}"/>
    <hyperlink ref="J16" r:id="rId4" location="zhibu" xr:uid="{238CF625-880D-4DDF-AA74-4CD584346E49}"/>
    <hyperlink ref="J17" r:id="rId5" location="zhichuan" xr:uid="{AF7C5943-17B6-45CF-8ABA-D450C1FCB8DE}"/>
    <hyperlink ref="J18" r:id="rId6" location="zhixi" xr:uid="{D6B038D4-F9B0-4971-8E13-1A4C486D2F28}"/>
    <hyperlink ref="J19" r:id="rId7" location="zhishu" xr:uid="{0310F7DF-FA1E-4942-8A0C-F237E8BC3DE9}"/>
    <hyperlink ref="J20" r:id="rId8" location="s3" xr:uid="{D77F6067-48E0-4AC9-92FC-FB86D5415A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Sheet1</vt:lpstr>
      <vt:lpstr>Sheet4</vt:lpstr>
      <vt:lpstr>Sheet3</vt:lpstr>
      <vt:lpstr>Sheet6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Shi, Yujiao</cp:lastModifiedBy>
  <dcterms:created xsi:type="dcterms:W3CDTF">2026-06-09T06:53:27Z</dcterms:created>
  <dcterms:modified xsi:type="dcterms:W3CDTF">2026-06-29T09:54:49Z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2026-06-09T06:53:48Z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207b3cb2-2d4b-469d-a6df-c7494938c410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